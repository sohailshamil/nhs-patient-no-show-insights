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i\OneDrive\Documents\Amdari Internship\"/>
    </mc:Choice>
  </mc:AlternateContent>
  <xr:revisionPtr revIDLastSave="0" documentId="13_ncr:9_{198C39AA-3B5F-49B0-816B-F79CF6C35318}" xr6:coauthVersionLast="47" xr6:coauthVersionMax="47" xr10:uidLastSave="{00000000-0000-0000-0000-000000000000}"/>
  <bookViews>
    <workbookView xWindow="-120" yWindow="-120" windowWidth="29040" windowHeight="15720" activeTab="1" xr2:uid="{AFA28059-78F5-48C4-9718-BFF48D8E6FBE}"/>
  </bookViews>
  <sheets>
    <sheet name="nhs_outpatient_appointments" sheetId="1" r:id="rId1"/>
    <sheet name="EDA_Overview" sheetId="4" r:id="rId2"/>
  </sheets>
  <calcPr calcId="0"/>
</workbook>
</file>

<file path=xl/calcChain.xml><?xml version="1.0" encoding="utf-8"?>
<calcChain xmlns="http://schemas.openxmlformats.org/spreadsheetml/2006/main">
  <c r="X7" i="4" l="1"/>
  <c r="AG4" i="4"/>
  <c r="AG6" i="4" s="1"/>
  <c r="AG5" i="4"/>
  <c r="AF4" i="4"/>
  <c r="AF6" i="4" s="1"/>
  <c r="AF5" i="4"/>
  <c r="AB10" i="4"/>
  <c r="AA10" i="4"/>
  <c r="R4" i="4"/>
  <c r="R6" i="4" s="1"/>
  <c r="R5" i="4"/>
  <c r="Q4" i="4"/>
  <c r="Q6" i="4" s="1"/>
  <c r="Q5" i="4"/>
  <c r="M9" i="4"/>
  <c r="L9" i="4"/>
  <c r="W7" i="4"/>
  <c r="V7" i="4"/>
  <c r="AC10" i="4"/>
  <c r="AC4" i="4"/>
  <c r="AC5" i="4"/>
  <c r="AC6" i="4"/>
  <c r="AC7" i="4"/>
  <c r="AC8" i="4"/>
  <c r="AC9" i="4"/>
  <c r="AB4" i="4"/>
  <c r="AB5" i="4"/>
  <c r="AB6" i="4"/>
  <c r="AB7" i="4"/>
  <c r="AB8" i="4"/>
  <c r="AB9" i="4"/>
  <c r="AA4" i="4"/>
  <c r="AA5" i="4"/>
  <c r="AA6" i="4"/>
  <c r="AA7" i="4"/>
  <c r="AA8" i="4"/>
  <c r="AA9" i="4"/>
  <c r="X6" i="4"/>
  <c r="X5" i="4"/>
  <c r="X4" i="4"/>
  <c r="W5" i="4"/>
  <c r="W6" i="4"/>
  <c r="W4" i="4"/>
  <c r="V6" i="4"/>
  <c r="V5" i="4"/>
  <c r="V4" i="4"/>
  <c r="U4" i="4" a="1"/>
  <c r="U4" i="4" s="1"/>
  <c r="U5" i="4" a="1"/>
  <c r="U5" i="4" s="1"/>
  <c r="M4" i="4"/>
  <c r="N4" i="4" s="1"/>
  <c r="M5" i="4"/>
  <c r="M6" i="4"/>
  <c r="N6" i="4" s="1"/>
  <c r="M7" i="4"/>
  <c r="N7" i="4" s="1"/>
  <c r="M8" i="4"/>
  <c r="N8" i="4" s="1"/>
  <c r="N9" i="4"/>
  <c r="L4" i="4"/>
  <c r="L5" i="4"/>
  <c r="N5" i="4" s="1"/>
  <c r="L6" i="4"/>
  <c r="L7" i="4"/>
  <c r="L8" i="4"/>
  <c r="H4" i="4"/>
  <c r="H14" i="4" s="1"/>
  <c r="H5" i="4"/>
  <c r="H6" i="4"/>
  <c r="H7" i="4"/>
  <c r="H8" i="4"/>
  <c r="H9" i="4"/>
  <c r="H10" i="4"/>
  <c r="H11" i="4"/>
  <c r="H12" i="4"/>
  <c r="H13" i="4"/>
  <c r="G4" i="4"/>
  <c r="G14" i="4" s="1"/>
  <c r="G5" i="4"/>
  <c r="G6" i="4"/>
  <c r="G7" i="4"/>
  <c r="G8" i="4"/>
  <c r="G9" i="4"/>
  <c r="G10" i="4"/>
  <c r="G11" i="4"/>
  <c r="G12" i="4"/>
  <c r="G13" i="4"/>
  <c r="C17" i="4"/>
  <c r="C16" i="4"/>
  <c r="C14" i="4"/>
  <c r="C13" i="4"/>
  <c r="C12" i="4"/>
  <c r="C8" i="4"/>
  <c r="C7" i="4"/>
  <c r="C5" i="4"/>
  <c r="C4" i="4"/>
  <c r="C15" i="4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V2" i="1"/>
  <c r="V3" i="1"/>
  <c r="V4" i="1"/>
  <c r="V5" i="1"/>
  <c r="V6" i="1"/>
  <c r="V7" i="1"/>
  <c r="V8" i="1"/>
  <c r="V9" i="1"/>
  <c r="V10" i="1"/>
  <c r="V11" i="1"/>
  <c r="V12" i="1"/>
  <c r="U13" i="1" s="1"/>
  <c r="V13" i="1"/>
  <c r="V14" i="1"/>
  <c r="V15" i="1"/>
  <c r="V16" i="1"/>
  <c r="V17" i="1"/>
  <c r="V18" i="1"/>
  <c r="V19" i="1"/>
  <c r="V20" i="1"/>
  <c r="V21" i="1"/>
  <c r="V22" i="1"/>
  <c r="V23" i="1"/>
  <c r="V24" i="1"/>
  <c r="U25" i="1" s="1"/>
  <c r="V25" i="1"/>
  <c r="V26" i="1"/>
  <c r="V27" i="1"/>
  <c r="V28" i="1"/>
  <c r="V29" i="1"/>
  <c r="V30" i="1"/>
  <c r="V31" i="1"/>
  <c r="V32" i="1"/>
  <c r="V33" i="1"/>
  <c r="V34" i="1"/>
  <c r="V35" i="1"/>
  <c r="V36" i="1"/>
  <c r="U37" i="1" s="1"/>
  <c r="V37" i="1"/>
  <c r="V38" i="1"/>
  <c r="V39" i="1"/>
  <c r="V40" i="1"/>
  <c r="V41" i="1"/>
  <c r="V42" i="1"/>
  <c r="V43" i="1"/>
  <c r="V44" i="1"/>
  <c r="V45" i="1"/>
  <c r="V46" i="1"/>
  <c r="V47" i="1"/>
  <c r="V48" i="1"/>
  <c r="U49" i="1" s="1"/>
  <c r="V49" i="1"/>
  <c r="V50" i="1"/>
  <c r="V51" i="1"/>
  <c r="V52" i="1"/>
  <c r="V53" i="1"/>
  <c r="V54" i="1"/>
  <c r="V55" i="1"/>
  <c r="V56" i="1"/>
  <c r="V57" i="1"/>
  <c r="V58" i="1"/>
  <c r="V59" i="1"/>
  <c r="V60" i="1"/>
  <c r="U61" i="1" s="1"/>
  <c r="V61" i="1"/>
  <c r="V62" i="1"/>
  <c r="V63" i="1"/>
  <c r="V64" i="1"/>
  <c r="V65" i="1"/>
  <c r="V66" i="1"/>
  <c r="V67" i="1"/>
  <c r="V68" i="1"/>
  <c r="V69" i="1"/>
  <c r="V70" i="1"/>
  <c r="V71" i="1"/>
  <c r="V72" i="1"/>
  <c r="U73" i="1" s="1"/>
  <c r="V73" i="1"/>
  <c r="V74" i="1"/>
  <c r="V75" i="1"/>
  <c r="V76" i="1"/>
  <c r="V77" i="1"/>
  <c r="V78" i="1"/>
  <c r="V79" i="1"/>
  <c r="V80" i="1"/>
  <c r="V81" i="1"/>
  <c r="V82" i="1"/>
  <c r="V83" i="1"/>
  <c r="V84" i="1"/>
  <c r="U85" i="1" s="1"/>
  <c r="V85" i="1"/>
  <c r="V86" i="1"/>
  <c r="V87" i="1"/>
  <c r="V88" i="1"/>
  <c r="V89" i="1"/>
  <c r="V90" i="1"/>
  <c r="V91" i="1"/>
  <c r="V92" i="1"/>
  <c r="V93" i="1"/>
  <c r="V94" i="1"/>
  <c r="V95" i="1"/>
  <c r="V96" i="1"/>
  <c r="U97" i="1" s="1"/>
  <c r="V97" i="1"/>
  <c r="V98" i="1"/>
  <c r="V99" i="1"/>
  <c r="V100" i="1"/>
  <c r="V101" i="1"/>
  <c r="V102" i="1"/>
  <c r="V103" i="1"/>
  <c r="V104" i="1"/>
  <c r="V105" i="1"/>
  <c r="V106" i="1"/>
  <c r="V107" i="1"/>
  <c r="V108" i="1"/>
  <c r="U109" i="1" s="1"/>
  <c r="V109" i="1"/>
  <c r="V110" i="1"/>
  <c r="V111" i="1"/>
  <c r="V112" i="1"/>
  <c r="V113" i="1"/>
  <c r="V114" i="1"/>
  <c r="V115" i="1"/>
  <c r="V116" i="1"/>
  <c r="V117" i="1"/>
  <c r="V118" i="1"/>
  <c r="V119" i="1"/>
  <c r="V120" i="1"/>
  <c r="U121" i="1" s="1"/>
  <c r="V121" i="1"/>
  <c r="V122" i="1"/>
  <c r="V123" i="1"/>
  <c r="V124" i="1"/>
  <c r="V125" i="1"/>
  <c r="V126" i="1"/>
  <c r="V127" i="1"/>
  <c r="V128" i="1"/>
  <c r="V129" i="1"/>
  <c r="V130" i="1"/>
  <c r="V131" i="1"/>
  <c r="V132" i="1"/>
  <c r="U133" i="1" s="1"/>
  <c r="V133" i="1"/>
  <c r="V134" i="1"/>
  <c r="V135" i="1"/>
  <c r="V136" i="1"/>
  <c r="V137" i="1"/>
  <c r="V138" i="1"/>
  <c r="V139" i="1"/>
  <c r="V140" i="1"/>
  <c r="V141" i="1"/>
  <c r="V142" i="1"/>
  <c r="V143" i="1"/>
  <c r="V144" i="1"/>
  <c r="U145" i="1" s="1"/>
  <c r="V145" i="1"/>
  <c r="V146" i="1"/>
  <c r="V147" i="1"/>
  <c r="V148" i="1"/>
  <c r="V149" i="1"/>
  <c r="V150" i="1"/>
  <c r="V151" i="1"/>
  <c r="V152" i="1"/>
  <c r="V153" i="1"/>
  <c r="V154" i="1"/>
  <c r="V155" i="1"/>
  <c r="V156" i="1"/>
  <c r="U157" i="1" s="1"/>
  <c r="V157" i="1"/>
  <c r="V158" i="1"/>
  <c r="V159" i="1"/>
  <c r="V160" i="1"/>
  <c r="V161" i="1"/>
  <c r="V162" i="1"/>
  <c r="V163" i="1"/>
  <c r="V164" i="1"/>
  <c r="V165" i="1"/>
  <c r="V166" i="1"/>
  <c r="V167" i="1"/>
  <c r="V168" i="1"/>
  <c r="U169" i="1" s="1"/>
  <c r="V169" i="1"/>
  <c r="V170" i="1"/>
  <c r="V171" i="1"/>
  <c r="V172" i="1"/>
  <c r="V173" i="1"/>
  <c r="V174" i="1"/>
  <c r="V175" i="1"/>
  <c r="V176" i="1"/>
  <c r="V177" i="1"/>
  <c r="V178" i="1"/>
  <c r="V179" i="1"/>
  <c r="V180" i="1"/>
  <c r="U181" i="1" s="1"/>
  <c r="V181" i="1"/>
  <c r="V182" i="1"/>
  <c r="V183" i="1"/>
  <c r="V184" i="1"/>
  <c r="V185" i="1"/>
  <c r="V186" i="1"/>
  <c r="V187" i="1"/>
  <c r="V188" i="1"/>
  <c r="V189" i="1"/>
  <c r="V190" i="1"/>
  <c r="V191" i="1"/>
  <c r="V192" i="1"/>
  <c r="U193" i="1" s="1"/>
  <c r="V193" i="1"/>
  <c r="V194" i="1"/>
  <c r="V195" i="1"/>
  <c r="V196" i="1"/>
  <c r="V197" i="1"/>
  <c r="V198" i="1"/>
  <c r="V199" i="1"/>
  <c r="V200" i="1"/>
  <c r="V201" i="1"/>
  <c r="V202" i="1"/>
  <c r="V203" i="1"/>
  <c r="V204" i="1"/>
  <c r="U205" i="1" s="1"/>
  <c r="V205" i="1"/>
  <c r="V206" i="1"/>
  <c r="V207" i="1"/>
  <c r="V208" i="1"/>
  <c r="V209" i="1"/>
  <c r="V210" i="1"/>
  <c r="V211" i="1"/>
  <c r="V212" i="1"/>
  <c r="V213" i="1"/>
  <c r="V214" i="1"/>
  <c r="V215" i="1"/>
  <c r="V216" i="1"/>
  <c r="U217" i="1" s="1"/>
  <c r="V217" i="1"/>
  <c r="V218" i="1"/>
  <c r="V219" i="1"/>
  <c r="V220" i="1"/>
  <c r="V221" i="1"/>
  <c r="V222" i="1"/>
  <c r="V223" i="1"/>
  <c r="V224" i="1"/>
  <c r="V225" i="1"/>
  <c r="V226" i="1"/>
  <c r="V227" i="1"/>
  <c r="V228" i="1"/>
  <c r="U229" i="1" s="1"/>
  <c r="V229" i="1"/>
  <c r="V230" i="1"/>
  <c r="V231" i="1"/>
  <c r="V232" i="1"/>
  <c r="V233" i="1"/>
  <c r="V234" i="1"/>
  <c r="V235" i="1"/>
  <c r="V236" i="1"/>
  <c r="V237" i="1"/>
  <c r="V238" i="1"/>
  <c r="V239" i="1"/>
  <c r="V240" i="1"/>
  <c r="U241" i="1" s="1"/>
  <c r="V241" i="1"/>
  <c r="V242" i="1"/>
  <c r="V243" i="1"/>
  <c r="V244" i="1"/>
  <c r="V245" i="1"/>
  <c r="V246" i="1"/>
  <c r="V247" i="1"/>
  <c r="V248" i="1"/>
  <c r="V249" i="1"/>
  <c r="V250" i="1"/>
  <c r="V251" i="1"/>
  <c r="V252" i="1"/>
  <c r="U253" i="1" s="1"/>
  <c r="V253" i="1"/>
  <c r="V254" i="1"/>
  <c r="V255" i="1"/>
  <c r="V256" i="1"/>
  <c r="V257" i="1"/>
  <c r="V258" i="1"/>
  <c r="V259" i="1"/>
  <c r="V260" i="1"/>
  <c r="V261" i="1"/>
  <c r="V262" i="1"/>
  <c r="V263" i="1"/>
  <c r="V264" i="1"/>
  <c r="U265" i="1" s="1"/>
  <c r="V265" i="1"/>
  <c r="V266" i="1"/>
  <c r="V267" i="1"/>
  <c r="V268" i="1"/>
  <c r="V269" i="1"/>
  <c r="V270" i="1"/>
  <c r="V271" i="1"/>
  <c r="V272" i="1"/>
  <c r="V273" i="1"/>
  <c r="V274" i="1"/>
  <c r="V275" i="1"/>
  <c r="V276" i="1"/>
  <c r="U277" i="1" s="1"/>
  <c r="V277" i="1"/>
  <c r="V278" i="1"/>
  <c r="V279" i="1"/>
  <c r="V280" i="1"/>
  <c r="V281" i="1"/>
  <c r="V282" i="1"/>
  <c r="V283" i="1"/>
  <c r="V284" i="1"/>
  <c r="V285" i="1"/>
  <c r="V286" i="1"/>
  <c r="V287" i="1"/>
  <c r="V288" i="1"/>
  <c r="U289" i="1" s="1"/>
  <c r="V289" i="1"/>
  <c r="V290" i="1"/>
  <c r="V291" i="1"/>
  <c r="V292" i="1"/>
  <c r="V293" i="1"/>
  <c r="V294" i="1"/>
  <c r="V295" i="1"/>
  <c r="V296" i="1"/>
  <c r="V297" i="1"/>
  <c r="V298" i="1"/>
  <c r="V299" i="1"/>
  <c r="V300" i="1"/>
  <c r="U301" i="1" s="1"/>
  <c r="V301" i="1"/>
  <c r="V302" i="1"/>
  <c r="V303" i="1"/>
  <c r="V304" i="1"/>
  <c r="V305" i="1"/>
  <c r="V306" i="1"/>
  <c r="V307" i="1"/>
  <c r="V308" i="1"/>
  <c r="V309" i="1"/>
  <c r="V310" i="1"/>
  <c r="V311" i="1"/>
  <c r="V312" i="1"/>
  <c r="U313" i="1" s="1"/>
  <c r="V313" i="1"/>
  <c r="V314" i="1"/>
  <c r="V315" i="1"/>
  <c r="V316" i="1"/>
  <c r="V317" i="1"/>
  <c r="V318" i="1"/>
  <c r="V319" i="1"/>
  <c r="V320" i="1"/>
  <c r="V321" i="1"/>
  <c r="V322" i="1"/>
  <c r="V323" i="1"/>
  <c r="V324" i="1"/>
  <c r="U325" i="1" s="1"/>
  <c r="V325" i="1"/>
  <c r="V326" i="1"/>
  <c r="V327" i="1"/>
  <c r="V328" i="1"/>
  <c r="V329" i="1"/>
  <c r="V330" i="1"/>
  <c r="V331" i="1"/>
  <c r="V332" i="1"/>
  <c r="V333" i="1"/>
  <c r="V334" i="1"/>
  <c r="V335" i="1"/>
  <c r="V336" i="1"/>
  <c r="U337" i="1" s="1"/>
  <c r="V337" i="1"/>
  <c r="V338" i="1"/>
  <c r="V339" i="1"/>
  <c r="V340" i="1"/>
  <c r="V341" i="1"/>
  <c r="V342" i="1"/>
  <c r="V343" i="1"/>
  <c r="V344" i="1"/>
  <c r="V345" i="1"/>
  <c r="V346" i="1"/>
  <c r="V347" i="1"/>
  <c r="V348" i="1"/>
  <c r="U349" i="1" s="1"/>
  <c r="V349" i="1"/>
  <c r="V350" i="1"/>
  <c r="V351" i="1"/>
  <c r="V352" i="1"/>
  <c r="V353" i="1"/>
  <c r="V354" i="1"/>
  <c r="V355" i="1"/>
  <c r="V356" i="1"/>
  <c r="V357" i="1"/>
  <c r="V358" i="1"/>
  <c r="V359" i="1"/>
  <c r="V360" i="1"/>
  <c r="U361" i="1" s="1"/>
  <c r="V361" i="1"/>
  <c r="V362" i="1"/>
  <c r="V363" i="1"/>
  <c r="V364" i="1"/>
  <c r="V365" i="1"/>
  <c r="V366" i="1"/>
  <c r="V367" i="1"/>
  <c r="V368" i="1"/>
  <c r="V369" i="1"/>
  <c r="V370" i="1"/>
  <c r="V371" i="1"/>
  <c r="V372" i="1"/>
  <c r="U373" i="1" s="1"/>
  <c r="V373" i="1"/>
  <c r="V374" i="1"/>
  <c r="V375" i="1"/>
  <c r="V376" i="1"/>
  <c r="V377" i="1"/>
  <c r="V378" i="1"/>
  <c r="V379" i="1"/>
  <c r="V380" i="1"/>
  <c r="V381" i="1"/>
  <c r="V382" i="1"/>
  <c r="V383" i="1"/>
  <c r="V384" i="1"/>
  <c r="U385" i="1" s="1"/>
  <c r="V385" i="1"/>
  <c r="V386" i="1"/>
  <c r="V387" i="1"/>
  <c r="V388" i="1"/>
  <c r="V389" i="1"/>
  <c r="V390" i="1"/>
  <c r="V391" i="1"/>
  <c r="V392" i="1"/>
  <c r="V393" i="1"/>
  <c r="V394" i="1"/>
  <c r="V395" i="1"/>
  <c r="V396" i="1"/>
  <c r="U397" i="1" s="1"/>
  <c r="V397" i="1"/>
  <c r="V398" i="1"/>
  <c r="V399" i="1"/>
  <c r="V400" i="1"/>
  <c r="V401" i="1"/>
  <c r="V402" i="1"/>
  <c r="V403" i="1"/>
  <c r="V404" i="1"/>
  <c r="V405" i="1"/>
  <c r="V406" i="1"/>
  <c r="V407" i="1"/>
  <c r="V408" i="1"/>
  <c r="U409" i="1" s="1"/>
  <c r="V409" i="1"/>
  <c r="V410" i="1"/>
  <c r="V411" i="1"/>
  <c r="V412" i="1"/>
  <c r="V413" i="1"/>
  <c r="V414" i="1"/>
  <c r="V415" i="1"/>
  <c r="V416" i="1"/>
  <c r="V417" i="1"/>
  <c r="V418" i="1"/>
  <c r="V419" i="1"/>
  <c r="V420" i="1"/>
  <c r="U421" i="1" s="1"/>
  <c r="V421" i="1"/>
  <c r="V422" i="1"/>
  <c r="V423" i="1"/>
  <c r="V424" i="1"/>
  <c r="V425" i="1"/>
  <c r="V426" i="1"/>
  <c r="V427" i="1"/>
  <c r="V428" i="1"/>
  <c r="V429" i="1"/>
  <c r="V430" i="1"/>
  <c r="V431" i="1"/>
  <c r="V432" i="1"/>
  <c r="U433" i="1" s="1"/>
  <c r="V433" i="1"/>
  <c r="V434" i="1"/>
  <c r="V435" i="1"/>
  <c r="V436" i="1"/>
  <c r="V437" i="1"/>
  <c r="V438" i="1"/>
  <c r="V439" i="1"/>
  <c r="V440" i="1"/>
  <c r="V441" i="1"/>
  <c r="V442" i="1"/>
  <c r="V443" i="1"/>
  <c r="V444" i="1"/>
  <c r="U445" i="1" s="1"/>
  <c r="V445" i="1"/>
  <c r="V446" i="1"/>
  <c r="V447" i="1"/>
  <c r="V448" i="1"/>
  <c r="V449" i="1"/>
  <c r="V450" i="1"/>
  <c r="V451" i="1"/>
  <c r="V452" i="1"/>
  <c r="V453" i="1"/>
  <c r="V454" i="1"/>
  <c r="V455" i="1"/>
  <c r="V456" i="1"/>
  <c r="U457" i="1" s="1"/>
  <c r="V457" i="1"/>
  <c r="V458" i="1"/>
  <c r="V459" i="1"/>
  <c r="V460" i="1"/>
  <c r="V461" i="1"/>
  <c r="V462" i="1"/>
  <c r="V463" i="1"/>
  <c r="V464" i="1"/>
  <c r="V465" i="1"/>
  <c r="V466" i="1"/>
  <c r="V467" i="1"/>
  <c r="V468" i="1"/>
  <c r="U469" i="1" s="1"/>
  <c r="V469" i="1"/>
  <c r="V470" i="1"/>
  <c r="V471" i="1"/>
  <c r="V472" i="1"/>
  <c r="V473" i="1"/>
  <c r="V474" i="1"/>
  <c r="V475" i="1"/>
  <c r="V476" i="1"/>
  <c r="V477" i="1"/>
  <c r="V478" i="1"/>
  <c r="V479" i="1"/>
  <c r="V480" i="1"/>
  <c r="U481" i="1" s="1"/>
  <c r="V481" i="1"/>
  <c r="V482" i="1"/>
  <c r="V483" i="1"/>
  <c r="V484" i="1"/>
  <c r="V485" i="1"/>
  <c r="V486" i="1"/>
  <c r="V487" i="1"/>
  <c r="V488" i="1"/>
  <c r="V489" i="1"/>
  <c r="V490" i="1"/>
  <c r="V491" i="1"/>
  <c r="V492" i="1"/>
  <c r="U493" i="1" s="1"/>
  <c r="V493" i="1"/>
  <c r="V494" i="1"/>
  <c r="V495" i="1"/>
  <c r="V496" i="1"/>
  <c r="V497" i="1"/>
  <c r="V498" i="1"/>
  <c r="V499" i="1"/>
  <c r="V500" i="1"/>
  <c r="V501" i="1"/>
  <c r="V502" i="1"/>
  <c r="V503" i="1"/>
  <c r="V504" i="1"/>
  <c r="U505" i="1" s="1"/>
  <c r="V505" i="1"/>
  <c r="V506" i="1"/>
  <c r="V507" i="1"/>
  <c r="V508" i="1"/>
  <c r="V509" i="1"/>
  <c r="V510" i="1"/>
  <c r="V511" i="1"/>
  <c r="V512" i="1"/>
  <c r="V513" i="1"/>
  <c r="V514" i="1"/>
  <c r="V515" i="1"/>
  <c r="V516" i="1"/>
  <c r="U517" i="1" s="1"/>
  <c r="V517" i="1"/>
  <c r="V518" i="1"/>
  <c r="V519" i="1"/>
  <c r="V520" i="1"/>
  <c r="V521" i="1"/>
  <c r="V522" i="1"/>
  <c r="V523" i="1"/>
  <c r="V524" i="1"/>
  <c r="V525" i="1"/>
  <c r="V526" i="1"/>
  <c r="V527" i="1"/>
  <c r="V528" i="1"/>
  <c r="U529" i="1" s="1"/>
  <c r="V529" i="1"/>
  <c r="V530" i="1"/>
  <c r="V531" i="1"/>
  <c r="V532" i="1"/>
  <c r="V533" i="1"/>
  <c r="V534" i="1"/>
  <c r="V535" i="1"/>
  <c r="V536" i="1"/>
  <c r="V537" i="1"/>
  <c r="V538" i="1"/>
  <c r="V539" i="1"/>
  <c r="V540" i="1"/>
  <c r="U541" i="1" s="1"/>
  <c r="V541" i="1"/>
  <c r="V542" i="1"/>
  <c r="V543" i="1"/>
  <c r="V544" i="1"/>
  <c r="V545" i="1"/>
  <c r="V546" i="1"/>
  <c r="V547" i="1"/>
  <c r="V548" i="1"/>
  <c r="V549" i="1"/>
  <c r="V550" i="1"/>
  <c r="V551" i="1"/>
  <c r="V552" i="1"/>
  <c r="U553" i="1" s="1"/>
  <c r="V553" i="1"/>
  <c r="V554" i="1"/>
  <c r="V555" i="1"/>
  <c r="V556" i="1"/>
  <c r="V557" i="1"/>
  <c r="V558" i="1"/>
  <c r="V559" i="1"/>
  <c r="V560" i="1"/>
  <c r="V561" i="1"/>
  <c r="V562" i="1"/>
  <c r="V563" i="1"/>
  <c r="V564" i="1"/>
  <c r="U565" i="1" s="1"/>
  <c r="V565" i="1"/>
  <c r="V566" i="1"/>
  <c r="V567" i="1"/>
  <c r="V568" i="1"/>
  <c r="V569" i="1"/>
  <c r="V570" i="1"/>
  <c r="V571" i="1"/>
  <c r="V572" i="1"/>
  <c r="V573" i="1"/>
  <c r="V574" i="1"/>
  <c r="V575" i="1"/>
  <c r="V576" i="1"/>
  <c r="U577" i="1" s="1"/>
  <c r="V577" i="1"/>
  <c r="V578" i="1"/>
  <c r="V579" i="1"/>
  <c r="V580" i="1"/>
  <c r="V581" i="1"/>
  <c r="V582" i="1"/>
  <c r="V583" i="1"/>
  <c r="V584" i="1"/>
  <c r="V585" i="1"/>
  <c r="V586" i="1"/>
  <c r="V587" i="1"/>
  <c r="V588" i="1"/>
  <c r="U589" i="1" s="1"/>
  <c r="V589" i="1"/>
  <c r="V590" i="1"/>
  <c r="V591" i="1"/>
  <c r="V592" i="1"/>
  <c r="V593" i="1"/>
  <c r="V594" i="1"/>
  <c r="V595" i="1"/>
  <c r="V596" i="1"/>
  <c r="V597" i="1"/>
  <c r="V598" i="1"/>
  <c r="V599" i="1"/>
  <c r="V600" i="1"/>
  <c r="U601" i="1" s="1"/>
  <c r="V601" i="1"/>
  <c r="V602" i="1"/>
  <c r="V603" i="1"/>
  <c r="V604" i="1"/>
  <c r="V605" i="1"/>
  <c r="V606" i="1"/>
  <c r="V607" i="1"/>
  <c r="V608" i="1"/>
  <c r="V609" i="1"/>
  <c r="V610" i="1"/>
  <c r="V611" i="1"/>
  <c r="V612" i="1"/>
  <c r="U613" i="1" s="1"/>
  <c r="V613" i="1"/>
  <c r="V614" i="1"/>
  <c r="V615" i="1"/>
  <c r="V616" i="1"/>
  <c r="V617" i="1"/>
  <c r="V618" i="1"/>
  <c r="V619" i="1"/>
  <c r="V620" i="1"/>
  <c r="V621" i="1"/>
  <c r="V622" i="1"/>
  <c r="V623" i="1"/>
  <c r="V624" i="1"/>
  <c r="U625" i="1" s="1"/>
  <c r="V625" i="1"/>
  <c r="V626" i="1"/>
  <c r="V627" i="1"/>
  <c r="V628" i="1"/>
  <c r="V629" i="1"/>
  <c r="V630" i="1"/>
  <c r="V631" i="1"/>
  <c r="V632" i="1"/>
  <c r="V633" i="1"/>
  <c r="V634" i="1"/>
  <c r="V635" i="1"/>
  <c r="V636" i="1"/>
  <c r="U637" i="1" s="1"/>
  <c r="V637" i="1"/>
  <c r="V638" i="1"/>
  <c r="V639" i="1"/>
  <c r="V640" i="1"/>
  <c r="V641" i="1"/>
  <c r="V642" i="1"/>
  <c r="V643" i="1"/>
  <c r="V644" i="1"/>
  <c r="V645" i="1"/>
  <c r="V646" i="1"/>
  <c r="V647" i="1"/>
  <c r="V648" i="1"/>
  <c r="U649" i="1" s="1"/>
  <c r="V649" i="1"/>
  <c r="V650" i="1"/>
  <c r="V651" i="1"/>
  <c r="V652" i="1"/>
  <c r="V653" i="1"/>
  <c r="V654" i="1"/>
  <c r="V655" i="1"/>
  <c r="V656" i="1"/>
  <c r="V657" i="1"/>
  <c r="V658" i="1"/>
  <c r="V659" i="1"/>
  <c r="V660" i="1"/>
  <c r="U661" i="1" s="1"/>
  <c r="V661" i="1"/>
  <c r="V662" i="1"/>
  <c r="V663" i="1"/>
  <c r="V664" i="1"/>
  <c r="V665" i="1"/>
  <c r="V666" i="1"/>
  <c r="V667" i="1"/>
  <c r="V668" i="1"/>
  <c r="V669" i="1"/>
  <c r="V670" i="1"/>
  <c r="V671" i="1"/>
  <c r="V672" i="1"/>
  <c r="U673" i="1" s="1"/>
  <c r="V673" i="1"/>
  <c r="V674" i="1"/>
  <c r="V675" i="1"/>
  <c r="V676" i="1"/>
  <c r="V677" i="1"/>
  <c r="V678" i="1"/>
  <c r="V679" i="1"/>
  <c r="V680" i="1"/>
  <c r="V681" i="1"/>
  <c r="V682" i="1"/>
  <c r="V683" i="1"/>
  <c r="V684" i="1"/>
  <c r="U685" i="1" s="1"/>
  <c r="V685" i="1"/>
  <c r="V686" i="1"/>
  <c r="V687" i="1"/>
  <c r="V688" i="1"/>
  <c r="V689" i="1"/>
  <c r="V690" i="1"/>
  <c r="V691" i="1"/>
  <c r="V692" i="1"/>
  <c r="V693" i="1"/>
  <c r="V694" i="1"/>
  <c r="V695" i="1"/>
  <c r="V696" i="1"/>
  <c r="U697" i="1" s="1"/>
  <c r="V697" i="1"/>
  <c r="V698" i="1"/>
  <c r="V699" i="1"/>
  <c r="V700" i="1"/>
  <c r="V701" i="1"/>
  <c r="V702" i="1"/>
  <c r="V703" i="1"/>
  <c r="V704" i="1"/>
  <c r="V705" i="1"/>
  <c r="V706" i="1"/>
  <c r="V707" i="1"/>
  <c r="V708" i="1"/>
  <c r="U709" i="1" s="1"/>
  <c r="V709" i="1"/>
  <c r="V710" i="1"/>
  <c r="V711" i="1"/>
  <c r="V712" i="1"/>
  <c r="V713" i="1"/>
  <c r="V714" i="1"/>
  <c r="V715" i="1"/>
  <c r="V716" i="1"/>
  <c r="V717" i="1"/>
  <c r="V718" i="1"/>
  <c r="V719" i="1"/>
  <c r="V720" i="1"/>
  <c r="U721" i="1" s="1"/>
  <c r="V721" i="1"/>
  <c r="V722" i="1"/>
  <c r="V723" i="1"/>
  <c r="V724" i="1"/>
  <c r="V725" i="1"/>
  <c r="V726" i="1"/>
  <c r="V727" i="1"/>
  <c r="V728" i="1"/>
  <c r="V729" i="1"/>
  <c r="V730" i="1"/>
  <c r="V731" i="1"/>
  <c r="V732" i="1"/>
  <c r="U733" i="1" s="1"/>
  <c r="V733" i="1"/>
  <c r="V734" i="1"/>
  <c r="V735" i="1"/>
  <c r="V736" i="1"/>
  <c r="V737" i="1"/>
  <c r="V738" i="1"/>
  <c r="V739" i="1"/>
  <c r="V740" i="1"/>
  <c r="V741" i="1"/>
  <c r="V742" i="1"/>
  <c r="V743" i="1"/>
  <c r="V744" i="1"/>
  <c r="U745" i="1" s="1"/>
  <c r="V745" i="1"/>
  <c r="V746" i="1"/>
  <c r="V747" i="1"/>
  <c r="V748" i="1"/>
  <c r="V749" i="1"/>
  <c r="V750" i="1"/>
  <c r="V751" i="1"/>
  <c r="V752" i="1"/>
  <c r="V753" i="1"/>
  <c r="V754" i="1"/>
  <c r="V755" i="1"/>
  <c r="V756" i="1"/>
  <c r="U757" i="1" s="1"/>
  <c r="V757" i="1"/>
  <c r="V758" i="1"/>
  <c r="V759" i="1"/>
  <c r="V760" i="1"/>
  <c r="V761" i="1"/>
  <c r="V762" i="1"/>
  <c r="V763" i="1"/>
  <c r="V764" i="1"/>
  <c r="V765" i="1"/>
  <c r="V766" i="1"/>
  <c r="V767" i="1"/>
  <c r="V768" i="1"/>
  <c r="U769" i="1" s="1"/>
  <c r="V769" i="1"/>
  <c r="V770" i="1"/>
  <c r="V771" i="1"/>
  <c r="V772" i="1"/>
  <c r="V773" i="1"/>
  <c r="V774" i="1"/>
  <c r="V775" i="1"/>
  <c r="V776" i="1"/>
  <c r="V777" i="1"/>
  <c r="V778" i="1"/>
  <c r="V779" i="1"/>
  <c r="V780" i="1"/>
  <c r="U781" i="1" s="1"/>
  <c r="V781" i="1"/>
  <c r="V782" i="1"/>
  <c r="V783" i="1"/>
  <c r="V784" i="1"/>
  <c r="V785" i="1"/>
  <c r="V786" i="1"/>
  <c r="V787" i="1"/>
  <c r="V788" i="1"/>
  <c r="V789" i="1"/>
  <c r="V790" i="1"/>
  <c r="V791" i="1"/>
  <c r="V792" i="1"/>
  <c r="U793" i="1" s="1"/>
  <c r="V793" i="1"/>
  <c r="V794" i="1"/>
  <c r="V795" i="1"/>
  <c r="V796" i="1"/>
  <c r="V797" i="1"/>
  <c r="V798" i="1"/>
  <c r="V799" i="1"/>
  <c r="V800" i="1"/>
  <c r="V801" i="1"/>
  <c r="V802" i="1"/>
  <c r="V803" i="1"/>
  <c r="V804" i="1"/>
  <c r="U805" i="1" s="1"/>
  <c r="V805" i="1"/>
  <c r="V806" i="1"/>
  <c r="V807" i="1"/>
  <c r="V808" i="1"/>
  <c r="V809" i="1"/>
  <c r="V810" i="1"/>
  <c r="V811" i="1"/>
  <c r="V812" i="1"/>
  <c r="V813" i="1"/>
  <c r="V814" i="1"/>
  <c r="V815" i="1"/>
  <c r="V816" i="1"/>
  <c r="U817" i="1" s="1"/>
  <c r="V817" i="1"/>
  <c r="V818" i="1"/>
  <c r="V819" i="1"/>
  <c r="V820" i="1"/>
  <c r="V821" i="1"/>
  <c r="V822" i="1"/>
  <c r="V823" i="1"/>
  <c r="V824" i="1"/>
  <c r="V825" i="1"/>
  <c r="V826" i="1"/>
  <c r="V827" i="1"/>
  <c r="V828" i="1"/>
  <c r="U829" i="1" s="1"/>
  <c r="V829" i="1"/>
  <c r="V830" i="1"/>
  <c r="V831" i="1"/>
  <c r="V832" i="1"/>
  <c r="V833" i="1"/>
  <c r="V834" i="1"/>
  <c r="V835" i="1"/>
  <c r="V836" i="1"/>
  <c r="V837" i="1"/>
  <c r="V838" i="1"/>
  <c r="V839" i="1"/>
  <c r="V840" i="1"/>
  <c r="U841" i="1" s="1"/>
  <c r="V841" i="1"/>
  <c r="V842" i="1"/>
  <c r="V843" i="1"/>
  <c r="V844" i="1"/>
  <c r="V845" i="1"/>
  <c r="V846" i="1"/>
  <c r="V847" i="1"/>
  <c r="V848" i="1"/>
  <c r="V849" i="1"/>
  <c r="V850" i="1"/>
  <c r="V851" i="1"/>
  <c r="V852" i="1"/>
  <c r="U853" i="1" s="1"/>
  <c r="V853" i="1"/>
  <c r="V854" i="1"/>
  <c r="V855" i="1"/>
  <c r="V856" i="1"/>
  <c r="V857" i="1"/>
  <c r="V858" i="1"/>
  <c r="V859" i="1"/>
  <c r="V860" i="1"/>
  <c r="V861" i="1"/>
  <c r="V862" i="1"/>
  <c r="V863" i="1"/>
  <c r="V864" i="1"/>
  <c r="U865" i="1" s="1"/>
  <c r="V865" i="1"/>
  <c r="V866" i="1"/>
  <c r="V867" i="1"/>
  <c r="V868" i="1"/>
  <c r="V869" i="1"/>
  <c r="V870" i="1"/>
  <c r="V871" i="1"/>
  <c r="V872" i="1"/>
  <c r="V873" i="1"/>
  <c r="V874" i="1"/>
  <c r="V875" i="1"/>
  <c r="V876" i="1"/>
  <c r="U877" i="1" s="1"/>
  <c r="V877" i="1"/>
  <c r="V878" i="1"/>
  <c r="V879" i="1"/>
  <c r="V880" i="1"/>
  <c r="V881" i="1"/>
  <c r="V882" i="1"/>
  <c r="V883" i="1"/>
  <c r="V884" i="1"/>
  <c r="V885" i="1"/>
  <c r="V886" i="1"/>
  <c r="V887" i="1"/>
  <c r="V888" i="1"/>
  <c r="U889" i="1" s="1"/>
  <c r="V889" i="1"/>
  <c r="V890" i="1"/>
  <c r="V891" i="1"/>
  <c r="V892" i="1"/>
  <c r="V893" i="1"/>
  <c r="V894" i="1"/>
  <c r="V895" i="1"/>
  <c r="V896" i="1"/>
  <c r="V897" i="1"/>
  <c r="V898" i="1"/>
  <c r="V899" i="1"/>
  <c r="V900" i="1"/>
  <c r="U901" i="1" s="1"/>
  <c r="V901" i="1"/>
  <c r="V902" i="1"/>
  <c r="V903" i="1"/>
  <c r="V904" i="1"/>
  <c r="V905" i="1"/>
  <c r="V906" i="1"/>
  <c r="V907" i="1"/>
  <c r="V908" i="1"/>
  <c r="V909" i="1"/>
  <c r="V910" i="1"/>
  <c r="V911" i="1"/>
  <c r="V912" i="1"/>
  <c r="U913" i="1" s="1"/>
  <c r="V913" i="1"/>
  <c r="V914" i="1"/>
  <c r="V915" i="1"/>
  <c r="V916" i="1"/>
  <c r="V917" i="1"/>
  <c r="V918" i="1"/>
  <c r="V919" i="1"/>
  <c r="V920" i="1"/>
  <c r="V921" i="1"/>
  <c r="V922" i="1"/>
  <c r="V923" i="1"/>
  <c r="V924" i="1"/>
  <c r="U925" i="1" s="1"/>
  <c r="V925" i="1"/>
  <c r="V926" i="1"/>
  <c r="V927" i="1"/>
  <c r="V928" i="1"/>
  <c r="V929" i="1"/>
  <c r="V930" i="1"/>
  <c r="V931" i="1"/>
  <c r="V932" i="1"/>
  <c r="V933" i="1"/>
  <c r="V934" i="1"/>
  <c r="V935" i="1"/>
  <c r="V936" i="1"/>
  <c r="U937" i="1" s="1"/>
  <c r="V937" i="1"/>
  <c r="V938" i="1"/>
  <c r="V939" i="1"/>
  <c r="V940" i="1"/>
  <c r="V941" i="1"/>
  <c r="V942" i="1"/>
  <c r="V943" i="1"/>
  <c r="V944" i="1"/>
  <c r="V945" i="1"/>
  <c r="V946" i="1"/>
  <c r="V947" i="1"/>
  <c r="V948" i="1"/>
  <c r="U949" i="1" s="1"/>
  <c r="V949" i="1"/>
  <c r="V950" i="1"/>
  <c r="V951" i="1"/>
  <c r="V952" i="1"/>
  <c r="V953" i="1"/>
  <c r="V954" i="1"/>
  <c r="V955" i="1"/>
  <c r="V956" i="1"/>
  <c r="V957" i="1"/>
  <c r="V958" i="1"/>
  <c r="V959" i="1"/>
  <c r="V960" i="1"/>
  <c r="U961" i="1" s="1"/>
  <c r="V961" i="1"/>
  <c r="V962" i="1"/>
  <c r="V963" i="1"/>
  <c r="V964" i="1"/>
  <c r="V965" i="1"/>
  <c r="V966" i="1"/>
  <c r="V967" i="1"/>
  <c r="V968" i="1"/>
  <c r="V969" i="1"/>
  <c r="V970" i="1"/>
  <c r="V971" i="1"/>
  <c r="V972" i="1"/>
  <c r="U973" i="1" s="1"/>
  <c r="V973" i="1"/>
  <c r="V974" i="1"/>
  <c r="V975" i="1"/>
  <c r="V976" i="1"/>
  <c r="V977" i="1"/>
  <c r="V978" i="1"/>
  <c r="V979" i="1"/>
  <c r="V980" i="1"/>
  <c r="V981" i="1"/>
  <c r="V982" i="1"/>
  <c r="V983" i="1"/>
  <c r="V984" i="1"/>
  <c r="U985" i="1" s="1"/>
  <c r="V985" i="1"/>
  <c r="V986" i="1"/>
  <c r="V987" i="1"/>
  <c r="V988" i="1"/>
  <c r="V989" i="1"/>
  <c r="V990" i="1"/>
  <c r="V991" i="1"/>
  <c r="V992" i="1"/>
  <c r="V993" i="1"/>
  <c r="V994" i="1"/>
  <c r="V995" i="1"/>
  <c r="V996" i="1"/>
  <c r="U997" i="1" s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U1009" i="1" s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U1021" i="1" s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U1033" i="1" s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U1045" i="1" s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U1057" i="1" s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U1069" i="1" s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U1081" i="1" s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U1093" i="1" s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U1105" i="1" s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U1117" i="1" s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U1129" i="1" s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U1141" i="1" s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U1153" i="1" s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U1165" i="1" s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U1177" i="1" s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U1189" i="1" s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U1201" i="1" s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U1213" i="1" s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U1225" i="1" s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U1237" i="1" s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U1249" i="1" s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U1261" i="1" s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U1273" i="1" s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U1285" i="1" s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U1297" i="1" s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U1309" i="1" s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U1321" i="1" s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U1333" i="1" s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U1345" i="1" s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U1357" i="1" s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U1369" i="1" s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U1381" i="1" s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U1393" i="1" s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U1405" i="1" s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U1417" i="1" s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U1429" i="1" s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U1441" i="1" s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U1453" i="1" s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U1465" i="1" s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U1477" i="1" s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U1489" i="1" s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U1501" i="1" s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U1513" i="1" s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U1525" i="1" s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U1537" i="1" s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U1549" i="1" s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U1561" i="1" s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U1573" i="1" s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U1585" i="1" s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U1597" i="1" s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U1609" i="1" s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U1621" i="1" s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U1633" i="1" s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U1645" i="1" s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U1657" i="1" s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U1669" i="1" s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U1681" i="1" s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U1693" i="1" s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U1705" i="1" s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U1717" i="1" s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U1729" i="1" s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U1741" i="1" s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U1753" i="1" s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U1765" i="1" s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U1777" i="1" s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U1789" i="1" s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U1801" i="1" s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U1813" i="1" s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U1825" i="1" s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U1837" i="1" s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U1849" i="1" s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U1861" i="1" s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U1873" i="1" s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U1885" i="1" s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U1897" i="1" s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U1909" i="1" s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U1921" i="1" s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U1933" i="1" s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U1945" i="1" s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U1957" i="1" s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U1969" i="1" s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U1981" i="1" s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U1993" i="1" s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U2005" i="1" s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U2017" i="1" s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U2029" i="1" s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U2041" i="1" s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U2053" i="1" s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U2065" i="1" s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U2077" i="1" s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U2089" i="1" s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U2101" i="1" s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U2113" i="1" s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U2125" i="1" s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U2137" i="1" s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U2149" i="1" s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U2161" i="1" s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U2173" i="1" s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U2185" i="1" s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U2197" i="1" s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U2209" i="1" s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U2221" i="1" s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U2233" i="1" s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U2245" i="1" s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U2257" i="1" s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U2269" i="1" s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U2281" i="1" s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U2293" i="1" s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U2305" i="1" s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U2317" i="1" s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U2329" i="1" s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U2341" i="1" s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U2353" i="1" s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U2365" i="1" s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U2377" i="1" s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U2389" i="1" s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U2401" i="1" s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U2413" i="1" s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U2425" i="1" s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U2437" i="1" s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U2449" i="1" s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U2461" i="1" s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U2473" i="1" s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U2485" i="1" s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U2497" i="1" s="1"/>
  <c r="V2497" i="1"/>
  <c r="V2498" i="1"/>
  <c r="V2499" i="1"/>
  <c r="V2500" i="1"/>
  <c r="V2501" i="1"/>
  <c r="U2" i="1"/>
  <c r="U3" i="1"/>
  <c r="U4" i="1"/>
  <c r="U5" i="1"/>
  <c r="U6" i="1"/>
  <c r="U7" i="1"/>
  <c r="U8" i="1"/>
  <c r="U9" i="1"/>
  <c r="U10" i="1"/>
  <c r="U11" i="1"/>
  <c r="U12" i="1"/>
  <c r="U14" i="1"/>
  <c r="U15" i="1"/>
  <c r="U16" i="1"/>
  <c r="U17" i="1"/>
  <c r="U18" i="1"/>
  <c r="U19" i="1"/>
  <c r="U20" i="1"/>
  <c r="U21" i="1"/>
  <c r="U22" i="1"/>
  <c r="U23" i="1"/>
  <c r="U24" i="1"/>
  <c r="U26" i="1"/>
  <c r="U27" i="1"/>
  <c r="U28" i="1"/>
  <c r="U29" i="1"/>
  <c r="U30" i="1"/>
  <c r="U31" i="1"/>
  <c r="U32" i="1"/>
  <c r="U33" i="1"/>
  <c r="U34" i="1"/>
  <c r="U35" i="1"/>
  <c r="U36" i="1"/>
  <c r="U38" i="1"/>
  <c r="U39" i="1"/>
  <c r="U40" i="1"/>
  <c r="U41" i="1"/>
  <c r="U42" i="1"/>
  <c r="U43" i="1"/>
  <c r="U44" i="1"/>
  <c r="U45" i="1"/>
  <c r="U46" i="1"/>
  <c r="U47" i="1"/>
  <c r="U48" i="1"/>
  <c r="U50" i="1"/>
  <c r="U51" i="1"/>
  <c r="U52" i="1"/>
  <c r="U53" i="1"/>
  <c r="U54" i="1"/>
  <c r="U55" i="1"/>
  <c r="U56" i="1"/>
  <c r="U57" i="1"/>
  <c r="U58" i="1"/>
  <c r="U59" i="1"/>
  <c r="U60" i="1"/>
  <c r="U62" i="1"/>
  <c r="U63" i="1"/>
  <c r="U64" i="1"/>
  <c r="U65" i="1"/>
  <c r="U66" i="1"/>
  <c r="U67" i="1"/>
  <c r="U68" i="1"/>
  <c r="U69" i="1"/>
  <c r="U70" i="1"/>
  <c r="U71" i="1"/>
  <c r="U72" i="1"/>
  <c r="U74" i="1"/>
  <c r="U75" i="1"/>
  <c r="U76" i="1"/>
  <c r="U77" i="1"/>
  <c r="U78" i="1"/>
  <c r="U79" i="1"/>
  <c r="U80" i="1"/>
  <c r="U81" i="1"/>
  <c r="U82" i="1"/>
  <c r="U83" i="1"/>
  <c r="U84" i="1"/>
  <c r="U86" i="1"/>
  <c r="U87" i="1"/>
  <c r="U88" i="1"/>
  <c r="U89" i="1"/>
  <c r="U90" i="1"/>
  <c r="U91" i="1"/>
  <c r="U92" i="1"/>
  <c r="U93" i="1"/>
  <c r="U94" i="1"/>
  <c r="U95" i="1"/>
  <c r="U96" i="1"/>
  <c r="U98" i="1"/>
  <c r="U99" i="1"/>
  <c r="U100" i="1"/>
  <c r="U101" i="1"/>
  <c r="U102" i="1"/>
  <c r="U103" i="1"/>
  <c r="U104" i="1"/>
  <c r="U105" i="1"/>
  <c r="U106" i="1"/>
  <c r="U107" i="1"/>
  <c r="U108" i="1"/>
  <c r="U110" i="1"/>
  <c r="U111" i="1"/>
  <c r="U112" i="1"/>
  <c r="U113" i="1"/>
  <c r="U114" i="1"/>
  <c r="U115" i="1"/>
  <c r="U116" i="1"/>
  <c r="U117" i="1"/>
  <c r="U118" i="1"/>
  <c r="U119" i="1"/>
  <c r="U120" i="1"/>
  <c r="U122" i="1"/>
  <c r="U123" i="1"/>
  <c r="U124" i="1"/>
  <c r="U125" i="1"/>
  <c r="U126" i="1"/>
  <c r="U127" i="1"/>
  <c r="U128" i="1"/>
  <c r="U129" i="1"/>
  <c r="U130" i="1"/>
  <c r="U131" i="1"/>
  <c r="U132" i="1"/>
  <c r="U134" i="1"/>
  <c r="U135" i="1"/>
  <c r="U136" i="1"/>
  <c r="U137" i="1"/>
  <c r="U138" i="1"/>
  <c r="U139" i="1"/>
  <c r="U140" i="1"/>
  <c r="U141" i="1"/>
  <c r="U142" i="1"/>
  <c r="U143" i="1"/>
  <c r="U144" i="1"/>
  <c r="U146" i="1"/>
  <c r="U147" i="1"/>
  <c r="U148" i="1"/>
  <c r="U149" i="1"/>
  <c r="U150" i="1"/>
  <c r="U151" i="1"/>
  <c r="U152" i="1"/>
  <c r="U153" i="1"/>
  <c r="U154" i="1"/>
  <c r="U155" i="1"/>
  <c r="U156" i="1"/>
  <c r="U158" i="1"/>
  <c r="U159" i="1"/>
  <c r="U160" i="1"/>
  <c r="U161" i="1"/>
  <c r="U162" i="1"/>
  <c r="U163" i="1"/>
  <c r="U164" i="1"/>
  <c r="U165" i="1"/>
  <c r="U166" i="1"/>
  <c r="U167" i="1"/>
  <c r="U168" i="1"/>
  <c r="U170" i="1"/>
  <c r="U171" i="1"/>
  <c r="U172" i="1"/>
  <c r="U173" i="1"/>
  <c r="U174" i="1"/>
  <c r="U175" i="1"/>
  <c r="U176" i="1"/>
  <c r="U177" i="1"/>
  <c r="U178" i="1"/>
  <c r="U179" i="1"/>
  <c r="U180" i="1"/>
  <c r="U182" i="1"/>
  <c r="U183" i="1"/>
  <c r="U184" i="1"/>
  <c r="U185" i="1"/>
  <c r="U186" i="1"/>
  <c r="U187" i="1"/>
  <c r="U188" i="1"/>
  <c r="U189" i="1"/>
  <c r="U190" i="1"/>
  <c r="U191" i="1"/>
  <c r="U192" i="1"/>
  <c r="U194" i="1"/>
  <c r="U195" i="1"/>
  <c r="U196" i="1"/>
  <c r="U197" i="1"/>
  <c r="U198" i="1"/>
  <c r="U199" i="1"/>
  <c r="U200" i="1"/>
  <c r="U201" i="1"/>
  <c r="U202" i="1"/>
  <c r="U203" i="1"/>
  <c r="U204" i="1"/>
  <c r="U206" i="1"/>
  <c r="U207" i="1"/>
  <c r="U208" i="1"/>
  <c r="U209" i="1"/>
  <c r="U210" i="1"/>
  <c r="U211" i="1"/>
  <c r="U212" i="1"/>
  <c r="U213" i="1"/>
  <c r="U214" i="1"/>
  <c r="U215" i="1"/>
  <c r="U216" i="1"/>
  <c r="U218" i="1"/>
  <c r="U219" i="1"/>
  <c r="U220" i="1"/>
  <c r="U221" i="1"/>
  <c r="U222" i="1"/>
  <c r="U223" i="1"/>
  <c r="U224" i="1"/>
  <c r="U225" i="1"/>
  <c r="U226" i="1"/>
  <c r="U227" i="1"/>
  <c r="U228" i="1"/>
  <c r="U230" i="1"/>
  <c r="U231" i="1"/>
  <c r="U232" i="1"/>
  <c r="U233" i="1"/>
  <c r="U234" i="1"/>
  <c r="U235" i="1"/>
  <c r="U236" i="1"/>
  <c r="U237" i="1"/>
  <c r="U238" i="1"/>
  <c r="U239" i="1"/>
  <c r="U240" i="1"/>
  <c r="U242" i="1"/>
  <c r="U243" i="1"/>
  <c r="U244" i="1"/>
  <c r="U245" i="1"/>
  <c r="U246" i="1"/>
  <c r="U247" i="1"/>
  <c r="U248" i="1"/>
  <c r="U249" i="1"/>
  <c r="U250" i="1"/>
  <c r="U251" i="1"/>
  <c r="U252" i="1"/>
  <c r="U254" i="1"/>
  <c r="U255" i="1"/>
  <c r="U256" i="1"/>
  <c r="U257" i="1"/>
  <c r="U258" i="1"/>
  <c r="U259" i="1"/>
  <c r="U260" i="1"/>
  <c r="U261" i="1"/>
  <c r="U262" i="1"/>
  <c r="U263" i="1"/>
  <c r="U264" i="1"/>
  <c r="U266" i="1"/>
  <c r="U267" i="1"/>
  <c r="U268" i="1"/>
  <c r="U269" i="1"/>
  <c r="U270" i="1"/>
  <c r="U271" i="1"/>
  <c r="U272" i="1"/>
  <c r="U273" i="1"/>
  <c r="U274" i="1"/>
  <c r="U275" i="1"/>
  <c r="U276" i="1"/>
  <c r="U278" i="1"/>
  <c r="U279" i="1"/>
  <c r="U280" i="1"/>
  <c r="U281" i="1"/>
  <c r="U282" i="1"/>
  <c r="U283" i="1"/>
  <c r="U284" i="1"/>
  <c r="U285" i="1"/>
  <c r="U286" i="1"/>
  <c r="U287" i="1"/>
  <c r="U288" i="1"/>
  <c r="U290" i="1"/>
  <c r="U291" i="1"/>
  <c r="U292" i="1"/>
  <c r="U293" i="1"/>
  <c r="U294" i="1"/>
  <c r="U295" i="1"/>
  <c r="U296" i="1"/>
  <c r="U297" i="1"/>
  <c r="U298" i="1"/>
  <c r="U299" i="1"/>
  <c r="U300" i="1"/>
  <c r="U302" i="1"/>
  <c r="U303" i="1"/>
  <c r="U304" i="1"/>
  <c r="U305" i="1"/>
  <c r="U306" i="1"/>
  <c r="U307" i="1"/>
  <c r="U308" i="1"/>
  <c r="U309" i="1"/>
  <c r="U310" i="1"/>
  <c r="U311" i="1"/>
  <c r="U312" i="1"/>
  <c r="U314" i="1"/>
  <c r="U315" i="1"/>
  <c r="U316" i="1"/>
  <c r="U317" i="1"/>
  <c r="U318" i="1"/>
  <c r="U319" i="1"/>
  <c r="U320" i="1"/>
  <c r="U321" i="1"/>
  <c r="U322" i="1"/>
  <c r="U323" i="1"/>
  <c r="U324" i="1"/>
  <c r="U326" i="1"/>
  <c r="U327" i="1"/>
  <c r="U328" i="1"/>
  <c r="U329" i="1"/>
  <c r="U330" i="1"/>
  <c r="U331" i="1"/>
  <c r="U332" i="1"/>
  <c r="U333" i="1"/>
  <c r="U334" i="1"/>
  <c r="U335" i="1"/>
  <c r="U336" i="1"/>
  <c r="U338" i="1"/>
  <c r="U339" i="1"/>
  <c r="U340" i="1"/>
  <c r="U341" i="1"/>
  <c r="U342" i="1"/>
  <c r="U343" i="1"/>
  <c r="U344" i="1"/>
  <c r="U345" i="1"/>
  <c r="U346" i="1"/>
  <c r="U347" i="1"/>
  <c r="U348" i="1"/>
  <c r="U350" i="1"/>
  <c r="U351" i="1"/>
  <c r="U352" i="1"/>
  <c r="U353" i="1"/>
  <c r="U354" i="1"/>
  <c r="U355" i="1"/>
  <c r="U356" i="1"/>
  <c r="U357" i="1"/>
  <c r="U358" i="1"/>
  <c r="U359" i="1"/>
  <c r="U360" i="1"/>
  <c r="U362" i="1"/>
  <c r="U363" i="1"/>
  <c r="U364" i="1"/>
  <c r="U365" i="1"/>
  <c r="U366" i="1"/>
  <c r="U367" i="1"/>
  <c r="U368" i="1"/>
  <c r="U369" i="1"/>
  <c r="U370" i="1"/>
  <c r="U371" i="1"/>
  <c r="U372" i="1"/>
  <c r="U374" i="1"/>
  <c r="U375" i="1"/>
  <c r="U376" i="1"/>
  <c r="U377" i="1"/>
  <c r="U378" i="1"/>
  <c r="U379" i="1"/>
  <c r="U380" i="1"/>
  <c r="U381" i="1"/>
  <c r="U382" i="1"/>
  <c r="U383" i="1"/>
  <c r="U384" i="1"/>
  <c r="U386" i="1"/>
  <c r="U387" i="1"/>
  <c r="U388" i="1"/>
  <c r="U389" i="1"/>
  <c r="U390" i="1"/>
  <c r="U391" i="1"/>
  <c r="U392" i="1"/>
  <c r="U393" i="1"/>
  <c r="U394" i="1"/>
  <c r="U395" i="1"/>
  <c r="U396" i="1"/>
  <c r="U398" i="1"/>
  <c r="U399" i="1"/>
  <c r="U400" i="1"/>
  <c r="U401" i="1"/>
  <c r="U402" i="1"/>
  <c r="U403" i="1"/>
  <c r="U404" i="1"/>
  <c r="U405" i="1"/>
  <c r="U406" i="1"/>
  <c r="U407" i="1"/>
  <c r="U408" i="1"/>
  <c r="U410" i="1"/>
  <c r="U411" i="1"/>
  <c r="U412" i="1"/>
  <c r="U413" i="1"/>
  <c r="U414" i="1"/>
  <c r="U415" i="1"/>
  <c r="U416" i="1"/>
  <c r="U417" i="1"/>
  <c r="U418" i="1"/>
  <c r="U419" i="1"/>
  <c r="U420" i="1"/>
  <c r="U422" i="1"/>
  <c r="U423" i="1"/>
  <c r="U424" i="1"/>
  <c r="U425" i="1"/>
  <c r="U426" i="1"/>
  <c r="U427" i="1"/>
  <c r="U428" i="1"/>
  <c r="U429" i="1"/>
  <c r="U430" i="1"/>
  <c r="U431" i="1"/>
  <c r="U432" i="1"/>
  <c r="U434" i="1"/>
  <c r="U435" i="1"/>
  <c r="U436" i="1"/>
  <c r="U437" i="1"/>
  <c r="U438" i="1"/>
  <c r="U439" i="1"/>
  <c r="U440" i="1"/>
  <c r="U441" i="1"/>
  <c r="U442" i="1"/>
  <c r="U443" i="1"/>
  <c r="U444" i="1"/>
  <c r="U446" i="1"/>
  <c r="U447" i="1"/>
  <c r="U448" i="1"/>
  <c r="U449" i="1"/>
  <c r="U450" i="1"/>
  <c r="U451" i="1"/>
  <c r="U452" i="1"/>
  <c r="U453" i="1"/>
  <c r="U454" i="1"/>
  <c r="U455" i="1"/>
  <c r="U456" i="1"/>
  <c r="U458" i="1"/>
  <c r="U459" i="1"/>
  <c r="U460" i="1"/>
  <c r="U461" i="1"/>
  <c r="U462" i="1"/>
  <c r="U463" i="1"/>
  <c r="U464" i="1"/>
  <c r="U465" i="1"/>
  <c r="U466" i="1"/>
  <c r="U467" i="1"/>
  <c r="U468" i="1"/>
  <c r="U470" i="1"/>
  <c r="U471" i="1"/>
  <c r="U472" i="1"/>
  <c r="U473" i="1"/>
  <c r="U474" i="1"/>
  <c r="U475" i="1"/>
  <c r="U476" i="1"/>
  <c r="U477" i="1"/>
  <c r="U478" i="1"/>
  <c r="U479" i="1"/>
  <c r="U480" i="1"/>
  <c r="U482" i="1"/>
  <c r="U483" i="1"/>
  <c r="U484" i="1"/>
  <c r="U485" i="1"/>
  <c r="U486" i="1"/>
  <c r="U487" i="1"/>
  <c r="U488" i="1"/>
  <c r="U489" i="1"/>
  <c r="U490" i="1"/>
  <c r="U491" i="1"/>
  <c r="U492" i="1"/>
  <c r="U494" i="1"/>
  <c r="U495" i="1"/>
  <c r="U496" i="1"/>
  <c r="U497" i="1"/>
  <c r="U498" i="1"/>
  <c r="U499" i="1"/>
  <c r="U500" i="1"/>
  <c r="U501" i="1"/>
  <c r="U502" i="1"/>
  <c r="U503" i="1"/>
  <c r="U504" i="1"/>
  <c r="U506" i="1"/>
  <c r="U507" i="1"/>
  <c r="U508" i="1"/>
  <c r="U509" i="1"/>
  <c r="U510" i="1"/>
  <c r="U511" i="1"/>
  <c r="U512" i="1"/>
  <c r="U513" i="1"/>
  <c r="U514" i="1"/>
  <c r="U515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30" i="1"/>
  <c r="U531" i="1"/>
  <c r="U532" i="1"/>
  <c r="U533" i="1"/>
  <c r="U534" i="1"/>
  <c r="U535" i="1"/>
  <c r="U536" i="1"/>
  <c r="U537" i="1"/>
  <c r="U538" i="1"/>
  <c r="U539" i="1"/>
  <c r="U540" i="1"/>
  <c r="U542" i="1"/>
  <c r="U543" i="1"/>
  <c r="U544" i="1"/>
  <c r="U545" i="1"/>
  <c r="U546" i="1"/>
  <c r="U547" i="1"/>
  <c r="U548" i="1"/>
  <c r="U549" i="1"/>
  <c r="U550" i="1"/>
  <c r="U551" i="1"/>
  <c r="U552" i="1"/>
  <c r="U554" i="1"/>
  <c r="U555" i="1"/>
  <c r="U556" i="1"/>
  <c r="U557" i="1"/>
  <c r="U558" i="1"/>
  <c r="U559" i="1"/>
  <c r="U560" i="1"/>
  <c r="U561" i="1"/>
  <c r="U562" i="1"/>
  <c r="U563" i="1"/>
  <c r="U564" i="1"/>
  <c r="U566" i="1"/>
  <c r="U567" i="1"/>
  <c r="U568" i="1"/>
  <c r="U569" i="1"/>
  <c r="U570" i="1"/>
  <c r="U571" i="1"/>
  <c r="U572" i="1"/>
  <c r="U573" i="1"/>
  <c r="U574" i="1"/>
  <c r="U575" i="1"/>
  <c r="U576" i="1"/>
  <c r="U578" i="1"/>
  <c r="U579" i="1"/>
  <c r="U580" i="1"/>
  <c r="U581" i="1"/>
  <c r="U582" i="1"/>
  <c r="U583" i="1"/>
  <c r="U584" i="1"/>
  <c r="U585" i="1"/>
  <c r="U586" i="1"/>
  <c r="U587" i="1"/>
  <c r="U588" i="1"/>
  <c r="U590" i="1"/>
  <c r="U591" i="1"/>
  <c r="U592" i="1"/>
  <c r="U593" i="1"/>
  <c r="U594" i="1"/>
  <c r="U595" i="1"/>
  <c r="U596" i="1"/>
  <c r="U597" i="1"/>
  <c r="U598" i="1"/>
  <c r="U599" i="1"/>
  <c r="U600" i="1"/>
  <c r="U602" i="1"/>
  <c r="U603" i="1"/>
  <c r="U604" i="1"/>
  <c r="U605" i="1"/>
  <c r="U606" i="1"/>
  <c r="U607" i="1"/>
  <c r="U608" i="1"/>
  <c r="U609" i="1"/>
  <c r="U610" i="1"/>
  <c r="U611" i="1"/>
  <c r="U612" i="1"/>
  <c r="U614" i="1"/>
  <c r="U615" i="1"/>
  <c r="U616" i="1"/>
  <c r="U617" i="1"/>
  <c r="U618" i="1"/>
  <c r="U619" i="1"/>
  <c r="U620" i="1"/>
  <c r="U621" i="1"/>
  <c r="U622" i="1"/>
  <c r="U623" i="1"/>
  <c r="U624" i="1"/>
  <c r="U626" i="1"/>
  <c r="U627" i="1"/>
  <c r="U628" i="1"/>
  <c r="U629" i="1"/>
  <c r="U630" i="1"/>
  <c r="U631" i="1"/>
  <c r="U632" i="1"/>
  <c r="U633" i="1"/>
  <c r="U634" i="1"/>
  <c r="U635" i="1"/>
  <c r="U636" i="1"/>
  <c r="U638" i="1"/>
  <c r="U639" i="1"/>
  <c r="U640" i="1"/>
  <c r="U641" i="1"/>
  <c r="U642" i="1"/>
  <c r="U643" i="1"/>
  <c r="U644" i="1"/>
  <c r="U645" i="1"/>
  <c r="U646" i="1"/>
  <c r="U647" i="1"/>
  <c r="U648" i="1"/>
  <c r="U650" i="1"/>
  <c r="U651" i="1"/>
  <c r="U652" i="1"/>
  <c r="U653" i="1"/>
  <c r="U654" i="1"/>
  <c r="U655" i="1"/>
  <c r="U656" i="1"/>
  <c r="U657" i="1"/>
  <c r="U658" i="1"/>
  <c r="U659" i="1"/>
  <c r="U660" i="1"/>
  <c r="U662" i="1"/>
  <c r="U663" i="1"/>
  <c r="U664" i="1"/>
  <c r="U665" i="1"/>
  <c r="U666" i="1"/>
  <c r="U667" i="1"/>
  <c r="U668" i="1"/>
  <c r="U669" i="1"/>
  <c r="U670" i="1"/>
  <c r="U671" i="1"/>
  <c r="U672" i="1"/>
  <c r="U674" i="1"/>
  <c r="U675" i="1"/>
  <c r="U676" i="1"/>
  <c r="U677" i="1"/>
  <c r="U678" i="1"/>
  <c r="U679" i="1"/>
  <c r="U680" i="1"/>
  <c r="U681" i="1"/>
  <c r="U682" i="1"/>
  <c r="U683" i="1"/>
  <c r="U684" i="1"/>
  <c r="U686" i="1"/>
  <c r="U687" i="1"/>
  <c r="U688" i="1"/>
  <c r="U689" i="1"/>
  <c r="U690" i="1"/>
  <c r="U691" i="1"/>
  <c r="U692" i="1"/>
  <c r="U693" i="1"/>
  <c r="U694" i="1"/>
  <c r="U695" i="1"/>
  <c r="U696" i="1"/>
  <c r="U698" i="1"/>
  <c r="U699" i="1"/>
  <c r="U700" i="1"/>
  <c r="U701" i="1"/>
  <c r="U702" i="1"/>
  <c r="U703" i="1"/>
  <c r="U704" i="1"/>
  <c r="U705" i="1"/>
  <c r="U706" i="1"/>
  <c r="U707" i="1"/>
  <c r="U708" i="1"/>
  <c r="U710" i="1"/>
  <c r="U711" i="1"/>
  <c r="U712" i="1"/>
  <c r="U713" i="1"/>
  <c r="U714" i="1"/>
  <c r="U715" i="1"/>
  <c r="U716" i="1"/>
  <c r="U717" i="1"/>
  <c r="U718" i="1"/>
  <c r="U719" i="1"/>
  <c r="U720" i="1"/>
  <c r="U722" i="1"/>
  <c r="U723" i="1"/>
  <c r="U724" i="1"/>
  <c r="U725" i="1"/>
  <c r="U726" i="1"/>
  <c r="U727" i="1"/>
  <c r="U728" i="1"/>
  <c r="U729" i="1"/>
  <c r="U730" i="1"/>
  <c r="U731" i="1"/>
  <c r="U732" i="1"/>
  <c r="U734" i="1"/>
  <c r="U735" i="1"/>
  <c r="U736" i="1"/>
  <c r="U737" i="1"/>
  <c r="U738" i="1"/>
  <c r="U739" i="1"/>
  <c r="U740" i="1"/>
  <c r="U741" i="1"/>
  <c r="U742" i="1"/>
  <c r="U743" i="1"/>
  <c r="U744" i="1"/>
  <c r="U746" i="1"/>
  <c r="U747" i="1"/>
  <c r="U748" i="1"/>
  <c r="U749" i="1"/>
  <c r="U750" i="1"/>
  <c r="U751" i="1"/>
  <c r="U752" i="1"/>
  <c r="U753" i="1"/>
  <c r="U754" i="1"/>
  <c r="U755" i="1"/>
  <c r="U756" i="1"/>
  <c r="U758" i="1"/>
  <c r="U759" i="1"/>
  <c r="U760" i="1"/>
  <c r="U761" i="1"/>
  <c r="U762" i="1"/>
  <c r="U763" i="1"/>
  <c r="U764" i="1"/>
  <c r="U765" i="1"/>
  <c r="U766" i="1"/>
  <c r="U767" i="1"/>
  <c r="U768" i="1"/>
  <c r="U770" i="1"/>
  <c r="U771" i="1"/>
  <c r="U772" i="1"/>
  <c r="U773" i="1"/>
  <c r="U774" i="1"/>
  <c r="U775" i="1"/>
  <c r="U776" i="1"/>
  <c r="U777" i="1"/>
  <c r="U778" i="1"/>
  <c r="U779" i="1"/>
  <c r="U780" i="1"/>
  <c r="U782" i="1"/>
  <c r="U783" i="1"/>
  <c r="U784" i="1"/>
  <c r="U785" i="1"/>
  <c r="U786" i="1"/>
  <c r="U787" i="1"/>
  <c r="U788" i="1"/>
  <c r="U789" i="1"/>
  <c r="U790" i="1"/>
  <c r="U791" i="1"/>
  <c r="U792" i="1"/>
  <c r="U794" i="1"/>
  <c r="U795" i="1"/>
  <c r="U796" i="1"/>
  <c r="U797" i="1"/>
  <c r="U798" i="1"/>
  <c r="U799" i="1"/>
  <c r="U800" i="1"/>
  <c r="U801" i="1"/>
  <c r="U802" i="1"/>
  <c r="U803" i="1"/>
  <c r="U804" i="1"/>
  <c r="U806" i="1"/>
  <c r="U807" i="1"/>
  <c r="U808" i="1"/>
  <c r="U809" i="1"/>
  <c r="U810" i="1"/>
  <c r="U811" i="1"/>
  <c r="U812" i="1"/>
  <c r="U813" i="1"/>
  <c r="U814" i="1"/>
  <c r="U815" i="1"/>
  <c r="U816" i="1"/>
  <c r="U818" i="1"/>
  <c r="U819" i="1"/>
  <c r="U820" i="1"/>
  <c r="U821" i="1"/>
  <c r="U822" i="1"/>
  <c r="U823" i="1"/>
  <c r="U824" i="1"/>
  <c r="U825" i="1"/>
  <c r="U826" i="1"/>
  <c r="U827" i="1"/>
  <c r="U828" i="1"/>
  <c r="U830" i="1"/>
  <c r="U831" i="1"/>
  <c r="U832" i="1"/>
  <c r="U833" i="1"/>
  <c r="U834" i="1"/>
  <c r="U835" i="1"/>
  <c r="U836" i="1"/>
  <c r="U837" i="1"/>
  <c r="U838" i="1"/>
  <c r="U839" i="1"/>
  <c r="U840" i="1"/>
  <c r="U842" i="1"/>
  <c r="U843" i="1"/>
  <c r="U844" i="1"/>
  <c r="U845" i="1"/>
  <c r="U846" i="1"/>
  <c r="U847" i="1"/>
  <c r="U848" i="1"/>
  <c r="U849" i="1"/>
  <c r="U850" i="1"/>
  <c r="U851" i="1"/>
  <c r="U852" i="1"/>
  <c r="U854" i="1"/>
  <c r="U855" i="1"/>
  <c r="U856" i="1"/>
  <c r="U857" i="1"/>
  <c r="U858" i="1"/>
  <c r="U859" i="1"/>
  <c r="U860" i="1"/>
  <c r="U861" i="1"/>
  <c r="U862" i="1"/>
  <c r="U863" i="1"/>
  <c r="U864" i="1"/>
  <c r="U866" i="1"/>
  <c r="U867" i="1"/>
  <c r="U868" i="1"/>
  <c r="U869" i="1"/>
  <c r="U870" i="1"/>
  <c r="U871" i="1"/>
  <c r="U872" i="1"/>
  <c r="U873" i="1"/>
  <c r="U874" i="1"/>
  <c r="U875" i="1"/>
  <c r="U876" i="1"/>
  <c r="U878" i="1"/>
  <c r="U879" i="1"/>
  <c r="U880" i="1"/>
  <c r="U881" i="1"/>
  <c r="U882" i="1"/>
  <c r="U883" i="1"/>
  <c r="U884" i="1"/>
  <c r="U885" i="1"/>
  <c r="U886" i="1"/>
  <c r="U887" i="1"/>
  <c r="U888" i="1"/>
  <c r="U890" i="1"/>
  <c r="U891" i="1"/>
  <c r="U892" i="1"/>
  <c r="U893" i="1"/>
  <c r="U894" i="1"/>
  <c r="U895" i="1"/>
  <c r="U896" i="1"/>
  <c r="U897" i="1"/>
  <c r="U898" i="1"/>
  <c r="U899" i="1"/>
  <c r="U900" i="1"/>
  <c r="U902" i="1"/>
  <c r="U903" i="1"/>
  <c r="U904" i="1"/>
  <c r="U905" i="1"/>
  <c r="U906" i="1"/>
  <c r="U907" i="1"/>
  <c r="U908" i="1"/>
  <c r="U909" i="1"/>
  <c r="U910" i="1"/>
  <c r="U911" i="1"/>
  <c r="U912" i="1"/>
  <c r="U914" i="1"/>
  <c r="U915" i="1"/>
  <c r="U916" i="1"/>
  <c r="U917" i="1"/>
  <c r="U918" i="1"/>
  <c r="U919" i="1"/>
  <c r="U920" i="1"/>
  <c r="U921" i="1"/>
  <c r="U922" i="1"/>
  <c r="U923" i="1"/>
  <c r="U924" i="1"/>
  <c r="U926" i="1"/>
  <c r="U927" i="1"/>
  <c r="U928" i="1"/>
  <c r="U929" i="1"/>
  <c r="U930" i="1"/>
  <c r="U931" i="1"/>
  <c r="U932" i="1"/>
  <c r="U933" i="1"/>
  <c r="U934" i="1"/>
  <c r="U935" i="1"/>
  <c r="U936" i="1"/>
  <c r="U938" i="1"/>
  <c r="U939" i="1"/>
  <c r="U940" i="1"/>
  <c r="U941" i="1"/>
  <c r="U942" i="1"/>
  <c r="U943" i="1"/>
  <c r="U944" i="1"/>
  <c r="U945" i="1"/>
  <c r="U946" i="1"/>
  <c r="U947" i="1"/>
  <c r="U948" i="1"/>
  <c r="U950" i="1"/>
  <c r="U951" i="1"/>
  <c r="U952" i="1"/>
  <c r="U953" i="1"/>
  <c r="U954" i="1"/>
  <c r="U955" i="1"/>
  <c r="U956" i="1"/>
  <c r="U957" i="1"/>
  <c r="U958" i="1"/>
  <c r="U959" i="1"/>
  <c r="U960" i="1"/>
  <c r="U962" i="1"/>
  <c r="U963" i="1"/>
  <c r="U964" i="1"/>
  <c r="U965" i="1"/>
  <c r="U966" i="1"/>
  <c r="U967" i="1"/>
  <c r="U968" i="1"/>
  <c r="U969" i="1"/>
  <c r="U970" i="1"/>
  <c r="U971" i="1"/>
  <c r="U972" i="1"/>
  <c r="U974" i="1"/>
  <c r="U975" i="1"/>
  <c r="U976" i="1"/>
  <c r="U977" i="1"/>
  <c r="U978" i="1"/>
  <c r="U979" i="1"/>
  <c r="U980" i="1"/>
  <c r="U981" i="1"/>
  <c r="U982" i="1"/>
  <c r="U983" i="1"/>
  <c r="U984" i="1"/>
  <c r="U986" i="1"/>
  <c r="U987" i="1"/>
  <c r="U988" i="1"/>
  <c r="U989" i="1"/>
  <c r="U990" i="1"/>
  <c r="U991" i="1"/>
  <c r="U992" i="1"/>
  <c r="U993" i="1"/>
  <c r="U994" i="1"/>
  <c r="U995" i="1"/>
  <c r="U996" i="1"/>
  <c r="U998" i="1"/>
  <c r="U999" i="1"/>
  <c r="U1000" i="1"/>
  <c r="U1001" i="1"/>
  <c r="U1002" i="1"/>
  <c r="U1003" i="1"/>
  <c r="U1004" i="1"/>
  <c r="U1005" i="1"/>
  <c r="U1006" i="1"/>
  <c r="U1007" i="1"/>
  <c r="U1008" i="1"/>
  <c r="U1010" i="1"/>
  <c r="U1011" i="1"/>
  <c r="U1012" i="1"/>
  <c r="U1013" i="1"/>
  <c r="U1014" i="1"/>
  <c r="U1015" i="1"/>
  <c r="U1016" i="1"/>
  <c r="U1017" i="1"/>
  <c r="U1018" i="1"/>
  <c r="U1019" i="1"/>
  <c r="U1020" i="1"/>
  <c r="U1022" i="1"/>
  <c r="U1023" i="1"/>
  <c r="U1024" i="1"/>
  <c r="U1025" i="1"/>
  <c r="U1026" i="1"/>
  <c r="U1027" i="1"/>
  <c r="U1028" i="1"/>
  <c r="U1029" i="1"/>
  <c r="U1030" i="1"/>
  <c r="U1031" i="1"/>
  <c r="U1032" i="1"/>
  <c r="U1034" i="1"/>
  <c r="U1035" i="1"/>
  <c r="U1036" i="1"/>
  <c r="U1037" i="1"/>
  <c r="U1038" i="1"/>
  <c r="U1039" i="1"/>
  <c r="U1040" i="1"/>
  <c r="U1041" i="1"/>
  <c r="U1042" i="1"/>
  <c r="U1043" i="1"/>
  <c r="U1044" i="1"/>
  <c r="U1046" i="1"/>
  <c r="U1047" i="1"/>
  <c r="U1048" i="1"/>
  <c r="U1049" i="1"/>
  <c r="U1050" i="1"/>
  <c r="U1051" i="1"/>
  <c r="U1052" i="1"/>
  <c r="U1053" i="1"/>
  <c r="U1054" i="1"/>
  <c r="U1055" i="1"/>
  <c r="U1056" i="1"/>
  <c r="U1058" i="1"/>
  <c r="U1059" i="1"/>
  <c r="U1060" i="1"/>
  <c r="U1061" i="1"/>
  <c r="U1062" i="1"/>
  <c r="U1063" i="1"/>
  <c r="U1064" i="1"/>
  <c r="U1065" i="1"/>
  <c r="U1066" i="1"/>
  <c r="U1067" i="1"/>
  <c r="U1068" i="1"/>
  <c r="U1070" i="1"/>
  <c r="U1071" i="1"/>
  <c r="U1072" i="1"/>
  <c r="U1073" i="1"/>
  <c r="U1074" i="1"/>
  <c r="U1075" i="1"/>
  <c r="U1076" i="1"/>
  <c r="U1077" i="1"/>
  <c r="U1078" i="1"/>
  <c r="U1079" i="1"/>
  <c r="U1080" i="1"/>
  <c r="U1082" i="1"/>
  <c r="U1083" i="1"/>
  <c r="U1084" i="1"/>
  <c r="U1085" i="1"/>
  <c r="U1086" i="1"/>
  <c r="U1087" i="1"/>
  <c r="U1088" i="1"/>
  <c r="U1089" i="1"/>
  <c r="U1090" i="1"/>
  <c r="U1091" i="1"/>
  <c r="U1092" i="1"/>
  <c r="U1094" i="1"/>
  <c r="U1095" i="1"/>
  <c r="U1096" i="1"/>
  <c r="U1097" i="1"/>
  <c r="U1098" i="1"/>
  <c r="U1099" i="1"/>
  <c r="U1100" i="1"/>
  <c r="U1101" i="1"/>
  <c r="U1102" i="1"/>
  <c r="U1103" i="1"/>
  <c r="U1104" i="1"/>
  <c r="U1106" i="1"/>
  <c r="U1107" i="1"/>
  <c r="U1108" i="1"/>
  <c r="U1109" i="1"/>
  <c r="U1110" i="1"/>
  <c r="U1111" i="1"/>
  <c r="U1112" i="1"/>
  <c r="U1113" i="1"/>
  <c r="U1114" i="1"/>
  <c r="U1115" i="1"/>
  <c r="U1116" i="1"/>
  <c r="U1118" i="1"/>
  <c r="U1119" i="1"/>
  <c r="U1120" i="1"/>
  <c r="U1121" i="1"/>
  <c r="U1122" i="1"/>
  <c r="U1123" i="1"/>
  <c r="U1124" i="1"/>
  <c r="U1125" i="1"/>
  <c r="U1126" i="1"/>
  <c r="U1127" i="1"/>
  <c r="U1128" i="1"/>
  <c r="U1130" i="1"/>
  <c r="U1131" i="1"/>
  <c r="U1132" i="1"/>
  <c r="U1133" i="1"/>
  <c r="U1134" i="1"/>
  <c r="U1135" i="1"/>
  <c r="U1136" i="1"/>
  <c r="U1137" i="1"/>
  <c r="U1138" i="1"/>
  <c r="U1139" i="1"/>
  <c r="U1140" i="1"/>
  <c r="U1142" i="1"/>
  <c r="U1143" i="1"/>
  <c r="U1144" i="1"/>
  <c r="U1145" i="1"/>
  <c r="U1146" i="1"/>
  <c r="U1147" i="1"/>
  <c r="U1148" i="1"/>
  <c r="U1149" i="1"/>
  <c r="U1150" i="1"/>
  <c r="U1151" i="1"/>
  <c r="U1152" i="1"/>
  <c r="U1154" i="1"/>
  <c r="U1155" i="1"/>
  <c r="U1156" i="1"/>
  <c r="U1157" i="1"/>
  <c r="U1158" i="1"/>
  <c r="U1159" i="1"/>
  <c r="U1160" i="1"/>
  <c r="U1161" i="1"/>
  <c r="U1162" i="1"/>
  <c r="U1163" i="1"/>
  <c r="U1164" i="1"/>
  <c r="U1166" i="1"/>
  <c r="U1167" i="1"/>
  <c r="U1168" i="1"/>
  <c r="U1169" i="1"/>
  <c r="U1170" i="1"/>
  <c r="U1171" i="1"/>
  <c r="U1172" i="1"/>
  <c r="U1173" i="1"/>
  <c r="U1174" i="1"/>
  <c r="U1175" i="1"/>
  <c r="U1176" i="1"/>
  <c r="U1178" i="1"/>
  <c r="U1179" i="1"/>
  <c r="U1180" i="1"/>
  <c r="U1181" i="1"/>
  <c r="U1182" i="1"/>
  <c r="U1183" i="1"/>
  <c r="U1184" i="1"/>
  <c r="U1185" i="1"/>
  <c r="U1186" i="1"/>
  <c r="U1187" i="1"/>
  <c r="U1188" i="1"/>
  <c r="U1190" i="1"/>
  <c r="U1191" i="1"/>
  <c r="U1192" i="1"/>
  <c r="U1193" i="1"/>
  <c r="U1194" i="1"/>
  <c r="U1195" i="1"/>
  <c r="U1196" i="1"/>
  <c r="U1197" i="1"/>
  <c r="U1198" i="1"/>
  <c r="U1199" i="1"/>
  <c r="U1200" i="1"/>
  <c r="U1202" i="1"/>
  <c r="U1203" i="1"/>
  <c r="U1204" i="1"/>
  <c r="U1205" i="1"/>
  <c r="U1206" i="1"/>
  <c r="U1207" i="1"/>
  <c r="U1208" i="1"/>
  <c r="U1209" i="1"/>
  <c r="U1210" i="1"/>
  <c r="U1211" i="1"/>
  <c r="U1212" i="1"/>
  <c r="U1214" i="1"/>
  <c r="U1215" i="1"/>
  <c r="U1216" i="1"/>
  <c r="U1217" i="1"/>
  <c r="U1218" i="1"/>
  <c r="U1219" i="1"/>
  <c r="U1220" i="1"/>
  <c r="U1221" i="1"/>
  <c r="U1222" i="1"/>
  <c r="U1223" i="1"/>
  <c r="U1224" i="1"/>
  <c r="U1226" i="1"/>
  <c r="U1227" i="1"/>
  <c r="U1228" i="1"/>
  <c r="U1229" i="1"/>
  <c r="U1230" i="1"/>
  <c r="U1231" i="1"/>
  <c r="U1232" i="1"/>
  <c r="U1233" i="1"/>
  <c r="U1234" i="1"/>
  <c r="U1235" i="1"/>
  <c r="U1236" i="1"/>
  <c r="U1238" i="1"/>
  <c r="U1239" i="1"/>
  <c r="U1240" i="1"/>
  <c r="U1241" i="1"/>
  <c r="U1242" i="1"/>
  <c r="U1243" i="1"/>
  <c r="U1244" i="1"/>
  <c r="U1245" i="1"/>
  <c r="U1246" i="1"/>
  <c r="U1247" i="1"/>
  <c r="U1248" i="1"/>
  <c r="U1250" i="1"/>
  <c r="U1251" i="1"/>
  <c r="U1252" i="1"/>
  <c r="U1253" i="1"/>
  <c r="U1254" i="1"/>
  <c r="U1255" i="1"/>
  <c r="U1256" i="1"/>
  <c r="U1257" i="1"/>
  <c r="U1258" i="1"/>
  <c r="U1259" i="1"/>
  <c r="U1260" i="1"/>
  <c r="U1262" i="1"/>
  <c r="U1263" i="1"/>
  <c r="U1264" i="1"/>
  <c r="U1265" i="1"/>
  <c r="U1266" i="1"/>
  <c r="U1267" i="1"/>
  <c r="U1268" i="1"/>
  <c r="U1269" i="1"/>
  <c r="U1270" i="1"/>
  <c r="U1271" i="1"/>
  <c r="U1272" i="1"/>
  <c r="U1274" i="1"/>
  <c r="U1275" i="1"/>
  <c r="U1276" i="1"/>
  <c r="U1277" i="1"/>
  <c r="U1278" i="1"/>
  <c r="U1279" i="1"/>
  <c r="U1280" i="1"/>
  <c r="U1281" i="1"/>
  <c r="U1282" i="1"/>
  <c r="U1283" i="1"/>
  <c r="U1284" i="1"/>
  <c r="U1286" i="1"/>
  <c r="U1287" i="1"/>
  <c r="U1288" i="1"/>
  <c r="U1289" i="1"/>
  <c r="U1290" i="1"/>
  <c r="U1291" i="1"/>
  <c r="U1292" i="1"/>
  <c r="U1293" i="1"/>
  <c r="U1294" i="1"/>
  <c r="U1295" i="1"/>
  <c r="U1296" i="1"/>
  <c r="U1298" i="1"/>
  <c r="U1299" i="1"/>
  <c r="U1300" i="1"/>
  <c r="U1301" i="1"/>
  <c r="U1302" i="1"/>
  <c r="U1303" i="1"/>
  <c r="U1304" i="1"/>
  <c r="U1305" i="1"/>
  <c r="U1306" i="1"/>
  <c r="U1307" i="1"/>
  <c r="U1308" i="1"/>
  <c r="U1310" i="1"/>
  <c r="U1311" i="1"/>
  <c r="U1312" i="1"/>
  <c r="U1313" i="1"/>
  <c r="U1314" i="1"/>
  <c r="U1315" i="1"/>
  <c r="U1316" i="1"/>
  <c r="U1317" i="1"/>
  <c r="U1318" i="1"/>
  <c r="U1319" i="1"/>
  <c r="U1320" i="1"/>
  <c r="U1322" i="1"/>
  <c r="U1323" i="1"/>
  <c r="U1324" i="1"/>
  <c r="U1325" i="1"/>
  <c r="U1326" i="1"/>
  <c r="U1327" i="1"/>
  <c r="U1328" i="1"/>
  <c r="U1329" i="1"/>
  <c r="U1330" i="1"/>
  <c r="U1331" i="1"/>
  <c r="U1332" i="1"/>
  <c r="U1334" i="1"/>
  <c r="U1335" i="1"/>
  <c r="U1336" i="1"/>
  <c r="U1337" i="1"/>
  <c r="U1338" i="1"/>
  <c r="U1339" i="1"/>
  <c r="U1340" i="1"/>
  <c r="U1341" i="1"/>
  <c r="U1342" i="1"/>
  <c r="U1343" i="1"/>
  <c r="U1344" i="1"/>
  <c r="U1346" i="1"/>
  <c r="U1347" i="1"/>
  <c r="U1348" i="1"/>
  <c r="U1349" i="1"/>
  <c r="U1350" i="1"/>
  <c r="U1351" i="1"/>
  <c r="U1352" i="1"/>
  <c r="U1353" i="1"/>
  <c r="U1354" i="1"/>
  <c r="U1355" i="1"/>
  <c r="U1356" i="1"/>
  <c r="U1358" i="1"/>
  <c r="U1359" i="1"/>
  <c r="U1360" i="1"/>
  <c r="U1361" i="1"/>
  <c r="U1362" i="1"/>
  <c r="U1363" i="1"/>
  <c r="U1364" i="1"/>
  <c r="U1365" i="1"/>
  <c r="U1366" i="1"/>
  <c r="U1367" i="1"/>
  <c r="U1368" i="1"/>
  <c r="U1370" i="1"/>
  <c r="U1371" i="1"/>
  <c r="U1372" i="1"/>
  <c r="U1373" i="1"/>
  <c r="U1374" i="1"/>
  <c r="U1375" i="1"/>
  <c r="U1376" i="1"/>
  <c r="U1377" i="1"/>
  <c r="U1378" i="1"/>
  <c r="U1379" i="1"/>
  <c r="U1380" i="1"/>
  <c r="U1382" i="1"/>
  <c r="U1383" i="1"/>
  <c r="U1384" i="1"/>
  <c r="U1385" i="1"/>
  <c r="U1386" i="1"/>
  <c r="U1387" i="1"/>
  <c r="U1388" i="1"/>
  <c r="U1389" i="1"/>
  <c r="U1390" i="1"/>
  <c r="U1391" i="1"/>
  <c r="U1392" i="1"/>
  <c r="U1394" i="1"/>
  <c r="U1395" i="1"/>
  <c r="U1396" i="1"/>
  <c r="U1397" i="1"/>
  <c r="U1398" i="1"/>
  <c r="U1399" i="1"/>
  <c r="U1400" i="1"/>
  <c r="U1401" i="1"/>
  <c r="U1402" i="1"/>
  <c r="U1403" i="1"/>
  <c r="U1404" i="1"/>
  <c r="U1406" i="1"/>
  <c r="U1407" i="1"/>
  <c r="U1408" i="1"/>
  <c r="U1409" i="1"/>
  <c r="U1410" i="1"/>
  <c r="U1411" i="1"/>
  <c r="U1412" i="1"/>
  <c r="U1413" i="1"/>
  <c r="U1414" i="1"/>
  <c r="U1415" i="1"/>
  <c r="U1416" i="1"/>
  <c r="U1418" i="1"/>
  <c r="U1419" i="1"/>
  <c r="U1420" i="1"/>
  <c r="U1421" i="1"/>
  <c r="U1422" i="1"/>
  <c r="U1423" i="1"/>
  <c r="U1424" i="1"/>
  <c r="U1425" i="1"/>
  <c r="U1426" i="1"/>
  <c r="U1427" i="1"/>
  <c r="U1428" i="1"/>
  <c r="U1430" i="1"/>
  <c r="U1431" i="1"/>
  <c r="U1432" i="1"/>
  <c r="U1433" i="1"/>
  <c r="U1434" i="1"/>
  <c r="U1435" i="1"/>
  <c r="U1436" i="1"/>
  <c r="U1437" i="1"/>
  <c r="U1438" i="1"/>
  <c r="U1439" i="1"/>
  <c r="U1440" i="1"/>
  <c r="U1442" i="1"/>
  <c r="U1443" i="1"/>
  <c r="U1444" i="1"/>
  <c r="U1445" i="1"/>
  <c r="U1446" i="1"/>
  <c r="U1447" i="1"/>
  <c r="U1448" i="1"/>
  <c r="U1449" i="1"/>
  <c r="U1450" i="1"/>
  <c r="U1451" i="1"/>
  <c r="U1452" i="1"/>
  <c r="U1454" i="1"/>
  <c r="U1455" i="1"/>
  <c r="U1456" i="1"/>
  <c r="U1457" i="1"/>
  <c r="U1458" i="1"/>
  <c r="U1459" i="1"/>
  <c r="U1460" i="1"/>
  <c r="U1461" i="1"/>
  <c r="U1462" i="1"/>
  <c r="U1463" i="1"/>
  <c r="U1464" i="1"/>
  <c r="U1466" i="1"/>
  <c r="U1467" i="1"/>
  <c r="U1468" i="1"/>
  <c r="U1469" i="1"/>
  <c r="U1470" i="1"/>
  <c r="U1471" i="1"/>
  <c r="U1472" i="1"/>
  <c r="U1473" i="1"/>
  <c r="U1474" i="1"/>
  <c r="U1475" i="1"/>
  <c r="U1476" i="1"/>
  <c r="U1478" i="1"/>
  <c r="U1479" i="1"/>
  <c r="U1480" i="1"/>
  <c r="U1481" i="1"/>
  <c r="U1482" i="1"/>
  <c r="U1483" i="1"/>
  <c r="U1484" i="1"/>
  <c r="U1485" i="1"/>
  <c r="U1486" i="1"/>
  <c r="U1487" i="1"/>
  <c r="U1488" i="1"/>
  <c r="U1490" i="1"/>
  <c r="U1491" i="1"/>
  <c r="U1492" i="1"/>
  <c r="U1493" i="1"/>
  <c r="U1494" i="1"/>
  <c r="U1495" i="1"/>
  <c r="U1496" i="1"/>
  <c r="U1497" i="1"/>
  <c r="U1498" i="1"/>
  <c r="U1499" i="1"/>
  <c r="U1500" i="1"/>
  <c r="U1502" i="1"/>
  <c r="U1503" i="1"/>
  <c r="U1504" i="1"/>
  <c r="U1505" i="1"/>
  <c r="U1506" i="1"/>
  <c r="U1507" i="1"/>
  <c r="U1508" i="1"/>
  <c r="U1509" i="1"/>
  <c r="U1510" i="1"/>
  <c r="U1511" i="1"/>
  <c r="U1512" i="1"/>
  <c r="U1514" i="1"/>
  <c r="U1515" i="1"/>
  <c r="U1516" i="1"/>
  <c r="U1517" i="1"/>
  <c r="U1518" i="1"/>
  <c r="U1519" i="1"/>
  <c r="U1520" i="1"/>
  <c r="U1521" i="1"/>
  <c r="U1522" i="1"/>
  <c r="U1523" i="1"/>
  <c r="U1524" i="1"/>
  <c r="U1526" i="1"/>
  <c r="U1527" i="1"/>
  <c r="U1528" i="1"/>
  <c r="U1529" i="1"/>
  <c r="U1530" i="1"/>
  <c r="U1531" i="1"/>
  <c r="U1532" i="1"/>
  <c r="U1533" i="1"/>
  <c r="U1534" i="1"/>
  <c r="U1535" i="1"/>
  <c r="U1536" i="1"/>
  <c r="U1538" i="1"/>
  <c r="U1539" i="1"/>
  <c r="U1540" i="1"/>
  <c r="U1541" i="1"/>
  <c r="U1542" i="1"/>
  <c r="U1543" i="1"/>
  <c r="U1544" i="1"/>
  <c r="U1545" i="1"/>
  <c r="U1546" i="1"/>
  <c r="U1547" i="1"/>
  <c r="U1548" i="1"/>
  <c r="U1550" i="1"/>
  <c r="U1551" i="1"/>
  <c r="U1552" i="1"/>
  <c r="U1553" i="1"/>
  <c r="U1554" i="1"/>
  <c r="U1555" i="1"/>
  <c r="U1556" i="1"/>
  <c r="U1557" i="1"/>
  <c r="U1558" i="1"/>
  <c r="U1559" i="1"/>
  <c r="U1560" i="1"/>
  <c r="U1562" i="1"/>
  <c r="U1563" i="1"/>
  <c r="U1564" i="1"/>
  <c r="U1565" i="1"/>
  <c r="U1566" i="1"/>
  <c r="U1567" i="1"/>
  <c r="U1568" i="1"/>
  <c r="U1569" i="1"/>
  <c r="U1570" i="1"/>
  <c r="U1571" i="1"/>
  <c r="U1572" i="1"/>
  <c r="U1574" i="1"/>
  <c r="U1575" i="1"/>
  <c r="U1576" i="1"/>
  <c r="U1577" i="1"/>
  <c r="U1578" i="1"/>
  <c r="U1579" i="1"/>
  <c r="U1580" i="1"/>
  <c r="U1581" i="1"/>
  <c r="U1582" i="1"/>
  <c r="U1583" i="1"/>
  <c r="U1584" i="1"/>
  <c r="U1586" i="1"/>
  <c r="U1587" i="1"/>
  <c r="U1588" i="1"/>
  <c r="U1589" i="1"/>
  <c r="U1590" i="1"/>
  <c r="U1591" i="1"/>
  <c r="U1592" i="1"/>
  <c r="U1593" i="1"/>
  <c r="U1594" i="1"/>
  <c r="U1595" i="1"/>
  <c r="U1596" i="1"/>
  <c r="U1598" i="1"/>
  <c r="U1599" i="1"/>
  <c r="U1600" i="1"/>
  <c r="U1601" i="1"/>
  <c r="U1602" i="1"/>
  <c r="U1603" i="1"/>
  <c r="U1604" i="1"/>
  <c r="U1605" i="1"/>
  <c r="U1606" i="1"/>
  <c r="U1607" i="1"/>
  <c r="U1608" i="1"/>
  <c r="U1610" i="1"/>
  <c r="U1611" i="1"/>
  <c r="U1612" i="1"/>
  <c r="U1613" i="1"/>
  <c r="U1614" i="1"/>
  <c r="U1615" i="1"/>
  <c r="U1616" i="1"/>
  <c r="U1617" i="1"/>
  <c r="U1618" i="1"/>
  <c r="U1619" i="1"/>
  <c r="U1620" i="1"/>
  <c r="U1622" i="1"/>
  <c r="U1623" i="1"/>
  <c r="U1624" i="1"/>
  <c r="U1625" i="1"/>
  <c r="U1626" i="1"/>
  <c r="U1627" i="1"/>
  <c r="U1628" i="1"/>
  <c r="U1629" i="1"/>
  <c r="U1630" i="1"/>
  <c r="U1631" i="1"/>
  <c r="U1632" i="1"/>
  <c r="U1634" i="1"/>
  <c r="U1635" i="1"/>
  <c r="U1636" i="1"/>
  <c r="U1637" i="1"/>
  <c r="U1638" i="1"/>
  <c r="U1639" i="1"/>
  <c r="U1640" i="1"/>
  <c r="U1641" i="1"/>
  <c r="U1642" i="1"/>
  <c r="U1643" i="1"/>
  <c r="U1644" i="1"/>
  <c r="U1646" i="1"/>
  <c r="U1647" i="1"/>
  <c r="U1648" i="1"/>
  <c r="U1649" i="1"/>
  <c r="U1650" i="1"/>
  <c r="U1651" i="1"/>
  <c r="U1652" i="1"/>
  <c r="U1653" i="1"/>
  <c r="U1654" i="1"/>
  <c r="U1655" i="1"/>
  <c r="U1656" i="1"/>
  <c r="U1658" i="1"/>
  <c r="U1659" i="1"/>
  <c r="U1660" i="1"/>
  <c r="U1661" i="1"/>
  <c r="U1662" i="1"/>
  <c r="U1663" i="1"/>
  <c r="U1664" i="1"/>
  <c r="U1665" i="1"/>
  <c r="U1666" i="1"/>
  <c r="U1667" i="1"/>
  <c r="U1668" i="1"/>
  <c r="U1670" i="1"/>
  <c r="U1671" i="1"/>
  <c r="U1672" i="1"/>
  <c r="U1673" i="1"/>
  <c r="U1674" i="1"/>
  <c r="U1675" i="1"/>
  <c r="U1676" i="1"/>
  <c r="U1677" i="1"/>
  <c r="U1678" i="1"/>
  <c r="U1679" i="1"/>
  <c r="U1680" i="1"/>
  <c r="U1682" i="1"/>
  <c r="U1683" i="1"/>
  <c r="U1684" i="1"/>
  <c r="U1685" i="1"/>
  <c r="U1686" i="1"/>
  <c r="U1687" i="1"/>
  <c r="U1688" i="1"/>
  <c r="U1689" i="1"/>
  <c r="U1690" i="1"/>
  <c r="U1691" i="1"/>
  <c r="U1692" i="1"/>
  <c r="U1694" i="1"/>
  <c r="U1695" i="1"/>
  <c r="U1696" i="1"/>
  <c r="U1697" i="1"/>
  <c r="U1698" i="1"/>
  <c r="U1699" i="1"/>
  <c r="U1700" i="1"/>
  <c r="U1701" i="1"/>
  <c r="U1702" i="1"/>
  <c r="U1703" i="1"/>
  <c r="U1704" i="1"/>
  <c r="U1706" i="1"/>
  <c r="U1707" i="1"/>
  <c r="U1708" i="1"/>
  <c r="U1709" i="1"/>
  <c r="U1710" i="1"/>
  <c r="U1711" i="1"/>
  <c r="U1712" i="1"/>
  <c r="U1713" i="1"/>
  <c r="U1714" i="1"/>
  <c r="U1715" i="1"/>
  <c r="U1716" i="1"/>
  <c r="U1718" i="1"/>
  <c r="U1719" i="1"/>
  <c r="U1720" i="1"/>
  <c r="U1721" i="1"/>
  <c r="U1722" i="1"/>
  <c r="U1723" i="1"/>
  <c r="U1724" i="1"/>
  <c r="U1725" i="1"/>
  <c r="U1726" i="1"/>
  <c r="U1727" i="1"/>
  <c r="U1728" i="1"/>
  <c r="U1730" i="1"/>
  <c r="U1731" i="1"/>
  <c r="U1732" i="1"/>
  <c r="U1733" i="1"/>
  <c r="U1734" i="1"/>
  <c r="U1735" i="1"/>
  <c r="U1736" i="1"/>
  <c r="U1737" i="1"/>
  <c r="U1738" i="1"/>
  <c r="U1739" i="1"/>
  <c r="U1740" i="1"/>
  <c r="U1742" i="1"/>
  <c r="U1743" i="1"/>
  <c r="U1744" i="1"/>
  <c r="U1745" i="1"/>
  <c r="U1746" i="1"/>
  <c r="U1747" i="1"/>
  <c r="U1748" i="1"/>
  <c r="U1749" i="1"/>
  <c r="U1750" i="1"/>
  <c r="U1751" i="1"/>
  <c r="U1752" i="1"/>
  <c r="U1754" i="1"/>
  <c r="U1755" i="1"/>
  <c r="U1756" i="1"/>
  <c r="U1757" i="1"/>
  <c r="U1758" i="1"/>
  <c r="U1759" i="1"/>
  <c r="U1760" i="1"/>
  <c r="U1761" i="1"/>
  <c r="U1762" i="1"/>
  <c r="U1763" i="1"/>
  <c r="U1764" i="1"/>
  <c r="U1766" i="1"/>
  <c r="U1767" i="1"/>
  <c r="U1768" i="1"/>
  <c r="U1769" i="1"/>
  <c r="U1770" i="1"/>
  <c r="U1771" i="1"/>
  <c r="U1772" i="1"/>
  <c r="U1773" i="1"/>
  <c r="U1774" i="1"/>
  <c r="U1775" i="1"/>
  <c r="U1776" i="1"/>
  <c r="U1778" i="1"/>
  <c r="U1779" i="1"/>
  <c r="U1780" i="1"/>
  <c r="U1781" i="1"/>
  <c r="U1782" i="1"/>
  <c r="U1783" i="1"/>
  <c r="U1784" i="1"/>
  <c r="U1785" i="1"/>
  <c r="U1786" i="1"/>
  <c r="U1787" i="1"/>
  <c r="U1788" i="1"/>
  <c r="U1790" i="1"/>
  <c r="U1791" i="1"/>
  <c r="U1792" i="1"/>
  <c r="U1793" i="1"/>
  <c r="U1794" i="1"/>
  <c r="U1795" i="1"/>
  <c r="U1796" i="1"/>
  <c r="U1797" i="1"/>
  <c r="U1798" i="1"/>
  <c r="U1799" i="1"/>
  <c r="U1800" i="1"/>
  <c r="U1802" i="1"/>
  <c r="U1803" i="1"/>
  <c r="U1804" i="1"/>
  <c r="U1805" i="1"/>
  <c r="U1806" i="1"/>
  <c r="U1807" i="1"/>
  <c r="U1808" i="1"/>
  <c r="U1809" i="1"/>
  <c r="U1810" i="1"/>
  <c r="U1811" i="1"/>
  <c r="U1812" i="1"/>
  <c r="U1814" i="1"/>
  <c r="U1815" i="1"/>
  <c r="U1816" i="1"/>
  <c r="U1817" i="1"/>
  <c r="U1818" i="1"/>
  <c r="U1819" i="1"/>
  <c r="U1820" i="1"/>
  <c r="U1821" i="1"/>
  <c r="U1822" i="1"/>
  <c r="U1823" i="1"/>
  <c r="U1824" i="1"/>
  <c r="U1826" i="1"/>
  <c r="U1827" i="1"/>
  <c r="U1828" i="1"/>
  <c r="U1829" i="1"/>
  <c r="U1830" i="1"/>
  <c r="U1831" i="1"/>
  <c r="U1832" i="1"/>
  <c r="U1833" i="1"/>
  <c r="U1834" i="1"/>
  <c r="U1835" i="1"/>
  <c r="U1836" i="1"/>
  <c r="U1838" i="1"/>
  <c r="U1839" i="1"/>
  <c r="U1840" i="1"/>
  <c r="U1841" i="1"/>
  <c r="U1842" i="1"/>
  <c r="U1843" i="1"/>
  <c r="U1844" i="1"/>
  <c r="U1845" i="1"/>
  <c r="U1846" i="1"/>
  <c r="U1847" i="1"/>
  <c r="U1848" i="1"/>
  <c r="U1850" i="1"/>
  <c r="U1851" i="1"/>
  <c r="U1852" i="1"/>
  <c r="U1853" i="1"/>
  <c r="U1854" i="1"/>
  <c r="U1855" i="1"/>
  <c r="U1856" i="1"/>
  <c r="U1857" i="1"/>
  <c r="U1858" i="1"/>
  <c r="U1859" i="1"/>
  <c r="U1860" i="1"/>
  <c r="U1862" i="1"/>
  <c r="U1863" i="1"/>
  <c r="U1864" i="1"/>
  <c r="U1865" i="1"/>
  <c r="U1866" i="1"/>
  <c r="U1867" i="1"/>
  <c r="U1868" i="1"/>
  <c r="U1869" i="1"/>
  <c r="U1870" i="1"/>
  <c r="U1871" i="1"/>
  <c r="U1872" i="1"/>
  <c r="U1874" i="1"/>
  <c r="U1875" i="1"/>
  <c r="U1876" i="1"/>
  <c r="U1877" i="1"/>
  <c r="U1878" i="1"/>
  <c r="U1879" i="1"/>
  <c r="U1880" i="1"/>
  <c r="U1881" i="1"/>
  <c r="U1882" i="1"/>
  <c r="U1883" i="1"/>
  <c r="U1884" i="1"/>
  <c r="U1886" i="1"/>
  <c r="U1887" i="1"/>
  <c r="U1888" i="1"/>
  <c r="U1889" i="1"/>
  <c r="U1890" i="1"/>
  <c r="U1891" i="1"/>
  <c r="U1892" i="1"/>
  <c r="U1893" i="1"/>
  <c r="U1894" i="1"/>
  <c r="U1895" i="1"/>
  <c r="U1896" i="1"/>
  <c r="U1898" i="1"/>
  <c r="U1899" i="1"/>
  <c r="U1900" i="1"/>
  <c r="U1901" i="1"/>
  <c r="U1902" i="1"/>
  <c r="U1903" i="1"/>
  <c r="U1904" i="1"/>
  <c r="U1905" i="1"/>
  <c r="U1906" i="1"/>
  <c r="U1907" i="1"/>
  <c r="U1908" i="1"/>
  <c r="U1910" i="1"/>
  <c r="U1911" i="1"/>
  <c r="U1912" i="1"/>
  <c r="U1913" i="1"/>
  <c r="U1914" i="1"/>
  <c r="U1915" i="1"/>
  <c r="U1916" i="1"/>
  <c r="U1917" i="1"/>
  <c r="U1918" i="1"/>
  <c r="U1919" i="1"/>
  <c r="U1920" i="1"/>
  <c r="U1922" i="1"/>
  <c r="U1923" i="1"/>
  <c r="U1924" i="1"/>
  <c r="U1925" i="1"/>
  <c r="U1926" i="1"/>
  <c r="U1927" i="1"/>
  <c r="U1928" i="1"/>
  <c r="U1929" i="1"/>
  <c r="U1930" i="1"/>
  <c r="U1931" i="1"/>
  <c r="U1932" i="1"/>
  <c r="U1934" i="1"/>
  <c r="U1935" i="1"/>
  <c r="U1936" i="1"/>
  <c r="U1937" i="1"/>
  <c r="U1938" i="1"/>
  <c r="U1939" i="1"/>
  <c r="U1940" i="1"/>
  <c r="U1941" i="1"/>
  <c r="U1942" i="1"/>
  <c r="U1943" i="1"/>
  <c r="U1944" i="1"/>
  <c r="U1946" i="1"/>
  <c r="U1947" i="1"/>
  <c r="U1948" i="1"/>
  <c r="U1949" i="1"/>
  <c r="U1950" i="1"/>
  <c r="U1951" i="1"/>
  <c r="U1952" i="1"/>
  <c r="U1953" i="1"/>
  <c r="U1954" i="1"/>
  <c r="U1955" i="1"/>
  <c r="U1956" i="1"/>
  <c r="U1958" i="1"/>
  <c r="U1959" i="1"/>
  <c r="U1960" i="1"/>
  <c r="U1961" i="1"/>
  <c r="U1962" i="1"/>
  <c r="U1963" i="1"/>
  <c r="U1964" i="1"/>
  <c r="U1965" i="1"/>
  <c r="U1966" i="1"/>
  <c r="U1967" i="1"/>
  <c r="U1968" i="1"/>
  <c r="U1970" i="1"/>
  <c r="U1971" i="1"/>
  <c r="U1972" i="1"/>
  <c r="U1973" i="1"/>
  <c r="U1974" i="1"/>
  <c r="U1975" i="1"/>
  <c r="U1976" i="1"/>
  <c r="U1977" i="1"/>
  <c r="U1978" i="1"/>
  <c r="U1979" i="1"/>
  <c r="U1980" i="1"/>
  <c r="U1982" i="1"/>
  <c r="U1983" i="1"/>
  <c r="U1984" i="1"/>
  <c r="U1985" i="1"/>
  <c r="U1986" i="1"/>
  <c r="U1987" i="1"/>
  <c r="U1988" i="1"/>
  <c r="U1989" i="1"/>
  <c r="U1990" i="1"/>
  <c r="U1991" i="1"/>
  <c r="U1992" i="1"/>
  <c r="U1994" i="1"/>
  <c r="U1995" i="1"/>
  <c r="U1996" i="1"/>
  <c r="U1997" i="1"/>
  <c r="U1998" i="1"/>
  <c r="U1999" i="1"/>
  <c r="U2000" i="1"/>
  <c r="U2001" i="1"/>
  <c r="U2002" i="1"/>
  <c r="U2003" i="1"/>
  <c r="U2004" i="1"/>
  <c r="U2006" i="1"/>
  <c r="U2007" i="1"/>
  <c r="U2008" i="1"/>
  <c r="U2009" i="1"/>
  <c r="U2010" i="1"/>
  <c r="U2011" i="1"/>
  <c r="U2012" i="1"/>
  <c r="U2013" i="1"/>
  <c r="U2014" i="1"/>
  <c r="U2015" i="1"/>
  <c r="U2016" i="1"/>
  <c r="U2018" i="1"/>
  <c r="U2019" i="1"/>
  <c r="U2020" i="1"/>
  <c r="U2021" i="1"/>
  <c r="U2022" i="1"/>
  <c r="U2023" i="1"/>
  <c r="U2024" i="1"/>
  <c r="U2025" i="1"/>
  <c r="U2026" i="1"/>
  <c r="U2027" i="1"/>
  <c r="U2028" i="1"/>
  <c r="U2030" i="1"/>
  <c r="U2031" i="1"/>
  <c r="U2032" i="1"/>
  <c r="U2033" i="1"/>
  <c r="U2034" i="1"/>
  <c r="U2035" i="1"/>
  <c r="U2036" i="1"/>
  <c r="U2037" i="1"/>
  <c r="U2038" i="1"/>
  <c r="U2039" i="1"/>
  <c r="U2040" i="1"/>
  <c r="U2042" i="1"/>
  <c r="U2043" i="1"/>
  <c r="U2044" i="1"/>
  <c r="U2045" i="1"/>
  <c r="U2046" i="1"/>
  <c r="U2047" i="1"/>
  <c r="U2048" i="1"/>
  <c r="U2049" i="1"/>
  <c r="U2050" i="1"/>
  <c r="U2051" i="1"/>
  <c r="U2052" i="1"/>
  <c r="U2054" i="1"/>
  <c r="U2055" i="1"/>
  <c r="U2056" i="1"/>
  <c r="U2057" i="1"/>
  <c r="U2058" i="1"/>
  <c r="U2059" i="1"/>
  <c r="U2060" i="1"/>
  <c r="U2061" i="1"/>
  <c r="U2062" i="1"/>
  <c r="U2063" i="1"/>
  <c r="U2064" i="1"/>
  <c r="U2066" i="1"/>
  <c r="U2067" i="1"/>
  <c r="U2068" i="1"/>
  <c r="U2069" i="1"/>
  <c r="U2070" i="1"/>
  <c r="U2071" i="1"/>
  <c r="U2072" i="1"/>
  <c r="U2073" i="1"/>
  <c r="U2074" i="1"/>
  <c r="U2075" i="1"/>
  <c r="U2076" i="1"/>
  <c r="U2078" i="1"/>
  <c r="U2079" i="1"/>
  <c r="U2080" i="1"/>
  <c r="U2081" i="1"/>
  <c r="U2082" i="1"/>
  <c r="U2083" i="1"/>
  <c r="U2084" i="1"/>
  <c r="U2085" i="1"/>
  <c r="U2086" i="1"/>
  <c r="U2087" i="1"/>
  <c r="U2088" i="1"/>
  <c r="U2090" i="1"/>
  <c r="U2091" i="1"/>
  <c r="U2092" i="1"/>
  <c r="U2093" i="1"/>
  <c r="U2094" i="1"/>
  <c r="U2095" i="1"/>
  <c r="U2096" i="1"/>
  <c r="U2097" i="1"/>
  <c r="U2098" i="1"/>
  <c r="U2099" i="1"/>
  <c r="U2100" i="1"/>
  <c r="U2102" i="1"/>
  <c r="U2103" i="1"/>
  <c r="U2104" i="1"/>
  <c r="U2105" i="1"/>
  <c r="U2106" i="1"/>
  <c r="U2107" i="1"/>
  <c r="U2108" i="1"/>
  <c r="U2109" i="1"/>
  <c r="U2110" i="1"/>
  <c r="U2111" i="1"/>
  <c r="U2112" i="1"/>
  <c r="U2114" i="1"/>
  <c r="U2115" i="1"/>
  <c r="U2116" i="1"/>
  <c r="U2117" i="1"/>
  <c r="U2118" i="1"/>
  <c r="U2119" i="1"/>
  <c r="U2120" i="1"/>
  <c r="U2121" i="1"/>
  <c r="U2122" i="1"/>
  <c r="U2123" i="1"/>
  <c r="U2124" i="1"/>
  <c r="U2126" i="1"/>
  <c r="U2127" i="1"/>
  <c r="U2128" i="1"/>
  <c r="U2129" i="1"/>
  <c r="U2130" i="1"/>
  <c r="U2131" i="1"/>
  <c r="U2132" i="1"/>
  <c r="U2133" i="1"/>
  <c r="U2134" i="1"/>
  <c r="U2135" i="1"/>
  <c r="U2136" i="1"/>
  <c r="U2138" i="1"/>
  <c r="U2139" i="1"/>
  <c r="U2140" i="1"/>
  <c r="U2141" i="1"/>
  <c r="U2142" i="1"/>
  <c r="U2143" i="1"/>
  <c r="U2144" i="1"/>
  <c r="U2145" i="1"/>
  <c r="U2146" i="1"/>
  <c r="U2147" i="1"/>
  <c r="U2148" i="1"/>
  <c r="U2150" i="1"/>
  <c r="U2151" i="1"/>
  <c r="U2152" i="1"/>
  <c r="U2153" i="1"/>
  <c r="U2154" i="1"/>
  <c r="U2155" i="1"/>
  <c r="U2156" i="1"/>
  <c r="U2157" i="1"/>
  <c r="U2158" i="1"/>
  <c r="U2159" i="1"/>
  <c r="U2160" i="1"/>
  <c r="U2162" i="1"/>
  <c r="U2163" i="1"/>
  <c r="U2164" i="1"/>
  <c r="U2165" i="1"/>
  <c r="U2166" i="1"/>
  <c r="U2167" i="1"/>
  <c r="U2168" i="1"/>
  <c r="U2169" i="1"/>
  <c r="U2170" i="1"/>
  <c r="U2171" i="1"/>
  <c r="U2172" i="1"/>
  <c r="U2174" i="1"/>
  <c r="U2175" i="1"/>
  <c r="U2176" i="1"/>
  <c r="U2177" i="1"/>
  <c r="U2178" i="1"/>
  <c r="U2179" i="1"/>
  <c r="U2180" i="1"/>
  <c r="U2181" i="1"/>
  <c r="U2182" i="1"/>
  <c r="U2183" i="1"/>
  <c r="U2184" i="1"/>
  <c r="U2186" i="1"/>
  <c r="U2187" i="1"/>
  <c r="U2188" i="1"/>
  <c r="U2189" i="1"/>
  <c r="U2190" i="1"/>
  <c r="U2191" i="1"/>
  <c r="U2192" i="1"/>
  <c r="U2193" i="1"/>
  <c r="U2194" i="1"/>
  <c r="U2195" i="1"/>
  <c r="U2196" i="1"/>
  <c r="U2198" i="1"/>
  <c r="U2199" i="1"/>
  <c r="U2200" i="1"/>
  <c r="U2201" i="1"/>
  <c r="U2202" i="1"/>
  <c r="U2203" i="1"/>
  <c r="U2204" i="1"/>
  <c r="U2205" i="1"/>
  <c r="U2206" i="1"/>
  <c r="U2207" i="1"/>
  <c r="U2208" i="1"/>
  <c r="U2210" i="1"/>
  <c r="U2211" i="1"/>
  <c r="U2212" i="1"/>
  <c r="U2213" i="1"/>
  <c r="U2214" i="1"/>
  <c r="U2215" i="1"/>
  <c r="U2216" i="1"/>
  <c r="U2217" i="1"/>
  <c r="U2218" i="1"/>
  <c r="U2219" i="1"/>
  <c r="U2220" i="1"/>
  <c r="U2222" i="1"/>
  <c r="U2223" i="1"/>
  <c r="U2224" i="1"/>
  <c r="U2225" i="1"/>
  <c r="U2226" i="1"/>
  <c r="U2227" i="1"/>
  <c r="U2228" i="1"/>
  <c r="U2229" i="1"/>
  <c r="U2230" i="1"/>
  <c r="U2231" i="1"/>
  <c r="U2232" i="1"/>
  <c r="U2234" i="1"/>
  <c r="U2235" i="1"/>
  <c r="U2236" i="1"/>
  <c r="U2237" i="1"/>
  <c r="U2238" i="1"/>
  <c r="U2239" i="1"/>
  <c r="U2240" i="1"/>
  <c r="U2241" i="1"/>
  <c r="U2242" i="1"/>
  <c r="U2243" i="1"/>
  <c r="U2244" i="1"/>
  <c r="U2246" i="1"/>
  <c r="U2247" i="1"/>
  <c r="U2248" i="1"/>
  <c r="U2249" i="1"/>
  <c r="U2250" i="1"/>
  <c r="U2251" i="1"/>
  <c r="U2252" i="1"/>
  <c r="U2253" i="1"/>
  <c r="U2254" i="1"/>
  <c r="U2255" i="1"/>
  <c r="U2256" i="1"/>
  <c r="U2258" i="1"/>
  <c r="U2259" i="1"/>
  <c r="U2260" i="1"/>
  <c r="U2261" i="1"/>
  <c r="U2262" i="1"/>
  <c r="U2263" i="1"/>
  <c r="U2264" i="1"/>
  <c r="U2265" i="1"/>
  <c r="U2266" i="1"/>
  <c r="U2267" i="1"/>
  <c r="U2268" i="1"/>
  <c r="U2270" i="1"/>
  <c r="U2271" i="1"/>
  <c r="U2272" i="1"/>
  <c r="U2273" i="1"/>
  <c r="U2274" i="1"/>
  <c r="U2275" i="1"/>
  <c r="U2276" i="1"/>
  <c r="U2277" i="1"/>
  <c r="U2278" i="1"/>
  <c r="U2279" i="1"/>
  <c r="U2280" i="1"/>
  <c r="U2282" i="1"/>
  <c r="U2283" i="1"/>
  <c r="U2284" i="1"/>
  <c r="U2285" i="1"/>
  <c r="U2286" i="1"/>
  <c r="U2287" i="1"/>
  <c r="U2288" i="1"/>
  <c r="U2289" i="1"/>
  <c r="U2290" i="1"/>
  <c r="U2291" i="1"/>
  <c r="U2292" i="1"/>
  <c r="U2294" i="1"/>
  <c r="U2295" i="1"/>
  <c r="U2296" i="1"/>
  <c r="U2297" i="1"/>
  <c r="U2298" i="1"/>
  <c r="U2299" i="1"/>
  <c r="U2300" i="1"/>
  <c r="U2301" i="1"/>
  <c r="U2302" i="1"/>
  <c r="U2303" i="1"/>
  <c r="U2304" i="1"/>
  <c r="U2306" i="1"/>
  <c r="U2307" i="1"/>
  <c r="U2308" i="1"/>
  <c r="U2309" i="1"/>
  <c r="U2310" i="1"/>
  <c r="U2311" i="1"/>
  <c r="U2312" i="1"/>
  <c r="U2313" i="1"/>
  <c r="U2314" i="1"/>
  <c r="U2315" i="1"/>
  <c r="U2316" i="1"/>
  <c r="U2318" i="1"/>
  <c r="U2319" i="1"/>
  <c r="U2320" i="1"/>
  <c r="U2321" i="1"/>
  <c r="U2322" i="1"/>
  <c r="U2323" i="1"/>
  <c r="U2324" i="1"/>
  <c r="U2325" i="1"/>
  <c r="U2326" i="1"/>
  <c r="U2327" i="1"/>
  <c r="U2328" i="1"/>
  <c r="U2330" i="1"/>
  <c r="U2331" i="1"/>
  <c r="U2332" i="1"/>
  <c r="U2333" i="1"/>
  <c r="U2334" i="1"/>
  <c r="U2335" i="1"/>
  <c r="U2336" i="1"/>
  <c r="U2337" i="1"/>
  <c r="U2338" i="1"/>
  <c r="U2339" i="1"/>
  <c r="U2340" i="1"/>
  <c r="U2342" i="1"/>
  <c r="U2343" i="1"/>
  <c r="U2344" i="1"/>
  <c r="U2345" i="1"/>
  <c r="U2346" i="1"/>
  <c r="U2347" i="1"/>
  <c r="U2348" i="1"/>
  <c r="U2349" i="1"/>
  <c r="U2350" i="1"/>
  <c r="U2351" i="1"/>
  <c r="U2352" i="1"/>
  <c r="U2354" i="1"/>
  <c r="U2355" i="1"/>
  <c r="U2356" i="1"/>
  <c r="U2357" i="1"/>
  <c r="U2358" i="1"/>
  <c r="U2359" i="1"/>
  <c r="U2360" i="1"/>
  <c r="U2361" i="1"/>
  <c r="U2362" i="1"/>
  <c r="U2363" i="1"/>
  <c r="U2364" i="1"/>
  <c r="U2366" i="1"/>
  <c r="U2367" i="1"/>
  <c r="U2368" i="1"/>
  <c r="U2369" i="1"/>
  <c r="U2370" i="1"/>
  <c r="U2371" i="1"/>
  <c r="U2372" i="1"/>
  <c r="U2373" i="1"/>
  <c r="U2374" i="1"/>
  <c r="U2375" i="1"/>
  <c r="U2376" i="1"/>
  <c r="U2378" i="1"/>
  <c r="U2379" i="1"/>
  <c r="U2380" i="1"/>
  <c r="U2381" i="1"/>
  <c r="U2382" i="1"/>
  <c r="U2383" i="1"/>
  <c r="U2384" i="1"/>
  <c r="U2385" i="1"/>
  <c r="U2386" i="1"/>
  <c r="U2387" i="1"/>
  <c r="U2388" i="1"/>
  <c r="U2390" i="1"/>
  <c r="U2391" i="1"/>
  <c r="U2392" i="1"/>
  <c r="U2393" i="1"/>
  <c r="U2394" i="1"/>
  <c r="U2395" i="1"/>
  <c r="U2396" i="1"/>
  <c r="U2397" i="1"/>
  <c r="U2398" i="1"/>
  <c r="U2399" i="1"/>
  <c r="U2400" i="1"/>
  <c r="U2402" i="1"/>
  <c r="U2403" i="1"/>
  <c r="U2404" i="1"/>
  <c r="U2405" i="1"/>
  <c r="U2406" i="1"/>
  <c r="U2407" i="1"/>
  <c r="U2408" i="1"/>
  <c r="U2409" i="1"/>
  <c r="U2410" i="1"/>
  <c r="U2411" i="1"/>
  <c r="U2412" i="1"/>
  <c r="U2414" i="1"/>
  <c r="U2415" i="1"/>
  <c r="U2416" i="1"/>
  <c r="U2417" i="1"/>
  <c r="U2418" i="1"/>
  <c r="U2419" i="1"/>
  <c r="U2420" i="1"/>
  <c r="U2421" i="1"/>
  <c r="U2422" i="1"/>
  <c r="U2423" i="1"/>
  <c r="U2424" i="1"/>
  <c r="U2426" i="1"/>
  <c r="U2427" i="1"/>
  <c r="U2428" i="1"/>
  <c r="U2429" i="1"/>
  <c r="U2430" i="1"/>
  <c r="U2431" i="1"/>
  <c r="U2432" i="1"/>
  <c r="U2433" i="1"/>
  <c r="U2434" i="1"/>
  <c r="U2435" i="1"/>
  <c r="U2436" i="1"/>
  <c r="U2438" i="1"/>
  <c r="U2439" i="1"/>
  <c r="U2440" i="1"/>
  <c r="U2441" i="1"/>
  <c r="U2442" i="1"/>
  <c r="U2443" i="1"/>
  <c r="U2444" i="1"/>
  <c r="U2445" i="1"/>
  <c r="U2446" i="1"/>
  <c r="U2447" i="1"/>
  <c r="U2448" i="1"/>
  <c r="U2450" i="1"/>
  <c r="U2451" i="1"/>
  <c r="U2452" i="1"/>
  <c r="U2453" i="1"/>
  <c r="U2454" i="1"/>
  <c r="U2455" i="1"/>
  <c r="U2456" i="1"/>
  <c r="U2457" i="1"/>
  <c r="U2458" i="1"/>
  <c r="U2459" i="1"/>
  <c r="U2460" i="1"/>
  <c r="U2462" i="1"/>
  <c r="U2463" i="1"/>
  <c r="U2464" i="1"/>
  <c r="U2465" i="1"/>
  <c r="U2466" i="1"/>
  <c r="U2467" i="1"/>
  <c r="U2468" i="1"/>
  <c r="U2469" i="1"/>
  <c r="U2470" i="1"/>
  <c r="U2471" i="1"/>
  <c r="U2472" i="1"/>
  <c r="U2474" i="1"/>
  <c r="U2475" i="1"/>
  <c r="U2476" i="1"/>
  <c r="U2477" i="1"/>
  <c r="U2478" i="1"/>
  <c r="U2479" i="1"/>
  <c r="U2480" i="1"/>
  <c r="U2481" i="1"/>
  <c r="U2482" i="1"/>
  <c r="U2483" i="1"/>
  <c r="U2484" i="1"/>
  <c r="U2486" i="1"/>
  <c r="U2487" i="1"/>
  <c r="U2488" i="1"/>
  <c r="U2489" i="1"/>
  <c r="U2490" i="1"/>
  <c r="U2491" i="1"/>
  <c r="U2492" i="1"/>
  <c r="U2493" i="1"/>
  <c r="U2494" i="1"/>
  <c r="U2495" i="1"/>
  <c r="U2496" i="1"/>
  <c r="U2498" i="1"/>
  <c r="U2499" i="1"/>
  <c r="U2500" i="1"/>
  <c r="U25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O2" i="1" a="1"/>
  <c r="O2" i="1" s="1"/>
  <c r="O3" i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464" i="1" a="1"/>
  <c r="O464" i="1" s="1"/>
  <c r="O465" i="1" a="1"/>
  <c r="O465" i="1" s="1"/>
  <c r="O466" i="1" a="1"/>
  <c r="O466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6" i="1" a="1"/>
  <c r="O496" i="1" s="1"/>
  <c r="O497" i="1" a="1"/>
  <c r="O497" i="1" s="1"/>
  <c r="O498" i="1" a="1"/>
  <c r="O498" i="1" s="1"/>
  <c r="O499" i="1" a="1"/>
  <c r="O499" i="1" s="1"/>
  <c r="O500" i="1" a="1"/>
  <c r="O500" i="1" s="1"/>
  <c r="O501" i="1" a="1"/>
  <c r="O501" i="1" s="1"/>
  <c r="O502" i="1" a="1"/>
  <c r="O502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0" i="1" a="1"/>
  <c r="O510" i="1" s="1"/>
  <c r="O511" i="1" a="1"/>
  <c r="O511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557" i="1" a="1"/>
  <c r="O557" i="1" s="1"/>
  <c r="O558" i="1" a="1"/>
  <c r="O558" i="1" s="1"/>
  <c r="O559" i="1" a="1"/>
  <c r="O559" i="1" s="1"/>
  <c r="O560" i="1" a="1"/>
  <c r="O560" i="1" s="1"/>
  <c r="O561" i="1" a="1"/>
  <c r="O561" i="1" s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O569" i="1" a="1"/>
  <c r="O569" i="1" s="1"/>
  <c r="O570" i="1" a="1"/>
  <c r="O570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587" i="1" a="1"/>
  <c r="O587" i="1" s="1"/>
  <c r="O588" i="1" a="1"/>
  <c r="O588" i="1" s="1"/>
  <c r="O589" i="1" a="1"/>
  <c r="O589" i="1" s="1"/>
  <c r="O590" i="1" a="1"/>
  <c r="O590" i="1" s="1"/>
  <c r="O591" i="1" a="1"/>
  <c r="O591" i="1" s="1"/>
  <c r="O592" i="1" a="1"/>
  <c r="O592" i="1" s="1"/>
  <c r="O593" i="1" a="1"/>
  <c r="O593" i="1" s="1"/>
  <c r="O594" i="1" a="1"/>
  <c r="O594" i="1" s="1"/>
  <c r="O595" i="1" a="1"/>
  <c r="O595" i="1" s="1"/>
  <c r="O596" i="1" a="1"/>
  <c r="O596" i="1" s="1"/>
  <c r="O597" i="1" a="1"/>
  <c r="O597" i="1" s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O622" i="1" a="1"/>
  <c r="O622" i="1" s="1"/>
  <c r="O623" i="1" a="1"/>
  <c r="O623" i="1" s="1"/>
  <c r="O624" i="1" a="1"/>
  <c r="O624" i="1" s="1"/>
  <c r="O625" i="1" a="1"/>
  <c r="O625" i="1" s="1"/>
  <c r="O626" i="1" a="1"/>
  <c r="O626" i="1" s="1"/>
  <c r="O627" i="1" a="1"/>
  <c r="O627" i="1" s="1"/>
  <c r="O628" i="1" a="1"/>
  <c r="O628" i="1" s="1"/>
  <c r="O629" i="1" a="1"/>
  <c r="O629" i="1" s="1"/>
  <c r="O630" i="1" a="1"/>
  <c r="O630" i="1" s="1"/>
  <c r="O631" i="1" a="1"/>
  <c r="O631" i="1" s="1"/>
  <c r="O632" i="1" a="1"/>
  <c r="O632" i="1" s="1"/>
  <c r="O633" i="1" a="1"/>
  <c r="O633" i="1" s="1"/>
  <c r="O634" i="1" a="1"/>
  <c r="O634" i="1" s="1"/>
  <c r="O635" i="1" a="1"/>
  <c r="O635" i="1" s="1"/>
  <c r="O636" i="1" a="1"/>
  <c r="O636" i="1" s="1"/>
  <c r="O637" i="1" a="1"/>
  <c r="O637" i="1" s="1"/>
  <c r="O638" i="1" a="1"/>
  <c r="O638" i="1" s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 s="1"/>
  <c r="O684" i="1" a="1"/>
  <c r="O684" i="1" s="1"/>
  <c r="O685" i="1" a="1"/>
  <c r="O685" i="1" s="1"/>
  <c r="O686" i="1" a="1"/>
  <c r="O686" i="1" s="1"/>
  <c r="O687" i="1" a="1"/>
  <c r="O687" i="1" s="1"/>
  <c r="O688" i="1" a="1"/>
  <c r="O688" i="1" s="1"/>
  <c r="O689" i="1" a="1"/>
  <c r="O689" i="1" s="1"/>
  <c r="O690" i="1" a="1"/>
  <c r="O690" i="1" s="1"/>
  <c r="O691" i="1" a="1"/>
  <c r="O691" i="1" s="1"/>
  <c r="O692" i="1" a="1"/>
  <c r="O692" i="1" s="1"/>
  <c r="O693" i="1" a="1"/>
  <c r="O693" i="1" s="1"/>
  <c r="O694" i="1" a="1"/>
  <c r="O694" i="1" s="1"/>
  <c r="O695" i="1" a="1"/>
  <c r="O695" i="1" s="1"/>
  <c r="O696" i="1" a="1"/>
  <c r="O696" i="1" s="1"/>
  <c r="O697" i="1" a="1"/>
  <c r="O697" i="1" s="1"/>
  <c r="O698" i="1" a="1"/>
  <c r="O698" i="1" s="1"/>
  <c r="O699" i="1" a="1"/>
  <c r="O699" i="1" s="1"/>
  <c r="O700" i="1" a="1"/>
  <c r="O700" i="1" s="1"/>
  <c r="O701" i="1" a="1"/>
  <c r="O701" i="1" s="1"/>
  <c r="O702" i="1" a="1"/>
  <c r="O702" i="1" s="1"/>
  <c r="O703" i="1" a="1"/>
  <c r="O703" i="1" s="1"/>
  <c r="O704" i="1" a="1"/>
  <c r="O704" i="1" s="1"/>
  <c r="O705" i="1" a="1"/>
  <c r="O705" i="1" s="1"/>
  <c r="O706" i="1" a="1"/>
  <c r="O706" i="1" s="1"/>
  <c r="O707" i="1" a="1"/>
  <c r="O707" i="1" s="1"/>
  <c r="O708" i="1" a="1"/>
  <c r="O708" i="1" s="1"/>
  <c r="O709" i="1" a="1"/>
  <c r="O709" i="1" s="1"/>
  <c r="O710" i="1" a="1"/>
  <c r="O710" i="1" s="1"/>
  <c r="O711" i="1" a="1"/>
  <c r="O711" i="1" s="1"/>
  <c r="O712" i="1" a="1"/>
  <c r="O712" i="1" s="1"/>
  <c r="O713" i="1" a="1"/>
  <c r="O713" i="1" s="1"/>
  <c r="O714" i="1" a="1"/>
  <c r="O714" i="1" s="1"/>
  <c r="O715" i="1" a="1"/>
  <c r="O715" i="1" s="1"/>
  <c r="O716" i="1" a="1"/>
  <c r="O716" i="1" s="1"/>
  <c r="O717" i="1" a="1"/>
  <c r="O717" i="1" s="1"/>
  <c r="O718" i="1" a="1"/>
  <c r="O718" i="1" s="1"/>
  <c r="O719" i="1" a="1"/>
  <c r="O719" i="1" s="1"/>
  <c r="O720" i="1" a="1"/>
  <c r="O720" i="1" s="1"/>
  <c r="O721" i="1" a="1"/>
  <c r="O721" i="1" s="1"/>
  <c r="O722" i="1" a="1"/>
  <c r="O722" i="1" s="1"/>
  <c r="O723" i="1" a="1"/>
  <c r="O723" i="1" s="1"/>
  <c r="O724" i="1" a="1"/>
  <c r="O724" i="1" s="1"/>
  <c r="O725" i="1" a="1"/>
  <c r="O725" i="1" s="1"/>
  <c r="O726" i="1" a="1"/>
  <c r="O726" i="1" s="1"/>
  <c r="O727" i="1" a="1"/>
  <c r="O727" i="1" s="1"/>
  <c r="O728" i="1" a="1"/>
  <c r="O728" i="1" s="1"/>
  <c r="O729" i="1" a="1"/>
  <c r="O729" i="1" s="1"/>
  <c r="O730" i="1" a="1"/>
  <c r="O730" i="1" s="1"/>
  <c r="O731" i="1" a="1"/>
  <c r="O731" i="1" s="1"/>
  <c r="O732" i="1" a="1"/>
  <c r="O732" i="1" s="1"/>
  <c r="O733" i="1" a="1"/>
  <c r="O733" i="1" s="1"/>
  <c r="O734" i="1" a="1"/>
  <c r="O734" i="1" s="1"/>
  <c r="O735" i="1" a="1"/>
  <c r="O735" i="1" s="1"/>
  <c r="O736" i="1" a="1"/>
  <c r="O736" i="1" s="1"/>
  <c r="O737" i="1" a="1"/>
  <c r="O737" i="1" s="1"/>
  <c r="O738" i="1" a="1"/>
  <c r="O738" i="1" s="1"/>
  <c r="O739" i="1" a="1"/>
  <c r="O739" i="1" s="1"/>
  <c r="O740" i="1" a="1"/>
  <c r="O740" i="1" s="1"/>
  <c r="O741" i="1" a="1"/>
  <c r="O741" i="1" s="1"/>
  <c r="O742" i="1" a="1"/>
  <c r="O742" i="1" s="1"/>
  <c r="O743" i="1" a="1"/>
  <c r="O743" i="1" s="1"/>
  <c r="O744" i="1" a="1"/>
  <c r="O744" i="1" s="1"/>
  <c r="O745" i="1" a="1"/>
  <c r="O745" i="1" s="1"/>
  <c r="O746" i="1" a="1"/>
  <c r="O746" i="1" s="1"/>
  <c r="O747" i="1" a="1"/>
  <c r="O747" i="1" s="1"/>
  <c r="O748" i="1" a="1"/>
  <c r="O748" i="1" s="1"/>
  <c r="O749" i="1" a="1"/>
  <c r="O749" i="1" s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 s="1"/>
  <c r="O761" i="1" a="1"/>
  <c r="O761" i="1" s="1"/>
  <c r="O762" i="1" a="1"/>
  <c r="O762" i="1" s="1"/>
  <c r="O763" i="1" a="1"/>
  <c r="O763" i="1" s="1"/>
  <c r="O764" i="1" a="1"/>
  <c r="O764" i="1" s="1"/>
  <c r="O765" i="1" a="1"/>
  <c r="O765" i="1" s="1"/>
  <c r="O766" i="1" a="1"/>
  <c r="O766" i="1" s="1"/>
  <c r="O767" i="1" a="1"/>
  <c r="O767" i="1" s="1"/>
  <c r="O768" i="1" a="1"/>
  <c r="O768" i="1" s="1"/>
  <c r="O769" i="1" a="1"/>
  <c r="O769" i="1" s="1"/>
  <c r="O770" i="1" a="1"/>
  <c r="O770" i="1" s="1"/>
  <c r="O771" i="1" a="1"/>
  <c r="O771" i="1" s="1"/>
  <c r="O772" i="1" a="1"/>
  <c r="O772" i="1" s="1"/>
  <c r="O773" i="1" a="1"/>
  <c r="O773" i="1" s="1"/>
  <c r="O774" i="1" a="1"/>
  <c r="O774" i="1" s="1"/>
  <c r="O775" i="1" a="1"/>
  <c r="O775" i="1" s="1"/>
  <c r="O776" i="1" a="1"/>
  <c r="O776" i="1" s="1"/>
  <c r="O777" i="1" a="1"/>
  <c r="O777" i="1" s="1"/>
  <c r="O778" i="1" a="1"/>
  <c r="O778" i="1" s="1"/>
  <c r="O779" i="1" a="1"/>
  <c r="O779" i="1" s="1"/>
  <c r="O780" i="1" a="1"/>
  <c r="O780" i="1" s="1"/>
  <c r="O781" i="1" a="1"/>
  <c r="O781" i="1" s="1"/>
  <c r="O782" i="1" a="1"/>
  <c r="O782" i="1" s="1"/>
  <c r="O783" i="1" a="1"/>
  <c r="O783" i="1" s="1"/>
  <c r="O784" i="1" a="1"/>
  <c r="O784" i="1" s="1"/>
  <c r="O785" i="1" a="1"/>
  <c r="O785" i="1" s="1"/>
  <c r="O786" i="1" a="1"/>
  <c r="O786" i="1" s="1"/>
  <c r="O787" i="1" a="1"/>
  <c r="O787" i="1" s="1"/>
  <c r="O788" i="1" a="1"/>
  <c r="O788" i="1" s="1"/>
  <c r="O789" i="1" a="1"/>
  <c r="O789" i="1" s="1"/>
  <c r="O790" i="1" a="1"/>
  <c r="O790" i="1" s="1"/>
  <c r="O791" i="1" a="1"/>
  <c r="O791" i="1" s="1"/>
  <c r="O792" i="1" a="1"/>
  <c r="O792" i="1" s="1"/>
  <c r="O793" i="1" a="1"/>
  <c r="O793" i="1" s="1"/>
  <c r="O794" i="1" a="1"/>
  <c r="O794" i="1" s="1"/>
  <c r="O795" i="1" a="1"/>
  <c r="O795" i="1" s="1"/>
  <c r="O796" i="1" a="1"/>
  <c r="O796" i="1" s="1"/>
  <c r="O797" i="1" a="1"/>
  <c r="O797" i="1" s="1"/>
  <c r="O798" i="1" a="1"/>
  <c r="O798" i="1" s="1"/>
  <c r="O799" i="1" a="1"/>
  <c r="O799" i="1" s="1"/>
  <c r="O800" i="1" a="1"/>
  <c r="O800" i="1" s="1"/>
  <c r="O801" i="1" a="1"/>
  <c r="O801" i="1" s="1"/>
  <c r="O802" i="1" a="1"/>
  <c r="O802" i="1" s="1"/>
  <c r="O803" i="1" a="1"/>
  <c r="O803" i="1" s="1"/>
  <c r="O804" i="1" a="1"/>
  <c r="O804" i="1" s="1"/>
  <c r="O805" i="1" a="1"/>
  <c r="O805" i="1" s="1"/>
  <c r="O806" i="1" a="1"/>
  <c r="O806" i="1" s="1"/>
  <c r="O807" i="1" a="1"/>
  <c r="O807" i="1" s="1"/>
  <c r="O808" i="1" a="1"/>
  <c r="O808" i="1" s="1"/>
  <c r="O809" i="1" a="1"/>
  <c r="O809" i="1" s="1"/>
  <c r="O810" i="1" a="1"/>
  <c r="O810" i="1" s="1"/>
  <c r="O811" i="1" a="1"/>
  <c r="O811" i="1" s="1"/>
  <c r="O812" i="1" a="1"/>
  <c r="O812" i="1" s="1"/>
  <c r="O813" i="1" a="1"/>
  <c r="O813" i="1" s="1"/>
  <c r="O814" i="1" a="1"/>
  <c r="O814" i="1" s="1"/>
  <c r="O815" i="1" a="1"/>
  <c r="O815" i="1" s="1"/>
  <c r="O816" i="1" a="1"/>
  <c r="O816" i="1" s="1"/>
  <c r="O817" i="1" a="1"/>
  <c r="O817" i="1" s="1"/>
  <c r="O818" i="1" a="1"/>
  <c r="O818" i="1" s="1"/>
  <c r="O819" i="1" a="1"/>
  <c r="O819" i="1" s="1"/>
  <c r="O820" i="1" a="1"/>
  <c r="O820" i="1" s="1"/>
  <c r="O821" i="1" a="1"/>
  <c r="O821" i="1" s="1"/>
  <c r="O822" i="1" a="1"/>
  <c r="O822" i="1" s="1"/>
  <c r="O823" i="1" a="1"/>
  <c r="O823" i="1" s="1"/>
  <c r="O824" i="1" a="1"/>
  <c r="O824" i="1" s="1"/>
  <c r="O825" i="1" a="1"/>
  <c r="O825" i="1" s="1"/>
  <c r="O826" i="1" a="1"/>
  <c r="O826" i="1" s="1"/>
  <c r="O827" i="1" a="1"/>
  <c r="O827" i="1" s="1"/>
  <c r="O828" i="1" a="1"/>
  <c r="O828" i="1" s="1"/>
  <c r="O829" i="1" a="1"/>
  <c r="O829" i="1" s="1"/>
  <c r="O830" i="1" a="1"/>
  <c r="O830" i="1" s="1"/>
  <c r="O831" i="1" a="1"/>
  <c r="O831" i="1" s="1"/>
  <c r="O832" i="1" a="1"/>
  <c r="O832" i="1" s="1"/>
  <c r="O833" i="1" a="1"/>
  <c r="O833" i="1" s="1"/>
  <c r="O834" i="1" a="1"/>
  <c r="O834" i="1" s="1"/>
  <c r="O835" i="1" a="1"/>
  <c r="O835" i="1" s="1"/>
  <c r="O836" i="1" a="1"/>
  <c r="O836" i="1" s="1"/>
  <c r="O837" i="1" a="1"/>
  <c r="O837" i="1" s="1"/>
  <c r="O838" i="1" a="1"/>
  <c r="O838" i="1" s="1"/>
  <c r="O839" i="1" a="1"/>
  <c r="O839" i="1" s="1"/>
  <c r="O840" i="1" a="1"/>
  <c r="O840" i="1" s="1"/>
  <c r="O841" i="1" a="1"/>
  <c r="O841" i="1" s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 s="1"/>
  <c r="O848" i="1" a="1"/>
  <c r="O848" i="1" s="1"/>
  <c r="O849" i="1" a="1"/>
  <c r="O849" i="1" s="1"/>
  <c r="O850" i="1" a="1"/>
  <c r="O850" i="1" s="1"/>
  <c r="O851" i="1" a="1"/>
  <c r="O851" i="1" s="1"/>
  <c r="O852" i="1" a="1"/>
  <c r="O852" i="1" s="1"/>
  <c r="O853" i="1" a="1"/>
  <c r="O853" i="1" s="1"/>
  <c r="O854" i="1" a="1"/>
  <c r="O854" i="1" s="1"/>
  <c r="O855" i="1" a="1"/>
  <c r="O855" i="1" s="1"/>
  <c r="O856" i="1" a="1"/>
  <c r="O856" i="1" s="1"/>
  <c r="O857" i="1" a="1"/>
  <c r="O857" i="1" s="1"/>
  <c r="O858" i="1" a="1"/>
  <c r="O858" i="1" s="1"/>
  <c r="O859" i="1" a="1"/>
  <c r="O859" i="1" s="1"/>
  <c r="O860" i="1" a="1"/>
  <c r="O860" i="1" s="1"/>
  <c r="O861" i="1" a="1"/>
  <c r="O861" i="1" s="1"/>
  <c r="O862" i="1" a="1"/>
  <c r="O862" i="1" s="1"/>
  <c r="O863" i="1" a="1"/>
  <c r="O863" i="1" s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 s="1"/>
  <c r="O888" i="1" a="1"/>
  <c r="O888" i="1" s="1"/>
  <c r="O889" i="1" a="1"/>
  <c r="O889" i="1" s="1"/>
  <c r="O890" i="1" a="1"/>
  <c r="O890" i="1" s="1"/>
  <c r="O891" i="1" a="1"/>
  <c r="O891" i="1" s="1"/>
  <c r="O892" i="1" a="1"/>
  <c r="O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O915" i="1" a="1"/>
  <c r="O915" i="1" s="1"/>
  <c r="O916" i="1" a="1"/>
  <c r="O916" i="1" s="1"/>
  <c r="O917" i="1" a="1"/>
  <c r="O917" i="1" s="1"/>
  <c r="O918" i="1" a="1"/>
  <c r="O918" i="1" s="1"/>
  <c r="O919" i="1" a="1"/>
  <c r="O919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 s="1"/>
  <c r="O984" i="1" a="1"/>
  <c r="O984" i="1" s="1"/>
  <c r="O985" i="1" a="1"/>
  <c r="O985" i="1" s="1"/>
  <c r="O986" i="1" a="1"/>
  <c r="O986" i="1" s="1"/>
  <c r="O987" i="1" a="1"/>
  <c r="O987" i="1" s="1"/>
  <c r="O988" i="1" a="1"/>
  <c r="O988" i="1" s="1"/>
  <c r="O989" i="1" a="1"/>
  <c r="O989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 s="1"/>
  <c r="O999" i="1" a="1"/>
  <c r="O999" i="1" s="1"/>
  <c r="O1000" i="1" a="1"/>
  <c r="O1000" i="1" s="1"/>
  <c r="O1001" i="1" a="1"/>
  <c r="O1001" i="1" s="1"/>
  <c r="O1002" i="1" a="1"/>
  <c r="O1002" i="1" s="1"/>
  <c r="O1003" i="1" a="1"/>
  <c r="O1003" i="1" s="1"/>
  <c r="O1004" i="1" a="1"/>
  <c r="O1004" i="1" s="1"/>
  <c r="O1005" i="1" a="1"/>
  <c r="O1005" i="1" s="1"/>
  <c r="O1006" i="1" a="1"/>
  <c r="O1006" i="1" s="1"/>
  <c r="O1007" i="1" a="1"/>
  <c r="O1007" i="1" s="1"/>
  <c r="O1008" i="1" a="1"/>
  <c r="O1008" i="1" s="1"/>
  <c r="O1009" i="1" a="1"/>
  <c r="O1009" i="1" s="1"/>
  <c r="O1010" i="1" a="1"/>
  <c r="O1010" i="1" s="1"/>
  <c r="O1011" i="1" a="1"/>
  <c r="O1011" i="1" s="1"/>
  <c r="O1012" i="1" a="1"/>
  <c r="O1012" i="1" s="1"/>
  <c r="O1013" i="1" a="1"/>
  <c r="O1013" i="1" s="1"/>
  <c r="O1014" i="1" a="1"/>
  <c r="O1014" i="1" s="1"/>
  <c r="O1015" i="1" a="1"/>
  <c r="O1015" i="1" s="1"/>
  <c r="O1016" i="1" a="1"/>
  <c r="O1016" i="1" s="1"/>
  <c r="O1017" i="1" a="1"/>
  <c r="O1017" i="1" s="1"/>
  <c r="O1018" i="1" a="1"/>
  <c r="O1018" i="1" s="1"/>
  <c r="O1019" i="1" a="1"/>
  <c r="O1019" i="1" s="1"/>
  <c r="O1020" i="1" a="1"/>
  <c r="O1020" i="1" s="1"/>
  <c r="O1021" i="1" a="1"/>
  <c r="O1021" i="1" s="1"/>
  <c r="O1022" i="1" a="1"/>
  <c r="O1022" i="1" s="1"/>
  <c r="O1023" i="1" a="1"/>
  <c r="O1023" i="1" s="1"/>
  <c r="O1024" i="1" a="1"/>
  <c r="O1024" i="1" s="1"/>
  <c r="O1025" i="1" a="1"/>
  <c r="O1025" i="1" s="1"/>
  <c r="O1026" i="1" a="1"/>
  <c r="O1026" i="1" s="1"/>
  <c r="O1027" i="1" a="1"/>
  <c r="O1027" i="1" s="1"/>
  <c r="O1028" i="1" a="1"/>
  <c r="O1028" i="1" s="1"/>
  <c r="O1029" i="1" a="1"/>
  <c r="O1029" i="1" s="1"/>
  <c r="O1030" i="1" a="1"/>
  <c r="O1030" i="1" s="1"/>
  <c r="O1031" i="1" a="1"/>
  <c r="O1031" i="1" s="1"/>
  <c r="O1032" i="1" a="1"/>
  <c r="O1032" i="1" s="1"/>
  <c r="O1033" i="1" a="1"/>
  <c r="O1033" i="1" s="1"/>
  <c r="O1034" i="1" a="1"/>
  <c r="O1034" i="1" s="1"/>
  <c r="O1035" i="1" a="1"/>
  <c r="O1035" i="1" s="1"/>
  <c r="O1036" i="1" a="1"/>
  <c r="O1036" i="1" s="1"/>
  <c r="O1037" i="1" a="1"/>
  <c r="O1037" i="1" s="1"/>
  <c r="O1038" i="1" a="1"/>
  <c r="O1038" i="1" s="1"/>
  <c r="O1039" i="1" a="1"/>
  <c r="O1039" i="1" s="1"/>
  <c r="O1040" i="1" a="1"/>
  <c r="O1040" i="1" s="1"/>
  <c r="O1041" i="1" a="1"/>
  <c r="O1041" i="1" s="1"/>
  <c r="O1042" i="1" a="1"/>
  <c r="O1042" i="1" s="1"/>
  <c r="O1043" i="1" a="1"/>
  <c r="O1043" i="1" s="1"/>
  <c r="O1044" i="1" a="1"/>
  <c r="O1044" i="1" s="1"/>
  <c r="O1045" i="1" a="1"/>
  <c r="O1045" i="1" s="1"/>
  <c r="O1046" i="1" a="1"/>
  <c r="O1046" i="1" s="1"/>
  <c r="O1047" i="1" a="1"/>
  <c r="O1047" i="1" s="1"/>
  <c r="O1048" i="1" a="1"/>
  <c r="O1048" i="1" s="1"/>
  <c r="O1049" i="1" a="1"/>
  <c r="O1049" i="1" s="1"/>
  <c r="O1050" i="1" a="1"/>
  <c r="O1050" i="1" s="1"/>
  <c r="O1051" i="1" a="1"/>
  <c r="O1051" i="1" s="1"/>
  <c r="O1052" i="1" a="1"/>
  <c r="O1052" i="1" s="1"/>
  <c r="O1053" i="1" a="1"/>
  <c r="O1053" i="1" s="1"/>
  <c r="O1054" i="1" a="1"/>
  <c r="O1054" i="1" s="1"/>
  <c r="O1055" i="1" a="1"/>
  <c r="O1055" i="1" s="1"/>
  <c r="O1056" i="1" a="1"/>
  <c r="O1056" i="1" s="1"/>
  <c r="O1057" i="1" a="1"/>
  <c r="O1057" i="1" s="1"/>
  <c r="O1058" i="1" a="1"/>
  <c r="O1058" i="1" s="1"/>
  <c r="O1059" i="1" a="1"/>
  <c r="O1059" i="1" s="1"/>
  <c r="O1060" i="1" a="1"/>
  <c r="O1060" i="1" s="1"/>
  <c r="O1061" i="1" a="1"/>
  <c r="O1061" i="1" s="1"/>
  <c r="O1062" i="1" a="1"/>
  <c r="O1062" i="1" s="1"/>
  <c r="O1063" i="1" a="1"/>
  <c r="O1063" i="1" s="1"/>
  <c r="O1064" i="1" a="1"/>
  <c r="O1064" i="1" s="1"/>
  <c r="O1065" i="1" a="1"/>
  <c r="O1065" i="1" s="1"/>
  <c r="O1066" i="1" a="1"/>
  <c r="O1066" i="1" s="1"/>
  <c r="O1067" i="1" a="1"/>
  <c r="O1067" i="1" s="1"/>
  <c r="O1068" i="1" a="1"/>
  <c r="O1068" i="1" s="1"/>
  <c r="O1069" i="1" a="1"/>
  <c r="O1069" i="1" s="1"/>
  <c r="O1070" i="1" a="1"/>
  <c r="O1070" i="1" s="1"/>
  <c r="O1071" i="1" a="1"/>
  <c r="O1071" i="1" s="1"/>
  <c r="O1072" i="1" a="1"/>
  <c r="O1072" i="1" s="1"/>
  <c r="O1073" i="1" a="1"/>
  <c r="O1073" i="1" s="1"/>
  <c r="O1074" i="1" a="1"/>
  <c r="O1074" i="1" s="1"/>
  <c r="O1075" i="1" a="1"/>
  <c r="O1075" i="1" s="1"/>
  <c r="O1076" i="1" a="1"/>
  <c r="O1076" i="1" s="1"/>
  <c r="O1077" i="1" a="1"/>
  <c r="O1077" i="1" s="1"/>
  <c r="O1078" i="1" a="1"/>
  <c r="O1078" i="1" s="1"/>
  <c r="O1079" i="1" a="1"/>
  <c r="O1079" i="1" s="1"/>
  <c r="O1080" i="1" a="1"/>
  <c r="O1080" i="1" s="1"/>
  <c r="O1081" i="1" a="1"/>
  <c r="O1081" i="1" s="1"/>
  <c r="O1082" i="1" a="1"/>
  <c r="O1082" i="1" s="1"/>
  <c r="O1083" i="1" a="1"/>
  <c r="O1083" i="1" s="1"/>
  <c r="O1084" i="1" a="1"/>
  <c r="O1084" i="1" s="1"/>
  <c r="O1085" i="1" a="1"/>
  <c r="O1085" i="1" s="1"/>
  <c r="O1086" i="1" a="1"/>
  <c r="O1086" i="1" s="1"/>
  <c r="O1087" i="1" a="1"/>
  <c r="O1087" i="1" s="1"/>
  <c r="O1088" i="1" a="1"/>
  <c r="O1088" i="1" s="1"/>
  <c r="O1089" i="1" a="1"/>
  <c r="O1089" i="1" s="1"/>
  <c r="O1090" i="1" a="1"/>
  <c r="O1090" i="1" s="1"/>
  <c r="O1091" i="1" a="1"/>
  <c r="O1091" i="1" s="1"/>
  <c r="O1092" i="1" a="1"/>
  <c r="O1092" i="1" s="1"/>
  <c r="O1093" i="1" a="1"/>
  <c r="O1093" i="1" s="1"/>
  <c r="O1094" i="1" a="1"/>
  <c r="O1094" i="1" s="1"/>
  <c r="O1095" i="1" a="1"/>
  <c r="O1095" i="1" s="1"/>
  <c r="O1096" i="1" a="1"/>
  <c r="O1096" i="1" s="1"/>
  <c r="O1097" i="1" a="1"/>
  <c r="O1097" i="1" s="1"/>
  <c r="O1098" i="1" a="1"/>
  <c r="O1098" i="1" s="1"/>
  <c r="O1099" i="1" a="1"/>
  <c r="O1099" i="1" s="1"/>
  <c r="O1100" i="1" a="1"/>
  <c r="O1100" i="1" s="1"/>
  <c r="O1101" i="1" a="1"/>
  <c r="O1101" i="1" s="1"/>
  <c r="O1102" i="1" a="1"/>
  <c r="O1102" i="1" s="1"/>
  <c r="O1103" i="1" a="1"/>
  <c r="O1103" i="1" s="1"/>
  <c r="O1104" i="1" a="1"/>
  <c r="O1104" i="1" s="1"/>
  <c r="O1105" i="1" a="1"/>
  <c r="O1105" i="1" s="1"/>
  <c r="O1106" i="1" a="1"/>
  <c r="O1106" i="1" s="1"/>
  <c r="O1107" i="1" a="1"/>
  <c r="O1107" i="1" s="1"/>
  <c r="O1108" i="1" a="1"/>
  <c r="O1108" i="1" s="1"/>
  <c r="O1109" i="1" a="1"/>
  <c r="O1109" i="1" s="1"/>
  <c r="O1110" i="1" a="1"/>
  <c r="O1110" i="1" s="1"/>
  <c r="O1111" i="1" a="1"/>
  <c r="O1111" i="1" s="1"/>
  <c r="O1112" i="1" a="1"/>
  <c r="O1112" i="1" s="1"/>
  <c r="O1113" i="1" a="1"/>
  <c r="O1113" i="1" s="1"/>
  <c r="O1114" i="1" a="1"/>
  <c r="O1114" i="1" s="1"/>
  <c r="O1115" i="1" a="1"/>
  <c r="O1115" i="1" s="1"/>
  <c r="O1116" i="1" a="1"/>
  <c r="O1116" i="1" s="1"/>
  <c r="O1117" i="1" a="1"/>
  <c r="O1117" i="1" s="1"/>
  <c r="O1118" i="1" a="1"/>
  <c r="O1118" i="1" s="1"/>
  <c r="O1119" i="1" a="1"/>
  <c r="O1119" i="1" s="1"/>
  <c r="O1120" i="1" a="1"/>
  <c r="O1120" i="1" s="1"/>
  <c r="O1121" i="1" a="1"/>
  <c r="O1121" i="1" s="1"/>
  <c r="O1122" i="1" a="1"/>
  <c r="O1122" i="1" s="1"/>
  <c r="O1123" i="1" a="1"/>
  <c r="O1123" i="1" s="1"/>
  <c r="O1124" i="1" a="1"/>
  <c r="O1124" i="1" s="1"/>
  <c r="O1125" i="1" a="1"/>
  <c r="O1125" i="1" s="1"/>
  <c r="O1126" i="1" a="1"/>
  <c r="O1126" i="1" s="1"/>
  <c r="O1127" i="1" a="1"/>
  <c r="O1127" i="1" s="1"/>
  <c r="O1128" i="1" a="1"/>
  <c r="O1128" i="1" s="1"/>
  <c r="O1129" i="1" a="1"/>
  <c r="O1129" i="1" s="1"/>
  <c r="O1130" i="1" a="1"/>
  <c r="O1130" i="1" s="1"/>
  <c r="O1131" i="1" a="1"/>
  <c r="O1131" i="1" s="1"/>
  <c r="O1132" i="1" a="1"/>
  <c r="O1132" i="1" s="1"/>
  <c r="O1133" i="1" a="1"/>
  <c r="O1133" i="1" s="1"/>
  <c r="O1134" i="1" a="1"/>
  <c r="O1134" i="1" s="1"/>
  <c r="O1135" i="1" a="1"/>
  <c r="O1135" i="1" s="1"/>
  <c r="O1136" i="1" a="1"/>
  <c r="O1136" i="1" s="1"/>
  <c r="O1137" i="1" a="1"/>
  <c r="O1137" i="1" s="1"/>
  <c r="O1138" i="1" a="1"/>
  <c r="O1138" i="1" s="1"/>
  <c r="O1139" i="1" a="1"/>
  <c r="O1139" i="1" s="1"/>
  <c r="O1140" i="1" a="1"/>
  <c r="O1140" i="1" s="1"/>
  <c r="O1141" i="1" a="1"/>
  <c r="O1141" i="1" s="1"/>
  <c r="O1142" i="1" a="1"/>
  <c r="O1142" i="1" s="1"/>
  <c r="O1143" i="1" a="1"/>
  <c r="O1143" i="1" s="1"/>
  <c r="O1144" i="1" a="1"/>
  <c r="O1144" i="1" s="1"/>
  <c r="O1145" i="1" a="1"/>
  <c r="O1145" i="1" s="1"/>
  <c r="O1146" i="1" a="1"/>
  <c r="O1146" i="1" s="1"/>
  <c r="O1147" i="1" a="1"/>
  <c r="O1147" i="1" s="1"/>
  <c r="O1148" i="1" a="1"/>
  <c r="O1148" i="1" s="1"/>
  <c r="O1149" i="1" a="1"/>
  <c r="O1149" i="1" s="1"/>
  <c r="O1150" i="1" a="1"/>
  <c r="O1150" i="1" s="1"/>
  <c r="O1151" i="1" a="1"/>
  <c r="O1151" i="1" s="1"/>
  <c r="O1152" i="1" a="1"/>
  <c r="O1152" i="1" s="1"/>
  <c r="O1153" i="1" a="1"/>
  <c r="O1153" i="1" s="1"/>
  <c r="O1154" i="1" a="1"/>
  <c r="O1154" i="1" s="1"/>
  <c r="O1155" i="1" a="1"/>
  <c r="O1155" i="1" s="1"/>
  <c r="O1156" i="1" a="1"/>
  <c r="O1156" i="1" s="1"/>
  <c r="O1157" i="1" a="1"/>
  <c r="O1157" i="1" s="1"/>
  <c r="O1158" i="1" a="1"/>
  <c r="O1158" i="1" s="1"/>
  <c r="O1159" i="1" a="1"/>
  <c r="O1159" i="1" s="1"/>
  <c r="O1160" i="1" a="1"/>
  <c r="O1160" i="1" s="1"/>
  <c r="O1161" i="1" a="1"/>
  <c r="O1161" i="1" s="1"/>
  <c r="O1162" i="1" a="1"/>
  <c r="O1162" i="1" s="1"/>
  <c r="O1163" i="1" a="1"/>
  <c r="O1163" i="1" s="1"/>
  <c r="O1164" i="1" a="1"/>
  <c r="O1164" i="1" s="1"/>
  <c r="O1165" i="1" a="1"/>
  <c r="O1165" i="1" s="1"/>
  <c r="O1166" i="1" a="1"/>
  <c r="O1166" i="1" s="1"/>
  <c r="O1167" i="1" a="1"/>
  <c r="O1167" i="1" s="1"/>
  <c r="O1168" i="1" a="1"/>
  <c r="O1168" i="1" s="1"/>
  <c r="O1169" i="1" a="1"/>
  <c r="O1169" i="1" s="1"/>
  <c r="O1170" i="1" a="1"/>
  <c r="O1170" i="1" s="1"/>
  <c r="O1171" i="1" a="1"/>
  <c r="O1171" i="1" s="1"/>
  <c r="O1172" i="1" a="1"/>
  <c r="O1172" i="1" s="1"/>
  <c r="O1173" i="1" a="1"/>
  <c r="O1173" i="1" s="1"/>
  <c r="O1174" i="1" a="1"/>
  <c r="O1174" i="1" s="1"/>
  <c r="O1175" i="1" a="1"/>
  <c r="O1175" i="1" s="1"/>
  <c r="O1176" i="1" a="1"/>
  <c r="O1176" i="1" s="1"/>
  <c r="O1177" i="1" a="1"/>
  <c r="O1177" i="1" s="1"/>
  <c r="O1178" i="1" a="1"/>
  <c r="O1178" i="1" s="1"/>
  <c r="O1179" i="1" a="1"/>
  <c r="O1179" i="1" s="1"/>
  <c r="O1180" i="1" a="1"/>
  <c r="O1180" i="1" s="1"/>
  <c r="O1181" i="1" a="1"/>
  <c r="O1181" i="1" s="1"/>
  <c r="O1182" i="1" a="1"/>
  <c r="O1182" i="1" s="1"/>
  <c r="O1183" i="1" a="1"/>
  <c r="O1183" i="1" s="1"/>
  <c r="O1184" i="1" a="1"/>
  <c r="O1184" i="1" s="1"/>
  <c r="O1185" i="1" a="1"/>
  <c r="O1185" i="1" s="1"/>
  <c r="O1186" i="1" a="1"/>
  <c r="O1186" i="1" s="1"/>
  <c r="O1187" i="1" a="1"/>
  <c r="O1187" i="1" s="1"/>
  <c r="O1188" i="1" a="1"/>
  <c r="O1188" i="1" s="1"/>
  <c r="O1189" i="1" a="1"/>
  <c r="O1189" i="1" s="1"/>
  <c r="O1190" i="1" a="1"/>
  <c r="O1190" i="1" s="1"/>
  <c r="O1191" i="1" a="1"/>
  <c r="O1191" i="1" s="1"/>
  <c r="O1192" i="1" a="1"/>
  <c r="O1192" i="1" s="1"/>
  <c r="O1193" i="1" a="1"/>
  <c r="O1193" i="1" s="1"/>
  <c r="O1194" i="1" a="1"/>
  <c r="O1194" i="1" s="1"/>
  <c r="O1195" i="1" a="1"/>
  <c r="O1195" i="1" s="1"/>
  <c r="O1196" i="1" a="1"/>
  <c r="O1196" i="1" s="1"/>
  <c r="O1197" i="1" a="1"/>
  <c r="O1197" i="1" s="1"/>
  <c r="O1198" i="1" a="1"/>
  <c r="O1198" i="1" s="1"/>
  <c r="O1199" i="1" a="1"/>
  <c r="O1199" i="1" s="1"/>
  <c r="O1200" i="1" a="1"/>
  <c r="O1200" i="1" s="1"/>
  <c r="O1201" i="1" a="1"/>
  <c r="O1201" i="1" s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 s="1"/>
  <c r="O1220" i="1" a="1"/>
  <c r="O1220" i="1" s="1"/>
  <c r="O1221" i="1" a="1"/>
  <c r="O1221" i="1" s="1"/>
  <c r="O1222" i="1" a="1"/>
  <c r="O1222" i="1" s="1"/>
  <c r="O1223" i="1" a="1"/>
  <c r="O1223" i="1" s="1"/>
  <c r="O1224" i="1" a="1"/>
  <c r="O1224" i="1" s="1"/>
  <c r="O1225" i="1" a="1"/>
  <c r="O1225" i="1" s="1"/>
  <c r="O1226" i="1" a="1"/>
  <c r="O1226" i="1" s="1"/>
  <c r="O1227" i="1" a="1"/>
  <c r="O1227" i="1" s="1"/>
  <c r="O1228" i="1" a="1"/>
  <c r="O1228" i="1" s="1"/>
  <c r="O1229" i="1" a="1"/>
  <c r="O1229" i="1" s="1"/>
  <c r="O1230" i="1" a="1"/>
  <c r="O1230" i="1" s="1"/>
  <c r="O1231" i="1" a="1"/>
  <c r="O1231" i="1" s="1"/>
  <c r="O1232" i="1" a="1"/>
  <c r="O1232" i="1" s="1"/>
  <c r="O1233" i="1" a="1"/>
  <c r="O1233" i="1" s="1"/>
  <c r="O1234" i="1" a="1"/>
  <c r="O1234" i="1" s="1"/>
  <c r="O1235" i="1" a="1"/>
  <c r="O1235" i="1" s="1"/>
  <c r="O1236" i="1" a="1"/>
  <c r="O1236" i="1" s="1"/>
  <c r="O1237" i="1" a="1"/>
  <c r="O1237" i="1" s="1"/>
  <c r="O1238" i="1" a="1"/>
  <c r="O1238" i="1" s="1"/>
  <c r="O1239" i="1" a="1"/>
  <c r="O1239" i="1" s="1"/>
  <c r="O1240" i="1" a="1"/>
  <c r="O1240" i="1" s="1"/>
  <c r="O1241" i="1" a="1"/>
  <c r="O1241" i="1" s="1"/>
  <c r="O1242" i="1" a="1"/>
  <c r="O1242" i="1" s="1"/>
  <c r="O1243" i="1" a="1"/>
  <c r="O1243" i="1" s="1"/>
  <c r="O1244" i="1" a="1"/>
  <c r="O1244" i="1" s="1"/>
  <c r="O1245" i="1" a="1"/>
  <c r="O1245" i="1" s="1"/>
  <c r="O1246" i="1" a="1"/>
  <c r="O1246" i="1" s="1"/>
  <c r="O1247" i="1" a="1"/>
  <c r="O1247" i="1" s="1"/>
  <c r="O1248" i="1" a="1"/>
  <c r="O1248" i="1" s="1"/>
  <c r="O1249" i="1" a="1"/>
  <c r="O1249" i="1" s="1"/>
  <c r="O1250" i="1" a="1"/>
  <c r="O1250" i="1" s="1"/>
  <c r="O1251" i="1" a="1"/>
  <c r="O1251" i="1" s="1"/>
  <c r="O1252" i="1" a="1"/>
  <c r="O1252" i="1" s="1"/>
  <c r="O1253" i="1" a="1"/>
  <c r="O1253" i="1" s="1"/>
  <c r="O1254" i="1" a="1"/>
  <c r="O1254" i="1" s="1"/>
  <c r="O1255" i="1" a="1"/>
  <c r="O1255" i="1" s="1"/>
  <c r="O1256" i="1" a="1"/>
  <c r="O1256" i="1" s="1"/>
  <c r="O1257" i="1" a="1"/>
  <c r="O1257" i="1" s="1"/>
  <c r="O1258" i="1" a="1"/>
  <c r="O1258" i="1" s="1"/>
  <c r="O1259" i="1" a="1"/>
  <c r="O1259" i="1" s="1"/>
  <c r="O1260" i="1" a="1"/>
  <c r="O1260" i="1" s="1"/>
  <c r="O1261" i="1" a="1"/>
  <c r="O1261" i="1" s="1"/>
  <c r="O1262" i="1" a="1"/>
  <c r="O1262" i="1" s="1"/>
  <c r="O1263" i="1" a="1"/>
  <c r="O1263" i="1" s="1"/>
  <c r="O1264" i="1" a="1"/>
  <c r="O1264" i="1" s="1"/>
  <c r="O1265" i="1" a="1"/>
  <c r="O1265" i="1" s="1"/>
  <c r="O1266" i="1" a="1"/>
  <c r="O1266" i="1" s="1"/>
  <c r="O1267" i="1" a="1"/>
  <c r="O1267" i="1" s="1"/>
  <c r="O1268" i="1" a="1"/>
  <c r="O1268" i="1" s="1"/>
  <c r="O1269" i="1" a="1"/>
  <c r="O1269" i="1" s="1"/>
  <c r="O1270" i="1" a="1"/>
  <c r="O1270" i="1" s="1"/>
  <c r="O1271" i="1" a="1"/>
  <c r="O1271" i="1" s="1"/>
  <c r="O1272" i="1" a="1"/>
  <c r="O1272" i="1" s="1"/>
  <c r="O1273" i="1" a="1"/>
  <c r="O1273" i="1" s="1"/>
  <c r="O1274" i="1" a="1"/>
  <c r="O1274" i="1" s="1"/>
  <c r="O1275" i="1" a="1"/>
  <c r="O1275" i="1" s="1"/>
  <c r="O1276" i="1" a="1"/>
  <c r="O1276" i="1" s="1"/>
  <c r="O1277" i="1" a="1"/>
  <c r="O1277" i="1" s="1"/>
  <c r="O1278" i="1" a="1"/>
  <c r="O1278" i="1" s="1"/>
  <c r="O1279" i="1" a="1"/>
  <c r="O1279" i="1" s="1"/>
  <c r="O1280" i="1" a="1"/>
  <c r="O1280" i="1" s="1"/>
  <c r="O1281" i="1" a="1"/>
  <c r="O1281" i="1" s="1"/>
  <c r="O1282" i="1" a="1"/>
  <c r="O1282" i="1" s="1"/>
  <c r="O1283" i="1" a="1"/>
  <c r="O1283" i="1" s="1"/>
  <c r="O1284" i="1" a="1"/>
  <c r="O1284" i="1" s="1"/>
  <c r="O1285" i="1" a="1"/>
  <c r="O1285" i="1" s="1"/>
  <c r="O1286" i="1" a="1"/>
  <c r="O1286" i="1" s="1"/>
  <c r="O1287" i="1" a="1"/>
  <c r="O1287" i="1" s="1"/>
  <c r="O1288" i="1" a="1"/>
  <c r="O1288" i="1" s="1"/>
  <c r="O1289" i="1" a="1"/>
  <c r="O1289" i="1" s="1"/>
  <c r="O1290" i="1" a="1"/>
  <c r="O1290" i="1" s="1"/>
  <c r="O1291" i="1" a="1"/>
  <c r="O1291" i="1" s="1"/>
  <c r="O1292" i="1" a="1"/>
  <c r="O1292" i="1" s="1"/>
  <c r="O1293" i="1" a="1"/>
  <c r="O1293" i="1" s="1"/>
  <c r="O1294" i="1" a="1"/>
  <c r="O1294" i="1" s="1"/>
  <c r="O1295" i="1" a="1"/>
  <c r="O1295" i="1" s="1"/>
  <c r="O1296" i="1" a="1"/>
  <c r="O1296" i="1" s="1"/>
  <c r="O1297" i="1" a="1"/>
  <c r="O1297" i="1" s="1"/>
  <c r="O1298" i="1" a="1"/>
  <c r="O1298" i="1" s="1"/>
  <c r="O1299" i="1" a="1"/>
  <c r="O1299" i="1" s="1"/>
  <c r="O1300" i="1" a="1"/>
  <c r="O1300" i="1" s="1"/>
  <c r="O1301" i="1" a="1"/>
  <c r="O1301" i="1" s="1"/>
  <c r="O1302" i="1" a="1"/>
  <c r="O1302" i="1" s="1"/>
  <c r="O1303" i="1" a="1"/>
  <c r="O1303" i="1" s="1"/>
  <c r="O1304" i="1" a="1"/>
  <c r="O1304" i="1" s="1"/>
  <c r="O1305" i="1" a="1"/>
  <c r="O1305" i="1" s="1"/>
  <c r="O1306" i="1" a="1"/>
  <c r="O1306" i="1" s="1"/>
  <c r="O1307" i="1" a="1"/>
  <c r="O1307" i="1" s="1"/>
  <c r="O1308" i="1" a="1"/>
  <c r="O1308" i="1" s="1"/>
  <c r="O1309" i="1" a="1"/>
  <c r="O1309" i="1" s="1"/>
  <c r="O1310" i="1" a="1"/>
  <c r="O1310" i="1" s="1"/>
  <c r="O1311" i="1" a="1"/>
  <c r="O1311" i="1" s="1"/>
  <c r="O1312" i="1" a="1"/>
  <c r="O1312" i="1" s="1"/>
  <c r="O1313" i="1" a="1"/>
  <c r="O1313" i="1" s="1"/>
  <c r="O1314" i="1" a="1"/>
  <c r="O1314" i="1" s="1"/>
  <c r="O1315" i="1" a="1"/>
  <c r="O1315" i="1" s="1"/>
  <c r="O1316" i="1" a="1"/>
  <c r="O1316" i="1" s="1"/>
  <c r="O1317" i="1" a="1"/>
  <c r="O1317" i="1" s="1"/>
  <c r="O1318" i="1" a="1"/>
  <c r="O1318" i="1" s="1"/>
  <c r="O1319" i="1" a="1"/>
  <c r="O1319" i="1" s="1"/>
  <c r="O1320" i="1" a="1"/>
  <c r="O1320" i="1" s="1"/>
  <c r="O1321" i="1" a="1"/>
  <c r="O1321" i="1" s="1"/>
  <c r="O1322" i="1" a="1"/>
  <c r="O1322" i="1" s="1"/>
  <c r="O1323" i="1" a="1"/>
  <c r="O1323" i="1" s="1"/>
  <c r="O1324" i="1" a="1"/>
  <c r="O1324" i="1" s="1"/>
  <c r="O1325" i="1" a="1"/>
  <c r="O1325" i="1" s="1"/>
  <c r="O1326" i="1" a="1"/>
  <c r="O1326" i="1" s="1"/>
  <c r="O1327" i="1" a="1"/>
  <c r="O1327" i="1" s="1"/>
  <c r="O1328" i="1" a="1"/>
  <c r="O1328" i="1" s="1"/>
  <c r="O1329" i="1" a="1"/>
  <c r="O1329" i="1" s="1"/>
  <c r="O1330" i="1" a="1"/>
  <c r="O1330" i="1" s="1"/>
  <c r="O1331" i="1" a="1"/>
  <c r="O1331" i="1" s="1"/>
  <c r="O1332" i="1" a="1"/>
  <c r="O1332" i="1" s="1"/>
  <c r="O1333" i="1" a="1"/>
  <c r="O1333" i="1" s="1"/>
  <c r="O1334" i="1" a="1"/>
  <c r="O1334" i="1" s="1"/>
  <c r="O1335" i="1" a="1"/>
  <c r="O1335" i="1" s="1"/>
  <c r="O1336" i="1" a="1"/>
  <c r="O1336" i="1" s="1"/>
  <c r="O1337" i="1" a="1"/>
  <c r="O1337" i="1" s="1"/>
  <c r="O1338" i="1" a="1"/>
  <c r="O1338" i="1" s="1"/>
  <c r="O1339" i="1" a="1"/>
  <c r="O1339" i="1" s="1"/>
  <c r="O1340" i="1" a="1"/>
  <c r="O1340" i="1" s="1"/>
  <c r="O1341" i="1" a="1"/>
  <c r="O1341" i="1" s="1"/>
  <c r="O1342" i="1" a="1"/>
  <c r="O1342" i="1" s="1"/>
  <c r="O1343" i="1" a="1"/>
  <c r="O1343" i="1" s="1"/>
  <c r="O1344" i="1" a="1"/>
  <c r="O1344" i="1" s="1"/>
  <c r="O1345" i="1" a="1"/>
  <c r="O1345" i="1" s="1"/>
  <c r="O1346" i="1" a="1"/>
  <c r="O1346" i="1" s="1"/>
  <c r="O1347" i="1" a="1"/>
  <c r="O1347" i="1" s="1"/>
  <c r="O1348" i="1" a="1"/>
  <c r="O1348" i="1" s="1"/>
  <c r="O1349" i="1" a="1"/>
  <c r="O1349" i="1" s="1"/>
  <c r="O1350" i="1" a="1"/>
  <c r="O1350" i="1" s="1"/>
  <c r="O1351" i="1" a="1"/>
  <c r="O1351" i="1" s="1"/>
  <c r="O1352" i="1" a="1"/>
  <c r="O1352" i="1" s="1"/>
  <c r="O1353" i="1" a="1"/>
  <c r="O1353" i="1" s="1"/>
  <c r="O1354" i="1" a="1"/>
  <c r="O1354" i="1" s="1"/>
  <c r="O1355" i="1" a="1"/>
  <c r="O1355" i="1" s="1"/>
  <c r="O1356" i="1" a="1"/>
  <c r="O1356" i="1" s="1"/>
  <c r="O1357" i="1" a="1"/>
  <c r="O1357" i="1" s="1"/>
  <c r="O1358" i="1" a="1"/>
  <c r="O1358" i="1" s="1"/>
  <c r="O1359" i="1" a="1"/>
  <c r="O1359" i="1" s="1"/>
  <c r="O1360" i="1" a="1"/>
  <c r="O1360" i="1" s="1"/>
  <c r="O1361" i="1" a="1"/>
  <c r="O1361" i="1" s="1"/>
  <c r="O1362" i="1" a="1"/>
  <c r="O1362" i="1" s="1"/>
  <c r="O1363" i="1" a="1"/>
  <c r="O1363" i="1" s="1"/>
  <c r="O1364" i="1" a="1"/>
  <c r="O1364" i="1" s="1"/>
  <c r="O1365" i="1" a="1"/>
  <c r="O1365" i="1" s="1"/>
  <c r="O1366" i="1" a="1"/>
  <c r="O1366" i="1" s="1"/>
  <c r="O1367" i="1" a="1"/>
  <c r="O1367" i="1" s="1"/>
  <c r="O1368" i="1" a="1"/>
  <c r="O1368" i="1" s="1"/>
  <c r="O1369" i="1" a="1"/>
  <c r="O1369" i="1" s="1"/>
  <c r="O1370" i="1" a="1"/>
  <c r="O1370" i="1" s="1"/>
  <c r="O1371" i="1" a="1"/>
  <c r="O1371" i="1" s="1"/>
  <c r="O1372" i="1" a="1"/>
  <c r="O1372" i="1" s="1"/>
  <c r="O1373" i="1" a="1"/>
  <c r="O1373" i="1" s="1"/>
  <c r="O1374" i="1" a="1"/>
  <c r="O1374" i="1" s="1"/>
  <c r="O1375" i="1" a="1"/>
  <c r="O1375" i="1" s="1"/>
  <c r="O1376" i="1" a="1"/>
  <c r="O1376" i="1" s="1"/>
  <c r="O1377" i="1" a="1"/>
  <c r="O1377" i="1" s="1"/>
  <c r="O1378" i="1" a="1"/>
  <c r="O1378" i="1" s="1"/>
  <c r="O1379" i="1" a="1"/>
  <c r="O1379" i="1" s="1"/>
  <c r="O1380" i="1" a="1"/>
  <c r="O1380" i="1" s="1"/>
  <c r="O1381" i="1" a="1"/>
  <c r="O1381" i="1" s="1"/>
  <c r="O1382" i="1" a="1"/>
  <c r="O1382" i="1" s="1"/>
  <c r="O1383" i="1" a="1"/>
  <c r="O1383" i="1" s="1"/>
  <c r="O1384" i="1" a="1"/>
  <c r="O1384" i="1" s="1"/>
  <c r="O1385" i="1" a="1"/>
  <c r="O1385" i="1" s="1"/>
  <c r="O1386" i="1" a="1"/>
  <c r="O1386" i="1" s="1"/>
  <c r="O1387" i="1" a="1"/>
  <c r="O1387" i="1" s="1"/>
  <c r="O1388" i="1" a="1"/>
  <c r="O1388" i="1" s="1"/>
  <c r="O1389" i="1" a="1"/>
  <c r="O1389" i="1" s="1"/>
  <c r="O1390" i="1" a="1"/>
  <c r="O1390" i="1" s="1"/>
  <c r="O1391" i="1" a="1"/>
  <c r="O1391" i="1" s="1"/>
  <c r="O1392" i="1" a="1"/>
  <c r="O1392" i="1" s="1"/>
  <c r="O1393" i="1" a="1"/>
  <c r="O1393" i="1" s="1"/>
  <c r="O1394" i="1" a="1"/>
  <c r="O1394" i="1" s="1"/>
  <c r="O1395" i="1" a="1"/>
  <c r="O1395" i="1" s="1"/>
  <c r="O1396" i="1" a="1"/>
  <c r="O1396" i="1" s="1"/>
  <c r="O1397" i="1" a="1"/>
  <c r="O1397" i="1" s="1"/>
  <c r="O1398" i="1" a="1"/>
  <c r="O1398" i="1" s="1"/>
  <c r="O1399" i="1" a="1"/>
  <c r="O1399" i="1" s="1"/>
  <c r="O1400" i="1" a="1"/>
  <c r="O1400" i="1" s="1"/>
  <c r="O1401" i="1" a="1"/>
  <c r="O1401" i="1" s="1"/>
  <c r="O1402" i="1" a="1"/>
  <c r="O1402" i="1" s="1"/>
  <c r="O1403" i="1" a="1"/>
  <c r="O1403" i="1" s="1"/>
  <c r="O1404" i="1" a="1"/>
  <c r="O1404" i="1" s="1"/>
  <c r="O1405" i="1" a="1"/>
  <c r="O1405" i="1" s="1"/>
  <c r="O1406" i="1" a="1"/>
  <c r="O1406" i="1" s="1"/>
  <c r="O1407" i="1" a="1"/>
  <c r="O1407" i="1" s="1"/>
  <c r="O1408" i="1" a="1"/>
  <c r="O1408" i="1" s="1"/>
  <c r="O1409" i="1" a="1"/>
  <c r="O1409" i="1" s="1"/>
  <c r="O1410" i="1" a="1"/>
  <c r="O1410" i="1" s="1"/>
  <c r="O1411" i="1" a="1"/>
  <c r="O1411" i="1" s="1"/>
  <c r="O1412" i="1" a="1"/>
  <c r="O1412" i="1" s="1"/>
  <c r="O1413" i="1" a="1"/>
  <c r="O1413" i="1" s="1"/>
  <c r="O1414" i="1" a="1"/>
  <c r="O1414" i="1" s="1"/>
  <c r="O1415" i="1" a="1"/>
  <c r="O1415" i="1" s="1"/>
  <c r="O1416" i="1" a="1"/>
  <c r="O1416" i="1" s="1"/>
  <c r="O1417" i="1" a="1"/>
  <c r="O1417" i="1" s="1"/>
  <c r="O1418" i="1" a="1"/>
  <c r="O1418" i="1" s="1"/>
  <c r="O1419" i="1" a="1"/>
  <c r="O1419" i="1" s="1"/>
  <c r="O1420" i="1" a="1"/>
  <c r="O1420" i="1" s="1"/>
  <c r="O1421" i="1" a="1"/>
  <c r="O1421" i="1" s="1"/>
  <c r="O1422" i="1" a="1"/>
  <c r="O1422" i="1" s="1"/>
  <c r="O1423" i="1" a="1"/>
  <c r="O1423" i="1" s="1"/>
  <c r="O1424" i="1" a="1"/>
  <c r="O1424" i="1" s="1"/>
  <c r="O1425" i="1" a="1"/>
  <c r="O1425" i="1" s="1"/>
  <c r="O1426" i="1" a="1"/>
  <c r="O1426" i="1" s="1"/>
  <c r="O1427" i="1" a="1"/>
  <c r="O1427" i="1" s="1"/>
  <c r="O1428" i="1" a="1"/>
  <c r="O1428" i="1" s="1"/>
  <c r="O1429" i="1" a="1"/>
  <c r="O1429" i="1" s="1"/>
  <c r="O1430" i="1" a="1"/>
  <c r="O1430" i="1" s="1"/>
  <c r="O1431" i="1" a="1"/>
  <c r="O1431" i="1" s="1"/>
  <c r="O1432" i="1" a="1"/>
  <c r="O1432" i="1" s="1"/>
  <c r="O1433" i="1" a="1"/>
  <c r="O1433" i="1" s="1"/>
  <c r="O1434" i="1" a="1"/>
  <c r="O1434" i="1" s="1"/>
  <c r="O1435" i="1" a="1"/>
  <c r="O1435" i="1" s="1"/>
  <c r="O1436" i="1" a="1"/>
  <c r="O1436" i="1" s="1"/>
  <c r="O1437" i="1" a="1"/>
  <c r="O1437" i="1" s="1"/>
  <c r="O1438" i="1" a="1"/>
  <c r="O1438" i="1" s="1"/>
  <c r="O1439" i="1" a="1"/>
  <c r="O1439" i="1" s="1"/>
  <c r="O1440" i="1" a="1"/>
  <c r="O1440" i="1" s="1"/>
  <c r="O1441" i="1" a="1"/>
  <c r="O1441" i="1" s="1"/>
  <c r="O1442" i="1" a="1"/>
  <c r="O1442" i="1" s="1"/>
  <c r="O1443" i="1" a="1"/>
  <c r="O1443" i="1" s="1"/>
  <c r="O1444" i="1" a="1"/>
  <c r="O1444" i="1" s="1"/>
  <c r="O1445" i="1" a="1"/>
  <c r="O1445" i="1" s="1"/>
  <c r="O1446" i="1" a="1"/>
  <c r="O1446" i="1" s="1"/>
  <c r="O1447" i="1" a="1"/>
  <c r="O1447" i="1" s="1"/>
  <c r="O1448" i="1" a="1"/>
  <c r="O1448" i="1" s="1"/>
  <c r="O1449" i="1" a="1"/>
  <c r="O1449" i="1" s="1"/>
  <c r="O1450" i="1" a="1"/>
  <c r="O1450" i="1" s="1"/>
  <c r="O1451" i="1" a="1"/>
  <c r="O1451" i="1" s="1"/>
  <c r="O1452" i="1" a="1"/>
  <c r="O1452" i="1" s="1"/>
  <c r="O1453" i="1" a="1"/>
  <c r="O1453" i="1" s="1"/>
  <c r="O1454" i="1" a="1"/>
  <c r="O1454" i="1" s="1"/>
  <c r="O1455" i="1" a="1"/>
  <c r="O1455" i="1" s="1"/>
  <c r="O1456" i="1" a="1"/>
  <c r="O1456" i="1" s="1"/>
  <c r="O1457" i="1" a="1"/>
  <c r="O1457" i="1" s="1"/>
  <c r="O1458" i="1" a="1"/>
  <c r="O1458" i="1" s="1"/>
  <c r="O1459" i="1" a="1"/>
  <c r="O1459" i="1" s="1"/>
  <c r="O1460" i="1" a="1"/>
  <c r="O1460" i="1" s="1"/>
  <c r="O1461" i="1" a="1"/>
  <c r="O1461" i="1" s="1"/>
  <c r="O1462" i="1" a="1"/>
  <c r="O1462" i="1" s="1"/>
  <c r="O1463" i="1" a="1"/>
  <c r="O1463" i="1" s="1"/>
  <c r="O1464" i="1" a="1"/>
  <c r="O1464" i="1" s="1"/>
  <c r="O1465" i="1" a="1"/>
  <c r="O1465" i="1" s="1"/>
  <c r="O1466" i="1" a="1"/>
  <c r="O1466" i="1" s="1"/>
  <c r="O1467" i="1" a="1"/>
  <c r="O1467" i="1" s="1"/>
  <c r="O1468" i="1" a="1"/>
  <c r="O1468" i="1" s="1"/>
  <c r="O1469" i="1" a="1"/>
  <c r="O1469" i="1" s="1"/>
  <c r="O1470" i="1" a="1"/>
  <c r="O1470" i="1" s="1"/>
  <c r="O1471" i="1" a="1"/>
  <c r="O1471" i="1" s="1"/>
  <c r="O1472" i="1" a="1"/>
  <c r="O1472" i="1" s="1"/>
  <c r="O1473" i="1" a="1"/>
  <c r="O1473" i="1" s="1"/>
  <c r="O1474" i="1" a="1"/>
  <c r="O1474" i="1" s="1"/>
  <c r="O1475" i="1" a="1"/>
  <c r="O1475" i="1" s="1"/>
  <c r="O1476" i="1" a="1"/>
  <c r="O1476" i="1" s="1"/>
  <c r="O1477" i="1" a="1"/>
  <c r="O1477" i="1" s="1"/>
  <c r="O1478" i="1" a="1"/>
  <c r="O1478" i="1" s="1"/>
  <c r="O1479" i="1" a="1"/>
  <c r="O1479" i="1" s="1"/>
  <c r="O1480" i="1" a="1"/>
  <c r="O1480" i="1" s="1"/>
  <c r="O1481" i="1" a="1"/>
  <c r="O1481" i="1" s="1"/>
  <c r="O1482" i="1" a="1"/>
  <c r="O1482" i="1" s="1"/>
  <c r="O1483" i="1" a="1"/>
  <c r="O1483" i="1" s="1"/>
  <c r="O1484" i="1" a="1"/>
  <c r="O1484" i="1" s="1"/>
  <c r="O1485" i="1" a="1"/>
  <c r="O1485" i="1" s="1"/>
  <c r="O1486" i="1" a="1"/>
  <c r="O1486" i="1" s="1"/>
  <c r="O1487" i="1" a="1"/>
  <c r="O1487" i="1" s="1"/>
  <c r="O1488" i="1" a="1"/>
  <c r="O1488" i="1" s="1"/>
  <c r="O1489" i="1" a="1"/>
  <c r="O1489" i="1" s="1"/>
  <c r="O1490" i="1" a="1"/>
  <c r="O1490" i="1" s="1"/>
  <c r="O1491" i="1" a="1"/>
  <c r="O1491" i="1" s="1"/>
  <c r="O1492" i="1" a="1"/>
  <c r="O1492" i="1" s="1"/>
  <c r="O1493" i="1" a="1"/>
  <c r="O1493" i="1" s="1"/>
  <c r="O1494" i="1" a="1"/>
  <c r="O1494" i="1" s="1"/>
  <c r="O1495" i="1" a="1"/>
  <c r="O1495" i="1" s="1"/>
  <c r="O1496" i="1" a="1"/>
  <c r="O1496" i="1" s="1"/>
  <c r="O1497" i="1" a="1"/>
  <c r="O1497" i="1" s="1"/>
  <c r="O1498" i="1" a="1"/>
  <c r="O1498" i="1" s="1"/>
  <c r="O1499" i="1" a="1"/>
  <c r="O1499" i="1" s="1"/>
  <c r="O1500" i="1" a="1"/>
  <c r="O1500" i="1" s="1"/>
  <c r="O1501" i="1" a="1"/>
  <c r="O1501" i="1" s="1"/>
  <c r="O1502" i="1" a="1"/>
  <c r="O1502" i="1" s="1"/>
  <c r="O1503" i="1" a="1"/>
  <c r="O1503" i="1" s="1"/>
  <c r="O1504" i="1" a="1"/>
  <c r="O1504" i="1" s="1"/>
  <c r="O1505" i="1" a="1"/>
  <c r="O1505" i="1" s="1"/>
  <c r="O1506" i="1" a="1"/>
  <c r="O1506" i="1" s="1"/>
  <c r="O1507" i="1" a="1"/>
  <c r="O1507" i="1" s="1"/>
  <c r="O1508" i="1" a="1"/>
  <c r="O1508" i="1" s="1"/>
  <c r="O1509" i="1" a="1"/>
  <c r="O1509" i="1" s="1"/>
  <c r="O1510" i="1" a="1"/>
  <c r="O1510" i="1" s="1"/>
  <c r="O1511" i="1" a="1"/>
  <c r="O1511" i="1" s="1"/>
  <c r="O1512" i="1" a="1"/>
  <c r="O1512" i="1" s="1"/>
  <c r="O1513" i="1" a="1"/>
  <c r="O1513" i="1" s="1"/>
  <c r="O1514" i="1" a="1"/>
  <c r="O1514" i="1" s="1"/>
  <c r="O1515" i="1" a="1"/>
  <c r="O1515" i="1" s="1"/>
  <c r="O1516" i="1" a="1"/>
  <c r="O1516" i="1" s="1"/>
  <c r="O1517" i="1" a="1"/>
  <c r="O1517" i="1" s="1"/>
  <c r="O1518" i="1" a="1"/>
  <c r="O1518" i="1" s="1"/>
  <c r="O1519" i="1" a="1"/>
  <c r="O1519" i="1" s="1"/>
  <c r="O1520" i="1" a="1"/>
  <c r="O1520" i="1" s="1"/>
  <c r="O1521" i="1" a="1"/>
  <c r="O1521" i="1" s="1"/>
  <c r="O1522" i="1" a="1"/>
  <c r="O1522" i="1" s="1"/>
  <c r="O1523" i="1" a="1"/>
  <c r="O1523" i="1" s="1"/>
  <c r="O1524" i="1" a="1"/>
  <c r="O1524" i="1" s="1"/>
  <c r="O1525" i="1" a="1"/>
  <c r="O1525" i="1" s="1"/>
  <c r="O1526" i="1" a="1"/>
  <c r="O1526" i="1" s="1"/>
  <c r="O1527" i="1" a="1"/>
  <c r="O1527" i="1" s="1"/>
  <c r="O1528" i="1" a="1"/>
  <c r="O1528" i="1" s="1"/>
  <c r="O1529" i="1" a="1"/>
  <c r="O1529" i="1" s="1"/>
  <c r="O1530" i="1" a="1"/>
  <c r="O1530" i="1" s="1"/>
  <c r="O1531" i="1" a="1"/>
  <c r="O1531" i="1" s="1"/>
  <c r="O1532" i="1" a="1"/>
  <c r="O1532" i="1" s="1"/>
  <c r="O1533" i="1" a="1"/>
  <c r="O1533" i="1" s="1"/>
  <c r="O1534" i="1" a="1"/>
  <c r="O1534" i="1" s="1"/>
  <c r="O1535" i="1" a="1"/>
  <c r="O1535" i="1" s="1"/>
  <c r="O1536" i="1" a="1"/>
  <c r="O1536" i="1" s="1"/>
  <c r="O1537" i="1" a="1"/>
  <c r="O1537" i="1" s="1"/>
  <c r="O1538" i="1" a="1"/>
  <c r="O1538" i="1" s="1"/>
  <c r="O1539" i="1" a="1"/>
  <c r="O1539" i="1" s="1"/>
  <c r="O1540" i="1" a="1"/>
  <c r="O1540" i="1" s="1"/>
  <c r="O1541" i="1" a="1"/>
  <c r="O1541" i="1" s="1"/>
  <c r="O1542" i="1" a="1"/>
  <c r="O1542" i="1" s="1"/>
  <c r="O1543" i="1" a="1"/>
  <c r="O1543" i="1" s="1"/>
  <c r="O1544" i="1" a="1"/>
  <c r="O1544" i="1" s="1"/>
  <c r="O1545" i="1" a="1"/>
  <c r="O1545" i="1" s="1"/>
  <c r="O1546" i="1" a="1"/>
  <c r="O1546" i="1" s="1"/>
  <c r="O1547" i="1" a="1"/>
  <c r="O1547" i="1" s="1"/>
  <c r="O1548" i="1" a="1"/>
  <c r="O1548" i="1" s="1"/>
  <c r="O1549" i="1" a="1"/>
  <c r="O1549" i="1" s="1"/>
  <c r="O1550" i="1" a="1"/>
  <c r="O1550" i="1" s="1"/>
  <c r="O1551" i="1" a="1"/>
  <c r="O1551" i="1" s="1"/>
  <c r="O1552" i="1" a="1"/>
  <c r="O1552" i="1" s="1"/>
  <c r="O1553" i="1" a="1"/>
  <c r="O1553" i="1" s="1"/>
  <c r="O1554" i="1" a="1"/>
  <c r="O1554" i="1" s="1"/>
  <c r="O1555" i="1" a="1"/>
  <c r="O1555" i="1" s="1"/>
  <c r="O1556" i="1" a="1"/>
  <c r="O1556" i="1" s="1"/>
  <c r="O1557" i="1" a="1"/>
  <c r="O1557" i="1" s="1"/>
  <c r="O1558" i="1" a="1"/>
  <c r="O1558" i="1" s="1"/>
  <c r="O1559" i="1" a="1"/>
  <c r="O1559" i="1" s="1"/>
  <c r="O1560" i="1" a="1"/>
  <c r="O1560" i="1" s="1"/>
  <c r="O1561" i="1" a="1"/>
  <c r="O1561" i="1" s="1"/>
  <c r="O1562" i="1" a="1"/>
  <c r="O1562" i="1" s="1"/>
  <c r="O1563" i="1" a="1"/>
  <c r="O1563" i="1" s="1"/>
  <c r="O1564" i="1" a="1"/>
  <c r="O1564" i="1" s="1"/>
  <c r="O1565" i="1" a="1"/>
  <c r="O1565" i="1" s="1"/>
  <c r="O1566" i="1" a="1"/>
  <c r="O1566" i="1" s="1"/>
  <c r="O1567" i="1" a="1"/>
  <c r="O1567" i="1" s="1"/>
  <c r="O1568" i="1" a="1"/>
  <c r="O1568" i="1" s="1"/>
  <c r="O1569" i="1" a="1"/>
  <c r="O1569" i="1" s="1"/>
  <c r="O1570" i="1" a="1"/>
  <c r="O1570" i="1" s="1"/>
  <c r="O1571" i="1" a="1"/>
  <c r="O1571" i="1" s="1"/>
  <c r="O1572" i="1" a="1"/>
  <c r="O1572" i="1" s="1"/>
  <c r="O1573" i="1" a="1"/>
  <c r="O1573" i="1" s="1"/>
  <c r="O1574" i="1" a="1"/>
  <c r="O1574" i="1" s="1"/>
  <c r="O1575" i="1" a="1"/>
  <c r="O1575" i="1" s="1"/>
  <c r="O1576" i="1" a="1"/>
  <c r="O1576" i="1" s="1"/>
  <c r="O1577" i="1" a="1"/>
  <c r="O1577" i="1" s="1"/>
  <c r="O1578" i="1" a="1"/>
  <c r="O1578" i="1" s="1"/>
  <c r="O1579" i="1" a="1"/>
  <c r="O1579" i="1" s="1"/>
  <c r="O1580" i="1" a="1"/>
  <c r="O1580" i="1" s="1"/>
  <c r="O1581" i="1" a="1"/>
  <c r="O1581" i="1" s="1"/>
  <c r="O1582" i="1" a="1"/>
  <c r="O1582" i="1" s="1"/>
  <c r="O1583" i="1" a="1"/>
  <c r="O1583" i="1" s="1"/>
  <c r="O1584" i="1" a="1"/>
  <c r="O1584" i="1" s="1"/>
  <c r="O1585" i="1" a="1"/>
  <c r="O1585" i="1" s="1"/>
  <c r="O1586" i="1" a="1"/>
  <c r="O1586" i="1" s="1"/>
  <c r="O1587" i="1" a="1"/>
  <c r="O1587" i="1" s="1"/>
  <c r="O1588" i="1" a="1"/>
  <c r="O1588" i="1" s="1"/>
  <c r="O1589" i="1" a="1"/>
  <c r="O1589" i="1" s="1"/>
  <c r="O1590" i="1" a="1"/>
  <c r="O1590" i="1" s="1"/>
  <c r="O1591" i="1" a="1"/>
  <c r="O1591" i="1" s="1"/>
  <c r="O1592" i="1" a="1"/>
  <c r="O1592" i="1" s="1"/>
  <c r="O1593" i="1" a="1"/>
  <c r="O1593" i="1" s="1"/>
  <c r="O1594" i="1" a="1"/>
  <c r="O1594" i="1" s="1"/>
  <c r="O1595" i="1" a="1"/>
  <c r="O1595" i="1" s="1"/>
  <c r="O1596" i="1" a="1"/>
  <c r="O1596" i="1" s="1"/>
  <c r="O1597" i="1" a="1"/>
  <c r="O1597" i="1" s="1"/>
  <c r="O1598" i="1" a="1"/>
  <c r="O1598" i="1" s="1"/>
  <c r="O1599" i="1" a="1"/>
  <c r="O1599" i="1" s="1"/>
  <c r="O1600" i="1" a="1"/>
  <c r="O1600" i="1" s="1"/>
  <c r="O1601" i="1" a="1"/>
  <c r="O1601" i="1" s="1"/>
  <c r="O1602" i="1" a="1"/>
  <c r="O1602" i="1" s="1"/>
  <c r="O1603" i="1" a="1"/>
  <c r="O1603" i="1" s="1"/>
  <c r="O1604" i="1" a="1"/>
  <c r="O1604" i="1" s="1"/>
  <c r="O1605" i="1" a="1"/>
  <c r="O1605" i="1" s="1"/>
  <c r="O1606" i="1" a="1"/>
  <c r="O1606" i="1" s="1"/>
  <c r="O1607" i="1" a="1"/>
  <c r="O1607" i="1" s="1"/>
  <c r="O1608" i="1" a="1"/>
  <c r="O1608" i="1" s="1"/>
  <c r="O1609" i="1" a="1"/>
  <c r="O1609" i="1" s="1"/>
  <c r="O1610" i="1" a="1"/>
  <c r="O1610" i="1" s="1"/>
  <c r="O1611" i="1" a="1"/>
  <c r="O1611" i="1" s="1"/>
  <c r="O1612" i="1" a="1"/>
  <c r="O1612" i="1" s="1"/>
  <c r="O1613" i="1" a="1"/>
  <c r="O1613" i="1" s="1"/>
  <c r="O1614" i="1" a="1"/>
  <c r="O1614" i="1" s="1"/>
  <c r="O1615" i="1" a="1"/>
  <c r="O1615" i="1" s="1"/>
  <c r="O1616" i="1" a="1"/>
  <c r="O1616" i="1" s="1"/>
  <c r="O1617" i="1" a="1"/>
  <c r="O1617" i="1" s="1"/>
  <c r="O1618" i="1" a="1"/>
  <c r="O1618" i="1" s="1"/>
  <c r="O1619" i="1" a="1"/>
  <c r="O1619" i="1" s="1"/>
  <c r="O1620" i="1" a="1"/>
  <c r="O1620" i="1" s="1"/>
  <c r="O1621" i="1" a="1"/>
  <c r="O1621" i="1" s="1"/>
  <c r="O1622" i="1" a="1"/>
  <c r="O1622" i="1" s="1"/>
  <c r="O1623" i="1" a="1"/>
  <c r="O1623" i="1" s="1"/>
  <c r="O1624" i="1" a="1"/>
  <c r="O1624" i="1" s="1"/>
  <c r="O1625" i="1" a="1"/>
  <c r="O1625" i="1" s="1"/>
  <c r="O1626" i="1" a="1"/>
  <c r="O1626" i="1" s="1"/>
  <c r="O1627" i="1" a="1"/>
  <c r="O1627" i="1" s="1"/>
  <c r="O1628" i="1" a="1"/>
  <c r="O1628" i="1" s="1"/>
  <c r="O1629" i="1" a="1"/>
  <c r="O1629" i="1" s="1"/>
  <c r="O1630" i="1" a="1"/>
  <c r="O1630" i="1" s="1"/>
  <c r="O1631" i="1" a="1"/>
  <c r="O1631" i="1" s="1"/>
  <c r="O1632" i="1" a="1"/>
  <c r="O1632" i="1" s="1"/>
  <c r="O1633" i="1" a="1"/>
  <c r="O1633" i="1" s="1"/>
  <c r="O1634" i="1" a="1"/>
  <c r="O1634" i="1" s="1"/>
  <c r="O1635" i="1" a="1"/>
  <c r="O1635" i="1" s="1"/>
  <c r="O1636" i="1" a="1"/>
  <c r="O1636" i="1" s="1"/>
  <c r="O1637" i="1" a="1"/>
  <c r="O1637" i="1" s="1"/>
  <c r="O1638" i="1" a="1"/>
  <c r="O1638" i="1" s="1"/>
  <c r="O1639" i="1" a="1"/>
  <c r="O1639" i="1" s="1"/>
  <c r="O1640" i="1" a="1"/>
  <c r="O1640" i="1" s="1"/>
  <c r="O1641" i="1" a="1"/>
  <c r="O1641" i="1" s="1"/>
  <c r="O1642" i="1" a="1"/>
  <c r="O1642" i="1" s="1"/>
  <c r="O1643" i="1" a="1"/>
  <c r="O1643" i="1" s="1"/>
  <c r="O1644" i="1" a="1"/>
  <c r="O1644" i="1" s="1"/>
  <c r="O1645" i="1" a="1"/>
  <c r="O1645" i="1" s="1"/>
  <c r="O1646" i="1" a="1"/>
  <c r="O1646" i="1" s="1"/>
  <c r="O1647" i="1" a="1"/>
  <c r="O1647" i="1" s="1"/>
  <c r="O1648" i="1" a="1"/>
  <c r="O1648" i="1" s="1"/>
  <c r="O1649" i="1" a="1"/>
  <c r="O1649" i="1" s="1"/>
  <c r="O1650" i="1" a="1"/>
  <c r="O1650" i="1" s="1"/>
  <c r="O1651" i="1" a="1"/>
  <c r="O1651" i="1" s="1"/>
  <c r="O1652" i="1" a="1"/>
  <c r="O1652" i="1" s="1"/>
  <c r="O1653" i="1" a="1"/>
  <c r="O1653" i="1" s="1"/>
  <c r="O1654" i="1" a="1"/>
  <c r="O1654" i="1" s="1"/>
  <c r="O1655" i="1" a="1"/>
  <c r="O1655" i="1" s="1"/>
  <c r="O1656" i="1" a="1"/>
  <c r="O1656" i="1" s="1"/>
  <c r="O1657" i="1" a="1"/>
  <c r="O1657" i="1" s="1"/>
  <c r="O1658" i="1" a="1"/>
  <c r="O1658" i="1" s="1"/>
  <c r="O1659" i="1" a="1"/>
  <c r="O1659" i="1" s="1"/>
  <c r="O1660" i="1" a="1"/>
  <c r="O1660" i="1" s="1"/>
  <c r="O1661" i="1" a="1"/>
  <c r="O1661" i="1" s="1"/>
  <c r="O1662" i="1" a="1"/>
  <c r="O1662" i="1" s="1"/>
  <c r="O1663" i="1" a="1"/>
  <c r="O1663" i="1" s="1"/>
  <c r="O1664" i="1" a="1"/>
  <c r="O1664" i="1" s="1"/>
  <c r="O1665" i="1" a="1"/>
  <c r="O1665" i="1" s="1"/>
  <c r="O1666" i="1" a="1"/>
  <c r="O1666" i="1" s="1"/>
  <c r="O1667" i="1" a="1"/>
  <c r="O1667" i="1" s="1"/>
  <c r="O1668" i="1" a="1"/>
  <c r="O1668" i="1" s="1"/>
  <c r="O1669" i="1" a="1"/>
  <c r="O1669" i="1" s="1"/>
  <c r="O1670" i="1" a="1"/>
  <c r="O1670" i="1" s="1"/>
  <c r="O1671" i="1" a="1"/>
  <c r="O1671" i="1" s="1"/>
  <c r="O1672" i="1" a="1"/>
  <c r="O1672" i="1" s="1"/>
  <c r="O1673" i="1" a="1"/>
  <c r="O1673" i="1" s="1"/>
  <c r="O1674" i="1" a="1"/>
  <c r="O1674" i="1" s="1"/>
  <c r="O1675" i="1" a="1"/>
  <c r="O1675" i="1" s="1"/>
  <c r="O1676" i="1" a="1"/>
  <c r="O1676" i="1" s="1"/>
  <c r="O1677" i="1" a="1"/>
  <c r="O1677" i="1" s="1"/>
  <c r="O1678" i="1" a="1"/>
  <c r="O1678" i="1" s="1"/>
  <c r="O1679" i="1" a="1"/>
  <c r="O1679" i="1" s="1"/>
  <c r="O1680" i="1" a="1"/>
  <c r="O1680" i="1" s="1"/>
  <c r="O1681" i="1" a="1"/>
  <c r="O1681" i="1" s="1"/>
  <c r="O1682" i="1" a="1"/>
  <c r="O1682" i="1" s="1"/>
  <c r="O1683" i="1" a="1"/>
  <c r="O1683" i="1" s="1"/>
  <c r="O1684" i="1" a="1"/>
  <c r="O1684" i="1" s="1"/>
  <c r="O1685" i="1" a="1"/>
  <c r="O1685" i="1" s="1"/>
  <c r="O1686" i="1" a="1"/>
  <c r="O1686" i="1" s="1"/>
  <c r="O1687" i="1" a="1"/>
  <c r="O1687" i="1" s="1"/>
  <c r="O1688" i="1" a="1"/>
  <c r="O1688" i="1" s="1"/>
  <c r="O1689" i="1" a="1"/>
  <c r="O1689" i="1" s="1"/>
  <c r="O1690" i="1" a="1"/>
  <c r="O1690" i="1" s="1"/>
  <c r="O1691" i="1" a="1"/>
  <c r="O1691" i="1" s="1"/>
  <c r="O1692" i="1" a="1"/>
  <c r="O1692" i="1" s="1"/>
  <c r="O1693" i="1" a="1"/>
  <c r="O1693" i="1" s="1"/>
  <c r="O1694" i="1" a="1"/>
  <c r="O1694" i="1" s="1"/>
  <c r="O1695" i="1" a="1"/>
  <c r="O1695" i="1" s="1"/>
  <c r="O1696" i="1" a="1"/>
  <c r="O1696" i="1" s="1"/>
  <c r="O1697" i="1" a="1"/>
  <c r="O1697" i="1" s="1"/>
  <c r="O1698" i="1" a="1"/>
  <c r="O1698" i="1" s="1"/>
  <c r="O1699" i="1" a="1"/>
  <c r="O1699" i="1" s="1"/>
  <c r="O1700" i="1" a="1"/>
  <c r="O1700" i="1" s="1"/>
  <c r="O1701" i="1" a="1"/>
  <c r="O1701" i="1" s="1"/>
  <c r="O1702" i="1" a="1"/>
  <c r="O1702" i="1" s="1"/>
  <c r="O1703" i="1" a="1"/>
  <c r="O1703" i="1" s="1"/>
  <c r="O1704" i="1" a="1"/>
  <c r="O1704" i="1" s="1"/>
  <c r="O1705" i="1" a="1"/>
  <c r="O1705" i="1" s="1"/>
  <c r="O1706" i="1" a="1"/>
  <c r="O1706" i="1" s="1"/>
  <c r="O1707" i="1" a="1"/>
  <c r="O1707" i="1" s="1"/>
  <c r="O1708" i="1" a="1"/>
  <c r="O1708" i="1" s="1"/>
  <c r="O1709" i="1" a="1"/>
  <c r="O1709" i="1" s="1"/>
  <c r="O1710" i="1" a="1"/>
  <c r="O1710" i="1" s="1"/>
  <c r="O1711" i="1" a="1"/>
  <c r="O1711" i="1" s="1"/>
  <c r="O1712" i="1" a="1"/>
  <c r="O1712" i="1" s="1"/>
  <c r="O1713" i="1" a="1"/>
  <c r="O1713" i="1" s="1"/>
  <c r="O1714" i="1" a="1"/>
  <c r="O1714" i="1" s="1"/>
  <c r="O1715" i="1" a="1"/>
  <c r="O1715" i="1" s="1"/>
  <c r="O1716" i="1" a="1"/>
  <c r="O1716" i="1" s="1"/>
  <c r="O1717" i="1" a="1"/>
  <c r="O1717" i="1" s="1"/>
  <c r="O1718" i="1" a="1"/>
  <c r="O1718" i="1" s="1"/>
  <c r="O1719" i="1" a="1"/>
  <c r="O1719" i="1" s="1"/>
  <c r="O1720" i="1" a="1"/>
  <c r="O1720" i="1" s="1"/>
  <c r="O1721" i="1" a="1"/>
  <c r="O1721" i="1" s="1"/>
  <c r="O1722" i="1" a="1"/>
  <c r="O1722" i="1" s="1"/>
  <c r="O1723" i="1" a="1"/>
  <c r="O1723" i="1" s="1"/>
  <c r="O1724" i="1" a="1"/>
  <c r="O1724" i="1" s="1"/>
  <c r="O1725" i="1" a="1"/>
  <c r="O1725" i="1" s="1"/>
  <c r="O1726" i="1" a="1"/>
  <c r="O1726" i="1" s="1"/>
  <c r="O1727" i="1" a="1"/>
  <c r="O1727" i="1" s="1"/>
  <c r="O1728" i="1" a="1"/>
  <c r="O1728" i="1" s="1"/>
  <c r="O1729" i="1" a="1"/>
  <c r="O1729" i="1" s="1"/>
  <c r="O1730" i="1" a="1"/>
  <c r="O1730" i="1" s="1"/>
  <c r="O1731" i="1" a="1"/>
  <c r="O1731" i="1" s="1"/>
  <c r="O1732" i="1" a="1"/>
  <c r="O1732" i="1" s="1"/>
  <c r="O1733" i="1" a="1"/>
  <c r="O1733" i="1" s="1"/>
  <c r="O1734" i="1" a="1"/>
  <c r="O1734" i="1" s="1"/>
  <c r="O1735" i="1" a="1"/>
  <c r="O1735" i="1" s="1"/>
  <c r="O1736" i="1" a="1"/>
  <c r="O1736" i="1" s="1"/>
  <c r="O1737" i="1" a="1"/>
  <c r="O1737" i="1" s="1"/>
  <c r="O1738" i="1" a="1"/>
  <c r="O1738" i="1" s="1"/>
  <c r="O1739" i="1" a="1"/>
  <c r="O1739" i="1" s="1"/>
  <c r="O1740" i="1" a="1"/>
  <c r="O1740" i="1" s="1"/>
  <c r="O1741" i="1" a="1"/>
  <c r="O1741" i="1" s="1"/>
  <c r="O1742" i="1" a="1"/>
  <c r="O1742" i="1" s="1"/>
  <c r="O1743" i="1" a="1"/>
  <c r="O1743" i="1" s="1"/>
  <c r="O1744" i="1" a="1"/>
  <c r="O1744" i="1" s="1"/>
  <c r="O1745" i="1" a="1"/>
  <c r="O1745" i="1" s="1"/>
  <c r="O1746" i="1" a="1"/>
  <c r="O1746" i="1" s="1"/>
  <c r="O1747" i="1" a="1"/>
  <c r="O1747" i="1" s="1"/>
  <c r="O1748" i="1" a="1"/>
  <c r="O1748" i="1" s="1"/>
  <c r="O1749" i="1" a="1"/>
  <c r="O1749" i="1" s="1"/>
  <c r="O1750" i="1" a="1"/>
  <c r="O1750" i="1" s="1"/>
  <c r="O1751" i="1" a="1"/>
  <c r="O1751" i="1" s="1"/>
  <c r="O1752" i="1" a="1"/>
  <c r="O1752" i="1" s="1"/>
  <c r="O1753" i="1" a="1"/>
  <c r="O1753" i="1" s="1"/>
  <c r="O1754" i="1" a="1"/>
  <c r="O1754" i="1" s="1"/>
  <c r="O1755" i="1" a="1"/>
  <c r="O1755" i="1" s="1"/>
  <c r="O1756" i="1" a="1"/>
  <c r="O1756" i="1" s="1"/>
  <c r="O1757" i="1" a="1"/>
  <c r="O1757" i="1" s="1"/>
  <c r="O1758" i="1" a="1"/>
  <c r="O1758" i="1" s="1"/>
  <c r="O1759" i="1" a="1"/>
  <c r="O1759" i="1" s="1"/>
  <c r="O1760" i="1" a="1"/>
  <c r="O1760" i="1" s="1"/>
  <c r="O1761" i="1" a="1"/>
  <c r="O1761" i="1" s="1"/>
  <c r="O1762" i="1" a="1"/>
  <c r="O1762" i="1" s="1"/>
  <c r="O1763" i="1" a="1"/>
  <c r="O1763" i="1" s="1"/>
  <c r="O1764" i="1" a="1"/>
  <c r="O1764" i="1" s="1"/>
  <c r="O1765" i="1" a="1"/>
  <c r="O1765" i="1" s="1"/>
  <c r="O1766" i="1" a="1"/>
  <c r="O1766" i="1" s="1"/>
  <c r="O1767" i="1" a="1"/>
  <c r="O1767" i="1" s="1"/>
  <c r="O1768" i="1" a="1"/>
  <c r="O1768" i="1" s="1"/>
  <c r="O1769" i="1" a="1"/>
  <c r="O1769" i="1" s="1"/>
  <c r="O1770" i="1" a="1"/>
  <c r="O1770" i="1" s="1"/>
  <c r="O1771" i="1" a="1"/>
  <c r="O1771" i="1" s="1"/>
  <c r="O1772" i="1" a="1"/>
  <c r="O1772" i="1" s="1"/>
  <c r="O1773" i="1" a="1"/>
  <c r="O1773" i="1" s="1"/>
  <c r="O1774" i="1" a="1"/>
  <c r="O1774" i="1" s="1"/>
  <c r="O1775" i="1" a="1"/>
  <c r="O1775" i="1" s="1"/>
  <c r="O1776" i="1" a="1"/>
  <c r="O1776" i="1" s="1"/>
  <c r="O1777" i="1" a="1"/>
  <c r="O1777" i="1" s="1"/>
  <c r="O1778" i="1" a="1"/>
  <c r="O1778" i="1" s="1"/>
  <c r="O1779" i="1" a="1"/>
  <c r="O1779" i="1" s="1"/>
  <c r="O1780" i="1" a="1"/>
  <c r="O1780" i="1" s="1"/>
  <c r="O1781" i="1" a="1"/>
  <c r="O1781" i="1" s="1"/>
  <c r="O1782" i="1" a="1"/>
  <c r="O1782" i="1" s="1"/>
  <c r="O1783" i="1" a="1"/>
  <c r="O1783" i="1" s="1"/>
  <c r="O1784" i="1" a="1"/>
  <c r="O1784" i="1" s="1"/>
  <c r="O1785" i="1" a="1"/>
  <c r="O1785" i="1" s="1"/>
  <c r="O1786" i="1" a="1"/>
  <c r="O1786" i="1" s="1"/>
  <c r="O1787" i="1" a="1"/>
  <c r="O1787" i="1" s="1"/>
  <c r="O1788" i="1" a="1"/>
  <c r="O1788" i="1" s="1"/>
  <c r="O1789" i="1" a="1"/>
  <c r="O1789" i="1" s="1"/>
  <c r="O1790" i="1" a="1"/>
  <c r="O1790" i="1" s="1"/>
  <c r="O1791" i="1" a="1"/>
  <c r="O1791" i="1" s="1"/>
  <c r="O1792" i="1" a="1"/>
  <c r="O1792" i="1" s="1"/>
  <c r="O1793" i="1" a="1"/>
  <c r="O1793" i="1" s="1"/>
  <c r="O1794" i="1" a="1"/>
  <c r="O1794" i="1" s="1"/>
  <c r="O1795" i="1" a="1"/>
  <c r="O1795" i="1" s="1"/>
  <c r="O1796" i="1" a="1"/>
  <c r="O1796" i="1" s="1"/>
  <c r="O1797" i="1" a="1"/>
  <c r="O1797" i="1" s="1"/>
  <c r="O1798" i="1" a="1"/>
  <c r="O1798" i="1" s="1"/>
  <c r="O1799" i="1" a="1"/>
  <c r="O1799" i="1" s="1"/>
  <c r="O1800" i="1" a="1"/>
  <c r="O1800" i="1" s="1"/>
  <c r="O1801" i="1" a="1"/>
  <c r="O1801" i="1" s="1"/>
  <c r="O1802" i="1" a="1"/>
  <c r="O1802" i="1" s="1"/>
  <c r="O1803" i="1" a="1"/>
  <c r="O1803" i="1" s="1"/>
  <c r="O1804" i="1" a="1"/>
  <c r="O1804" i="1" s="1"/>
  <c r="O1805" i="1" a="1"/>
  <c r="O1805" i="1" s="1"/>
  <c r="O1806" i="1" a="1"/>
  <c r="O1806" i="1" s="1"/>
  <c r="O1807" i="1" a="1"/>
  <c r="O1807" i="1" s="1"/>
  <c r="O1808" i="1" a="1"/>
  <c r="O1808" i="1" s="1"/>
  <c r="O1809" i="1" a="1"/>
  <c r="O1809" i="1" s="1"/>
  <c r="O1810" i="1" a="1"/>
  <c r="O1810" i="1" s="1"/>
  <c r="O1811" i="1" a="1"/>
  <c r="O1811" i="1" s="1"/>
  <c r="O1812" i="1" a="1"/>
  <c r="O1812" i="1" s="1"/>
  <c r="O1813" i="1" a="1"/>
  <c r="O1813" i="1" s="1"/>
  <c r="O1814" i="1" a="1"/>
  <c r="O1814" i="1" s="1"/>
  <c r="O1815" i="1" a="1"/>
  <c r="O1815" i="1" s="1"/>
  <c r="O1816" i="1" a="1"/>
  <c r="O1816" i="1" s="1"/>
  <c r="O1817" i="1" a="1"/>
  <c r="O1817" i="1" s="1"/>
  <c r="O1818" i="1" a="1"/>
  <c r="O1818" i="1" s="1"/>
  <c r="O1819" i="1" a="1"/>
  <c r="O1819" i="1" s="1"/>
  <c r="O1820" i="1" a="1"/>
  <c r="O1820" i="1" s="1"/>
  <c r="O1821" i="1" a="1"/>
  <c r="O1821" i="1" s="1"/>
  <c r="O1822" i="1" a="1"/>
  <c r="O1822" i="1" s="1"/>
  <c r="O1823" i="1" a="1"/>
  <c r="O1823" i="1" s="1"/>
  <c r="O1824" i="1" a="1"/>
  <c r="O1824" i="1" s="1"/>
  <c r="O1825" i="1" a="1"/>
  <c r="O1825" i="1" s="1"/>
  <c r="O1826" i="1" a="1"/>
  <c r="O1826" i="1" s="1"/>
  <c r="O1827" i="1" a="1"/>
  <c r="O1827" i="1" s="1"/>
  <c r="O1828" i="1" a="1"/>
  <c r="O1828" i="1" s="1"/>
  <c r="O1829" i="1" a="1"/>
  <c r="O1829" i="1" s="1"/>
  <c r="O1830" i="1" a="1"/>
  <c r="O1830" i="1" s="1"/>
  <c r="O1831" i="1" a="1"/>
  <c r="O1831" i="1" s="1"/>
  <c r="O1832" i="1" a="1"/>
  <c r="O1832" i="1" s="1"/>
  <c r="O1833" i="1" a="1"/>
  <c r="O1833" i="1" s="1"/>
  <c r="O1834" i="1" a="1"/>
  <c r="O1834" i="1" s="1"/>
  <c r="O1835" i="1" a="1"/>
  <c r="O1835" i="1" s="1"/>
  <c r="O1836" i="1" a="1"/>
  <c r="O1836" i="1" s="1"/>
  <c r="O1837" i="1" a="1"/>
  <c r="O1837" i="1" s="1"/>
  <c r="O1838" i="1" a="1"/>
  <c r="O1838" i="1" s="1"/>
  <c r="O1839" i="1" a="1"/>
  <c r="O1839" i="1" s="1"/>
  <c r="O1840" i="1" a="1"/>
  <c r="O1840" i="1" s="1"/>
  <c r="O1841" i="1" a="1"/>
  <c r="O1841" i="1" s="1"/>
  <c r="O1842" i="1" a="1"/>
  <c r="O1842" i="1" s="1"/>
  <c r="O1843" i="1" a="1"/>
  <c r="O1843" i="1" s="1"/>
  <c r="O1844" i="1" a="1"/>
  <c r="O1844" i="1" s="1"/>
  <c r="O1845" i="1" a="1"/>
  <c r="O1845" i="1" s="1"/>
  <c r="O1846" i="1" a="1"/>
  <c r="O1846" i="1" s="1"/>
  <c r="O1847" i="1" a="1"/>
  <c r="O1847" i="1" s="1"/>
  <c r="O1848" i="1" a="1"/>
  <c r="O1848" i="1" s="1"/>
  <c r="O1849" i="1" a="1"/>
  <c r="O1849" i="1" s="1"/>
  <c r="O1850" i="1" a="1"/>
  <c r="O1850" i="1" s="1"/>
  <c r="O1851" i="1" a="1"/>
  <c r="O1851" i="1" s="1"/>
  <c r="O1852" i="1" a="1"/>
  <c r="O1852" i="1" s="1"/>
  <c r="O1853" i="1" a="1"/>
  <c r="O1853" i="1" s="1"/>
  <c r="O1854" i="1" a="1"/>
  <c r="O1854" i="1" s="1"/>
  <c r="O1855" i="1" a="1"/>
  <c r="O1855" i="1" s="1"/>
  <c r="O1856" i="1" a="1"/>
  <c r="O1856" i="1" s="1"/>
  <c r="O1857" i="1" a="1"/>
  <c r="O1857" i="1" s="1"/>
  <c r="O1858" i="1" a="1"/>
  <c r="O1858" i="1" s="1"/>
  <c r="O1859" i="1" a="1"/>
  <c r="O1859" i="1" s="1"/>
  <c r="O1860" i="1" a="1"/>
  <c r="O1860" i="1" s="1"/>
  <c r="O1861" i="1" a="1"/>
  <c r="O1861" i="1" s="1"/>
  <c r="O1862" i="1" a="1"/>
  <c r="O1862" i="1" s="1"/>
  <c r="O1863" i="1" a="1"/>
  <c r="O1863" i="1" s="1"/>
  <c r="O1864" i="1" a="1"/>
  <c r="O1864" i="1" s="1"/>
  <c r="O1865" i="1" a="1"/>
  <c r="O1865" i="1" s="1"/>
  <c r="O1866" i="1" a="1"/>
  <c r="O1866" i="1" s="1"/>
  <c r="O1867" i="1" a="1"/>
  <c r="O1867" i="1" s="1"/>
  <c r="O1868" i="1" a="1"/>
  <c r="O1868" i="1" s="1"/>
  <c r="O1869" i="1" a="1"/>
  <c r="O1869" i="1" s="1"/>
  <c r="O1870" i="1" a="1"/>
  <c r="O1870" i="1" s="1"/>
  <c r="O1871" i="1" a="1"/>
  <c r="O1871" i="1" s="1"/>
  <c r="O1872" i="1" a="1"/>
  <c r="O1872" i="1" s="1"/>
  <c r="O1873" i="1" a="1"/>
  <c r="O1873" i="1" s="1"/>
  <c r="O1874" i="1" a="1"/>
  <c r="O1874" i="1" s="1"/>
  <c r="O1875" i="1" a="1"/>
  <c r="O1875" i="1" s="1"/>
  <c r="O1876" i="1" a="1"/>
  <c r="O1876" i="1" s="1"/>
  <c r="O1877" i="1" a="1"/>
  <c r="O1877" i="1" s="1"/>
  <c r="O1878" i="1" a="1"/>
  <c r="O1878" i="1" s="1"/>
  <c r="O1879" i="1" a="1"/>
  <c r="O1879" i="1" s="1"/>
  <c r="O1880" i="1" a="1"/>
  <c r="O1880" i="1" s="1"/>
  <c r="O1881" i="1" a="1"/>
  <c r="O1881" i="1" s="1"/>
  <c r="O1882" i="1" a="1"/>
  <c r="O1882" i="1" s="1"/>
  <c r="O1883" i="1" a="1"/>
  <c r="O1883" i="1" s="1"/>
  <c r="O1884" i="1" a="1"/>
  <c r="O1884" i="1" s="1"/>
  <c r="O1885" i="1" a="1"/>
  <c r="O1885" i="1" s="1"/>
  <c r="O1886" i="1" a="1"/>
  <c r="O1886" i="1" s="1"/>
  <c r="O1887" i="1" a="1"/>
  <c r="O1887" i="1" s="1"/>
  <c r="O1888" i="1" a="1"/>
  <c r="O1888" i="1" s="1"/>
  <c r="O1889" i="1" a="1"/>
  <c r="O1889" i="1" s="1"/>
  <c r="O1890" i="1" a="1"/>
  <c r="O1890" i="1" s="1"/>
  <c r="O1891" i="1" a="1"/>
  <c r="O1891" i="1" s="1"/>
  <c r="O1892" i="1" a="1"/>
  <c r="O1892" i="1" s="1"/>
  <c r="O1893" i="1" a="1"/>
  <c r="O1893" i="1" s="1"/>
  <c r="O1894" i="1" a="1"/>
  <c r="O1894" i="1" s="1"/>
  <c r="O1895" i="1" a="1"/>
  <c r="O1895" i="1" s="1"/>
  <c r="O1896" i="1" a="1"/>
  <c r="O1896" i="1" s="1"/>
  <c r="O1897" i="1" a="1"/>
  <c r="O1897" i="1" s="1"/>
  <c r="O1898" i="1" a="1"/>
  <c r="O1898" i="1" s="1"/>
  <c r="O1899" i="1" a="1"/>
  <c r="O1899" i="1" s="1"/>
  <c r="O1900" i="1" a="1"/>
  <c r="O1900" i="1" s="1"/>
  <c r="O1901" i="1" a="1"/>
  <c r="O1901" i="1" s="1"/>
  <c r="O1902" i="1" a="1"/>
  <c r="O1902" i="1" s="1"/>
  <c r="O1903" i="1" a="1"/>
  <c r="O1903" i="1" s="1"/>
  <c r="O1904" i="1" a="1"/>
  <c r="O1904" i="1" s="1"/>
  <c r="O1905" i="1" a="1"/>
  <c r="O1905" i="1" s="1"/>
  <c r="O1906" i="1" a="1"/>
  <c r="O1906" i="1" s="1"/>
  <c r="O1907" i="1" a="1"/>
  <c r="O1907" i="1" s="1"/>
  <c r="O1908" i="1" a="1"/>
  <c r="O1908" i="1" s="1"/>
  <c r="O1909" i="1" a="1"/>
  <c r="O1909" i="1" s="1"/>
  <c r="O1910" i="1" a="1"/>
  <c r="O1910" i="1" s="1"/>
  <c r="O1911" i="1" a="1"/>
  <c r="O1911" i="1" s="1"/>
  <c r="O1912" i="1" a="1"/>
  <c r="O1912" i="1" s="1"/>
  <c r="O1913" i="1" a="1"/>
  <c r="O1913" i="1" s="1"/>
  <c r="O1914" i="1" a="1"/>
  <c r="O1914" i="1" s="1"/>
  <c r="O1915" i="1" a="1"/>
  <c r="O1915" i="1" s="1"/>
  <c r="O1916" i="1" a="1"/>
  <c r="O1916" i="1" s="1"/>
  <c r="O1917" i="1" a="1"/>
  <c r="O1917" i="1" s="1"/>
  <c r="O1918" i="1" a="1"/>
  <c r="O1918" i="1" s="1"/>
  <c r="O1919" i="1" a="1"/>
  <c r="O1919" i="1" s="1"/>
  <c r="O1920" i="1" a="1"/>
  <c r="O1920" i="1" s="1"/>
  <c r="O1921" i="1" a="1"/>
  <c r="O1921" i="1" s="1"/>
  <c r="O1922" i="1" a="1"/>
  <c r="O1922" i="1" s="1"/>
  <c r="O1923" i="1" a="1"/>
  <c r="O1923" i="1" s="1"/>
  <c r="O1924" i="1" a="1"/>
  <c r="O1924" i="1" s="1"/>
  <c r="O1925" i="1" a="1"/>
  <c r="O1925" i="1" s="1"/>
  <c r="O1926" i="1" a="1"/>
  <c r="O1926" i="1" s="1"/>
  <c r="O1927" i="1" a="1"/>
  <c r="O1927" i="1" s="1"/>
  <c r="O1928" i="1" a="1"/>
  <c r="O1928" i="1" s="1"/>
  <c r="O1929" i="1" a="1"/>
  <c r="O1929" i="1" s="1"/>
  <c r="O1930" i="1" a="1"/>
  <c r="O1930" i="1" s="1"/>
  <c r="O1931" i="1" a="1"/>
  <c r="O1931" i="1" s="1"/>
  <c r="O1932" i="1" a="1"/>
  <c r="O1932" i="1" s="1"/>
  <c r="O1933" i="1" a="1"/>
  <c r="O1933" i="1" s="1"/>
  <c r="O1934" i="1" a="1"/>
  <c r="O1934" i="1" s="1"/>
  <c r="O1935" i="1" a="1"/>
  <c r="O1935" i="1" s="1"/>
  <c r="O1936" i="1" a="1"/>
  <c r="O1936" i="1" s="1"/>
  <c r="O1937" i="1" a="1"/>
  <c r="O1937" i="1" s="1"/>
  <c r="O1938" i="1" a="1"/>
  <c r="O1938" i="1" s="1"/>
  <c r="O1939" i="1" a="1"/>
  <c r="O1939" i="1" s="1"/>
  <c r="O1940" i="1" a="1"/>
  <c r="O1940" i="1" s="1"/>
  <c r="O1941" i="1" a="1"/>
  <c r="O1941" i="1" s="1"/>
  <c r="O1942" i="1" a="1"/>
  <c r="O1942" i="1" s="1"/>
  <c r="O1943" i="1" a="1"/>
  <c r="O1943" i="1" s="1"/>
  <c r="O1944" i="1" a="1"/>
  <c r="O1944" i="1" s="1"/>
  <c r="O1945" i="1" a="1"/>
  <c r="O1945" i="1" s="1"/>
  <c r="O1946" i="1" a="1"/>
  <c r="O1946" i="1" s="1"/>
  <c r="O1947" i="1" a="1"/>
  <c r="O1947" i="1" s="1"/>
  <c r="O1948" i="1" a="1"/>
  <c r="O1948" i="1" s="1"/>
  <c r="O1949" i="1" a="1"/>
  <c r="O1949" i="1" s="1"/>
  <c r="O1950" i="1" a="1"/>
  <c r="O1950" i="1" s="1"/>
  <c r="O1951" i="1" a="1"/>
  <c r="O1951" i="1" s="1"/>
  <c r="O1952" i="1" a="1"/>
  <c r="O1952" i="1" s="1"/>
  <c r="O1953" i="1" a="1"/>
  <c r="O1953" i="1" s="1"/>
  <c r="O1954" i="1" a="1"/>
  <c r="O1954" i="1" s="1"/>
  <c r="O1955" i="1" a="1"/>
  <c r="O1955" i="1" s="1"/>
  <c r="O1956" i="1" a="1"/>
  <c r="O1956" i="1" s="1"/>
  <c r="O1957" i="1" a="1"/>
  <c r="O1957" i="1" s="1"/>
  <c r="O1958" i="1" a="1"/>
  <c r="O1958" i="1" s="1"/>
  <c r="O1959" i="1" a="1"/>
  <c r="O1959" i="1" s="1"/>
  <c r="O1960" i="1" a="1"/>
  <c r="O1960" i="1" s="1"/>
  <c r="O1961" i="1" a="1"/>
  <c r="O1961" i="1" s="1"/>
  <c r="O1962" i="1" a="1"/>
  <c r="O1962" i="1" s="1"/>
  <c r="O1963" i="1" a="1"/>
  <c r="O1963" i="1" s="1"/>
  <c r="O1964" i="1" a="1"/>
  <c r="O1964" i="1" s="1"/>
  <c r="O1965" i="1" a="1"/>
  <c r="O1965" i="1" s="1"/>
  <c r="O1966" i="1" a="1"/>
  <c r="O1966" i="1" s="1"/>
  <c r="O1967" i="1" a="1"/>
  <c r="O1967" i="1" s="1"/>
  <c r="O1968" i="1" a="1"/>
  <c r="O1968" i="1" s="1"/>
  <c r="O1969" i="1" a="1"/>
  <c r="O1969" i="1" s="1"/>
  <c r="O1970" i="1" a="1"/>
  <c r="O1970" i="1" s="1"/>
  <c r="O1971" i="1" a="1"/>
  <c r="O1971" i="1" s="1"/>
  <c r="O1972" i="1" a="1"/>
  <c r="O1972" i="1" s="1"/>
  <c r="O1973" i="1" a="1"/>
  <c r="O1973" i="1" s="1"/>
  <c r="O1974" i="1" a="1"/>
  <c r="O1974" i="1" s="1"/>
  <c r="O1975" i="1" a="1"/>
  <c r="O1975" i="1" s="1"/>
  <c r="O1976" i="1" a="1"/>
  <c r="O1976" i="1" s="1"/>
  <c r="O1977" i="1" a="1"/>
  <c r="O1977" i="1" s="1"/>
  <c r="O1978" i="1" a="1"/>
  <c r="O1978" i="1" s="1"/>
  <c r="O1979" i="1" a="1"/>
  <c r="O1979" i="1" s="1"/>
  <c r="O1980" i="1" a="1"/>
  <c r="O1980" i="1" s="1"/>
  <c r="O1981" i="1" a="1"/>
  <c r="O1981" i="1" s="1"/>
  <c r="O1982" i="1" a="1"/>
  <c r="O1982" i="1" s="1"/>
  <c r="O1983" i="1" a="1"/>
  <c r="O1983" i="1" s="1"/>
  <c r="O1984" i="1" a="1"/>
  <c r="O1984" i="1" s="1"/>
  <c r="O1985" i="1" a="1"/>
  <c r="O1985" i="1" s="1"/>
  <c r="O1986" i="1" a="1"/>
  <c r="O1986" i="1" s="1"/>
  <c r="O1987" i="1" a="1"/>
  <c r="O1987" i="1" s="1"/>
  <c r="O1988" i="1" a="1"/>
  <c r="O1988" i="1" s="1"/>
  <c r="O1989" i="1" a="1"/>
  <c r="O1989" i="1" s="1"/>
  <c r="O1990" i="1" a="1"/>
  <c r="O1990" i="1" s="1"/>
  <c r="O1991" i="1" a="1"/>
  <c r="O1991" i="1" s="1"/>
  <c r="O1992" i="1" a="1"/>
  <c r="O1992" i="1" s="1"/>
  <c r="O1993" i="1" a="1"/>
  <c r="O1993" i="1" s="1"/>
  <c r="O1994" i="1" a="1"/>
  <c r="O1994" i="1" s="1"/>
  <c r="O1995" i="1" a="1"/>
  <c r="O1995" i="1" s="1"/>
  <c r="O1996" i="1" a="1"/>
  <c r="O1996" i="1" s="1"/>
  <c r="O1997" i="1" a="1"/>
  <c r="O1997" i="1" s="1"/>
  <c r="O1998" i="1" a="1"/>
  <c r="O1998" i="1" s="1"/>
  <c r="O1999" i="1" a="1"/>
  <c r="O1999" i="1" s="1"/>
  <c r="O2000" i="1" a="1"/>
  <c r="O2000" i="1" s="1"/>
  <c r="O2001" i="1" a="1"/>
  <c r="O2001" i="1" s="1"/>
  <c r="O2002" i="1" a="1"/>
  <c r="O2002" i="1" s="1"/>
  <c r="O2003" i="1" a="1"/>
  <c r="O2003" i="1" s="1"/>
  <c r="O2004" i="1" a="1"/>
  <c r="O2004" i="1" s="1"/>
  <c r="O2005" i="1" a="1"/>
  <c r="O2005" i="1" s="1"/>
  <c r="O2006" i="1" a="1"/>
  <c r="O2006" i="1" s="1"/>
  <c r="O2007" i="1" a="1"/>
  <c r="O2007" i="1" s="1"/>
  <c r="O2008" i="1" a="1"/>
  <c r="O2008" i="1" s="1"/>
  <c r="O2009" i="1" a="1"/>
  <c r="O2009" i="1" s="1"/>
  <c r="O2010" i="1" a="1"/>
  <c r="O2010" i="1" s="1"/>
  <c r="O2011" i="1" a="1"/>
  <c r="O2011" i="1" s="1"/>
  <c r="O2012" i="1" a="1"/>
  <c r="O2012" i="1" s="1"/>
  <c r="O2013" i="1" a="1"/>
  <c r="O2013" i="1" s="1"/>
  <c r="O2014" i="1" a="1"/>
  <c r="O2014" i="1" s="1"/>
  <c r="O2015" i="1" a="1"/>
  <c r="O2015" i="1" s="1"/>
  <c r="O2016" i="1" a="1"/>
  <c r="O2016" i="1" s="1"/>
  <c r="O2017" i="1" a="1"/>
  <c r="O2017" i="1" s="1"/>
  <c r="O2018" i="1" a="1"/>
  <c r="O2018" i="1" s="1"/>
  <c r="O2019" i="1" a="1"/>
  <c r="O2019" i="1" s="1"/>
  <c r="O2020" i="1" a="1"/>
  <c r="O2020" i="1" s="1"/>
  <c r="O2021" i="1" a="1"/>
  <c r="O2021" i="1" s="1"/>
  <c r="O2022" i="1" a="1"/>
  <c r="O2022" i="1" s="1"/>
  <c r="O2023" i="1" a="1"/>
  <c r="O2023" i="1" s="1"/>
  <c r="O2024" i="1" a="1"/>
  <c r="O2024" i="1" s="1"/>
  <c r="O2025" i="1" a="1"/>
  <c r="O2025" i="1" s="1"/>
  <c r="O2026" i="1" a="1"/>
  <c r="O2026" i="1" s="1"/>
  <c r="O2027" i="1" a="1"/>
  <c r="O2027" i="1" s="1"/>
  <c r="O2028" i="1" a="1"/>
  <c r="O2028" i="1" s="1"/>
  <c r="O2029" i="1" a="1"/>
  <c r="O2029" i="1" s="1"/>
  <c r="O2030" i="1" a="1"/>
  <c r="O2030" i="1" s="1"/>
  <c r="O2031" i="1" a="1"/>
  <c r="O2031" i="1" s="1"/>
  <c r="O2032" i="1" a="1"/>
  <c r="O2032" i="1" s="1"/>
  <c r="O2033" i="1" a="1"/>
  <c r="O2033" i="1" s="1"/>
  <c r="O2034" i="1" a="1"/>
  <c r="O2034" i="1" s="1"/>
  <c r="O2035" i="1" a="1"/>
  <c r="O2035" i="1" s="1"/>
  <c r="O2036" i="1" a="1"/>
  <c r="O2036" i="1" s="1"/>
  <c r="O2037" i="1" a="1"/>
  <c r="O2037" i="1" s="1"/>
  <c r="O2038" i="1" a="1"/>
  <c r="O2038" i="1" s="1"/>
  <c r="O2039" i="1" a="1"/>
  <c r="O2039" i="1" s="1"/>
  <c r="O2040" i="1" a="1"/>
  <c r="O2040" i="1" s="1"/>
  <c r="O2041" i="1" a="1"/>
  <c r="O2041" i="1" s="1"/>
  <c r="O2042" i="1" a="1"/>
  <c r="O2042" i="1" s="1"/>
  <c r="O2043" i="1" a="1"/>
  <c r="O2043" i="1" s="1"/>
  <c r="O2044" i="1" a="1"/>
  <c r="O2044" i="1" s="1"/>
  <c r="O2045" i="1" a="1"/>
  <c r="O2045" i="1" s="1"/>
  <c r="O2046" i="1" a="1"/>
  <c r="O2046" i="1" s="1"/>
  <c r="O2047" i="1" a="1"/>
  <c r="O2047" i="1" s="1"/>
  <c r="O2048" i="1" a="1"/>
  <c r="O2048" i="1" s="1"/>
  <c r="O2049" i="1" a="1"/>
  <c r="O2049" i="1" s="1"/>
  <c r="O2050" i="1" a="1"/>
  <c r="O2050" i="1" s="1"/>
  <c r="O2051" i="1" a="1"/>
  <c r="O2051" i="1" s="1"/>
  <c r="O2052" i="1" a="1"/>
  <c r="O2052" i="1" s="1"/>
  <c r="O2053" i="1" a="1"/>
  <c r="O2053" i="1" s="1"/>
  <c r="O2054" i="1" a="1"/>
  <c r="O2054" i="1" s="1"/>
  <c r="O2055" i="1" a="1"/>
  <c r="O2055" i="1" s="1"/>
  <c r="O2056" i="1" a="1"/>
  <c r="O2056" i="1" s="1"/>
  <c r="O2057" i="1" a="1"/>
  <c r="O2057" i="1" s="1"/>
  <c r="O2058" i="1" a="1"/>
  <c r="O2058" i="1" s="1"/>
  <c r="O2059" i="1" a="1"/>
  <c r="O2059" i="1" s="1"/>
  <c r="O2060" i="1" a="1"/>
  <c r="O2060" i="1" s="1"/>
  <c r="O2061" i="1" a="1"/>
  <c r="O2061" i="1" s="1"/>
  <c r="O2062" i="1" a="1"/>
  <c r="O2062" i="1" s="1"/>
  <c r="O2063" i="1" a="1"/>
  <c r="O2063" i="1" s="1"/>
  <c r="O2064" i="1" a="1"/>
  <c r="O2064" i="1" s="1"/>
  <c r="O2065" i="1" a="1"/>
  <c r="O2065" i="1" s="1"/>
  <c r="O2066" i="1" a="1"/>
  <c r="O2066" i="1" s="1"/>
  <c r="O2067" i="1" a="1"/>
  <c r="O2067" i="1" s="1"/>
  <c r="O2068" i="1" a="1"/>
  <c r="O2068" i="1" s="1"/>
  <c r="O2069" i="1" a="1"/>
  <c r="O2069" i="1" s="1"/>
  <c r="O2070" i="1" a="1"/>
  <c r="O2070" i="1" s="1"/>
  <c r="O2071" i="1" a="1"/>
  <c r="O2071" i="1" s="1"/>
  <c r="O2072" i="1" a="1"/>
  <c r="O2072" i="1" s="1"/>
  <c r="O2073" i="1" a="1"/>
  <c r="O2073" i="1" s="1"/>
  <c r="O2074" i="1" a="1"/>
  <c r="O2074" i="1" s="1"/>
  <c r="O2075" i="1" a="1"/>
  <c r="O2075" i="1" s="1"/>
  <c r="O2076" i="1" a="1"/>
  <c r="O2076" i="1" s="1"/>
  <c r="O2077" i="1" a="1"/>
  <c r="O2077" i="1" s="1"/>
  <c r="O2078" i="1" a="1"/>
  <c r="O2078" i="1" s="1"/>
  <c r="O2079" i="1" a="1"/>
  <c r="O2079" i="1" s="1"/>
  <c r="O2080" i="1" a="1"/>
  <c r="O2080" i="1" s="1"/>
  <c r="O2081" i="1" a="1"/>
  <c r="O2081" i="1" s="1"/>
  <c r="O2082" i="1" a="1"/>
  <c r="O2082" i="1" s="1"/>
  <c r="O2083" i="1" a="1"/>
  <c r="O2083" i="1" s="1"/>
  <c r="O2084" i="1" a="1"/>
  <c r="O2084" i="1" s="1"/>
  <c r="O2085" i="1" a="1"/>
  <c r="O2085" i="1" s="1"/>
  <c r="O2086" i="1" a="1"/>
  <c r="O2086" i="1" s="1"/>
  <c r="O2087" i="1" a="1"/>
  <c r="O2087" i="1" s="1"/>
  <c r="O2088" i="1" a="1"/>
  <c r="O2088" i="1" s="1"/>
  <c r="O2089" i="1" a="1"/>
  <c r="O2089" i="1" s="1"/>
  <c r="O2090" i="1" a="1"/>
  <c r="O2090" i="1" s="1"/>
  <c r="O2091" i="1" a="1"/>
  <c r="O2091" i="1" s="1"/>
  <c r="O2092" i="1" a="1"/>
  <c r="O2092" i="1" s="1"/>
  <c r="O2093" i="1" a="1"/>
  <c r="O2093" i="1" s="1"/>
  <c r="O2094" i="1" a="1"/>
  <c r="O2094" i="1" s="1"/>
  <c r="O2095" i="1" a="1"/>
  <c r="O2095" i="1" s="1"/>
  <c r="O2096" i="1" a="1"/>
  <c r="O2096" i="1" s="1"/>
  <c r="O2097" i="1" a="1"/>
  <c r="O2097" i="1" s="1"/>
  <c r="O2098" i="1" a="1"/>
  <c r="O2098" i="1" s="1"/>
  <c r="O2099" i="1" a="1"/>
  <c r="O2099" i="1" s="1"/>
  <c r="O2100" i="1" a="1"/>
  <c r="O2100" i="1" s="1"/>
  <c r="O2101" i="1" a="1"/>
  <c r="O2101" i="1" s="1"/>
  <c r="O2102" i="1" a="1"/>
  <c r="O2102" i="1" s="1"/>
  <c r="O2103" i="1" a="1"/>
  <c r="O2103" i="1" s="1"/>
  <c r="O2104" i="1" a="1"/>
  <c r="O2104" i="1" s="1"/>
  <c r="O2105" i="1" a="1"/>
  <c r="O2105" i="1" s="1"/>
  <c r="O2106" i="1" a="1"/>
  <c r="O2106" i="1" s="1"/>
  <c r="O2107" i="1" a="1"/>
  <c r="O2107" i="1" s="1"/>
  <c r="O2108" i="1" a="1"/>
  <c r="O2108" i="1" s="1"/>
  <c r="O2109" i="1" a="1"/>
  <c r="O2109" i="1" s="1"/>
  <c r="O2110" i="1" a="1"/>
  <c r="O2110" i="1" s="1"/>
  <c r="O2111" i="1" a="1"/>
  <c r="O2111" i="1" s="1"/>
  <c r="O2112" i="1" a="1"/>
  <c r="O2112" i="1" s="1"/>
  <c r="O2113" i="1" a="1"/>
  <c r="O2113" i="1" s="1"/>
  <c r="O2114" i="1" a="1"/>
  <c r="O2114" i="1" s="1"/>
  <c r="O2115" i="1" a="1"/>
  <c r="O2115" i="1" s="1"/>
  <c r="O2116" i="1" a="1"/>
  <c r="O2116" i="1" s="1"/>
  <c r="O2117" i="1" a="1"/>
  <c r="O2117" i="1" s="1"/>
  <c r="O2118" i="1" a="1"/>
  <c r="O2118" i="1" s="1"/>
  <c r="O2119" i="1" a="1"/>
  <c r="O2119" i="1" s="1"/>
  <c r="O2120" i="1" a="1"/>
  <c r="O2120" i="1" s="1"/>
  <c r="O2121" i="1" a="1"/>
  <c r="O2121" i="1" s="1"/>
  <c r="O2122" i="1" a="1"/>
  <c r="O2122" i="1" s="1"/>
  <c r="O2123" i="1" a="1"/>
  <c r="O2123" i="1" s="1"/>
  <c r="O2124" i="1" a="1"/>
  <c r="O2124" i="1" s="1"/>
  <c r="O2125" i="1" a="1"/>
  <c r="O2125" i="1" s="1"/>
  <c r="O2126" i="1" a="1"/>
  <c r="O2126" i="1" s="1"/>
  <c r="O2127" i="1" a="1"/>
  <c r="O2127" i="1" s="1"/>
  <c r="O2128" i="1" a="1"/>
  <c r="O2128" i="1" s="1"/>
  <c r="O2129" i="1" a="1"/>
  <c r="O2129" i="1" s="1"/>
  <c r="O2130" i="1" a="1"/>
  <c r="O2130" i="1" s="1"/>
  <c r="O2131" i="1" a="1"/>
  <c r="O2131" i="1" s="1"/>
  <c r="O2132" i="1" a="1"/>
  <c r="O2132" i="1" s="1"/>
  <c r="O2133" i="1" a="1"/>
  <c r="O2133" i="1" s="1"/>
  <c r="O2134" i="1" a="1"/>
  <c r="O2134" i="1" s="1"/>
  <c r="O2135" i="1" a="1"/>
  <c r="O2135" i="1" s="1"/>
  <c r="O2136" i="1" a="1"/>
  <c r="O2136" i="1" s="1"/>
  <c r="O2137" i="1" a="1"/>
  <c r="O2137" i="1" s="1"/>
  <c r="O2138" i="1" a="1"/>
  <c r="O2138" i="1" s="1"/>
  <c r="O2139" i="1" a="1"/>
  <c r="O2139" i="1" s="1"/>
  <c r="O2140" i="1" a="1"/>
  <c r="O2140" i="1" s="1"/>
  <c r="O2141" i="1" a="1"/>
  <c r="O2141" i="1" s="1"/>
  <c r="O2142" i="1" a="1"/>
  <c r="O2142" i="1" s="1"/>
  <c r="O2143" i="1" a="1"/>
  <c r="O2143" i="1" s="1"/>
  <c r="O2144" i="1" a="1"/>
  <c r="O2144" i="1" s="1"/>
  <c r="O2145" i="1" a="1"/>
  <c r="O2145" i="1" s="1"/>
  <c r="O2146" i="1" a="1"/>
  <c r="O2146" i="1" s="1"/>
  <c r="O2147" i="1" a="1"/>
  <c r="O2147" i="1" s="1"/>
  <c r="O2148" i="1" a="1"/>
  <c r="O2148" i="1" s="1"/>
  <c r="O2149" i="1" a="1"/>
  <c r="O2149" i="1" s="1"/>
  <c r="O2150" i="1" a="1"/>
  <c r="O2150" i="1" s="1"/>
  <c r="O2151" i="1" a="1"/>
  <c r="O2151" i="1" s="1"/>
  <c r="O2152" i="1" a="1"/>
  <c r="O2152" i="1" s="1"/>
  <c r="O2153" i="1" a="1"/>
  <c r="O2153" i="1" s="1"/>
  <c r="O2154" i="1" a="1"/>
  <c r="O2154" i="1" s="1"/>
  <c r="O2155" i="1" a="1"/>
  <c r="O2155" i="1" s="1"/>
  <c r="O2156" i="1" a="1"/>
  <c r="O2156" i="1" s="1"/>
  <c r="O2157" i="1" a="1"/>
  <c r="O2157" i="1" s="1"/>
  <c r="O2158" i="1" a="1"/>
  <c r="O2158" i="1" s="1"/>
  <c r="O2159" i="1" a="1"/>
  <c r="O2159" i="1" s="1"/>
  <c r="O2160" i="1" a="1"/>
  <c r="O2160" i="1" s="1"/>
  <c r="O2161" i="1" a="1"/>
  <c r="O2161" i="1" s="1"/>
  <c r="O2162" i="1" a="1"/>
  <c r="O2162" i="1" s="1"/>
  <c r="O2163" i="1" a="1"/>
  <c r="O2163" i="1" s="1"/>
  <c r="O2164" i="1" a="1"/>
  <c r="O2164" i="1" s="1"/>
  <c r="O2165" i="1" a="1"/>
  <c r="O2165" i="1" s="1"/>
  <c r="O2166" i="1" a="1"/>
  <c r="O2166" i="1" s="1"/>
  <c r="O2167" i="1" a="1"/>
  <c r="O2167" i="1" s="1"/>
  <c r="O2168" i="1" a="1"/>
  <c r="O2168" i="1" s="1"/>
  <c r="O2169" i="1" a="1"/>
  <c r="O2169" i="1" s="1"/>
  <c r="O2170" i="1" a="1"/>
  <c r="O2170" i="1" s="1"/>
  <c r="O2171" i="1" a="1"/>
  <c r="O2171" i="1" s="1"/>
  <c r="O2172" i="1" a="1"/>
  <c r="O2172" i="1" s="1"/>
  <c r="O2173" i="1" a="1"/>
  <c r="O2173" i="1" s="1"/>
  <c r="O2174" i="1" a="1"/>
  <c r="O2174" i="1" s="1"/>
  <c r="O2175" i="1" a="1"/>
  <c r="O2175" i="1" s="1"/>
  <c r="O2176" i="1" a="1"/>
  <c r="O2176" i="1" s="1"/>
  <c r="O2177" i="1" a="1"/>
  <c r="O2177" i="1" s="1"/>
  <c r="O2178" i="1" a="1"/>
  <c r="O2178" i="1" s="1"/>
  <c r="O2179" i="1" a="1"/>
  <c r="O2179" i="1" s="1"/>
  <c r="O2180" i="1" a="1"/>
  <c r="O2180" i="1" s="1"/>
  <c r="O2181" i="1" a="1"/>
  <c r="O2181" i="1" s="1"/>
  <c r="O2182" i="1" a="1"/>
  <c r="O2182" i="1" s="1"/>
  <c r="O2183" i="1" a="1"/>
  <c r="O2183" i="1" s="1"/>
  <c r="O2184" i="1" a="1"/>
  <c r="O2184" i="1" s="1"/>
  <c r="O2185" i="1" a="1"/>
  <c r="O2185" i="1" s="1"/>
  <c r="O2186" i="1" a="1"/>
  <c r="O2186" i="1" s="1"/>
  <c r="O2187" i="1" a="1"/>
  <c r="O2187" i="1" s="1"/>
  <c r="O2188" i="1" a="1"/>
  <c r="O2188" i="1" s="1"/>
  <c r="O2189" i="1" a="1"/>
  <c r="O2189" i="1" s="1"/>
  <c r="O2190" i="1" a="1"/>
  <c r="O2190" i="1" s="1"/>
  <c r="O2191" i="1" a="1"/>
  <c r="O2191" i="1" s="1"/>
  <c r="O2192" i="1" a="1"/>
  <c r="O2192" i="1" s="1"/>
  <c r="O2193" i="1" a="1"/>
  <c r="O2193" i="1" s="1"/>
  <c r="O2194" i="1" a="1"/>
  <c r="O2194" i="1" s="1"/>
  <c r="O2195" i="1" a="1"/>
  <c r="O2195" i="1" s="1"/>
  <c r="O2196" i="1" a="1"/>
  <c r="O2196" i="1" s="1"/>
  <c r="O2197" i="1" a="1"/>
  <c r="O2197" i="1" s="1"/>
  <c r="O2198" i="1" a="1"/>
  <c r="O2198" i="1" s="1"/>
  <c r="O2199" i="1" a="1"/>
  <c r="O2199" i="1" s="1"/>
  <c r="O2200" i="1" a="1"/>
  <c r="O2200" i="1" s="1"/>
  <c r="O2201" i="1" a="1"/>
  <c r="O2201" i="1" s="1"/>
  <c r="O2202" i="1" a="1"/>
  <c r="O2202" i="1" s="1"/>
  <c r="O2203" i="1" a="1"/>
  <c r="O2203" i="1" s="1"/>
  <c r="O2204" i="1" a="1"/>
  <c r="O2204" i="1" s="1"/>
  <c r="O2205" i="1" a="1"/>
  <c r="O2205" i="1" s="1"/>
  <c r="O2206" i="1" a="1"/>
  <c r="O2206" i="1" s="1"/>
  <c r="O2207" i="1" a="1"/>
  <c r="O2207" i="1" s="1"/>
  <c r="O2208" i="1" a="1"/>
  <c r="O2208" i="1" s="1"/>
  <c r="O2209" i="1" a="1"/>
  <c r="O2209" i="1" s="1"/>
  <c r="O2210" i="1" a="1"/>
  <c r="O2210" i="1" s="1"/>
  <c r="O2211" i="1" a="1"/>
  <c r="O2211" i="1" s="1"/>
  <c r="O2212" i="1" a="1"/>
  <c r="O2212" i="1" s="1"/>
  <c r="O2213" i="1" a="1"/>
  <c r="O2213" i="1" s="1"/>
  <c r="O2214" i="1" a="1"/>
  <c r="O2214" i="1" s="1"/>
  <c r="O2215" i="1" a="1"/>
  <c r="O2215" i="1" s="1"/>
  <c r="O2216" i="1" a="1"/>
  <c r="O2216" i="1" s="1"/>
  <c r="O2217" i="1" a="1"/>
  <c r="O2217" i="1" s="1"/>
  <c r="O2218" i="1" a="1"/>
  <c r="O2218" i="1" s="1"/>
  <c r="O2219" i="1" a="1"/>
  <c r="O2219" i="1" s="1"/>
  <c r="O2220" i="1" a="1"/>
  <c r="O2220" i="1" s="1"/>
  <c r="O2221" i="1" a="1"/>
  <c r="O2221" i="1" s="1"/>
  <c r="O2222" i="1" a="1"/>
  <c r="O2222" i="1" s="1"/>
  <c r="O2223" i="1" a="1"/>
  <c r="O2223" i="1" s="1"/>
  <c r="O2224" i="1" a="1"/>
  <c r="O2224" i="1" s="1"/>
  <c r="O2225" i="1" a="1"/>
  <c r="O2225" i="1" s="1"/>
  <c r="O2226" i="1" a="1"/>
  <c r="O2226" i="1" s="1"/>
  <c r="O2227" i="1" a="1"/>
  <c r="O2227" i="1" s="1"/>
  <c r="O2228" i="1" a="1"/>
  <c r="O2228" i="1" s="1"/>
  <c r="O2229" i="1" a="1"/>
  <c r="O2229" i="1" s="1"/>
  <c r="O2230" i="1" a="1"/>
  <c r="O2230" i="1" s="1"/>
  <c r="O2231" i="1" a="1"/>
  <c r="O2231" i="1" s="1"/>
  <c r="O2232" i="1" a="1"/>
  <c r="O2232" i="1" s="1"/>
  <c r="O2233" i="1" a="1"/>
  <c r="O2233" i="1" s="1"/>
  <c r="O2234" i="1" a="1"/>
  <c r="O2234" i="1" s="1"/>
  <c r="O2235" i="1" a="1"/>
  <c r="O2235" i="1" s="1"/>
  <c r="O2236" i="1" a="1"/>
  <c r="O2236" i="1" s="1"/>
  <c r="O2237" i="1" a="1"/>
  <c r="O2237" i="1" s="1"/>
  <c r="O2238" i="1" a="1"/>
  <c r="O2238" i="1" s="1"/>
  <c r="O2239" i="1" a="1"/>
  <c r="O2239" i="1" s="1"/>
  <c r="O2240" i="1" a="1"/>
  <c r="O2240" i="1" s="1"/>
  <c r="O2241" i="1" a="1"/>
  <c r="O2241" i="1" s="1"/>
  <c r="O2242" i="1" a="1"/>
  <c r="O2242" i="1" s="1"/>
  <c r="O2243" i="1" a="1"/>
  <c r="O2243" i="1" s="1"/>
  <c r="O2244" i="1" a="1"/>
  <c r="O2244" i="1" s="1"/>
  <c r="O2245" i="1" a="1"/>
  <c r="O2245" i="1" s="1"/>
  <c r="O2246" i="1" a="1"/>
  <c r="O2246" i="1" s="1"/>
  <c r="O2247" i="1" a="1"/>
  <c r="O2247" i="1" s="1"/>
  <c r="O2248" i="1" a="1"/>
  <c r="O2248" i="1" s="1"/>
  <c r="O2249" i="1" a="1"/>
  <c r="O2249" i="1" s="1"/>
  <c r="O2250" i="1" a="1"/>
  <c r="O2250" i="1" s="1"/>
  <c r="O2251" i="1" a="1"/>
  <c r="O2251" i="1" s="1"/>
  <c r="O2252" i="1" a="1"/>
  <c r="O2252" i="1" s="1"/>
  <c r="O2253" i="1" a="1"/>
  <c r="O2253" i="1" s="1"/>
  <c r="O2254" i="1" a="1"/>
  <c r="O2254" i="1" s="1"/>
  <c r="O2255" i="1" a="1"/>
  <c r="O2255" i="1" s="1"/>
  <c r="O2256" i="1" a="1"/>
  <c r="O2256" i="1" s="1"/>
  <c r="O2257" i="1" a="1"/>
  <c r="O2257" i="1" s="1"/>
  <c r="O2258" i="1" a="1"/>
  <c r="O2258" i="1" s="1"/>
  <c r="O2259" i="1" a="1"/>
  <c r="O2259" i="1" s="1"/>
  <c r="O2260" i="1" a="1"/>
  <c r="O2260" i="1" s="1"/>
  <c r="O2261" i="1" a="1"/>
  <c r="O2261" i="1" s="1"/>
  <c r="O2262" i="1" a="1"/>
  <c r="O2262" i="1" s="1"/>
  <c r="O2263" i="1" a="1"/>
  <c r="O2263" i="1" s="1"/>
  <c r="O2264" i="1" a="1"/>
  <c r="O2264" i="1" s="1"/>
  <c r="O2265" i="1" a="1"/>
  <c r="O2265" i="1" s="1"/>
  <c r="O2266" i="1" a="1"/>
  <c r="O2266" i="1" s="1"/>
  <c r="O2267" i="1" a="1"/>
  <c r="O2267" i="1" s="1"/>
  <c r="O2268" i="1" a="1"/>
  <c r="O2268" i="1" s="1"/>
  <c r="O2269" i="1" a="1"/>
  <c r="O2269" i="1" s="1"/>
  <c r="O2270" i="1" a="1"/>
  <c r="O2270" i="1" s="1"/>
  <c r="O2271" i="1" a="1"/>
  <c r="O2271" i="1" s="1"/>
  <c r="O2272" i="1" a="1"/>
  <c r="O2272" i="1" s="1"/>
  <c r="O2273" i="1" a="1"/>
  <c r="O2273" i="1" s="1"/>
  <c r="O2274" i="1" a="1"/>
  <c r="O2274" i="1" s="1"/>
  <c r="O2275" i="1" a="1"/>
  <c r="O2275" i="1" s="1"/>
  <c r="O2276" i="1" a="1"/>
  <c r="O2276" i="1" s="1"/>
  <c r="O2277" i="1" a="1"/>
  <c r="O2277" i="1" s="1"/>
  <c r="O2278" i="1" a="1"/>
  <c r="O2278" i="1" s="1"/>
  <c r="O2279" i="1" a="1"/>
  <c r="O2279" i="1" s="1"/>
  <c r="O2280" i="1" a="1"/>
  <c r="O2280" i="1" s="1"/>
  <c r="O2281" i="1" a="1"/>
  <c r="O2281" i="1" s="1"/>
  <c r="O2282" i="1" a="1"/>
  <c r="O2282" i="1" s="1"/>
  <c r="O2283" i="1" a="1"/>
  <c r="O2283" i="1" s="1"/>
  <c r="O2284" i="1" a="1"/>
  <c r="O2284" i="1" s="1"/>
  <c r="O2285" i="1" a="1"/>
  <c r="O2285" i="1" s="1"/>
  <c r="O2286" i="1" a="1"/>
  <c r="O2286" i="1" s="1"/>
  <c r="O2287" i="1" a="1"/>
  <c r="O2287" i="1" s="1"/>
  <c r="O2288" i="1" a="1"/>
  <c r="O2288" i="1" s="1"/>
  <c r="O2289" i="1" a="1"/>
  <c r="O2289" i="1" s="1"/>
  <c r="O2290" i="1" a="1"/>
  <c r="O2290" i="1" s="1"/>
  <c r="O2291" i="1" a="1"/>
  <c r="O2291" i="1" s="1"/>
  <c r="O2292" i="1" a="1"/>
  <c r="O2292" i="1" s="1"/>
  <c r="O2293" i="1" a="1"/>
  <c r="O2293" i="1" s="1"/>
  <c r="O2294" i="1" a="1"/>
  <c r="O2294" i="1" s="1"/>
  <c r="O2295" i="1" a="1"/>
  <c r="O2295" i="1" s="1"/>
  <c r="O2296" i="1" a="1"/>
  <c r="O2296" i="1" s="1"/>
  <c r="O2297" i="1" a="1"/>
  <c r="O2297" i="1" s="1"/>
  <c r="O2298" i="1" a="1"/>
  <c r="O2298" i="1" s="1"/>
  <c r="O2299" i="1" a="1"/>
  <c r="O2299" i="1" s="1"/>
  <c r="O2300" i="1" a="1"/>
  <c r="O2300" i="1" s="1"/>
  <c r="O2301" i="1" a="1"/>
  <c r="O2301" i="1" s="1"/>
  <c r="O2302" i="1" a="1"/>
  <c r="O2302" i="1" s="1"/>
  <c r="O2303" i="1" a="1"/>
  <c r="O2303" i="1" s="1"/>
  <c r="O2304" i="1" a="1"/>
  <c r="O2304" i="1" s="1"/>
  <c r="O2305" i="1" a="1"/>
  <c r="O2305" i="1" s="1"/>
  <c r="O2306" i="1" a="1"/>
  <c r="O2306" i="1" s="1"/>
  <c r="O2307" i="1" a="1"/>
  <c r="O2307" i="1" s="1"/>
  <c r="O2308" i="1" a="1"/>
  <c r="O2308" i="1" s="1"/>
  <c r="O2309" i="1" a="1"/>
  <c r="O2309" i="1" s="1"/>
  <c r="O2310" i="1" a="1"/>
  <c r="O2310" i="1" s="1"/>
  <c r="O2311" i="1" a="1"/>
  <c r="O2311" i="1" s="1"/>
  <c r="O2312" i="1" a="1"/>
  <c r="O2312" i="1" s="1"/>
  <c r="O2313" i="1" a="1"/>
  <c r="O2313" i="1" s="1"/>
  <c r="O2314" i="1" a="1"/>
  <c r="O2314" i="1" s="1"/>
  <c r="O2315" i="1" a="1"/>
  <c r="O2315" i="1" s="1"/>
  <c r="O2316" i="1" a="1"/>
  <c r="O2316" i="1" s="1"/>
  <c r="O2317" i="1" a="1"/>
  <c r="O2317" i="1" s="1"/>
  <c r="O2318" i="1" a="1"/>
  <c r="O2318" i="1" s="1"/>
  <c r="O2319" i="1" a="1"/>
  <c r="O2319" i="1" s="1"/>
  <c r="O2320" i="1" a="1"/>
  <c r="O2320" i="1" s="1"/>
  <c r="O2321" i="1" a="1"/>
  <c r="O2321" i="1" s="1"/>
  <c r="O2322" i="1" a="1"/>
  <c r="O2322" i="1" s="1"/>
  <c r="O2323" i="1" a="1"/>
  <c r="O2323" i="1" s="1"/>
  <c r="O2324" i="1" a="1"/>
  <c r="O2324" i="1" s="1"/>
  <c r="O2325" i="1" a="1"/>
  <c r="O2325" i="1" s="1"/>
  <c r="O2326" i="1" a="1"/>
  <c r="O2326" i="1" s="1"/>
  <c r="O2327" i="1" a="1"/>
  <c r="O2327" i="1" s="1"/>
  <c r="O2328" i="1" a="1"/>
  <c r="O2328" i="1" s="1"/>
  <c r="O2329" i="1" a="1"/>
  <c r="O2329" i="1" s="1"/>
  <c r="O2330" i="1" a="1"/>
  <c r="O2330" i="1" s="1"/>
  <c r="O2331" i="1" a="1"/>
  <c r="O2331" i="1" s="1"/>
  <c r="O2332" i="1" a="1"/>
  <c r="O2332" i="1" s="1"/>
  <c r="O2333" i="1" a="1"/>
  <c r="O2333" i="1" s="1"/>
  <c r="O2334" i="1" a="1"/>
  <c r="O2334" i="1" s="1"/>
  <c r="O2335" i="1" a="1"/>
  <c r="O2335" i="1" s="1"/>
  <c r="O2336" i="1" a="1"/>
  <c r="O2336" i="1" s="1"/>
  <c r="O2337" i="1" a="1"/>
  <c r="O2337" i="1" s="1"/>
  <c r="O2338" i="1" a="1"/>
  <c r="O2338" i="1" s="1"/>
  <c r="O2339" i="1" a="1"/>
  <c r="O2339" i="1" s="1"/>
  <c r="O2340" i="1" a="1"/>
  <c r="O2340" i="1" s="1"/>
  <c r="O2341" i="1" a="1"/>
  <c r="O2341" i="1" s="1"/>
  <c r="O2342" i="1" a="1"/>
  <c r="O2342" i="1" s="1"/>
  <c r="O2343" i="1" a="1"/>
  <c r="O2343" i="1" s="1"/>
  <c r="O2344" i="1" a="1"/>
  <c r="O2344" i="1" s="1"/>
  <c r="O2345" i="1" a="1"/>
  <c r="O2345" i="1" s="1"/>
  <c r="O2346" i="1" a="1"/>
  <c r="O2346" i="1" s="1"/>
  <c r="O2347" i="1" a="1"/>
  <c r="O2347" i="1" s="1"/>
  <c r="O2348" i="1" a="1"/>
  <c r="O2348" i="1" s="1"/>
  <c r="O2349" i="1" a="1"/>
  <c r="O2349" i="1" s="1"/>
  <c r="O2350" i="1" a="1"/>
  <c r="O2350" i="1" s="1"/>
  <c r="O2351" i="1" a="1"/>
  <c r="O2351" i="1" s="1"/>
  <c r="O2352" i="1" a="1"/>
  <c r="O2352" i="1" s="1"/>
  <c r="O2353" i="1" a="1"/>
  <c r="O2353" i="1" s="1"/>
  <c r="O2354" i="1" a="1"/>
  <c r="O2354" i="1" s="1"/>
  <c r="O2355" i="1" a="1"/>
  <c r="O2355" i="1" s="1"/>
  <c r="O2356" i="1" a="1"/>
  <c r="O2356" i="1" s="1"/>
  <c r="O2357" i="1" a="1"/>
  <c r="O2357" i="1" s="1"/>
  <c r="O2358" i="1" a="1"/>
  <c r="O2358" i="1" s="1"/>
  <c r="O2359" i="1" a="1"/>
  <c r="O2359" i="1" s="1"/>
  <c r="O2360" i="1" a="1"/>
  <c r="O2360" i="1" s="1"/>
  <c r="O2361" i="1" a="1"/>
  <c r="O2361" i="1" s="1"/>
  <c r="O2362" i="1" a="1"/>
  <c r="O2362" i="1" s="1"/>
  <c r="O2363" i="1" a="1"/>
  <c r="O2363" i="1" s="1"/>
  <c r="O2364" i="1" a="1"/>
  <c r="O2364" i="1" s="1"/>
  <c r="O2365" i="1" a="1"/>
  <c r="O2365" i="1" s="1"/>
  <c r="O2366" i="1" a="1"/>
  <c r="O2366" i="1" s="1"/>
  <c r="O2367" i="1" a="1"/>
  <c r="O2367" i="1" s="1"/>
  <c r="O2368" i="1" a="1"/>
  <c r="O2368" i="1" s="1"/>
  <c r="O2369" i="1" a="1"/>
  <c r="O2369" i="1" s="1"/>
  <c r="O2370" i="1" a="1"/>
  <c r="O2370" i="1" s="1"/>
  <c r="O2371" i="1" a="1"/>
  <c r="O2371" i="1" s="1"/>
  <c r="O2372" i="1" a="1"/>
  <c r="O2372" i="1" s="1"/>
  <c r="O2373" i="1" a="1"/>
  <c r="O2373" i="1" s="1"/>
  <c r="O2374" i="1" a="1"/>
  <c r="O2374" i="1" s="1"/>
  <c r="O2375" i="1" a="1"/>
  <c r="O2375" i="1" s="1"/>
  <c r="O2376" i="1" a="1"/>
  <c r="O2376" i="1" s="1"/>
  <c r="O2377" i="1" a="1"/>
  <c r="O2377" i="1" s="1"/>
  <c r="O2378" i="1" a="1"/>
  <c r="O2378" i="1" s="1"/>
  <c r="O2379" i="1" a="1"/>
  <c r="O2379" i="1" s="1"/>
  <c r="O2380" i="1" a="1"/>
  <c r="O2380" i="1" s="1"/>
  <c r="O2381" i="1" a="1"/>
  <c r="O2381" i="1" s="1"/>
  <c r="O2382" i="1" a="1"/>
  <c r="O2382" i="1" s="1"/>
  <c r="O2383" i="1" a="1"/>
  <c r="O2383" i="1" s="1"/>
  <c r="O2384" i="1" a="1"/>
  <c r="O2384" i="1" s="1"/>
  <c r="O2385" i="1" a="1"/>
  <c r="O2385" i="1" s="1"/>
  <c r="O2386" i="1" a="1"/>
  <c r="O2386" i="1" s="1"/>
  <c r="O2387" i="1" a="1"/>
  <c r="O2387" i="1" s="1"/>
  <c r="O2388" i="1" a="1"/>
  <c r="O2388" i="1" s="1"/>
  <c r="O2389" i="1" a="1"/>
  <c r="O2389" i="1" s="1"/>
  <c r="O2390" i="1" a="1"/>
  <c r="O2390" i="1" s="1"/>
  <c r="O2391" i="1" a="1"/>
  <c r="O2391" i="1" s="1"/>
  <c r="O2392" i="1" a="1"/>
  <c r="O2392" i="1" s="1"/>
  <c r="O2393" i="1" a="1"/>
  <c r="O2393" i="1" s="1"/>
  <c r="O2394" i="1" a="1"/>
  <c r="O2394" i="1" s="1"/>
  <c r="O2395" i="1" a="1"/>
  <c r="O2395" i="1" s="1"/>
  <c r="O2396" i="1" a="1"/>
  <c r="O2396" i="1" s="1"/>
  <c r="O2397" i="1" a="1"/>
  <c r="O2397" i="1" s="1"/>
  <c r="O2398" i="1" a="1"/>
  <c r="O2398" i="1" s="1"/>
  <c r="O2399" i="1" a="1"/>
  <c r="O2399" i="1" s="1"/>
  <c r="O2400" i="1" a="1"/>
  <c r="O2400" i="1" s="1"/>
  <c r="O2401" i="1" a="1"/>
  <c r="O2401" i="1" s="1"/>
  <c r="O2402" i="1" a="1"/>
  <c r="O2402" i="1" s="1"/>
  <c r="O2403" i="1" a="1"/>
  <c r="O2403" i="1" s="1"/>
  <c r="O2404" i="1" a="1"/>
  <c r="O2404" i="1" s="1"/>
  <c r="O2405" i="1" a="1"/>
  <c r="O2405" i="1" s="1"/>
  <c r="O2406" i="1" a="1"/>
  <c r="O2406" i="1" s="1"/>
  <c r="O2407" i="1" a="1"/>
  <c r="O2407" i="1" s="1"/>
  <c r="O2408" i="1" a="1"/>
  <c r="O2408" i="1" s="1"/>
  <c r="O2409" i="1" a="1"/>
  <c r="O2409" i="1" s="1"/>
  <c r="O2410" i="1" a="1"/>
  <c r="O2410" i="1" s="1"/>
  <c r="O2411" i="1" a="1"/>
  <c r="O2411" i="1" s="1"/>
  <c r="O2412" i="1" a="1"/>
  <c r="O2412" i="1" s="1"/>
  <c r="O2413" i="1" a="1"/>
  <c r="O2413" i="1" s="1"/>
  <c r="O2414" i="1" a="1"/>
  <c r="O2414" i="1" s="1"/>
  <c r="O2415" i="1" a="1"/>
  <c r="O2415" i="1" s="1"/>
  <c r="O2416" i="1" a="1"/>
  <c r="O2416" i="1" s="1"/>
  <c r="O2417" i="1" a="1"/>
  <c r="O2417" i="1" s="1"/>
  <c r="O2418" i="1" a="1"/>
  <c r="O2418" i="1" s="1"/>
  <c r="O2419" i="1" a="1"/>
  <c r="O2419" i="1" s="1"/>
  <c r="O2420" i="1" a="1"/>
  <c r="O2420" i="1" s="1"/>
  <c r="O2421" i="1" a="1"/>
  <c r="O2421" i="1" s="1"/>
  <c r="O2422" i="1" a="1"/>
  <c r="O2422" i="1" s="1"/>
  <c r="O2423" i="1" a="1"/>
  <c r="O2423" i="1" s="1"/>
  <c r="O2424" i="1" a="1"/>
  <c r="O2424" i="1" s="1"/>
  <c r="O2425" i="1" a="1"/>
  <c r="O2425" i="1" s="1"/>
  <c r="O2426" i="1" a="1"/>
  <c r="O2426" i="1" s="1"/>
  <c r="O2427" i="1" a="1"/>
  <c r="O2427" i="1" s="1"/>
  <c r="O2428" i="1" a="1"/>
  <c r="O2428" i="1" s="1"/>
  <c r="O2429" i="1" a="1"/>
  <c r="O2429" i="1" s="1"/>
  <c r="O2430" i="1" a="1"/>
  <c r="O2430" i="1" s="1"/>
  <c r="O2431" i="1" a="1"/>
  <c r="O2431" i="1" s="1"/>
  <c r="O2432" i="1" a="1"/>
  <c r="O2432" i="1" s="1"/>
  <c r="O2433" i="1" a="1"/>
  <c r="O2433" i="1" s="1"/>
  <c r="O2434" i="1" a="1"/>
  <c r="O2434" i="1" s="1"/>
  <c r="O2435" i="1" a="1"/>
  <c r="O2435" i="1" s="1"/>
  <c r="O2436" i="1" a="1"/>
  <c r="O2436" i="1" s="1"/>
  <c r="O2437" i="1" a="1"/>
  <c r="O2437" i="1" s="1"/>
  <c r="O2438" i="1" a="1"/>
  <c r="O2438" i="1" s="1"/>
  <c r="O2439" i="1" a="1"/>
  <c r="O2439" i="1" s="1"/>
  <c r="O2440" i="1" a="1"/>
  <c r="O2440" i="1" s="1"/>
  <c r="O2441" i="1" a="1"/>
  <c r="O2441" i="1" s="1"/>
  <c r="O2442" i="1" a="1"/>
  <c r="O2442" i="1" s="1"/>
  <c r="O2443" i="1" a="1"/>
  <c r="O2443" i="1" s="1"/>
  <c r="O2444" i="1" a="1"/>
  <c r="O2444" i="1" s="1"/>
  <c r="O2445" i="1" a="1"/>
  <c r="O2445" i="1" s="1"/>
  <c r="O2446" i="1" a="1"/>
  <c r="O2446" i="1" s="1"/>
  <c r="O2447" i="1" a="1"/>
  <c r="O2447" i="1" s="1"/>
  <c r="O2448" i="1" a="1"/>
  <c r="O2448" i="1" s="1"/>
  <c r="O2449" i="1" a="1"/>
  <c r="O2449" i="1" s="1"/>
  <c r="O2450" i="1" a="1"/>
  <c r="O2450" i="1" s="1"/>
  <c r="O2451" i="1" a="1"/>
  <c r="O2451" i="1" s="1"/>
  <c r="O2452" i="1" a="1"/>
  <c r="O2452" i="1" s="1"/>
  <c r="O2453" i="1" a="1"/>
  <c r="O2453" i="1" s="1"/>
  <c r="O2454" i="1" a="1"/>
  <c r="O2454" i="1" s="1"/>
  <c r="O2455" i="1" a="1"/>
  <c r="O2455" i="1" s="1"/>
  <c r="O2456" i="1" a="1"/>
  <c r="O2456" i="1" s="1"/>
  <c r="O2457" i="1" a="1"/>
  <c r="O2457" i="1" s="1"/>
  <c r="O2458" i="1" a="1"/>
  <c r="O2458" i="1" s="1"/>
  <c r="O2459" i="1" a="1"/>
  <c r="O2459" i="1" s="1"/>
  <c r="O2460" i="1" a="1"/>
  <c r="O2460" i="1" s="1"/>
  <c r="O2461" i="1" a="1"/>
  <c r="O2461" i="1" s="1"/>
  <c r="O2462" i="1" a="1"/>
  <c r="O2462" i="1" s="1"/>
  <c r="O2463" i="1" a="1"/>
  <c r="O2463" i="1" s="1"/>
  <c r="O2464" i="1" a="1"/>
  <c r="O2464" i="1" s="1"/>
  <c r="O2465" i="1" a="1"/>
  <c r="O2465" i="1" s="1"/>
  <c r="O2466" i="1" a="1"/>
  <c r="O2466" i="1" s="1"/>
  <c r="O2467" i="1" a="1"/>
  <c r="O2467" i="1" s="1"/>
  <c r="O2468" i="1" a="1"/>
  <c r="O2468" i="1" s="1"/>
  <c r="O2469" i="1" a="1"/>
  <c r="O2469" i="1" s="1"/>
  <c r="O2470" i="1" a="1"/>
  <c r="O2470" i="1" s="1"/>
  <c r="O2471" i="1" a="1"/>
  <c r="O2471" i="1" s="1"/>
  <c r="O2472" i="1" a="1"/>
  <c r="O2472" i="1" s="1"/>
  <c r="O2473" i="1" a="1"/>
  <c r="O2473" i="1" s="1"/>
  <c r="O2474" i="1" a="1"/>
  <c r="O2474" i="1" s="1"/>
  <c r="O2475" i="1" a="1"/>
  <c r="O2475" i="1" s="1"/>
  <c r="O2476" i="1" a="1"/>
  <c r="O2476" i="1" s="1"/>
  <c r="O2477" i="1" a="1"/>
  <c r="O2477" i="1" s="1"/>
  <c r="O2478" i="1" a="1"/>
  <c r="O2478" i="1" s="1"/>
  <c r="O2479" i="1" a="1"/>
  <c r="O2479" i="1" s="1"/>
  <c r="O2480" i="1" a="1"/>
  <c r="O2480" i="1" s="1"/>
  <c r="O2481" i="1" a="1"/>
  <c r="O2481" i="1" s="1"/>
  <c r="O2482" i="1" a="1"/>
  <c r="O2482" i="1" s="1"/>
  <c r="O2483" i="1" a="1"/>
  <c r="O2483" i="1" s="1"/>
  <c r="O2484" i="1" a="1"/>
  <c r="O2484" i="1" s="1"/>
  <c r="O2485" i="1" a="1"/>
  <c r="O2485" i="1" s="1"/>
  <c r="O2486" i="1" a="1"/>
  <c r="O2486" i="1" s="1"/>
  <c r="O2487" i="1" a="1"/>
  <c r="O2487" i="1" s="1"/>
  <c r="O2488" i="1" a="1"/>
  <c r="O2488" i="1" s="1"/>
  <c r="O2489" i="1" a="1"/>
  <c r="O2489" i="1" s="1"/>
  <c r="O2490" i="1" a="1"/>
  <c r="O2490" i="1" s="1"/>
  <c r="O2491" i="1" a="1"/>
  <c r="O2491" i="1" s="1"/>
  <c r="O2492" i="1" a="1"/>
  <c r="O2492" i="1" s="1"/>
  <c r="O2493" i="1" a="1"/>
  <c r="O2493" i="1" s="1"/>
  <c r="O2494" i="1" a="1"/>
  <c r="O2494" i="1" s="1"/>
  <c r="O2495" i="1" a="1"/>
  <c r="O2495" i="1" s="1"/>
  <c r="O2496" i="1" a="1"/>
  <c r="O2496" i="1" s="1"/>
  <c r="O2497" i="1" a="1"/>
  <c r="O2497" i="1" s="1"/>
  <c r="O2498" i="1" a="1"/>
  <c r="O2498" i="1" s="1"/>
  <c r="O2499" i="1" a="1"/>
  <c r="O2499" i="1" s="1"/>
  <c r="O2500" i="1" a="1"/>
  <c r="O2500" i="1" s="1"/>
  <c r="O2501" i="1" a="1"/>
  <c r="O2501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G2" i="1" a="1"/>
  <c r="G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 s="1"/>
  <c r="G1006" i="1" a="1"/>
  <c r="G1006" i="1" s="1"/>
  <c r="G1007" i="1" a="1"/>
  <c r="G1007" i="1" s="1"/>
  <c r="G1008" i="1" a="1"/>
  <c r="G1008" i="1" s="1"/>
  <c r="G1009" i="1" a="1"/>
  <c r="G1009" i="1" s="1"/>
  <c r="G1010" i="1" a="1"/>
  <c r="G1010" i="1" s="1"/>
  <c r="G1011" i="1" a="1"/>
  <c r="G1011" i="1" s="1"/>
  <c r="G1012" i="1" a="1"/>
  <c r="G1012" i="1" s="1"/>
  <c r="G1013" i="1" a="1"/>
  <c r="G1013" i="1" s="1"/>
  <c r="G1014" i="1" a="1"/>
  <c r="G1014" i="1" s="1"/>
  <c r="G1015" i="1" a="1"/>
  <c r="G1015" i="1" s="1"/>
  <c r="G1016" i="1" a="1"/>
  <c r="G1016" i="1" s="1"/>
  <c r="G1017" i="1" a="1"/>
  <c r="G1017" i="1" s="1"/>
  <c r="G1018" i="1" a="1"/>
  <c r="G1018" i="1" s="1"/>
  <c r="G1019" i="1" a="1"/>
  <c r="G1019" i="1" s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 s="1"/>
  <c r="G1025" i="1" a="1"/>
  <c r="G1025" i="1" s="1"/>
  <c r="G1026" i="1" a="1"/>
  <c r="G1026" i="1" s="1"/>
  <c r="G1027" i="1" a="1"/>
  <c r="G1027" i="1" s="1"/>
  <c r="G1028" i="1" a="1"/>
  <c r="G1028" i="1" s="1"/>
  <c r="G1029" i="1" a="1"/>
  <c r="G1029" i="1" s="1"/>
  <c r="G1030" i="1" a="1"/>
  <c r="G1030" i="1" s="1"/>
  <c r="G1031" i="1" a="1"/>
  <c r="G1031" i="1" s="1"/>
  <c r="G1032" i="1" a="1"/>
  <c r="G1032" i="1" s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 s="1"/>
  <c r="G1040" i="1" a="1"/>
  <c r="G1040" i="1" s="1"/>
  <c r="G1041" i="1" a="1"/>
  <c r="G1041" i="1" s="1"/>
  <c r="G1042" i="1" a="1"/>
  <c r="G1042" i="1" s="1"/>
  <c r="G1043" i="1" a="1"/>
  <c r="G1043" i="1" s="1"/>
  <c r="G1044" i="1" a="1"/>
  <c r="G1044" i="1" s="1"/>
  <c r="G1045" i="1" a="1"/>
  <c r="G1045" i="1" s="1"/>
  <c r="G1046" i="1" a="1"/>
  <c r="G1046" i="1" s="1"/>
  <c r="G1047" i="1" a="1"/>
  <c r="G1047" i="1" s="1"/>
  <c r="G1048" i="1" a="1"/>
  <c r="G1048" i="1" s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 s="1"/>
  <c r="G1054" i="1" a="1"/>
  <c r="G1054" i="1" s="1"/>
  <c r="G1055" i="1" a="1"/>
  <c r="G1055" i="1" s="1"/>
  <c r="G1056" i="1" a="1"/>
  <c r="G1056" i="1" s="1"/>
  <c r="G1057" i="1" a="1"/>
  <c r="G1057" i="1" s="1"/>
  <c r="G1058" i="1" a="1"/>
  <c r="G1058" i="1" s="1"/>
  <c r="G1059" i="1" a="1"/>
  <c r="G1059" i="1" s="1"/>
  <c r="G1060" i="1" a="1"/>
  <c r="G1060" i="1" s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 s="1"/>
  <c r="G1066" i="1" a="1"/>
  <c r="G1066" i="1" s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 s="1"/>
  <c r="G1072" i="1" a="1"/>
  <c r="G1072" i="1" s="1"/>
  <c r="G1073" i="1" a="1"/>
  <c r="G1073" i="1" s="1"/>
  <c r="G1074" i="1" a="1"/>
  <c r="G1074" i="1" s="1"/>
  <c r="G1075" i="1" a="1"/>
  <c r="G1075" i="1" s="1"/>
  <c r="G1076" i="1" a="1"/>
  <c r="G1076" i="1" s="1"/>
  <c r="G1077" i="1" a="1"/>
  <c r="G1077" i="1" s="1"/>
  <c r="G1078" i="1" a="1"/>
  <c r="G1078" i="1" s="1"/>
  <c r="G1079" i="1" a="1"/>
  <c r="G1079" i="1" s="1"/>
  <c r="G1080" i="1" a="1"/>
  <c r="G1080" i="1" s="1"/>
  <c r="G1081" i="1" a="1"/>
  <c r="G1081" i="1" s="1"/>
  <c r="G1082" i="1" a="1"/>
  <c r="G1082" i="1" s="1"/>
  <c r="G1083" i="1" a="1"/>
  <c r="G1083" i="1" s="1"/>
  <c r="G1084" i="1" a="1"/>
  <c r="G1084" i="1" s="1"/>
  <c r="G1085" i="1" a="1"/>
  <c r="G1085" i="1" s="1"/>
  <c r="G1086" i="1" a="1"/>
  <c r="G1086" i="1" s="1"/>
  <c r="G1087" i="1" a="1"/>
  <c r="G1087" i="1" s="1"/>
  <c r="G1088" i="1" a="1"/>
  <c r="G1088" i="1" s="1"/>
  <c r="G1089" i="1" a="1"/>
  <c r="G1089" i="1" s="1"/>
  <c r="G1090" i="1" a="1"/>
  <c r="G1090" i="1" s="1"/>
  <c r="G1091" i="1" a="1"/>
  <c r="G1091" i="1" s="1"/>
  <c r="G1092" i="1" a="1"/>
  <c r="G1092" i="1" s="1"/>
  <c r="G1093" i="1" a="1"/>
  <c r="G1093" i="1" s="1"/>
  <c r="G1094" i="1" a="1"/>
  <c r="G1094" i="1" s="1"/>
  <c r="G1095" i="1" a="1"/>
  <c r="G1095" i="1" s="1"/>
  <c r="G1096" i="1" a="1"/>
  <c r="G1096" i="1" s="1"/>
  <c r="G1097" i="1" a="1"/>
  <c r="G1097" i="1" s="1"/>
  <c r="G1098" i="1" a="1"/>
  <c r="G1098" i="1" s="1"/>
  <c r="G1099" i="1" a="1"/>
  <c r="G1099" i="1" s="1"/>
  <c r="G1100" i="1" a="1"/>
  <c r="G1100" i="1" s="1"/>
  <c r="G1101" i="1" a="1"/>
  <c r="G1101" i="1" s="1"/>
  <c r="G1102" i="1" a="1"/>
  <c r="G1102" i="1" s="1"/>
  <c r="G1103" i="1" a="1"/>
  <c r="G1103" i="1" s="1"/>
  <c r="G1104" i="1" a="1"/>
  <c r="G1104" i="1" s="1"/>
  <c r="G1105" i="1" a="1"/>
  <c r="G1105" i="1" s="1"/>
  <c r="G1106" i="1" a="1"/>
  <c r="G1106" i="1" s="1"/>
  <c r="G1107" i="1" a="1"/>
  <c r="G1107" i="1" s="1"/>
  <c r="G1108" i="1" a="1"/>
  <c r="G1108" i="1" s="1"/>
  <c r="G1109" i="1" a="1"/>
  <c r="G1109" i="1" s="1"/>
  <c r="G1110" i="1" a="1"/>
  <c r="G1110" i="1" s="1"/>
  <c r="G1111" i="1" a="1"/>
  <c r="G1111" i="1" s="1"/>
  <c r="G1112" i="1" a="1"/>
  <c r="G1112" i="1" s="1"/>
  <c r="G1113" i="1" a="1"/>
  <c r="G1113" i="1" s="1"/>
  <c r="G1114" i="1" a="1"/>
  <c r="G1114" i="1" s="1"/>
  <c r="G1115" i="1" a="1"/>
  <c r="G1115" i="1" s="1"/>
  <c r="G1116" i="1" a="1"/>
  <c r="G1116" i="1" s="1"/>
  <c r="G1117" i="1" a="1"/>
  <c r="G1117" i="1" s="1"/>
  <c r="G1118" i="1" a="1"/>
  <c r="G1118" i="1" s="1"/>
  <c r="G1119" i="1" a="1"/>
  <c r="G1119" i="1" s="1"/>
  <c r="G1120" i="1" a="1"/>
  <c r="G1120" i="1" s="1"/>
  <c r="G1121" i="1" a="1"/>
  <c r="G1121" i="1" s="1"/>
  <c r="G1122" i="1" a="1"/>
  <c r="G1122" i="1" s="1"/>
  <c r="G1123" i="1" a="1"/>
  <c r="G1123" i="1" s="1"/>
  <c r="G1124" i="1" a="1"/>
  <c r="G1124" i="1" s="1"/>
  <c r="G1125" i="1" a="1"/>
  <c r="G1125" i="1" s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 s="1"/>
  <c r="G1132" i="1" a="1"/>
  <c r="G1132" i="1" s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 s="1"/>
  <c r="G1138" i="1" a="1"/>
  <c r="G1138" i="1" s="1"/>
  <c r="G1139" i="1" a="1"/>
  <c r="G1139" i="1" s="1"/>
  <c r="G1140" i="1" a="1"/>
  <c r="G1140" i="1" s="1"/>
  <c r="G1141" i="1" a="1"/>
  <c r="G1141" i="1" s="1"/>
  <c r="G1142" i="1" a="1"/>
  <c r="G1142" i="1" s="1"/>
  <c r="G1143" i="1" a="1"/>
  <c r="G1143" i="1" s="1"/>
  <c r="G1144" i="1" a="1"/>
  <c r="G1144" i="1" s="1"/>
  <c r="G1145" i="1" a="1"/>
  <c r="G1145" i="1" s="1"/>
  <c r="G1146" i="1" a="1"/>
  <c r="G1146" i="1" s="1"/>
  <c r="G1147" i="1" a="1"/>
  <c r="G1147" i="1" s="1"/>
  <c r="G1148" i="1" a="1"/>
  <c r="G1148" i="1" s="1"/>
  <c r="G1149" i="1" a="1"/>
  <c r="G1149" i="1" s="1"/>
  <c r="G1150" i="1" a="1"/>
  <c r="G1150" i="1" s="1"/>
  <c r="G1151" i="1" a="1"/>
  <c r="G1151" i="1" s="1"/>
  <c r="G1152" i="1" a="1"/>
  <c r="G1152" i="1" s="1"/>
  <c r="G1153" i="1" a="1"/>
  <c r="G1153" i="1" s="1"/>
  <c r="G1154" i="1" a="1"/>
  <c r="G1154" i="1" s="1"/>
  <c r="G1155" i="1" a="1"/>
  <c r="G1155" i="1" s="1"/>
  <c r="G1156" i="1" a="1"/>
  <c r="G1156" i="1" s="1"/>
  <c r="G1157" i="1" a="1"/>
  <c r="G1157" i="1" s="1"/>
  <c r="G1158" i="1" a="1"/>
  <c r="G1158" i="1" s="1"/>
  <c r="G1159" i="1" a="1"/>
  <c r="G1159" i="1" s="1"/>
  <c r="G1160" i="1" a="1"/>
  <c r="G1160" i="1" s="1"/>
  <c r="G1161" i="1" a="1"/>
  <c r="G1161" i="1" s="1"/>
  <c r="G1162" i="1" a="1"/>
  <c r="G1162" i="1" s="1"/>
  <c r="G1163" i="1" a="1"/>
  <c r="G1163" i="1" s="1"/>
  <c r="G1164" i="1" a="1"/>
  <c r="G1164" i="1" s="1"/>
  <c r="G1165" i="1" a="1"/>
  <c r="G1165" i="1" s="1"/>
  <c r="G1166" i="1" a="1"/>
  <c r="G1166" i="1" s="1"/>
  <c r="G1167" i="1" a="1"/>
  <c r="G1167" i="1" s="1"/>
  <c r="G1168" i="1" a="1"/>
  <c r="G1168" i="1" s="1"/>
  <c r="G1169" i="1" a="1"/>
  <c r="G1169" i="1" s="1"/>
  <c r="G1170" i="1" a="1"/>
  <c r="G1170" i="1" s="1"/>
  <c r="G1171" i="1" a="1"/>
  <c r="G1171" i="1" s="1"/>
  <c r="G1172" i="1" a="1"/>
  <c r="G1172" i="1" s="1"/>
  <c r="G1173" i="1" a="1"/>
  <c r="G1173" i="1" s="1"/>
  <c r="G1174" i="1" a="1"/>
  <c r="G1174" i="1" s="1"/>
  <c r="G1175" i="1" a="1"/>
  <c r="G1175" i="1" s="1"/>
  <c r="G1176" i="1" a="1"/>
  <c r="G1176" i="1" s="1"/>
  <c r="G1177" i="1" a="1"/>
  <c r="G1177" i="1" s="1"/>
  <c r="G1178" i="1" a="1"/>
  <c r="G1178" i="1" s="1"/>
  <c r="G1179" i="1" a="1"/>
  <c r="G1179" i="1" s="1"/>
  <c r="G1180" i="1" a="1"/>
  <c r="G1180" i="1" s="1"/>
  <c r="G1181" i="1" a="1"/>
  <c r="G1181" i="1" s="1"/>
  <c r="G1182" i="1" a="1"/>
  <c r="G1182" i="1" s="1"/>
  <c r="G1183" i="1" a="1"/>
  <c r="G1183" i="1" s="1"/>
  <c r="G1184" i="1" a="1"/>
  <c r="G1184" i="1" s="1"/>
  <c r="G1185" i="1" a="1"/>
  <c r="G1185" i="1" s="1"/>
  <c r="G1186" i="1" a="1"/>
  <c r="G1186" i="1" s="1"/>
  <c r="G1187" i="1" a="1"/>
  <c r="G1187" i="1" s="1"/>
  <c r="G1188" i="1" a="1"/>
  <c r="G1188" i="1" s="1"/>
  <c r="G1189" i="1" a="1"/>
  <c r="G1189" i="1" s="1"/>
  <c r="G1190" i="1" a="1"/>
  <c r="G1190" i="1" s="1"/>
  <c r="G1191" i="1" a="1"/>
  <c r="G1191" i="1" s="1"/>
  <c r="G1192" i="1" a="1"/>
  <c r="G1192" i="1" s="1"/>
  <c r="G1193" i="1" a="1"/>
  <c r="G1193" i="1" s="1"/>
  <c r="G1194" i="1" a="1"/>
  <c r="G1194" i="1" s="1"/>
  <c r="G1195" i="1" a="1"/>
  <c r="G1195" i="1" s="1"/>
  <c r="G1196" i="1" a="1"/>
  <c r="G1196" i="1" s="1"/>
  <c r="G1197" i="1" a="1"/>
  <c r="G1197" i="1" s="1"/>
  <c r="G1198" i="1" a="1"/>
  <c r="G1198" i="1" s="1"/>
  <c r="G1199" i="1" a="1"/>
  <c r="G1199" i="1" s="1"/>
  <c r="G1200" i="1" a="1"/>
  <c r="G1200" i="1" s="1"/>
  <c r="G1201" i="1" a="1"/>
  <c r="G1201" i="1" s="1"/>
  <c r="G1202" i="1" a="1"/>
  <c r="G1202" i="1" s="1"/>
  <c r="G1203" i="1" a="1"/>
  <c r="G1203" i="1" s="1"/>
  <c r="G1204" i="1" a="1"/>
  <c r="G1204" i="1" s="1"/>
  <c r="G1205" i="1" a="1"/>
  <c r="G1205" i="1" s="1"/>
  <c r="G1206" i="1" a="1"/>
  <c r="G1206" i="1" s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 s="1"/>
  <c r="G1212" i="1" a="1"/>
  <c r="G1212" i="1" s="1"/>
  <c r="G1213" i="1" a="1"/>
  <c r="G1213" i="1" s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 s="1"/>
  <c r="G1219" i="1" a="1"/>
  <c r="G1219" i="1" s="1"/>
  <c r="G1220" i="1" a="1"/>
  <c r="G1220" i="1" s="1"/>
  <c r="G1221" i="1" a="1"/>
  <c r="G1221" i="1" s="1"/>
  <c r="G1222" i="1" a="1"/>
  <c r="G1222" i="1" s="1"/>
  <c r="G1223" i="1" a="1"/>
  <c r="G1223" i="1" s="1"/>
  <c r="G1224" i="1" a="1"/>
  <c r="G1224" i="1" s="1"/>
  <c r="G1225" i="1" a="1"/>
  <c r="G1225" i="1" s="1"/>
  <c r="G1226" i="1" a="1"/>
  <c r="G1226" i="1" s="1"/>
  <c r="G1227" i="1" a="1"/>
  <c r="G1227" i="1" s="1"/>
  <c r="G1228" i="1" a="1"/>
  <c r="G1228" i="1" s="1"/>
  <c r="G1229" i="1" a="1"/>
  <c r="G1229" i="1" s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 s="1"/>
  <c r="G1235" i="1" a="1"/>
  <c r="G1235" i="1" s="1"/>
  <c r="G1236" i="1" a="1"/>
  <c r="G1236" i="1" s="1"/>
  <c r="G1237" i="1" a="1"/>
  <c r="G1237" i="1" s="1"/>
  <c r="G1238" i="1" a="1"/>
  <c r="G1238" i="1" s="1"/>
  <c r="G1239" i="1" a="1"/>
  <c r="G1239" i="1" s="1"/>
  <c r="G1240" i="1" a="1"/>
  <c r="G1240" i="1" s="1"/>
  <c r="G1241" i="1" a="1"/>
  <c r="G1241" i="1" s="1"/>
  <c r="G1242" i="1" a="1"/>
  <c r="G1242" i="1" s="1"/>
  <c r="G1243" i="1" a="1"/>
  <c r="G1243" i="1" s="1"/>
  <c r="G1244" i="1" a="1"/>
  <c r="G1244" i="1" s="1"/>
  <c r="G1245" i="1" a="1"/>
  <c r="G1245" i="1" s="1"/>
  <c r="G1246" i="1" a="1"/>
  <c r="G1246" i="1" s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 s="1"/>
  <c r="G1252" i="1" a="1"/>
  <c r="G1252" i="1" s="1"/>
  <c r="G1253" i="1" a="1"/>
  <c r="G1253" i="1" s="1"/>
  <c r="G1254" i="1" a="1"/>
  <c r="G1254" i="1" s="1"/>
  <c r="G1255" i="1" a="1"/>
  <c r="G1255" i="1" s="1"/>
  <c r="G1256" i="1" a="1"/>
  <c r="G1256" i="1" s="1"/>
  <c r="G1257" i="1" a="1"/>
  <c r="G1257" i="1" s="1"/>
  <c r="G1258" i="1" a="1"/>
  <c r="G1258" i="1" s="1"/>
  <c r="G1259" i="1" a="1"/>
  <c r="G1259" i="1" s="1"/>
  <c r="G1260" i="1" a="1"/>
  <c r="G1260" i="1" s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 s="1"/>
  <c r="G1266" i="1" a="1"/>
  <c r="G1266" i="1" s="1"/>
  <c r="G1267" i="1" a="1"/>
  <c r="G1267" i="1" s="1"/>
  <c r="G1268" i="1" a="1"/>
  <c r="G1268" i="1" s="1"/>
  <c r="G1269" i="1" a="1"/>
  <c r="G1269" i="1" s="1"/>
  <c r="G1270" i="1" a="1"/>
  <c r="G1270" i="1" s="1"/>
  <c r="G1271" i="1" a="1"/>
  <c r="G1271" i="1" s="1"/>
  <c r="G1272" i="1" a="1"/>
  <c r="G1272" i="1" s="1"/>
  <c r="G1273" i="1" a="1"/>
  <c r="G1273" i="1" s="1"/>
  <c r="G1274" i="1" a="1"/>
  <c r="G1274" i="1" s="1"/>
  <c r="G1275" i="1" a="1"/>
  <c r="G1275" i="1" s="1"/>
  <c r="G1276" i="1" a="1"/>
  <c r="G1276" i="1" s="1"/>
  <c r="G1277" i="1" a="1"/>
  <c r="G1277" i="1" s="1"/>
  <c r="G1278" i="1" a="1"/>
  <c r="G1278" i="1" s="1"/>
  <c r="G1279" i="1" a="1"/>
  <c r="G1279" i="1" s="1"/>
  <c r="G1280" i="1" a="1"/>
  <c r="G1280" i="1" s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 s="1"/>
  <c r="G1287" i="1" a="1"/>
  <c r="G1287" i="1" s="1"/>
  <c r="G1288" i="1" a="1"/>
  <c r="G1288" i="1" s="1"/>
  <c r="G1289" i="1" a="1"/>
  <c r="G1289" i="1" s="1"/>
  <c r="G1290" i="1" a="1"/>
  <c r="G1290" i="1" s="1"/>
  <c r="G1291" i="1" a="1"/>
  <c r="G1291" i="1" s="1"/>
  <c r="G1292" i="1" a="1"/>
  <c r="G1292" i="1" s="1"/>
  <c r="G1293" i="1" a="1"/>
  <c r="G1293" i="1" s="1"/>
  <c r="G1294" i="1" a="1"/>
  <c r="G1294" i="1" s="1"/>
  <c r="G1295" i="1" a="1"/>
  <c r="G1295" i="1" s="1"/>
  <c r="G1296" i="1" a="1"/>
  <c r="G1296" i="1" s="1"/>
  <c r="G1297" i="1" a="1"/>
  <c r="G1297" i="1" s="1"/>
  <c r="G1298" i="1" a="1"/>
  <c r="G1298" i="1" s="1"/>
  <c r="G1299" i="1" a="1"/>
  <c r="G1299" i="1" s="1"/>
  <c r="G1300" i="1" a="1"/>
  <c r="G1300" i="1" s="1"/>
  <c r="G1301" i="1" a="1"/>
  <c r="G1301" i="1" s="1"/>
  <c r="G1302" i="1" a="1"/>
  <c r="G1302" i="1" s="1"/>
  <c r="G1303" i="1" a="1"/>
  <c r="G1303" i="1" s="1"/>
  <c r="G1304" i="1" a="1"/>
  <c r="G1304" i="1" s="1"/>
  <c r="G1305" i="1" a="1"/>
  <c r="G1305" i="1" s="1"/>
  <c r="G1306" i="1" a="1"/>
  <c r="G1306" i="1" s="1"/>
  <c r="G1307" i="1" a="1"/>
  <c r="G1307" i="1" s="1"/>
  <c r="G1308" i="1" a="1"/>
  <c r="G1308" i="1" s="1"/>
  <c r="G1309" i="1" a="1"/>
  <c r="G1309" i="1" s="1"/>
  <c r="G1310" i="1" a="1"/>
  <c r="G1310" i="1" s="1"/>
  <c r="G1311" i="1" a="1"/>
  <c r="G1311" i="1" s="1"/>
  <c r="G1312" i="1" a="1"/>
  <c r="G1312" i="1" s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 s="1"/>
  <c r="G1319" i="1" a="1"/>
  <c r="G1319" i="1" s="1"/>
  <c r="G1320" i="1" a="1"/>
  <c r="G1320" i="1" s="1"/>
  <c r="G1321" i="1" a="1"/>
  <c r="G1321" i="1" s="1"/>
  <c r="G1322" i="1" a="1"/>
  <c r="G1322" i="1" s="1"/>
  <c r="G1323" i="1" a="1"/>
  <c r="G1323" i="1" s="1"/>
  <c r="G1324" i="1" a="1"/>
  <c r="G1324" i="1" s="1"/>
  <c r="G1325" i="1" a="1"/>
  <c r="G1325" i="1" s="1"/>
  <c r="G1326" i="1" a="1"/>
  <c r="G1326" i="1" s="1"/>
  <c r="G1327" i="1" a="1"/>
  <c r="G1327" i="1" s="1"/>
  <c r="G1328" i="1" a="1"/>
  <c r="G1328" i="1" s="1"/>
  <c r="G1329" i="1" a="1"/>
  <c r="G1329" i="1" s="1"/>
  <c r="G1330" i="1" a="1"/>
  <c r="G1330" i="1" s="1"/>
  <c r="G1331" i="1" a="1"/>
  <c r="G1331" i="1" s="1"/>
  <c r="G1332" i="1" a="1"/>
  <c r="G1332" i="1" s="1"/>
  <c r="G1333" i="1" a="1"/>
  <c r="G1333" i="1" s="1"/>
  <c r="G1334" i="1" a="1"/>
  <c r="G1334" i="1" s="1"/>
  <c r="G1335" i="1" a="1"/>
  <c r="G1335" i="1" s="1"/>
  <c r="G1336" i="1" a="1"/>
  <c r="G1336" i="1" s="1"/>
  <c r="G1337" i="1" a="1"/>
  <c r="G1337" i="1" s="1"/>
  <c r="G1338" i="1" a="1"/>
  <c r="G1338" i="1" s="1"/>
  <c r="G1339" i="1" a="1"/>
  <c r="G1339" i="1" s="1"/>
  <c r="G1340" i="1" a="1"/>
  <c r="G1340" i="1" s="1"/>
  <c r="G1341" i="1" a="1"/>
  <c r="G1341" i="1" s="1"/>
  <c r="G1342" i="1" a="1"/>
  <c r="G1342" i="1" s="1"/>
  <c r="G1343" i="1" a="1"/>
  <c r="G1343" i="1" s="1"/>
  <c r="G1344" i="1" a="1"/>
  <c r="G1344" i="1" s="1"/>
  <c r="G1345" i="1" a="1"/>
  <c r="G1345" i="1" s="1"/>
  <c r="G1346" i="1" a="1"/>
  <c r="G1346" i="1" s="1"/>
  <c r="G1347" i="1" a="1"/>
  <c r="G1347" i="1" s="1"/>
  <c r="G1348" i="1" a="1"/>
  <c r="G1348" i="1" s="1"/>
  <c r="G1349" i="1" a="1"/>
  <c r="G1349" i="1" s="1"/>
  <c r="G1350" i="1" a="1"/>
  <c r="G1350" i="1" s="1"/>
  <c r="G1351" i="1" a="1"/>
  <c r="G1351" i="1" s="1"/>
  <c r="G1352" i="1" a="1"/>
  <c r="G1352" i="1" s="1"/>
  <c r="G1353" i="1" a="1"/>
  <c r="G1353" i="1" s="1"/>
  <c r="G1354" i="1" a="1"/>
  <c r="G1354" i="1" s="1"/>
  <c r="G1355" i="1" a="1"/>
  <c r="G1355" i="1" s="1"/>
  <c r="G1356" i="1" a="1"/>
  <c r="G1356" i="1" s="1"/>
  <c r="G1357" i="1" a="1"/>
  <c r="G1357" i="1" s="1"/>
  <c r="G1358" i="1" a="1"/>
  <c r="G1358" i="1" s="1"/>
  <c r="G1359" i="1" a="1"/>
  <c r="G1359" i="1" s="1"/>
  <c r="G1360" i="1" a="1"/>
  <c r="G1360" i="1" s="1"/>
  <c r="G1361" i="1" a="1"/>
  <c r="G1361" i="1" s="1"/>
  <c r="G1362" i="1" a="1"/>
  <c r="G1362" i="1" s="1"/>
  <c r="G1363" i="1" a="1"/>
  <c r="G1363" i="1" s="1"/>
  <c r="G1364" i="1" a="1"/>
  <c r="G1364" i="1" s="1"/>
  <c r="G1365" i="1" a="1"/>
  <c r="G1365" i="1" s="1"/>
  <c r="G1366" i="1" a="1"/>
  <c r="G1366" i="1" s="1"/>
  <c r="G1367" i="1" a="1"/>
  <c r="G1367" i="1" s="1"/>
  <c r="G1368" i="1" a="1"/>
  <c r="G1368" i="1" s="1"/>
  <c r="G1369" i="1" a="1"/>
  <c r="G1369" i="1" s="1"/>
  <c r="G1370" i="1" a="1"/>
  <c r="G1370" i="1" s="1"/>
  <c r="G1371" i="1" a="1"/>
  <c r="G1371" i="1" s="1"/>
  <c r="G1372" i="1" a="1"/>
  <c r="G1372" i="1" s="1"/>
  <c r="G1373" i="1" a="1"/>
  <c r="G1373" i="1" s="1"/>
  <c r="G1374" i="1" a="1"/>
  <c r="G1374" i="1" s="1"/>
  <c r="G1375" i="1" a="1"/>
  <c r="G1375" i="1" s="1"/>
  <c r="G1376" i="1" a="1"/>
  <c r="G1376" i="1" s="1"/>
  <c r="G1377" i="1" a="1"/>
  <c r="G1377" i="1" s="1"/>
  <c r="G1378" i="1" a="1"/>
  <c r="G1378" i="1" s="1"/>
  <c r="G1379" i="1" a="1"/>
  <c r="G1379" i="1" s="1"/>
  <c r="G1380" i="1" a="1"/>
  <c r="G1380" i="1" s="1"/>
  <c r="G1381" i="1" a="1"/>
  <c r="G1381" i="1" s="1"/>
  <c r="G1382" i="1" a="1"/>
  <c r="G1382" i="1" s="1"/>
  <c r="G1383" i="1" a="1"/>
  <c r="G1383" i="1" s="1"/>
  <c r="G1384" i="1" a="1"/>
  <c r="G1384" i="1" s="1"/>
  <c r="G1385" i="1" a="1"/>
  <c r="G1385" i="1" s="1"/>
  <c r="G1386" i="1" a="1"/>
  <c r="G1386" i="1" s="1"/>
  <c r="G1387" i="1" a="1"/>
  <c r="G1387" i="1" s="1"/>
  <c r="G1388" i="1" a="1"/>
  <c r="G1388" i="1" s="1"/>
  <c r="G1389" i="1" a="1"/>
  <c r="G1389" i="1" s="1"/>
  <c r="G1390" i="1" a="1"/>
  <c r="G1390" i="1" s="1"/>
  <c r="G1391" i="1" a="1"/>
  <c r="G1391" i="1" s="1"/>
  <c r="G1392" i="1" a="1"/>
  <c r="G1392" i="1" s="1"/>
  <c r="G1393" i="1" a="1"/>
  <c r="G1393" i="1" s="1"/>
  <c r="G1394" i="1" a="1"/>
  <c r="G1394" i="1" s="1"/>
  <c r="G1395" i="1" a="1"/>
  <c r="G1395" i="1" s="1"/>
  <c r="G1396" i="1" a="1"/>
  <c r="G1396" i="1" s="1"/>
  <c r="G1397" i="1" a="1"/>
  <c r="G1397" i="1" s="1"/>
  <c r="G1398" i="1" a="1"/>
  <c r="G1398" i="1" s="1"/>
  <c r="G1399" i="1" a="1"/>
  <c r="G1399" i="1" s="1"/>
  <c r="G1400" i="1" a="1"/>
  <c r="G1400" i="1" s="1"/>
  <c r="G1401" i="1" a="1"/>
  <c r="G1401" i="1" s="1"/>
  <c r="G1402" i="1" a="1"/>
  <c r="G1402" i="1" s="1"/>
  <c r="G1403" i="1" a="1"/>
  <c r="G1403" i="1" s="1"/>
  <c r="G1404" i="1" a="1"/>
  <c r="G1404" i="1" s="1"/>
  <c r="G1405" i="1" a="1"/>
  <c r="G1405" i="1" s="1"/>
  <c r="G1406" i="1" a="1"/>
  <c r="G1406" i="1" s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 s="1"/>
  <c r="G1415" i="1" a="1"/>
  <c r="G1415" i="1" s="1"/>
  <c r="G1416" i="1" a="1"/>
  <c r="G1416" i="1" s="1"/>
  <c r="G1417" i="1" a="1"/>
  <c r="G1417" i="1" s="1"/>
  <c r="G1418" i="1" a="1"/>
  <c r="G1418" i="1" s="1"/>
  <c r="G1419" i="1" a="1"/>
  <c r="G1419" i="1" s="1"/>
  <c r="G1420" i="1" a="1"/>
  <c r="G1420" i="1" s="1"/>
  <c r="G1421" i="1" a="1"/>
  <c r="G1421" i="1" s="1"/>
  <c r="G1422" i="1" a="1"/>
  <c r="G1422" i="1" s="1"/>
  <c r="G1423" i="1" a="1"/>
  <c r="G1423" i="1" s="1"/>
  <c r="G1424" i="1" a="1"/>
  <c r="G1424" i="1" s="1"/>
  <c r="G1425" i="1" a="1"/>
  <c r="G1425" i="1" s="1"/>
  <c r="G1426" i="1" a="1"/>
  <c r="G1426" i="1" s="1"/>
  <c r="G1427" i="1" a="1"/>
  <c r="G1427" i="1" s="1"/>
  <c r="G1428" i="1" a="1"/>
  <c r="G1428" i="1" s="1"/>
  <c r="G1429" i="1" a="1"/>
  <c r="G1429" i="1" s="1"/>
  <c r="G1430" i="1" a="1"/>
  <c r="G1430" i="1" s="1"/>
  <c r="G1431" i="1" a="1"/>
  <c r="G1431" i="1" s="1"/>
  <c r="G1432" i="1" a="1"/>
  <c r="G1432" i="1" s="1"/>
  <c r="G1433" i="1" a="1"/>
  <c r="G1433" i="1" s="1"/>
  <c r="G1434" i="1" a="1"/>
  <c r="G1434" i="1" s="1"/>
  <c r="G1435" i="1" a="1"/>
  <c r="G1435" i="1" s="1"/>
  <c r="G1436" i="1" a="1"/>
  <c r="G1436" i="1" s="1"/>
  <c r="G1437" i="1" a="1"/>
  <c r="G1437" i="1" s="1"/>
  <c r="G1438" i="1" a="1"/>
  <c r="G1438" i="1" s="1"/>
  <c r="G1439" i="1" a="1"/>
  <c r="G1439" i="1" s="1"/>
  <c r="G1440" i="1" a="1"/>
  <c r="G1440" i="1" s="1"/>
  <c r="G1441" i="1" a="1"/>
  <c r="G1441" i="1" s="1"/>
  <c r="G1442" i="1" a="1"/>
  <c r="G1442" i="1" s="1"/>
  <c r="G1443" i="1" a="1"/>
  <c r="G1443" i="1" s="1"/>
  <c r="G1444" i="1" a="1"/>
  <c r="G1444" i="1" s="1"/>
  <c r="G1445" i="1" a="1"/>
  <c r="G1445" i="1" s="1"/>
  <c r="G1446" i="1" a="1"/>
  <c r="G1446" i="1" s="1"/>
  <c r="G1447" i="1" a="1"/>
  <c r="G1447" i="1" s="1"/>
  <c r="G1448" i="1" a="1"/>
  <c r="G1448" i="1" s="1"/>
  <c r="G1449" i="1" a="1"/>
  <c r="G1449" i="1" s="1"/>
  <c r="G1450" i="1" a="1"/>
  <c r="G1450" i="1" s="1"/>
  <c r="G1451" i="1" a="1"/>
  <c r="G1451" i="1" s="1"/>
  <c r="G1452" i="1" a="1"/>
  <c r="G1452" i="1" s="1"/>
  <c r="G1453" i="1" a="1"/>
  <c r="G1453" i="1" s="1"/>
  <c r="G1454" i="1" a="1"/>
  <c r="G1454" i="1" s="1"/>
  <c r="G1455" i="1" a="1"/>
  <c r="G1455" i="1" s="1"/>
  <c r="G1456" i="1" a="1"/>
  <c r="G1456" i="1" s="1"/>
  <c r="G1457" i="1" a="1"/>
  <c r="G1457" i="1" s="1"/>
  <c r="G1458" i="1" a="1"/>
  <c r="G1458" i="1" s="1"/>
  <c r="G1459" i="1" a="1"/>
  <c r="G1459" i="1" s="1"/>
  <c r="G1460" i="1" a="1"/>
  <c r="G1460" i="1" s="1"/>
  <c r="G1461" i="1" a="1"/>
  <c r="G1461" i="1" s="1"/>
  <c r="G1462" i="1" a="1"/>
  <c r="G1462" i="1" s="1"/>
  <c r="G1463" i="1" a="1"/>
  <c r="G1463" i="1" s="1"/>
  <c r="G1464" i="1" a="1"/>
  <c r="G1464" i="1" s="1"/>
  <c r="G1465" i="1" a="1"/>
  <c r="G1465" i="1" s="1"/>
  <c r="G1466" i="1" a="1"/>
  <c r="G1466" i="1" s="1"/>
  <c r="G1467" i="1" a="1"/>
  <c r="G1467" i="1" s="1"/>
  <c r="G1468" i="1" a="1"/>
  <c r="G1468" i="1" s="1"/>
  <c r="G1469" i="1" a="1"/>
  <c r="G1469" i="1" s="1"/>
  <c r="G1470" i="1" a="1"/>
  <c r="G1470" i="1" s="1"/>
  <c r="G1471" i="1" a="1"/>
  <c r="G1471" i="1" s="1"/>
  <c r="G1472" i="1" a="1"/>
  <c r="G1472" i="1" s="1"/>
  <c r="G1473" i="1" a="1"/>
  <c r="G1473" i="1" s="1"/>
  <c r="G1474" i="1" a="1"/>
  <c r="G1474" i="1" s="1"/>
  <c r="G1475" i="1" a="1"/>
  <c r="G1475" i="1" s="1"/>
  <c r="G1476" i="1" a="1"/>
  <c r="G1476" i="1" s="1"/>
  <c r="G1477" i="1" a="1"/>
  <c r="G1477" i="1" s="1"/>
  <c r="G1478" i="1" a="1"/>
  <c r="G1478" i="1" s="1"/>
  <c r="G1479" i="1" a="1"/>
  <c r="G1479" i="1" s="1"/>
  <c r="G1480" i="1" a="1"/>
  <c r="G1480" i="1" s="1"/>
  <c r="G1481" i="1" a="1"/>
  <c r="G1481" i="1" s="1"/>
  <c r="G1482" i="1" a="1"/>
  <c r="G1482" i="1" s="1"/>
  <c r="G1483" i="1" a="1"/>
  <c r="G1483" i="1" s="1"/>
  <c r="G1484" i="1" a="1"/>
  <c r="G1484" i="1" s="1"/>
  <c r="G1485" i="1" a="1"/>
  <c r="G1485" i="1" s="1"/>
  <c r="G1486" i="1" a="1"/>
  <c r="G1486" i="1" s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 s="1"/>
  <c r="G1493" i="1" a="1"/>
  <c r="G1493" i="1" s="1"/>
  <c r="G1494" i="1" a="1"/>
  <c r="G1494" i="1" s="1"/>
  <c r="G1495" i="1" a="1"/>
  <c r="G1495" i="1" s="1"/>
  <c r="G1496" i="1" a="1"/>
  <c r="G1496" i="1" s="1"/>
  <c r="G1497" i="1" a="1"/>
  <c r="G1497" i="1" s="1"/>
  <c r="G1498" i="1" a="1"/>
  <c r="G1498" i="1" s="1"/>
  <c r="G1499" i="1" a="1"/>
  <c r="G1499" i="1" s="1"/>
  <c r="G1500" i="1" a="1"/>
  <c r="G1500" i="1" s="1"/>
  <c r="G1501" i="1" a="1"/>
  <c r="G1501" i="1" s="1"/>
  <c r="G1502" i="1" a="1"/>
  <c r="G1502" i="1" s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 s="1"/>
  <c r="G1510" i="1" a="1"/>
  <c r="G1510" i="1" s="1"/>
  <c r="G1511" i="1" a="1"/>
  <c r="G1511" i="1" s="1"/>
  <c r="G1512" i="1" a="1"/>
  <c r="G1512" i="1" s="1"/>
  <c r="G1513" i="1" a="1"/>
  <c r="G1513" i="1" s="1"/>
  <c r="G1514" i="1" a="1"/>
  <c r="G1514" i="1" s="1"/>
  <c r="G1515" i="1" a="1"/>
  <c r="G1515" i="1" s="1"/>
  <c r="G1516" i="1" a="1"/>
  <c r="G1516" i="1" s="1"/>
  <c r="G1517" i="1" a="1"/>
  <c r="G1517" i="1" s="1"/>
  <c r="G1518" i="1" a="1"/>
  <c r="G1518" i="1" s="1"/>
  <c r="G1519" i="1" a="1"/>
  <c r="G1519" i="1" s="1"/>
  <c r="G1520" i="1" a="1"/>
  <c r="G1520" i="1" s="1"/>
  <c r="G1521" i="1" a="1"/>
  <c r="G1521" i="1" s="1"/>
  <c r="G1522" i="1" a="1"/>
  <c r="G1522" i="1" s="1"/>
  <c r="G1523" i="1" a="1"/>
  <c r="G1523" i="1" s="1"/>
  <c r="G1524" i="1" a="1"/>
  <c r="G1524" i="1" s="1"/>
  <c r="G1525" i="1" a="1"/>
  <c r="G1525" i="1" s="1"/>
  <c r="G1526" i="1" a="1"/>
  <c r="G1526" i="1" s="1"/>
  <c r="G1527" i="1" a="1"/>
  <c r="G1527" i="1" s="1"/>
  <c r="G1528" i="1" a="1"/>
  <c r="G1528" i="1" s="1"/>
  <c r="G1529" i="1" a="1"/>
  <c r="G1529" i="1" s="1"/>
  <c r="G1530" i="1" a="1"/>
  <c r="G1530" i="1" s="1"/>
  <c r="G1531" i="1" a="1"/>
  <c r="G1531" i="1" s="1"/>
  <c r="G1532" i="1" a="1"/>
  <c r="G1532" i="1" s="1"/>
  <c r="G1533" i="1" a="1"/>
  <c r="G1533" i="1" s="1"/>
  <c r="G1534" i="1" a="1"/>
  <c r="G1534" i="1" s="1"/>
  <c r="G1535" i="1" a="1"/>
  <c r="G1535" i="1" s="1"/>
  <c r="G1536" i="1" a="1"/>
  <c r="G1536" i="1" s="1"/>
  <c r="G1537" i="1" a="1"/>
  <c r="G1537" i="1" s="1"/>
  <c r="G1538" i="1" a="1"/>
  <c r="G1538" i="1" s="1"/>
  <c r="G1539" i="1" a="1"/>
  <c r="G1539" i="1" s="1"/>
  <c r="G1540" i="1" a="1"/>
  <c r="G1540" i="1" s="1"/>
  <c r="G1541" i="1" a="1"/>
  <c r="G1541" i="1" s="1"/>
  <c r="G1542" i="1" a="1"/>
  <c r="G1542" i="1" s="1"/>
  <c r="G1543" i="1" a="1"/>
  <c r="G1543" i="1" s="1"/>
  <c r="G1544" i="1" a="1"/>
  <c r="G1544" i="1" s="1"/>
  <c r="G1545" i="1" a="1"/>
  <c r="G1545" i="1" s="1"/>
  <c r="G1546" i="1" a="1"/>
  <c r="G1546" i="1" s="1"/>
  <c r="G1547" i="1" a="1"/>
  <c r="G1547" i="1" s="1"/>
  <c r="G1548" i="1" a="1"/>
  <c r="G1548" i="1" s="1"/>
  <c r="G1549" i="1" a="1"/>
  <c r="G1549" i="1" s="1"/>
  <c r="G1550" i="1" a="1"/>
  <c r="G1550" i="1" s="1"/>
  <c r="G1551" i="1" a="1"/>
  <c r="G1551" i="1" s="1"/>
  <c r="G1552" i="1" a="1"/>
  <c r="G1552" i="1" s="1"/>
  <c r="G1553" i="1" a="1"/>
  <c r="G1553" i="1" s="1"/>
  <c r="G1554" i="1" a="1"/>
  <c r="G1554" i="1" s="1"/>
  <c r="G1555" i="1" a="1"/>
  <c r="G1555" i="1" s="1"/>
  <c r="G1556" i="1" a="1"/>
  <c r="G1556" i="1" s="1"/>
  <c r="G1557" i="1" a="1"/>
  <c r="G1557" i="1" s="1"/>
  <c r="G1558" i="1" a="1"/>
  <c r="G1558" i="1" s="1"/>
  <c r="G1559" i="1" a="1"/>
  <c r="G1559" i="1" s="1"/>
  <c r="G1560" i="1" a="1"/>
  <c r="G1560" i="1" s="1"/>
  <c r="G1561" i="1" a="1"/>
  <c r="G1561" i="1" s="1"/>
  <c r="G1562" i="1" a="1"/>
  <c r="G1562" i="1" s="1"/>
  <c r="G1563" i="1" a="1"/>
  <c r="G1563" i="1" s="1"/>
  <c r="G1564" i="1" a="1"/>
  <c r="G1564" i="1" s="1"/>
  <c r="G1565" i="1" a="1"/>
  <c r="G1565" i="1" s="1"/>
  <c r="G1566" i="1" a="1"/>
  <c r="G1566" i="1" s="1"/>
  <c r="G1567" i="1" a="1"/>
  <c r="G1567" i="1" s="1"/>
  <c r="G1568" i="1" a="1"/>
  <c r="G1568" i="1" s="1"/>
  <c r="G1569" i="1" a="1"/>
  <c r="G1569" i="1" s="1"/>
  <c r="G1570" i="1" a="1"/>
  <c r="G1570" i="1" s="1"/>
  <c r="G1571" i="1" a="1"/>
  <c r="G1571" i="1" s="1"/>
  <c r="G1572" i="1" a="1"/>
  <c r="G1572" i="1" s="1"/>
  <c r="G1573" i="1" a="1"/>
  <c r="G1573" i="1" s="1"/>
  <c r="G1574" i="1" a="1"/>
  <c r="G1574" i="1" s="1"/>
  <c r="G1575" i="1" a="1"/>
  <c r="G1575" i="1" s="1"/>
  <c r="G1576" i="1" a="1"/>
  <c r="G1576" i="1" s="1"/>
  <c r="G1577" i="1" a="1"/>
  <c r="G1577" i="1" s="1"/>
  <c r="G1578" i="1" a="1"/>
  <c r="G1578" i="1" s="1"/>
  <c r="G1579" i="1" a="1"/>
  <c r="G1579" i="1" s="1"/>
  <c r="G1580" i="1" a="1"/>
  <c r="G1580" i="1" s="1"/>
  <c r="G1581" i="1" a="1"/>
  <c r="G1581" i="1" s="1"/>
  <c r="G1582" i="1" a="1"/>
  <c r="G1582" i="1" s="1"/>
  <c r="G1583" i="1" a="1"/>
  <c r="G1583" i="1" s="1"/>
  <c r="G1584" i="1" a="1"/>
  <c r="G1584" i="1" s="1"/>
  <c r="G1585" i="1" a="1"/>
  <c r="G1585" i="1" s="1"/>
  <c r="G1586" i="1" a="1"/>
  <c r="G1586" i="1" s="1"/>
  <c r="G1587" i="1" a="1"/>
  <c r="G1587" i="1" s="1"/>
  <c r="G1588" i="1" a="1"/>
  <c r="G1588" i="1" s="1"/>
  <c r="G1589" i="1" a="1"/>
  <c r="G1589" i="1" s="1"/>
  <c r="G1590" i="1" a="1"/>
  <c r="G1590" i="1" s="1"/>
  <c r="G1591" i="1" a="1"/>
  <c r="G1591" i="1" s="1"/>
  <c r="G1592" i="1" a="1"/>
  <c r="G1592" i="1" s="1"/>
  <c r="G1593" i="1" a="1"/>
  <c r="G1593" i="1" s="1"/>
  <c r="G1594" i="1" a="1"/>
  <c r="G1594" i="1" s="1"/>
  <c r="G1595" i="1" a="1"/>
  <c r="G1595" i="1" s="1"/>
  <c r="G1596" i="1" a="1"/>
  <c r="G1596" i="1" s="1"/>
  <c r="G1597" i="1" a="1"/>
  <c r="G1597" i="1" s="1"/>
  <c r="G1598" i="1" a="1"/>
  <c r="G1598" i="1" s="1"/>
  <c r="G1599" i="1" a="1"/>
  <c r="G1599" i="1" s="1"/>
  <c r="G1600" i="1" a="1"/>
  <c r="G1600" i="1" s="1"/>
  <c r="G1601" i="1" a="1"/>
  <c r="G1601" i="1" s="1"/>
  <c r="G1602" i="1" a="1"/>
  <c r="G1602" i="1" s="1"/>
  <c r="G1603" i="1" a="1"/>
  <c r="G1603" i="1" s="1"/>
  <c r="G1604" i="1" a="1"/>
  <c r="G1604" i="1" s="1"/>
  <c r="G1605" i="1" a="1"/>
  <c r="G1605" i="1" s="1"/>
  <c r="G1606" i="1" a="1"/>
  <c r="G1606" i="1" s="1"/>
  <c r="G1607" i="1" a="1"/>
  <c r="G1607" i="1" s="1"/>
  <c r="G1608" i="1" a="1"/>
  <c r="G1608" i="1" s="1"/>
  <c r="G1609" i="1" a="1"/>
  <c r="G1609" i="1" s="1"/>
  <c r="G1610" i="1" a="1"/>
  <c r="G1610" i="1" s="1"/>
  <c r="G1611" i="1" a="1"/>
  <c r="G1611" i="1" s="1"/>
  <c r="G1612" i="1" a="1"/>
  <c r="G1612" i="1" s="1"/>
  <c r="G1613" i="1" a="1"/>
  <c r="G1613" i="1" s="1"/>
  <c r="G1614" i="1" a="1"/>
  <c r="G1614" i="1" s="1"/>
  <c r="G1615" i="1" a="1"/>
  <c r="G1615" i="1" s="1"/>
  <c r="G1616" i="1" a="1"/>
  <c r="G1616" i="1" s="1"/>
  <c r="G1617" i="1" a="1"/>
  <c r="G1617" i="1" s="1"/>
  <c r="G1618" i="1" a="1"/>
  <c r="G1618" i="1" s="1"/>
  <c r="G1619" i="1" a="1"/>
  <c r="G1619" i="1" s="1"/>
  <c r="G1620" i="1" a="1"/>
  <c r="G1620" i="1" s="1"/>
  <c r="G1621" i="1" a="1"/>
  <c r="G1621" i="1" s="1"/>
  <c r="G1622" i="1" a="1"/>
  <c r="G1622" i="1" s="1"/>
  <c r="G1623" i="1" a="1"/>
  <c r="G1623" i="1" s="1"/>
  <c r="G1624" i="1" a="1"/>
  <c r="G1624" i="1" s="1"/>
  <c r="G1625" i="1" a="1"/>
  <c r="G1625" i="1" s="1"/>
  <c r="G1626" i="1" a="1"/>
  <c r="G1626" i="1" s="1"/>
  <c r="G1627" i="1" a="1"/>
  <c r="G1627" i="1" s="1"/>
  <c r="G1628" i="1" a="1"/>
  <c r="G1628" i="1" s="1"/>
  <c r="G1629" i="1" a="1"/>
  <c r="G1629" i="1" s="1"/>
  <c r="G1630" i="1" a="1"/>
  <c r="G1630" i="1" s="1"/>
  <c r="G1631" i="1" a="1"/>
  <c r="G1631" i="1" s="1"/>
  <c r="G1632" i="1" a="1"/>
  <c r="G1632" i="1" s="1"/>
  <c r="G1633" i="1" a="1"/>
  <c r="G1633" i="1" s="1"/>
  <c r="G1634" i="1" a="1"/>
  <c r="G1634" i="1" s="1"/>
  <c r="G1635" i="1" a="1"/>
  <c r="G1635" i="1" s="1"/>
  <c r="G1636" i="1" a="1"/>
  <c r="G1636" i="1" s="1"/>
  <c r="G1637" i="1" a="1"/>
  <c r="G1637" i="1" s="1"/>
  <c r="G1638" i="1" a="1"/>
  <c r="G1638" i="1" s="1"/>
  <c r="G1639" i="1" a="1"/>
  <c r="G1639" i="1" s="1"/>
  <c r="G1640" i="1" a="1"/>
  <c r="G1640" i="1" s="1"/>
  <c r="G1641" i="1" a="1"/>
  <c r="G1641" i="1" s="1"/>
  <c r="G1642" i="1" a="1"/>
  <c r="G1642" i="1" s="1"/>
  <c r="G1643" i="1" a="1"/>
  <c r="G1643" i="1" s="1"/>
  <c r="G1644" i="1" a="1"/>
  <c r="G1644" i="1" s="1"/>
  <c r="G1645" i="1" a="1"/>
  <c r="G1645" i="1" s="1"/>
  <c r="G1646" i="1" a="1"/>
  <c r="G1646" i="1" s="1"/>
  <c r="G1647" i="1" a="1"/>
  <c r="G1647" i="1" s="1"/>
  <c r="G1648" i="1" a="1"/>
  <c r="G1648" i="1" s="1"/>
  <c r="G1649" i="1" a="1"/>
  <c r="G1649" i="1" s="1"/>
  <c r="G1650" i="1" a="1"/>
  <c r="G1650" i="1" s="1"/>
  <c r="G1651" i="1" a="1"/>
  <c r="G1651" i="1" s="1"/>
  <c r="G1652" i="1" a="1"/>
  <c r="G1652" i="1" s="1"/>
  <c r="G1653" i="1" a="1"/>
  <c r="G1653" i="1" s="1"/>
  <c r="G1654" i="1" a="1"/>
  <c r="G1654" i="1" s="1"/>
  <c r="G1655" i="1" a="1"/>
  <c r="G1655" i="1" s="1"/>
  <c r="G1656" i="1" a="1"/>
  <c r="G1656" i="1" s="1"/>
  <c r="G1657" i="1" a="1"/>
  <c r="G1657" i="1" s="1"/>
  <c r="G1658" i="1" a="1"/>
  <c r="G1658" i="1" s="1"/>
  <c r="G1659" i="1" a="1"/>
  <c r="G1659" i="1" s="1"/>
  <c r="G1660" i="1" a="1"/>
  <c r="G1660" i="1" s="1"/>
  <c r="G1661" i="1" a="1"/>
  <c r="G1661" i="1" s="1"/>
  <c r="G1662" i="1" a="1"/>
  <c r="G1662" i="1" s="1"/>
  <c r="G1663" i="1" a="1"/>
  <c r="G1663" i="1" s="1"/>
  <c r="G1664" i="1" a="1"/>
  <c r="G1664" i="1" s="1"/>
  <c r="G1665" i="1" a="1"/>
  <c r="G1665" i="1" s="1"/>
  <c r="G1666" i="1" a="1"/>
  <c r="G1666" i="1" s="1"/>
  <c r="G1667" i="1" a="1"/>
  <c r="G1667" i="1" s="1"/>
  <c r="G1668" i="1" a="1"/>
  <c r="G1668" i="1" s="1"/>
  <c r="G1669" i="1" a="1"/>
  <c r="G1669" i="1" s="1"/>
  <c r="G1670" i="1" a="1"/>
  <c r="G1670" i="1" s="1"/>
  <c r="G1671" i="1" a="1"/>
  <c r="G1671" i="1" s="1"/>
  <c r="G1672" i="1" a="1"/>
  <c r="G1672" i="1" s="1"/>
  <c r="G1673" i="1" a="1"/>
  <c r="G1673" i="1" s="1"/>
  <c r="G1674" i="1" a="1"/>
  <c r="G1674" i="1" s="1"/>
  <c r="G1675" i="1" a="1"/>
  <c r="G1675" i="1" s="1"/>
  <c r="G1676" i="1" a="1"/>
  <c r="G1676" i="1" s="1"/>
  <c r="G1677" i="1" a="1"/>
  <c r="G1677" i="1" s="1"/>
  <c r="G1678" i="1" a="1"/>
  <c r="G1678" i="1" s="1"/>
  <c r="G1679" i="1" a="1"/>
  <c r="G1679" i="1" s="1"/>
  <c r="G1680" i="1" a="1"/>
  <c r="G1680" i="1" s="1"/>
  <c r="G1681" i="1" a="1"/>
  <c r="G1681" i="1" s="1"/>
  <c r="G1682" i="1" a="1"/>
  <c r="G1682" i="1" s="1"/>
  <c r="G1683" i="1" a="1"/>
  <c r="G1683" i="1" s="1"/>
  <c r="G1684" i="1" a="1"/>
  <c r="G1684" i="1" s="1"/>
  <c r="G1685" i="1" a="1"/>
  <c r="G1685" i="1" s="1"/>
  <c r="G1686" i="1" a="1"/>
  <c r="G1686" i="1" s="1"/>
  <c r="G1687" i="1" a="1"/>
  <c r="G1687" i="1" s="1"/>
  <c r="G1688" i="1" a="1"/>
  <c r="G1688" i="1" s="1"/>
  <c r="G1689" i="1" a="1"/>
  <c r="G1689" i="1" s="1"/>
  <c r="G1690" i="1" a="1"/>
  <c r="G1690" i="1" s="1"/>
  <c r="G1691" i="1" a="1"/>
  <c r="G1691" i="1" s="1"/>
  <c r="G1692" i="1" a="1"/>
  <c r="G1692" i="1" s="1"/>
  <c r="G1693" i="1" a="1"/>
  <c r="G1693" i="1" s="1"/>
  <c r="G1694" i="1" a="1"/>
  <c r="G1694" i="1" s="1"/>
  <c r="G1695" i="1" a="1"/>
  <c r="G1695" i="1" s="1"/>
  <c r="G1696" i="1" a="1"/>
  <c r="G1696" i="1" s="1"/>
  <c r="G1697" i="1" a="1"/>
  <c r="G1697" i="1" s="1"/>
  <c r="G1698" i="1" a="1"/>
  <c r="G1698" i="1" s="1"/>
  <c r="G1699" i="1" a="1"/>
  <c r="G1699" i="1" s="1"/>
  <c r="G1700" i="1" a="1"/>
  <c r="G1700" i="1" s="1"/>
  <c r="G1701" i="1" a="1"/>
  <c r="G1701" i="1" s="1"/>
  <c r="G1702" i="1" a="1"/>
  <c r="G1702" i="1" s="1"/>
  <c r="G1703" i="1" a="1"/>
  <c r="G1703" i="1" s="1"/>
  <c r="G1704" i="1" a="1"/>
  <c r="G1704" i="1" s="1"/>
  <c r="G1705" i="1" a="1"/>
  <c r="G1705" i="1" s="1"/>
  <c r="G1706" i="1" a="1"/>
  <c r="G1706" i="1" s="1"/>
  <c r="G1707" i="1" a="1"/>
  <c r="G1707" i="1" s="1"/>
  <c r="G1708" i="1" a="1"/>
  <c r="G1708" i="1" s="1"/>
  <c r="G1709" i="1" a="1"/>
  <c r="G1709" i="1" s="1"/>
  <c r="G1710" i="1" a="1"/>
  <c r="G1710" i="1" s="1"/>
  <c r="G1711" i="1" a="1"/>
  <c r="G1711" i="1" s="1"/>
  <c r="G1712" i="1" a="1"/>
  <c r="G1712" i="1" s="1"/>
  <c r="G1713" i="1" a="1"/>
  <c r="G1713" i="1" s="1"/>
  <c r="G1714" i="1" a="1"/>
  <c r="G1714" i="1" s="1"/>
  <c r="G1715" i="1" a="1"/>
  <c r="G1715" i="1" s="1"/>
  <c r="G1716" i="1" a="1"/>
  <c r="G1716" i="1" s="1"/>
  <c r="G1717" i="1" a="1"/>
  <c r="G1717" i="1" s="1"/>
  <c r="G1718" i="1" a="1"/>
  <c r="G1718" i="1" s="1"/>
  <c r="G1719" i="1" a="1"/>
  <c r="G1719" i="1" s="1"/>
  <c r="G1720" i="1" a="1"/>
  <c r="G1720" i="1" s="1"/>
  <c r="G1721" i="1" a="1"/>
  <c r="G1721" i="1" s="1"/>
  <c r="G1722" i="1" a="1"/>
  <c r="G1722" i="1" s="1"/>
  <c r="G1723" i="1" a="1"/>
  <c r="G1723" i="1" s="1"/>
  <c r="G1724" i="1" a="1"/>
  <c r="G1724" i="1" s="1"/>
  <c r="G1725" i="1" a="1"/>
  <c r="G1725" i="1" s="1"/>
  <c r="G1726" i="1" a="1"/>
  <c r="G1726" i="1" s="1"/>
  <c r="G1727" i="1" a="1"/>
  <c r="G1727" i="1" s="1"/>
  <c r="G1728" i="1" a="1"/>
  <c r="G1728" i="1" s="1"/>
  <c r="G1729" i="1" a="1"/>
  <c r="G1729" i="1" s="1"/>
  <c r="G1730" i="1" a="1"/>
  <c r="G1730" i="1" s="1"/>
  <c r="G1731" i="1" a="1"/>
  <c r="G1731" i="1" s="1"/>
  <c r="G1732" i="1" a="1"/>
  <c r="G1732" i="1" s="1"/>
  <c r="G1733" i="1" a="1"/>
  <c r="G1733" i="1" s="1"/>
  <c r="G1734" i="1" a="1"/>
  <c r="G1734" i="1" s="1"/>
  <c r="G1735" i="1" a="1"/>
  <c r="G1735" i="1" s="1"/>
  <c r="G1736" i="1" a="1"/>
  <c r="G1736" i="1" s="1"/>
  <c r="G1737" i="1" a="1"/>
  <c r="G1737" i="1" s="1"/>
  <c r="G1738" i="1" a="1"/>
  <c r="G1738" i="1" s="1"/>
  <c r="G1739" i="1" a="1"/>
  <c r="G1739" i="1" s="1"/>
  <c r="G1740" i="1" a="1"/>
  <c r="G1740" i="1" s="1"/>
  <c r="G1741" i="1" a="1"/>
  <c r="G1741" i="1" s="1"/>
  <c r="G1742" i="1" a="1"/>
  <c r="G1742" i="1" s="1"/>
  <c r="G1743" i="1" a="1"/>
  <c r="G1743" i="1" s="1"/>
  <c r="G1744" i="1" a="1"/>
  <c r="G1744" i="1" s="1"/>
  <c r="G1745" i="1" a="1"/>
  <c r="G1745" i="1" s="1"/>
  <c r="G1746" i="1" a="1"/>
  <c r="G1746" i="1" s="1"/>
  <c r="G1747" i="1" a="1"/>
  <c r="G1747" i="1" s="1"/>
  <c r="G1748" i="1" a="1"/>
  <c r="G1748" i="1" s="1"/>
  <c r="G1749" i="1" a="1"/>
  <c r="G1749" i="1" s="1"/>
  <c r="G1750" i="1" a="1"/>
  <c r="G1750" i="1" s="1"/>
  <c r="G1751" i="1" a="1"/>
  <c r="G1751" i="1" s="1"/>
  <c r="G1752" i="1" a="1"/>
  <c r="G1752" i="1" s="1"/>
  <c r="G1753" i="1" a="1"/>
  <c r="G1753" i="1" s="1"/>
  <c r="G1754" i="1" a="1"/>
  <c r="G1754" i="1" s="1"/>
  <c r="G1755" i="1" a="1"/>
  <c r="G1755" i="1" s="1"/>
  <c r="G1756" i="1" a="1"/>
  <c r="G1756" i="1" s="1"/>
  <c r="G1757" i="1" a="1"/>
  <c r="G1757" i="1" s="1"/>
  <c r="G1758" i="1" a="1"/>
  <c r="G1758" i="1" s="1"/>
  <c r="G1759" i="1" a="1"/>
  <c r="G1759" i="1" s="1"/>
  <c r="G1760" i="1" a="1"/>
  <c r="G1760" i="1" s="1"/>
  <c r="G1761" i="1" a="1"/>
  <c r="G1761" i="1" s="1"/>
  <c r="G1762" i="1" a="1"/>
  <c r="G1762" i="1" s="1"/>
  <c r="G1763" i="1" a="1"/>
  <c r="G1763" i="1" s="1"/>
  <c r="G1764" i="1" a="1"/>
  <c r="G1764" i="1" s="1"/>
  <c r="G1765" i="1" a="1"/>
  <c r="G1765" i="1" s="1"/>
  <c r="G1766" i="1" a="1"/>
  <c r="G1766" i="1" s="1"/>
  <c r="G1767" i="1" a="1"/>
  <c r="G1767" i="1" s="1"/>
  <c r="G1768" i="1" a="1"/>
  <c r="G1768" i="1" s="1"/>
  <c r="G1769" i="1" a="1"/>
  <c r="G1769" i="1" s="1"/>
  <c r="G1770" i="1" a="1"/>
  <c r="G1770" i="1" s="1"/>
  <c r="G1771" i="1" a="1"/>
  <c r="G1771" i="1" s="1"/>
  <c r="G1772" i="1" a="1"/>
  <c r="G1772" i="1" s="1"/>
  <c r="G1773" i="1" a="1"/>
  <c r="G1773" i="1" s="1"/>
  <c r="G1774" i="1" a="1"/>
  <c r="G1774" i="1" s="1"/>
  <c r="G1775" i="1" a="1"/>
  <c r="G1775" i="1" s="1"/>
  <c r="G1776" i="1" a="1"/>
  <c r="G1776" i="1" s="1"/>
  <c r="G1777" i="1" a="1"/>
  <c r="G1777" i="1" s="1"/>
  <c r="G1778" i="1" a="1"/>
  <c r="G1778" i="1" s="1"/>
  <c r="G1779" i="1" a="1"/>
  <c r="G1779" i="1" s="1"/>
  <c r="G1780" i="1" a="1"/>
  <c r="G1780" i="1" s="1"/>
  <c r="G1781" i="1" a="1"/>
  <c r="G1781" i="1" s="1"/>
  <c r="G1782" i="1" a="1"/>
  <c r="G1782" i="1" s="1"/>
  <c r="G1783" i="1" a="1"/>
  <c r="G1783" i="1" s="1"/>
  <c r="G1784" i="1" a="1"/>
  <c r="G1784" i="1" s="1"/>
  <c r="G1785" i="1" a="1"/>
  <c r="G1785" i="1" s="1"/>
  <c r="G1786" i="1" a="1"/>
  <c r="G1786" i="1" s="1"/>
  <c r="G1787" i="1" a="1"/>
  <c r="G1787" i="1" s="1"/>
  <c r="G1788" i="1" a="1"/>
  <c r="G1788" i="1" s="1"/>
  <c r="G1789" i="1" a="1"/>
  <c r="G1789" i="1" s="1"/>
  <c r="G1790" i="1" a="1"/>
  <c r="G1790" i="1" s="1"/>
  <c r="G1791" i="1" a="1"/>
  <c r="G1791" i="1" s="1"/>
  <c r="G1792" i="1" a="1"/>
  <c r="G1792" i="1" s="1"/>
  <c r="G1793" i="1" a="1"/>
  <c r="G1793" i="1" s="1"/>
  <c r="G1794" i="1" a="1"/>
  <c r="G1794" i="1" s="1"/>
  <c r="G1795" i="1" a="1"/>
  <c r="G1795" i="1" s="1"/>
  <c r="G1796" i="1" a="1"/>
  <c r="G1796" i="1" s="1"/>
  <c r="G1797" i="1" a="1"/>
  <c r="G1797" i="1" s="1"/>
  <c r="G1798" i="1" a="1"/>
  <c r="G1798" i="1" s="1"/>
  <c r="G1799" i="1" a="1"/>
  <c r="G1799" i="1" s="1"/>
  <c r="G1800" i="1" a="1"/>
  <c r="G1800" i="1" s="1"/>
  <c r="G1801" i="1" a="1"/>
  <c r="G1801" i="1" s="1"/>
  <c r="G1802" i="1" a="1"/>
  <c r="G1802" i="1" s="1"/>
  <c r="G1803" i="1" a="1"/>
  <c r="G1803" i="1" s="1"/>
  <c r="G1804" i="1" a="1"/>
  <c r="G1804" i="1" s="1"/>
  <c r="G1805" i="1" a="1"/>
  <c r="G1805" i="1" s="1"/>
  <c r="G1806" i="1" a="1"/>
  <c r="G1806" i="1" s="1"/>
  <c r="G1807" i="1" a="1"/>
  <c r="G1807" i="1" s="1"/>
  <c r="G1808" i="1" a="1"/>
  <c r="G1808" i="1" s="1"/>
  <c r="G1809" i="1" a="1"/>
  <c r="G1809" i="1" s="1"/>
  <c r="G1810" i="1" a="1"/>
  <c r="G1810" i="1" s="1"/>
  <c r="G1811" i="1" a="1"/>
  <c r="G1811" i="1" s="1"/>
  <c r="G1812" i="1" a="1"/>
  <c r="G1812" i="1" s="1"/>
  <c r="G1813" i="1" a="1"/>
  <c r="G1813" i="1" s="1"/>
  <c r="G1814" i="1" a="1"/>
  <c r="G1814" i="1" s="1"/>
  <c r="G1815" i="1" a="1"/>
  <c r="G1815" i="1" s="1"/>
  <c r="G1816" i="1" a="1"/>
  <c r="G1816" i="1" s="1"/>
  <c r="G1817" i="1" a="1"/>
  <c r="G1817" i="1" s="1"/>
  <c r="G1818" i="1" a="1"/>
  <c r="G1818" i="1" s="1"/>
  <c r="G1819" i="1" a="1"/>
  <c r="G1819" i="1" s="1"/>
  <c r="G1820" i="1" a="1"/>
  <c r="G1820" i="1" s="1"/>
  <c r="G1821" i="1" a="1"/>
  <c r="G1821" i="1" s="1"/>
  <c r="G1822" i="1" a="1"/>
  <c r="G1822" i="1" s="1"/>
  <c r="G1823" i="1" a="1"/>
  <c r="G1823" i="1" s="1"/>
  <c r="G1824" i="1" a="1"/>
  <c r="G1824" i="1" s="1"/>
  <c r="G1825" i="1" a="1"/>
  <c r="G1825" i="1" s="1"/>
  <c r="G1826" i="1" a="1"/>
  <c r="G1826" i="1" s="1"/>
  <c r="G1827" i="1" a="1"/>
  <c r="G1827" i="1" s="1"/>
  <c r="G1828" i="1" a="1"/>
  <c r="G1828" i="1" s="1"/>
  <c r="G1829" i="1" a="1"/>
  <c r="G1829" i="1" s="1"/>
  <c r="G1830" i="1" a="1"/>
  <c r="G1830" i="1" s="1"/>
  <c r="G1831" i="1" a="1"/>
  <c r="G1831" i="1" s="1"/>
  <c r="G1832" i="1" a="1"/>
  <c r="G1832" i="1" s="1"/>
  <c r="G1833" i="1" a="1"/>
  <c r="G1833" i="1" s="1"/>
  <c r="G1834" i="1" a="1"/>
  <c r="G1834" i="1" s="1"/>
  <c r="G1835" i="1" a="1"/>
  <c r="G1835" i="1" s="1"/>
  <c r="G1836" i="1" a="1"/>
  <c r="G1836" i="1" s="1"/>
  <c r="G1837" i="1" a="1"/>
  <c r="G1837" i="1" s="1"/>
  <c r="G1838" i="1" a="1"/>
  <c r="G1838" i="1" s="1"/>
  <c r="G1839" i="1" a="1"/>
  <c r="G1839" i="1" s="1"/>
  <c r="G1840" i="1" a="1"/>
  <c r="G1840" i="1" s="1"/>
  <c r="G1841" i="1" a="1"/>
  <c r="G1841" i="1" s="1"/>
  <c r="G1842" i="1" a="1"/>
  <c r="G1842" i="1" s="1"/>
  <c r="G1843" i="1" a="1"/>
  <c r="G1843" i="1" s="1"/>
  <c r="G1844" i="1" a="1"/>
  <c r="G1844" i="1" s="1"/>
  <c r="G1845" i="1" a="1"/>
  <c r="G1845" i="1" s="1"/>
  <c r="G1846" i="1" a="1"/>
  <c r="G1846" i="1" s="1"/>
  <c r="G1847" i="1" a="1"/>
  <c r="G1847" i="1" s="1"/>
  <c r="G1848" i="1" a="1"/>
  <c r="G1848" i="1" s="1"/>
  <c r="G1849" i="1" a="1"/>
  <c r="G1849" i="1" s="1"/>
  <c r="G1850" i="1" a="1"/>
  <c r="G1850" i="1" s="1"/>
  <c r="G1851" i="1" a="1"/>
  <c r="G1851" i="1" s="1"/>
  <c r="G1852" i="1" a="1"/>
  <c r="G1852" i="1" s="1"/>
  <c r="G1853" i="1" a="1"/>
  <c r="G1853" i="1" s="1"/>
  <c r="G1854" i="1" a="1"/>
  <c r="G1854" i="1" s="1"/>
  <c r="G1855" i="1" a="1"/>
  <c r="G1855" i="1" s="1"/>
  <c r="G1856" i="1" a="1"/>
  <c r="G1856" i="1" s="1"/>
  <c r="G1857" i="1" a="1"/>
  <c r="G1857" i="1" s="1"/>
  <c r="G1858" i="1" a="1"/>
  <c r="G1858" i="1" s="1"/>
  <c r="G1859" i="1" a="1"/>
  <c r="G1859" i="1" s="1"/>
  <c r="G1860" i="1" a="1"/>
  <c r="G1860" i="1" s="1"/>
  <c r="G1861" i="1" a="1"/>
  <c r="G1861" i="1" s="1"/>
  <c r="G1862" i="1" a="1"/>
  <c r="G1862" i="1" s="1"/>
  <c r="G1863" i="1" a="1"/>
  <c r="G1863" i="1" s="1"/>
  <c r="G1864" i="1" a="1"/>
  <c r="G1864" i="1" s="1"/>
  <c r="G1865" i="1" a="1"/>
  <c r="G1865" i="1" s="1"/>
  <c r="G1866" i="1" a="1"/>
  <c r="G1866" i="1" s="1"/>
  <c r="G1867" i="1" a="1"/>
  <c r="G1867" i="1" s="1"/>
  <c r="G1868" i="1" a="1"/>
  <c r="G1868" i="1" s="1"/>
  <c r="G1869" i="1" a="1"/>
  <c r="G1869" i="1" s="1"/>
  <c r="G1870" i="1" a="1"/>
  <c r="G1870" i="1" s="1"/>
  <c r="G1871" i="1" a="1"/>
  <c r="G1871" i="1" s="1"/>
  <c r="G1872" i="1" a="1"/>
  <c r="G1872" i="1" s="1"/>
  <c r="G1873" i="1" a="1"/>
  <c r="G1873" i="1" s="1"/>
  <c r="G1874" i="1" a="1"/>
  <c r="G1874" i="1" s="1"/>
  <c r="G1875" i="1" a="1"/>
  <c r="G1875" i="1" s="1"/>
  <c r="G1876" i="1" a="1"/>
  <c r="G1876" i="1" s="1"/>
  <c r="G1877" i="1" a="1"/>
  <c r="G1877" i="1" s="1"/>
  <c r="G1878" i="1" a="1"/>
  <c r="G1878" i="1" s="1"/>
  <c r="G1879" i="1" a="1"/>
  <c r="G1879" i="1" s="1"/>
  <c r="G1880" i="1" a="1"/>
  <c r="G1880" i="1" s="1"/>
  <c r="G1881" i="1" a="1"/>
  <c r="G1881" i="1" s="1"/>
  <c r="G1882" i="1" a="1"/>
  <c r="G1882" i="1" s="1"/>
  <c r="G1883" i="1" a="1"/>
  <c r="G1883" i="1" s="1"/>
  <c r="G1884" i="1" a="1"/>
  <c r="G1884" i="1" s="1"/>
  <c r="G1885" i="1" a="1"/>
  <c r="G1885" i="1" s="1"/>
  <c r="G1886" i="1" a="1"/>
  <c r="G1886" i="1" s="1"/>
  <c r="G1887" i="1" a="1"/>
  <c r="G1887" i="1" s="1"/>
  <c r="G1888" i="1" a="1"/>
  <c r="G1888" i="1" s="1"/>
  <c r="G1889" i="1" a="1"/>
  <c r="G1889" i="1" s="1"/>
  <c r="G1890" i="1" a="1"/>
  <c r="G1890" i="1" s="1"/>
  <c r="G1891" i="1" a="1"/>
  <c r="G1891" i="1" s="1"/>
  <c r="G1892" i="1" a="1"/>
  <c r="G1892" i="1" s="1"/>
  <c r="G1893" i="1" a="1"/>
  <c r="G1893" i="1" s="1"/>
  <c r="G1894" i="1" a="1"/>
  <c r="G1894" i="1" s="1"/>
  <c r="G1895" i="1" a="1"/>
  <c r="G1895" i="1" s="1"/>
  <c r="G1896" i="1" a="1"/>
  <c r="G1896" i="1" s="1"/>
  <c r="G1897" i="1" a="1"/>
  <c r="G1897" i="1" s="1"/>
  <c r="G1898" i="1" a="1"/>
  <c r="G1898" i="1" s="1"/>
  <c r="G1899" i="1" a="1"/>
  <c r="G1899" i="1" s="1"/>
  <c r="G1900" i="1" a="1"/>
  <c r="G1900" i="1" s="1"/>
  <c r="G1901" i="1" a="1"/>
  <c r="G1901" i="1" s="1"/>
  <c r="G1902" i="1" a="1"/>
  <c r="G1902" i="1" s="1"/>
  <c r="G1903" i="1" a="1"/>
  <c r="G1903" i="1" s="1"/>
  <c r="G1904" i="1" a="1"/>
  <c r="G1904" i="1" s="1"/>
  <c r="G1905" i="1" a="1"/>
  <c r="G1905" i="1" s="1"/>
  <c r="G1906" i="1" a="1"/>
  <c r="G1906" i="1" s="1"/>
  <c r="G1907" i="1" a="1"/>
  <c r="G1907" i="1" s="1"/>
  <c r="G1908" i="1" a="1"/>
  <c r="G1908" i="1" s="1"/>
  <c r="G1909" i="1" a="1"/>
  <c r="G1909" i="1" s="1"/>
  <c r="G1910" i="1" a="1"/>
  <c r="G1910" i="1" s="1"/>
  <c r="G1911" i="1" a="1"/>
  <c r="G1911" i="1" s="1"/>
  <c r="G1912" i="1" a="1"/>
  <c r="G1912" i="1" s="1"/>
  <c r="G1913" i="1" a="1"/>
  <c r="G1913" i="1" s="1"/>
  <c r="G1914" i="1" a="1"/>
  <c r="G1914" i="1" s="1"/>
  <c r="G1915" i="1" a="1"/>
  <c r="G1915" i="1" s="1"/>
  <c r="G1916" i="1" a="1"/>
  <c r="G1916" i="1" s="1"/>
  <c r="G1917" i="1" a="1"/>
  <c r="G1917" i="1" s="1"/>
  <c r="G1918" i="1" a="1"/>
  <c r="G1918" i="1" s="1"/>
  <c r="G1919" i="1" a="1"/>
  <c r="G1919" i="1" s="1"/>
  <c r="G1920" i="1" a="1"/>
  <c r="G1920" i="1" s="1"/>
  <c r="G1921" i="1" a="1"/>
  <c r="G1921" i="1" s="1"/>
  <c r="G1922" i="1" a="1"/>
  <c r="G1922" i="1" s="1"/>
  <c r="G1923" i="1" a="1"/>
  <c r="G1923" i="1" s="1"/>
  <c r="G1924" i="1" a="1"/>
  <c r="G1924" i="1" s="1"/>
  <c r="G1925" i="1" a="1"/>
  <c r="G1925" i="1" s="1"/>
  <c r="G1926" i="1" a="1"/>
  <c r="G1926" i="1" s="1"/>
  <c r="G1927" i="1" a="1"/>
  <c r="G1927" i="1" s="1"/>
  <c r="G1928" i="1" a="1"/>
  <c r="G1928" i="1" s="1"/>
  <c r="G1929" i="1" a="1"/>
  <c r="G1929" i="1" s="1"/>
  <c r="G1930" i="1" a="1"/>
  <c r="G1930" i="1" s="1"/>
  <c r="G1931" i="1" a="1"/>
  <c r="G1931" i="1" s="1"/>
  <c r="G1932" i="1" a="1"/>
  <c r="G1932" i="1" s="1"/>
  <c r="G1933" i="1" a="1"/>
  <c r="G1933" i="1" s="1"/>
  <c r="G1934" i="1" a="1"/>
  <c r="G1934" i="1" s="1"/>
  <c r="G1935" i="1" a="1"/>
  <c r="G1935" i="1" s="1"/>
  <c r="G1936" i="1" a="1"/>
  <c r="G1936" i="1" s="1"/>
  <c r="G1937" i="1" a="1"/>
  <c r="G1937" i="1" s="1"/>
  <c r="G1938" i="1" a="1"/>
  <c r="G1938" i="1" s="1"/>
  <c r="G1939" i="1" a="1"/>
  <c r="G1939" i="1" s="1"/>
  <c r="G1940" i="1" a="1"/>
  <c r="G1940" i="1" s="1"/>
  <c r="G1941" i="1" a="1"/>
  <c r="G1941" i="1" s="1"/>
  <c r="G1942" i="1" a="1"/>
  <c r="G1942" i="1" s="1"/>
  <c r="G1943" i="1" a="1"/>
  <c r="G1943" i="1" s="1"/>
  <c r="G1944" i="1" a="1"/>
  <c r="G1944" i="1" s="1"/>
  <c r="G1945" i="1" a="1"/>
  <c r="G1945" i="1" s="1"/>
  <c r="G1946" i="1" a="1"/>
  <c r="G1946" i="1" s="1"/>
  <c r="G1947" i="1" a="1"/>
  <c r="G1947" i="1" s="1"/>
  <c r="G1948" i="1" a="1"/>
  <c r="G1948" i="1" s="1"/>
  <c r="G1949" i="1" a="1"/>
  <c r="G1949" i="1" s="1"/>
  <c r="G1950" i="1" a="1"/>
  <c r="G1950" i="1" s="1"/>
  <c r="G1951" i="1" a="1"/>
  <c r="G1951" i="1" s="1"/>
  <c r="G1952" i="1" a="1"/>
  <c r="G1952" i="1" s="1"/>
  <c r="G1953" i="1" a="1"/>
  <c r="G1953" i="1" s="1"/>
  <c r="G1954" i="1" a="1"/>
  <c r="G1954" i="1" s="1"/>
  <c r="G1955" i="1" a="1"/>
  <c r="G1955" i="1" s="1"/>
  <c r="G1956" i="1" a="1"/>
  <c r="G1956" i="1" s="1"/>
  <c r="G1957" i="1" a="1"/>
  <c r="G1957" i="1" s="1"/>
  <c r="G1958" i="1" a="1"/>
  <c r="G1958" i="1" s="1"/>
  <c r="G1959" i="1" a="1"/>
  <c r="G1959" i="1" s="1"/>
  <c r="G1960" i="1" a="1"/>
  <c r="G1960" i="1" s="1"/>
  <c r="G1961" i="1" a="1"/>
  <c r="G1961" i="1" s="1"/>
  <c r="G1962" i="1" a="1"/>
  <c r="G1962" i="1" s="1"/>
  <c r="G1963" i="1" a="1"/>
  <c r="G1963" i="1" s="1"/>
  <c r="G1964" i="1" a="1"/>
  <c r="G1964" i="1" s="1"/>
  <c r="G1965" i="1" a="1"/>
  <c r="G1965" i="1" s="1"/>
  <c r="G1966" i="1" a="1"/>
  <c r="G1966" i="1" s="1"/>
  <c r="G1967" i="1" a="1"/>
  <c r="G1967" i="1" s="1"/>
  <c r="G1968" i="1" a="1"/>
  <c r="G1968" i="1" s="1"/>
  <c r="G1969" i="1" a="1"/>
  <c r="G1969" i="1" s="1"/>
  <c r="G1970" i="1" a="1"/>
  <c r="G1970" i="1" s="1"/>
  <c r="G1971" i="1" a="1"/>
  <c r="G1971" i="1" s="1"/>
  <c r="G1972" i="1" a="1"/>
  <c r="G1972" i="1" s="1"/>
  <c r="G1973" i="1" a="1"/>
  <c r="G1973" i="1" s="1"/>
  <c r="G1974" i="1" a="1"/>
  <c r="G1974" i="1" s="1"/>
  <c r="G1975" i="1" a="1"/>
  <c r="G1975" i="1" s="1"/>
  <c r="G1976" i="1" a="1"/>
  <c r="G1976" i="1" s="1"/>
  <c r="G1977" i="1" a="1"/>
  <c r="G1977" i="1" s="1"/>
  <c r="G1978" i="1" a="1"/>
  <c r="G1978" i="1" s="1"/>
  <c r="G1979" i="1" a="1"/>
  <c r="G1979" i="1" s="1"/>
  <c r="G1980" i="1" a="1"/>
  <c r="G1980" i="1" s="1"/>
  <c r="G1981" i="1" a="1"/>
  <c r="G1981" i="1" s="1"/>
  <c r="G1982" i="1" a="1"/>
  <c r="G1982" i="1" s="1"/>
  <c r="G1983" i="1" a="1"/>
  <c r="G1983" i="1" s="1"/>
  <c r="G1984" i="1" a="1"/>
  <c r="G1984" i="1" s="1"/>
  <c r="G1985" i="1" a="1"/>
  <c r="G1985" i="1" s="1"/>
  <c r="G1986" i="1" a="1"/>
  <c r="G1986" i="1" s="1"/>
  <c r="G1987" i="1" a="1"/>
  <c r="G1987" i="1" s="1"/>
  <c r="G1988" i="1" a="1"/>
  <c r="G1988" i="1" s="1"/>
  <c r="G1989" i="1" a="1"/>
  <c r="G1989" i="1" s="1"/>
  <c r="G1990" i="1" a="1"/>
  <c r="G1990" i="1" s="1"/>
  <c r="G1991" i="1" a="1"/>
  <c r="G1991" i="1" s="1"/>
  <c r="G1992" i="1" a="1"/>
  <c r="G1992" i="1" s="1"/>
  <c r="G1993" i="1" a="1"/>
  <c r="G1993" i="1" s="1"/>
  <c r="G1994" i="1" a="1"/>
  <c r="G1994" i="1" s="1"/>
  <c r="G1995" i="1" a="1"/>
  <c r="G1995" i="1" s="1"/>
  <c r="G1996" i="1" a="1"/>
  <c r="G1996" i="1" s="1"/>
  <c r="G1997" i="1" a="1"/>
  <c r="G1997" i="1" s="1"/>
  <c r="G1998" i="1" a="1"/>
  <c r="G1998" i="1" s="1"/>
  <c r="G1999" i="1" a="1"/>
  <c r="G1999" i="1" s="1"/>
  <c r="G2000" i="1" a="1"/>
  <c r="G2000" i="1" s="1"/>
  <c r="G2001" i="1" a="1"/>
  <c r="G2001" i="1" s="1"/>
  <c r="G2002" i="1" a="1"/>
  <c r="G2002" i="1" s="1"/>
  <c r="G2003" i="1" a="1"/>
  <c r="G2003" i="1" s="1"/>
  <c r="G2004" i="1" a="1"/>
  <c r="G2004" i="1" s="1"/>
  <c r="G2005" i="1" a="1"/>
  <c r="G2005" i="1" s="1"/>
  <c r="G2006" i="1" a="1"/>
  <c r="G2006" i="1" s="1"/>
  <c r="G2007" i="1" a="1"/>
  <c r="G2007" i="1" s="1"/>
  <c r="G2008" i="1" a="1"/>
  <c r="G2008" i="1" s="1"/>
  <c r="G2009" i="1" a="1"/>
  <c r="G2009" i="1" s="1"/>
  <c r="G2010" i="1" a="1"/>
  <c r="G2010" i="1" s="1"/>
  <c r="G2011" i="1" a="1"/>
  <c r="G2011" i="1" s="1"/>
  <c r="G2012" i="1" a="1"/>
  <c r="G2012" i="1" s="1"/>
  <c r="G2013" i="1" a="1"/>
  <c r="G2013" i="1" s="1"/>
  <c r="G2014" i="1" a="1"/>
  <c r="G2014" i="1" s="1"/>
  <c r="G2015" i="1" a="1"/>
  <c r="G2015" i="1" s="1"/>
  <c r="G2016" i="1" a="1"/>
  <c r="G2016" i="1" s="1"/>
  <c r="G2017" i="1" a="1"/>
  <c r="G2017" i="1" s="1"/>
  <c r="G2018" i="1" a="1"/>
  <c r="G2018" i="1" s="1"/>
  <c r="G2019" i="1" a="1"/>
  <c r="G2019" i="1" s="1"/>
  <c r="G2020" i="1" a="1"/>
  <c r="G2020" i="1" s="1"/>
  <c r="G2021" i="1" a="1"/>
  <c r="G2021" i="1" s="1"/>
  <c r="G2022" i="1" a="1"/>
  <c r="G2022" i="1" s="1"/>
  <c r="G2023" i="1" a="1"/>
  <c r="G2023" i="1" s="1"/>
  <c r="G2024" i="1" a="1"/>
  <c r="G2024" i="1" s="1"/>
  <c r="G2025" i="1" a="1"/>
  <c r="G2025" i="1" s="1"/>
  <c r="G2026" i="1" a="1"/>
  <c r="G2026" i="1" s="1"/>
  <c r="G2027" i="1" a="1"/>
  <c r="G2027" i="1" s="1"/>
  <c r="G2028" i="1" a="1"/>
  <c r="G2028" i="1" s="1"/>
  <c r="G2029" i="1" a="1"/>
  <c r="G2029" i="1" s="1"/>
  <c r="G2030" i="1" a="1"/>
  <c r="G2030" i="1" s="1"/>
  <c r="G2031" i="1" a="1"/>
  <c r="G2031" i="1" s="1"/>
  <c r="G2032" i="1" a="1"/>
  <c r="G2032" i="1" s="1"/>
  <c r="G2033" i="1" a="1"/>
  <c r="G2033" i="1" s="1"/>
  <c r="G2034" i="1" a="1"/>
  <c r="G2034" i="1" s="1"/>
  <c r="G2035" i="1" a="1"/>
  <c r="G2035" i="1" s="1"/>
  <c r="G2036" i="1" a="1"/>
  <c r="G2036" i="1" s="1"/>
  <c r="G2037" i="1" a="1"/>
  <c r="G2037" i="1" s="1"/>
  <c r="G2038" i="1" a="1"/>
  <c r="G2038" i="1" s="1"/>
  <c r="G2039" i="1" a="1"/>
  <c r="G2039" i="1" s="1"/>
  <c r="G2040" i="1" a="1"/>
  <c r="G2040" i="1" s="1"/>
  <c r="G2041" i="1" a="1"/>
  <c r="G2041" i="1" s="1"/>
  <c r="G2042" i="1" a="1"/>
  <c r="G2042" i="1" s="1"/>
  <c r="G2043" i="1" a="1"/>
  <c r="G2043" i="1" s="1"/>
  <c r="G2044" i="1" a="1"/>
  <c r="G2044" i="1" s="1"/>
  <c r="G2045" i="1" a="1"/>
  <c r="G2045" i="1" s="1"/>
  <c r="G2046" i="1" a="1"/>
  <c r="G2046" i="1" s="1"/>
  <c r="G2047" i="1" a="1"/>
  <c r="G2047" i="1" s="1"/>
  <c r="G2048" i="1" a="1"/>
  <c r="G2048" i="1" s="1"/>
  <c r="G2049" i="1" a="1"/>
  <c r="G2049" i="1" s="1"/>
  <c r="G2050" i="1" a="1"/>
  <c r="G2050" i="1" s="1"/>
  <c r="G2051" i="1" a="1"/>
  <c r="G2051" i="1" s="1"/>
  <c r="G2052" i="1" a="1"/>
  <c r="G2052" i="1" s="1"/>
  <c r="G2053" i="1" a="1"/>
  <c r="G2053" i="1" s="1"/>
  <c r="G2054" i="1" a="1"/>
  <c r="G2054" i="1" s="1"/>
  <c r="G2055" i="1" a="1"/>
  <c r="G2055" i="1" s="1"/>
  <c r="G2056" i="1" a="1"/>
  <c r="G2056" i="1" s="1"/>
  <c r="G2057" i="1" a="1"/>
  <c r="G2057" i="1" s="1"/>
  <c r="G2058" i="1" a="1"/>
  <c r="G2058" i="1" s="1"/>
  <c r="G2059" i="1" a="1"/>
  <c r="G2059" i="1" s="1"/>
  <c r="G2060" i="1" a="1"/>
  <c r="G2060" i="1" s="1"/>
  <c r="G2061" i="1" a="1"/>
  <c r="G2061" i="1" s="1"/>
  <c r="G2062" i="1" a="1"/>
  <c r="G2062" i="1" s="1"/>
  <c r="G2063" i="1" a="1"/>
  <c r="G2063" i="1" s="1"/>
  <c r="G2064" i="1" a="1"/>
  <c r="G2064" i="1" s="1"/>
  <c r="G2065" i="1" a="1"/>
  <c r="G2065" i="1" s="1"/>
  <c r="G2066" i="1" a="1"/>
  <c r="G2066" i="1" s="1"/>
  <c r="G2067" i="1" a="1"/>
  <c r="G2067" i="1" s="1"/>
  <c r="G2068" i="1" a="1"/>
  <c r="G2068" i="1" s="1"/>
  <c r="G2069" i="1" a="1"/>
  <c r="G2069" i="1" s="1"/>
  <c r="G2070" i="1" a="1"/>
  <c r="G2070" i="1" s="1"/>
  <c r="G2071" i="1" a="1"/>
  <c r="G2071" i="1" s="1"/>
  <c r="G2072" i="1" a="1"/>
  <c r="G2072" i="1" s="1"/>
  <c r="G2073" i="1" a="1"/>
  <c r="G2073" i="1" s="1"/>
  <c r="G2074" i="1" a="1"/>
  <c r="G2074" i="1" s="1"/>
  <c r="G2075" i="1" a="1"/>
  <c r="G2075" i="1" s="1"/>
  <c r="G2076" i="1" a="1"/>
  <c r="G2076" i="1" s="1"/>
  <c r="G2077" i="1" a="1"/>
  <c r="G2077" i="1" s="1"/>
  <c r="G2078" i="1" a="1"/>
  <c r="G2078" i="1" s="1"/>
  <c r="G2079" i="1" a="1"/>
  <c r="G2079" i="1" s="1"/>
  <c r="G2080" i="1" a="1"/>
  <c r="G2080" i="1" s="1"/>
  <c r="G2081" i="1" a="1"/>
  <c r="G2081" i="1" s="1"/>
  <c r="G2082" i="1" a="1"/>
  <c r="G2082" i="1" s="1"/>
  <c r="G2083" i="1" a="1"/>
  <c r="G2083" i="1" s="1"/>
  <c r="G2084" i="1" a="1"/>
  <c r="G2084" i="1" s="1"/>
  <c r="G2085" i="1" a="1"/>
  <c r="G2085" i="1" s="1"/>
  <c r="G2086" i="1" a="1"/>
  <c r="G2086" i="1" s="1"/>
  <c r="G2087" i="1" a="1"/>
  <c r="G2087" i="1" s="1"/>
  <c r="G2088" i="1" a="1"/>
  <c r="G2088" i="1" s="1"/>
  <c r="G2089" i="1" a="1"/>
  <c r="G2089" i="1" s="1"/>
  <c r="G2090" i="1" a="1"/>
  <c r="G2090" i="1" s="1"/>
  <c r="G2091" i="1" a="1"/>
  <c r="G2091" i="1" s="1"/>
  <c r="G2092" i="1" a="1"/>
  <c r="G2092" i="1" s="1"/>
  <c r="G2093" i="1" a="1"/>
  <c r="G2093" i="1" s="1"/>
  <c r="G2094" i="1" a="1"/>
  <c r="G2094" i="1" s="1"/>
  <c r="G2095" i="1" a="1"/>
  <c r="G2095" i="1" s="1"/>
  <c r="G2096" i="1" a="1"/>
  <c r="G2096" i="1" s="1"/>
  <c r="G2097" i="1" a="1"/>
  <c r="G2097" i="1" s="1"/>
  <c r="G2098" i="1" a="1"/>
  <c r="G2098" i="1" s="1"/>
  <c r="G2099" i="1" a="1"/>
  <c r="G2099" i="1" s="1"/>
  <c r="G2100" i="1" a="1"/>
  <c r="G2100" i="1" s="1"/>
  <c r="G2101" i="1" a="1"/>
  <c r="G2101" i="1" s="1"/>
  <c r="G2102" i="1" a="1"/>
  <c r="G2102" i="1" s="1"/>
  <c r="G2103" i="1" a="1"/>
  <c r="G2103" i="1" s="1"/>
  <c r="G2104" i="1" a="1"/>
  <c r="G2104" i="1" s="1"/>
  <c r="G2105" i="1" a="1"/>
  <c r="G2105" i="1" s="1"/>
  <c r="G2106" i="1" a="1"/>
  <c r="G2106" i="1" s="1"/>
  <c r="G2107" i="1" a="1"/>
  <c r="G2107" i="1" s="1"/>
  <c r="G2108" i="1" a="1"/>
  <c r="G2108" i="1" s="1"/>
  <c r="G2109" i="1" a="1"/>
  <c r="G2109" i="1" s="1"/>
  <c r="G2110" i="1" a="1"/>
  <c r="G2110" i="1" s="1"/>
  <c r="G2111" i="1" a="1"/>
  <c r="G2111" i="1" s="1"/>
  <c r="G2112" i="1" a="1"/>
  <c r="G2112" i="1" s="1"/>
  <c r="G2113" i="1" a="1"/>
  <c r="G2113" i="1" s="1"/>
  <c r="G2114" i="1" a="1"/>
  <c r="G2114" i="1" s="1"/>
  <c r="G2115" i="1" a="1"/>
  <c r="G2115" i="1" s="1"/>
  <c r="G2116" i="1" a="1"/>
  <c r="G2116" i="1" s="1"/>
  <c r="G2117" i="1" a="1"/>
  <c r="G2117" i="1" s="1"/>
  <c r="G2118" i="1" a="1"/>
  <c r="G2118" i="1" s="1"/>
  <c r="G2119" i="1" a="1"/>
  <c r="G2119" i="1" s="1"/>
  <c r="G2120" i="1" a="1"/>
  <c r="G2120" i="1" s="1"/>
  <c r="G2121" i="1" a="1"/>
  <c r="G2121" i="1" s="1"/>
  <c r="G2122" i="1" a="1"/>
  <c r="G2122" i="1" s="1"/>
  <c r="G2123" i="1" a="1"/>
  <c r="G2123" i="1" s="1"/>
  <c r="G2124" i="1" a="1"/>
  <c r="G2124" i="1" s="1"/>
  <c r="G2125" i="1" a="1"/>
  <c r="G2125" i="1" s="1"/>
  <c r="G2126" i="1" a="1"/>
  <c r="G2126" i="1" s="1"/>
  <c r="G2127" i="1" a="1"/>
  <c r="G2127" i="1" s="1"/>
  <c r="G2128" i="1" a="1"/>
  <c r="G2128" i="1" s="1"/>
  <c r="G2129" i="1" a="1"/>
  <c r="G2129" i="1" s="1"/>
  <c r="G2130" i="1" a="1"/>
  <c r="G2130" i="1" s="1"/>
  <c r="G2131" i="1" a="1"/>
  <c r="G2131" i="1" s="1"/>
  <c r="G2132" i="1" a="1"/>
  <c r="G2132" i="1" s="1"/>
  <c r="G2133" i="1" a="1"/>
  <c r="G2133" i="1" s="1"/>
  <c r="G2134" i="1" a="1"/>
  <c r="G2134" i="1" s="1"/>
  <c r="G2135" i="1" a="1"/>
  <c r="G2135" i="1" s="1"/>
  <c r="G2136" i="1" a="1"/>
  <c r="G2136" i="1" s="1"/>
  <c r="G2137" i="1" a="1"/>
  <c r="G2137" i="1" s="1"/>
  <c r="G2138" i="1" a="1"/>
  <c r="G2138" i="1" s="1"/>
  <c r="G2139" i="1" a="1"/>
  <c r="G2139" i="1" s="1"/>
  <c r="G2140" i="1" a="1"/>
  <c r="G2140" i="1" s="1"/>
  <c r="G2141" i="1" a="1"/>
  <c r="G2141" i="1" s="1"/>
  <c r="G2142" i="1" a="1"/>
  <c r="G2142" i="1" s="1"/>
  <c r="G2143" i="1" a="1"/>
  <c r="G2143" i="1" s="1"/>
  <c r="G2144" i="1" a="1"/>
  <c r="G2144" i="1" s="1"/>
  <c r="G2145" i="1" a="1"/>
  <c r="G2145" i="1" s="1"/>
  <c r="G2146" i="1" a="1"/>
  <c r="G2146" i="1" s="1"/>
  <c r="G2147" i="1" a="1"/>
  <c r="G2147" i="1" s="1"/>
  <c r="G2148" i="1" a="1"/>
  <c r="G2148" i="1" s="1"/>
  <c r="G2149" i="1" a="1"/>
  <c r="G2149" i="1" s="1"/>
  <c r="G2150" i="1" a="1"/>
  <c r="G2150" i="1" s="1"/>
  <c r="G2151" i="1" a="1"/>
  <c r="G2151" i="1" s="1"/>
  <c r="G2152" i="1" a="1"/>
  <c r="G2152" i="1" s="1"/>
  <c r="G2153" i="1" a="1"/>
  <c r="G2153" i="1" s="1"/>
  <c r="G2154" i="1" a="1"/>
  <c r="G2154" i="1" s="1"/>
  <c r="G2155" i="1" a="1"/>
  <c r="G2155" i="1" s="1"/>
  <c r="G2156" i="1" a="1"/>
  <c r="G2156" i="1" s="1"/>
  <c r="G2157" i="1" a="1"/>
  <c r="G2157" i="1" s="1"/>
  <c r="G2158" i="1" a="1"/>
  <c r="G2158" i="1" s="1"/>
  <c r="G2159" i="1" a="1"/>
  <c r="G2159" i="1" s="1"/>
  <c r="G2160" i="1" a="1"/>
  <c r="G2160" i="1" s="1"/>
  <c r="G2161" i="1" a="1"/>
  <c r="G2161" i="1" s="1"/>
  <c r="G2162" i="1" a="1"/>
  <c r="G2162" i="1" s="1"/>
  <c r="G2163" i="1" a="1"/>
  <c r="G2163" i="1" s="1"/>
  <c r="G2164" i="1" a="1"/>
  <c r="G2164" i="1" s="1"/>
  <c r="G2165" i="1" a="1"/>
  <c r="G2165" i="1" s="1"/>
  <c r="G2166" i="1" a="1"/>
  <c r="G2166" i="1" s="1"/>
  <c r="G2167" i="1" a="1"/>
  <c r="G2167" i="1" s="1"/>
  <c r="G2168" i="1" a="1"/>
  <c r="G2168" i="1" s="1"/>
  <c r="G2169" i="1" a="1"/>
  <c r="G2169" i="1" s="1"/>
  <c r="G2170" i="1" a="1"/>
  <c r="G2170" i="1" s="1"/>
  <c r="G2171" i="1" a="1"/>
  <c r="G2171" i="1" s="1"/>
  <c r="G2172" i="1" a="1"/>
  <c r="G2172" i="1" s="1"/>
  <c r="G2173" i="1" a="1"/>
  <c r="G2173" i="1" s="1"/>
  <c r="G2174" i="1" a="1"/>
  <c r="G2174" i="1" s="1"/>
  <c r="G2175" i="1" a="1"/>
  <c r="G2175" i="1" s="1"/>
  <c r="G2176" i="1" a="1"/>
  <c r="G2176" i="1" s="1"/>
  <c r="G2177" i="1" a="1"/>
  <c r="G2177" i="1" s="1"/>
  <c r="G2178" i="1" a="1"/>
  <c r="G2178" i="1" s="1"/>
  <c r="G2179" i="1" a="1"/>
  <c r="G2179" i="1" s="1"/>
  <c r="G2180" i="1" a="1"/>
  <c r="G2180" i="1" s="1"/>
  <c r="G2181" i="1" a="1"/>
  <c r="G2181" i="1" s="1"/>
  <c r="G2182" i="1" a="1"/>
  <c r="G2182" i="1" s="1"/>
  <c r="G2183" i="1" a="1"/>
  <c r="G2183" i="1" s="1"/>
  <c r="G2184" i="1" a="1"/>
  <c r="G2184" i="1" s="1"/>
  <c r="G2185" i="1" a="1"/>
  <c r="G2185" i="1" s="1"/>
  <c r="G2186" i="1" a="1"/>
  <c r="G2186" i="1" s="1"/>
  <c r="G2187" i="1" a="1"/>
  <c r="G2187" i="1" s="1"/>
  <c r="G2188" i="1" a="1"/>
  <c r="G2188" i="1" s="1"/>
  <c r="G2189" i="1" a="1"/>
  <c r="G2189" i="1" s="1"/>
  <c r="G2190" i="1" a="1"/>
  <c r="G2190" i="1" s="1"/>
  <c r="G2191" i="1" a="1"/>
  <c r="G2191" i="1" s="1"/>
  <c r="G2192" i="1" a="1"/>
  <c r="G2192" i="1" s="1"/>
  <c r="G2193" i="1" a="1"/>
  <c r="G2193" i="1" s="1"/>
  <c r="G2194" i="1" a="1"/>
  <c r="G2194" i="1" s="1"/>
  <c r="G2195" i="1" a="1"/>
  <c r="G2195" i="1" s="1"/>
  <c r="G2196" i="1" a="1"/>
  <c r="G2196" i="1" s="1"/>
  <c r="G2197" i="1" a="1"/>
  <c r="G2197" i="1" s="1"/>
  <c r="G2198" i="1" a="1"/>
  <c r="G2198" i="1" s="1"/>
  <c r="G2199" i="1" a="1"/>
  <c r="G2199" i="1" s="1"/>
  <c r="G2200" i="1" a="1"/>
  <c r="G2200" i="1" s="1"/>
  <c r="G2201" i="1" a="1"/>
  <c r="G2201" i="1" s="1"/>
  <c r="G2202" i="1" a="1"/>
  <c r="G2202" i="1" s="1"/>
  <c r="G2203" i="1" a="1"/>
  <c r="G2203" i="1" s="1"/>
  <c r="G2204" i="1" a="1"/>
  <c r="G2204" i="1" s="1"/>
  <c r="G2205" i="1" a="1"/>
  <c r="G2205" i="1" s="1"/>
  <c r="G2206" i="1" a="1"/>
  <c r="G2206" i="1" s="1"/>
  <c r="G2207" i="1" a="1"/>
  <c r="G2207" i="1" s="1"/>
  <c r="G2208" i="1" a="1"/>
  <c r="G2208" i="1" s="1"/>
  <c r="G2209" i="1" a="1"/>
  <c r="G2209" i="1" s="1"/>
  <c r="G2210" i="1" a="1"/>
  <c r="G2210" i="1" s="1"/>
  <c r="G2211" i="1" a="1"/>
  <c r="G2211" i="1" s="1"/>
  <c r="G2212" i="1" a="1"/>
  <c r="G2212" i="1" s="1"/>
  <c r="G2213" i="1" a="1"/>
  <c r="G2213" i="1" s="1"/>
  <c r="G2214" i="1" a="1"/>
  <c r="G2214" i="1" s="1"/>
  <c r="G2215" i="1" a="1"/>
  <c r="G2215" i="1" s="1"/>
  <c r="G2216" i="1" a="1"/>
  <c r="G2216" i="1" s="1"/>
  <c r="G2217" i="1" a="1"/>
  <c r="G2217" i="1" s="1"/>
  <c r="G2218" i="1" a="1"/>
  <c r="G2218" i="1" s="1"/>
  <c r="G2219" i="1" a="1"/>
  <c r="G2219" i="1" s="1"/>
  <c r="G2220" i="1" a="1"/>
  <c r="G2220" i="1" s="1"/>
  <c r="G2221" i="1" a="1"/>
  <c r="G2221" i="1" s="1"/>
  <c r="G2222" i="1" a="1"/>
  <c r="G2222" i="1" s="1"/>
  <c r="G2223" i="1" a="1"/>
  <c r="G2223" i="1" s="1"/>
  <c r="G2224" i="1" a="1"/>
  <c r="G2224" i="1" s="1"/>
  <c r="G2225" i="1" a="1"/>
  <c r="G2225" i="1" s="1"/>
  <c r="G2226" i="1" a="1"/>
  <c r="G2226" i="1" s="1"/>
  <c r="G2227" i="1" a="1"/>
  <c r="G2227" i="1" s="1"/>
  <c r="G2228" i="1" a="1"/>
  <c r="G2228" i="1" s="1"/>
  <c r="G2229" i="1" a="1"/>
  <c r="G2229" i="1" s="1"/>
  <c r="G2230" i="1" a="1"/>
  <c r="G2230" i="1" s="1"/>
  <c r="G2231" i="1" a="1"/>
  <c r="G2231" i="1" s="1"/>
  <c r="G2232" i="1" a="1"/>
  <c r="G2232" i="1" s="1"/>
  <c r="G2233" i="1" a="1"/>
  <c r="G2233" i="1" s="1"/>
  <c r="G2234" i="1" a="1"/>
  <c r="G2234" i="1" s="1"/>
  <c r="G2235" i="1" a="1"/>
  <c r="G2235" i="1" s="1"/>
  <c r="G2236" i="1" a="1"/>
  <c r="G2236" i="1" s="1"/>
  <c r="G2237" i="1" a="1"/>
  <c r="G2237" i="1" s="1"/>
  <c r="G2238" i="1" a="1"/>
  <c r="G2238" i="1" s="1"/>
  <c r="G2239" i="1" a="1"/>
  <c r="G2239" i="1" s="1"/>
  <c r="G2240" i="1" a="1"/>
  <c r="G2240" i="1" s="1"/>
  <c r="G2241" i="1" a="1"/>
  <c r="G2241" i="1" s="1"/>
  <c r="G2242" i="1" a="1"/>
  <c r="G2242" i="1" s="1"/>
  <c r="G2243" i="1" a="1"/>
  <c r="G2243" i="1" s="1"/>
  <c r="G2244" i="1" a="1"/>
  <c r="G2244" i="1" s="1"/>
  <c r="G2245" i="1" a="1"/>
  <c r="G2245" i="1" s="1"/>
  <c r="G2246" i="1" a="1"/>
  <c r="G2246" i="1" s="1"/>
  <c r="G2247" i="1" a="1"/>
  <c r="G2247" i="1" s="1"/>
  <c r="G2248" i="1" a="1"/>
  <c r="G2248" i="1" s="1"/>
  <c r="G2249" i="1" a="1"/>
  <c r="G2249" i="1" s="1"/>
  <c r="G2250" i="1" a="1"/>
  <c r="G2250" i="1" s="1"/>
  <c r="G2251" i="1" a="1"/>
  <c r="G2251" i="1" s="1"/>
  <c r="G2252" i="1" a="1"/>
  <c r="G2252" i="1" s="1"/>
  <c r="G2253" i="1" a="1"/>
  <c r="G2253" i="1" s="1"/>
  <c r="G2254" i="1" a="1"/>
  <c r="G2254" i="1" s="1"/>
  <c r="G2255" i="1" a="1"/>
  <c r="G2255" i="1" s="1"/>
  <c r="G2256" i="1" a="1"/>
  <c r="G2256" i="1" s="1"/>
  <c r="G2257" i="1" a="1"/>
  <c r="G2257" i="1" s="1"/>
  <c r="G2258" i="1" a="1"/>
  <c r="G2258" i="1" s="1"/>
  <c r="G2259" i="1" a="1"/>
  <c r="G2259" i="1" s="1"/>
  <c r="G2260" i="1" a="1"/>
  <c r="G2260" i="1" s="1"/>
  <c r="G2261" i="1" a="1"/>
  <c r="G2261" i="1" s="1"/>
  <c r="G2262" i="1" a="1"/>
  <c r="G2262" i="1" s="1"/>
  <c r="G2263" i="1" a="1"/>
  <c r="G2263" i="1" s="1"/>
  <c r="G2264" i="1" a="1"/>
  <c r="G2264" i="1" s="1"/>
  <c r="G2265" i="1" a="1"/>
  <c r="G2265" i="1" s="1"/>
  <c r="G2266" i="1" a="1"/>
  <c r="G2266" i="1" s="1"/>
  <c r="G2267" i="1" a="1"/>
  <c r="G2267" i="1" s="1"/>
  <c r="G2268" i="1" a="1"/>
  <c r="G2268" i="1" s="1"/>
  <c r="G2269" i="1" a="1"/>
  <c r="G2269" i="1" s="1"/>
  <c r="G2270" i="1" a="1"/>
  <c r="G2270" i="1" s="1"/>
  <c r="G2271" i="1" a="1"/>
  <c r="G2271" i="1" s="1"/>
  <c r="G2272" i="1" a="1"/>
  <c r="G2272" i="1" s="1"/>
  <c r="G2273" i="1" a="1"/>
  <c r="G2273" i="1" s="1"/>
  <c r="G2274" i="1" a="1"/>
  <c r="G2274" i="1" s="1"/>
  <c r="G2275" i="1" a="1"/>
  <c r="G2275" i="1" s="1"/>
  <c r="G2276" i="1" a="1"/>
  <c r="G2276" i="1" s="1"/>
  <c r="G2277" i="1" a="1"/>
  <c r="G2277" i="1" s="1"/>
  <c r="G2278" i="1" a="1"/>
  <c r="G2278" i="1" s="1"/>
  <c r="G2279" i="1" a="1"/>
  <c r="G2279" i="1" s="1"/>
  <c r="G2280" i="1" a="1"/>
  <c r="G2280" i="1" s="1"/>
  <c r="G2281" i="1" a="1"/>
  <c r="G2281" i="1" s="1"/>
  <c r="G2282" i="1" a="1"/>
  <c r="G2282" i="1" s="1"/>
  <c r="G2283" i="1" a="1"/>
  <c r="G2283" i="1" s="1"/>
  <c r="G2284" i="1" a="1"/>
  <c r="G2284" i="1" s="1"/>
  <c r="G2285" i="1" a="1"/>
  <c r="G2285" i="1" s="1"/>
  <c r="G2286" i="1" a="1"/>
  <c r="G2286" i="1" s="1"/>
  <c r="G2287" i="1" a="1"/>
  <c r="G2287" i="1" s="1"/>
  <c r="G2288" i="1" a="1"/>
  <c r="G2288" i="1" s="1"/>
  <c r="G2289" i="1" a="1"/>
  <c r="G2289" i="1" s="1"/>
  <c r="G2290" i="1" a="1"/>
  <c r="G2290" i="1" s="1"/>
  <c r="G2291" i="1" a="1"/>
  <c r="G2291" i="1" s="1"/>
  <c r="G2292" i="1" a="1"/>
  <c r="G2292" i="1" s="1"/>
  <c r="G2293" i="1" a="1"/>
  <c r="G2293" i="1" s="1"/>
  <c r="G2294" i="1" a="1"/>
  <c r="G2294" i="1" s="1"/>
  <c r="G2295" i="1" a="1"/>
  <c r="G2295" i="1" s="1"/>
  <c r="G2296" i="1" a="1"/>
  <c r="G2296" i="1" s="1"/>
  <c r="G2297" i="1" a="1"/>
  <c r="G2297" i="1" s="1"/>
  <c r="G2298" i="1" a="1"/>
  <c r="G2298" i="1" s="1"/>
  <c r="G2299" i="1" a="1"/>
  <c r="G2299" i="1" s="1"/>
  <c r="G2300" i="1" a="1"/>
  <c r="G2300" i="1" s="1"/>
  <c r="G2301" i="1" a="1"/>
  <c r="G2301" i="1" s="1"/>
  <c r="G2302" i="1" a="1"/>
  <c r="G2302" i="1" s="1"/>
  <c r="G2303" i="1" a="1"/>
  <c r="G2303" i="1" s="1"/>
  <c r="G2304" i="1" a="1"/>
  <c r="G2304" i="1" s="1"/>
  <c r="G2305" i="1" a="1"/>
  <c r="G2305" i="1" s="1"/>
  <c r="G2306" i="1" a="1"/>
  <c r="G2306" i="1" s="1"/>
  <c r="G2307" i="1" a="1"/>
  <c r="G2307" i="1" s="1"/>
  <c r="G2308" i="1" a="1"/>
  <c r="G2308" i="1" s="1"/>
  <c r="G2309" i="1" a="1"/>
  <c r="G2309" i="1" s="1"/>
  <c r="G2310" i="1" a="1"/>
  <c r="G2310" i="1" s="1"/>
  <c r="G2311" i="1" a="1"/>
  <c r="G2311" i="1" s="1"/>
  <c r="G2312" i="1" a="1"/>
  <c r="G2312" i="1" s="1"/>
  <c r="G2313" i="1" a="1"/>
  <c r="G2313" i="1" s="1"/>
  <c r="G2314" i="1" a="1"/>
  <c r="G2314" i="1" s="1"/>
  <c r="G2315" i="1" a="1"/>
  <c r="G2315" i="1" s="1"/>
  <c r="G2316" i="1" a="1"/>
  <c r="G2316" i="1" s="1"/>
  <c r="G2317" i="1" a="1"/>
  <c r="G2317" i="1" s="1"/>
  <c r="G2318" i="1" a="1"/>
  <c r="G2318" i="1" s="1"/>
  <c r="G2319" i="1" a="1"/>
  <c r="G2319" i="1" s="1"/>
  <c r="G2320" i="1" a="1"/>
  <c r="G2320" i="1" s="1"/>
  <c r="G2321" i="1" a="1"/>
  <c r="G2321" i="1" s="1"/>
  <c r="G2322" i="1" a="1"/>
  <c r="G2322" i="1" s="1"/>
  <c r="G2323" i="1" a="1"/>
  <c r="G2323" i="1" s="1"/>
  <c r="G2324" i="1" a="1"/>
  <c r="G2324" i="1" s="1"/>
  <c r="G2325" i="1" a="1"/>
  <c r="G2325" i="1" s="1"/>
  <c r="G2326" i="1" a="1"/>
  <c r="G2326" i="1" s="1"/>
  <c r="G2327" i="1" a="1"/>
  <c r="G2327" i="1" s="1"/>
  <c r="G2328" i="1" a="1"/>
  <c r="G2328" i="1" s="1"/>
  <c r="G2329" i="1" a="1"/>
  <c r="G2329" i="1" s="1"/>
  <c r="G2330" i="1" a="1"/>
  <c r="G2330" i="1" s="1"/>
  <c r="G2331" i="1" a="1"/>
  <c r="G2331" i="1" s="1"/>
  <c r="G2332" i="1" a="1"/>
  <c r="G2332" i="1" s="1"/>
  <c r="G2333" i="1" a="1"/>
  <c r="G2333" i="1" s="1"/>
  <c r="G2334" i="1" a="1"/>
  <c r="G2334" i="1" s="1"/>
  <c r="G2335" i="1" a="1"/>
  <c r="G2335" i="1" s="1"/>
  <c r="G2336" i="1" a="1"/>
  <c r="G2336" i="1" s="1"/>
  <c r="G2337" i="1" a="1"/>
  <c r="G2337" i="1" s="1"/>
  <c r="G2338" i="1" a="1"/>
  <c r="G2338" i="1" s="1"/>
  <c r="G2339" i="1" a="1"/>
  <c r="G2339" i="1" s="1"/>
  <c r="G2340" i="1" a="1"/>
  <c r="G2340" i="1" s="1"/>
  <c r="G2341" i="1" a="1"/>
  <c r="G2341" i="1" s="1"/>
  <c r="G2342" i="1" a="1"/>
  <c r="G2342" i="1" s="1"/>
  <c r="G2343" i="1" a="1"/>
  <c r="G2343" i="1" s="1"/>
  <c r="G2344" i="1" a="1"/>
  <c r="G2344" i="1" s="1"/>
  <c r="G2345" i="1" a="1"/>
  <c r="G2345" i="1" s="1"/>
  <c r="G2346" i="1" a="1"/>
  <c r="G2346" i="1" s="1"/>
  <c r="G2347" i="1" a="1"/>
  <c r="G2347" i="1" s="1"/>
  <c r="G2348" i="1" a="1"/>
  <c r="G2348" i="1" s="1"/>
  <c r="G2349" i="1" a="1"/>
  <c r="G2349" i="1" s="1"/>
  <c r="G2350" i="1" a="1"/>
  <c r="G2350" i="1" s="1"/>
  <c r="G2351" i="1" a="1"/>
  <c r="G2351" i="1" s="1"/>
  <c r="G2352" i="1" a="1"/>
  <c r="G2352" i="1" s="1"/>
  <c r="G2353" i="1" a="1"/>
  <c r="G2353" i="1" s="1"/>
  <c r="G2354" i="1" a="1"/>
  <c r="G2354" i="1" s="1"/>
  <c r="G2355" i="1" a="1"/>
  <c r="G2355" i="1" s="1"/>
  <c r="G2356" i="1" a="1"/>
  <c r="G2356" i="1" s="1"/>
  <c r="G2357" i="1" a="1"/>
  <c r="G2357" i="1" s="1"/>
  <c r="G2358" i="1" a="1"/>
  <c r="G2358" i="1" s="1"/>
  <c r="G2359" i="1" a="1"/>
  <c r="G2359" i="1" s="1"/>
  <c r="G2360" i="1" a="1"/>
  <c r="G2360" i="1" s="1"/>
  <c r="G2361" i="1" a="1"/>
  <c r="G2361" i="1" s="1"/>
  <c r="G2362" i="1" a="1"/>
  <c r="G2362" i="1" s="1"/>
  <c r="G2363" i="1" a="1"/>
  <c r="G2363" i="1" s="1"/>
  <c r="G2364" i="1" a="1"/>
  <c r="G2364" i="1" s="1"/>
  <c r="G2365" i="1" a="1"/>
  <c r="G2365" i="1" s="1"/>
  <c r="G2366" i="1" a="1"/>
  <c r="G2366" i="1" s="1"/>
  <c r="G2367" i="1" a="1"/>
  <c r="G2367" i="1" s="1"/>
  <c r="G2368" i="1" a="1"/>
  <c r="G2368" i="1" s="1"/>
  <c r="G2369" i="1" a="1"/>
  <c r="G2369" i="1" s="1"/>
  <c r="G2370" i="1" a="1"/>
  <c r="G2370" i="1" s="1"/>
  <c r="G2371" i="1" a="1"/>
  <c r="G2371" i="1" s="1"/>
  <c r="G2372" i="1" a="1"/>
  <c r="G2372" i="1" s="1"/>
  <c r="G2373" i="1" a="1"/>
  <c r="G2373" i="1" s="1"/>
  <c r="G2374" i="1" a="1"/>
  <c r="G2374" i="1" s="1"/>
  <c r="G2375" i="1" a="1"/>
  <c r="G2375" i="1" s="1"/>
  <c r="G2376" i="1" a="1"/>
  <c r="G2376" i="1" s="1"/>
  <c r="G2377" i="1" a="1"/>
  <c r="G2377" i="1" s="1"/>
  <c r="G2378" i="1" a="1"/>
  <c r="G2378" i="1" s="1"/>
  <c r="G2379" i="1" a="1"/>
  <c r="G2379" i="1" s="1"/>
  <c r="G2380" i="1" a="1"/>
  <c r="G2380" i="1" s="1"/>
  <c r="G2381" i="1" a="1"/>
  <c r="G2381" i="1" s="1"/>
  <c r="G2382" i="1" a="1"/>
  <c r="G2382" i="1" s="1"/>
  <c r="G2383" i="1" a="1"/>
  <c r="G2383" i="1" s="1"/>
  <c r="G2384" i="1" a="1"/>
  <c r="G2384" i="1" s="1"/>
  <c r="G2385" i="1" a="1"/>
  <c r="G2385" i="1" s="1"/>
  <c r="G2386" i="1" a="1"/>
  <c r="G2386" i="1" s="1"/>
  <c r="G2387" i="1" a="1"/>
  <c r="G2387" i="1" s="1"/>
  <c r="G2388" i="1" a="1"/>
  <c r="G2388" i="1" s="1"/>
  <c r="G2389" i="1" a="1"/>
  <c r="G2389" i="1" s="1"/>
  <c r="G2390" i="1" a="1"/>
  <c r="G2390" i="1" s="1"/>
  <c r="G2391" i="1" a="1"/>
  <c r="G2391" i="1" s="1"/>
  <c r="G2392" i="1" a="1"/>
  <c r="G2392" i="1" s="1"/>
  <c r="G2393" i="1" a="1"/>
  <c r="G2393" i="1" s="1"/>
  <c r="G2394" i="1" a="1"/>
  <c r="G2394" i="1" s="1"/>
  <c r="G2395" i="1" a="1"/>
  <c r="G2395" i="1" s="1"/>
  <c r="G2396" i="1" a="1"/>
  <c r="G2396" i="1" s="1"/>
  <c r="G2397" i="1" a="1"/>
  <c r="G2397" i="1" s="1"/>
  <c r="G2398" i="1" a="1"/>
  <c r="G2398" i="1" s="1"/>
  <c r="G2399" i="1" a="1"/>
  <c r="G2399" i="1" s="1"/>
  <c r="G2400" i="1" a="1"/>
  <c r="G2400" i="1" s="1"/>
  <c r="G2401" i="1" a="1"/>
  <c r="G2401" i="1" s="1"/>
  <c r="G2402" i="1" a="1"/>
  <c r="G2402" i="1" s="1"/>
  <c r="G2403" i="1" a="1"/>
  <c r="G2403" i="1" s="1"/>
  <c r="G2404" i="1" a="1"/>
  <c r="G2404" i="1" s="1"/>
  <c r="G2405" i="1" a="1"/>
  <c r="G2405" i="1" s="1"/>
  <c r="G2406" i="1" a="1"/>
  <c r="G2406" i="1" s="1"/>
  <c r="G2407" i="1" a="1"/>
  <c r="G2407" i="1" s="1"/>
  <c r="G2408" i="1" a="1"/>
  <c r="G2408" i="1" s="1"/>
  <c r="G2409" i="1" a="1"/>
  <c r="G2409" i="1" s="1"/>
  <c r="G2410" i="1" a="1"/>
  <c r="G2410" i="1" s="1"/>
  <c r="G2411" i="1" a="1"/>
  <c r="G2411" i="1" s="1"/>
  <c r="G2412" i="1" a="1"/>
  <c r="G2412" i="1" s="1"/>
  <c r="G2413" i="1" a="1"/>
  <c r="G2413" i="1" s="1"/>
  <c r="G2414" i="1" a="1"/>
  <c r="G2414" i="1" s="1"/>
  <c r="G2415" i="1" a="1"/>
  <c r="G2415" i="1" s="1"/>
  <c r="G2416" i="1" a="1"/>
  <c r="G2416" i="1" s="1"/>
  <c r="G2417" i="1" a="1"/>
  <c r="G2417" i="1" s="1"/>
  <c r="G2418" i="1" a="1"/>
  <c r="G2418" i="1" s="1"/>
  <c r="G2419" i="1" a="1"/>
  <c r="G2419" i="1" s="1"/>
  <c r="G2420" i="1" a="1"/>
  <c r="G2420" i="1" s="1"/>
  <c r="G2421" i="1" a="1"/>
  <c r="G2421" i="1" s="1"/>
  <c r="G2422" i="1" a="1"/>
  <c r="G2422" i="1" s="1"/>
  <c r="G2423" i="1" a="1"/>
  <c r="G2423" i="1" s="1"/>
  <c r="G2424" i="1" a="1"/>
  <c r="G2424" i="1" s="1"/>
  <c r="G2425" i="1" a="1"/>
  <c r="G2425" i="1" s="1"/>
  <c r="G2426" i="1" a="1"/>
  <c r="G2426" i="1" s="1"/>
  <c r="G2427" i="1" a="1"/>
  <c r="G2427" i="1" s="1"/>
  <c r="G2428" i="1" a="1"/>
  <c r="G2428" i="1" s="1"/>
  <c r="G2429" i="1" a="1"/>
  <c r="G2429" i="1" s="1"/>
  <c r="G2430" i="1" a="1"/>
  <c r="G2430" i="1" s="1"/>
  <c r="G2431" i="1" a="1"/>
  <c r="G2431" i="1" s="1"/>
  <c r="G2432" i="1" a="1"/>
  <c r="G2432" i="1" s="1"/>
  <c r="G2433" i="1" a="1"/>
  <c r="G2433" i="1" s="1"/>
  <c r="G2434" i="1" a="1"/>
  <c r="G2434" i="1" s="1"/>
  <c r="G2435" i="1" a="1"/>
  <c r="G2435" i="1" s="1"/>
  <c r="G2436" i="1" a="1"/>
  <c r="G2436" i="1" s="1"/>
  <c r="G2437" i="1" a="1"/>
  <c r="G2437" i="1" s="1"/>
  <c r="G2438" i="1" a="1"/>
  <c r="G2438" i="1" s="1"/>
  <c r="G2439" i="1" a="1"/>
  <c r="G2439" i="1" s="1"/>
  <c r="G2440" i="1" a="1"/>
  <c r="G2440" i="1" s="1"/>
  <c r="G2441" i="1" a="1"/>
  <c r="G2441" i="1" s="1"/>
  <c r="G2442" i="1" a="1"/>
  <c r="G2442" i="1" s="1"/>
  <c r="G2443" i="1" a="1"/>
  <c r="G2443" i="1" s="1"/>
  <c r="G2444" i="1" a="1"/>
  <c r="G2444" i="1" s="1"/>
  <c r="G2445" i="1" a="1"/>
  <c r="G2445" i="1" s="1"/>
  <c r="G2446" i="1" a="1"/>
  <c r="G2446" i="1" s="1"/>
  <c r="G2447" i="1" a="1"/>
  <c r="G2447" i="1" s="1"/>
  <c r="G2448" i="1" a="1"/>
  <c r="G2448" i="1" s="1"/>
  <c r="G2449" i="1" a="1"/>
  <c r="G2449" i="1" s="1"/>
  <c r="G2450" i="1" a="1"/>
  <c r="G2450" i="1" s="1"/>
  <c r="G2451" i="1" a="1"/>
  <c r="G2451" i="1" s="1"/>
  <c r="G2452" i="1" a="1"/>
  <c r="G2452" i="1" s="1"/>
  <c r="G2453" i="1" a="1"/>
  <c r="G2453" i="1" s="1"/>
  <c r="G2454" i="1" a="1"/>
  <c r="G2454" i="1" s="1"/>
  <c r="G2455" i="1" a="1"/>
  <c r="G2455" i="1" s="1"/>
  <c r="G2456" i="1" a="1"/>
  <c r="G2456" i="1" s="1"/>
  <c r="G2457" i="1" a="1"/>
  <c r="G2457" i="1" s="1"/>
  <c r="G2458" i="1" a="1"/>
  <c r="G2458" i="1" s="1"/>
  <c r="G2459" i="1" a="1"/>
  <c r="G2459" i="1" s="1"/>
  <c r="G2460" i="1" a="1"/>
  <c r="G2460" i="1" s="1"/>
  <c r="G2461" i="1" a="1"/>
  <c r="G2461" i="1" s="1"/>
  <c r="G2462" i="1" a="1"/>
  <c r="G2462" i="1" s="1"/>
  <c r="G2463" i="1" a="1"/>
  <c r="G2463" i="1" s="1"/>
  <c r="G2464" i="1" a="1"/>
  <c r="G2464" i="1" s="1"/>
  <c r="G2465" i="1" a="1"/>
  <c r="G2465" i="1" s="1"/>
  <c r="G2466" i="1" a="1"/>
  <c r="G2466" i="1" s="1"/>
  <c r="G2467" i="1" a="1"/>
  <c r="G2467" i="1" s="1"/>
  <c r="G2468" i="1" a="1"/>
  <c r="G2468" i="1" s="1"/>
  <c r="G2469" i="1" a="1"/>
  <c r="G2469" i="1" s="1"/>
  <c r="G2470" i="1" a="1"/>
  <c r="G2470" i="1" s="1"/>
  <c r="G2471" i="1" a="1"/>
  <c r="G2471" i="1" s="1"/>
  <c r="G2472" i="1" a="1"/>
  <c r="G2472" i="1" s="1"/>
  <c r="G2473" i="1" a="1"/>
  <c r="G2473" i="1" s="1"/>
  <c r="G2474" i="1" a="1"/>
  <c r="G2474" i="1" s="1"/>
  <c r="G2475" i="1" a="1"/>
  <c r="G2475" i="1" s="1"/>
  <c r="G2476" i="1" a="1"/>
  <c r="G2476" i="1" s="1"/>
  <c r="G2477" i="1" a="1"/>
  <c r="G2477" i="1" s="1"/>
  <c r="G2478" i="1" a="1"/>
  <c r="G2478" i="1" s="1"/>
  <c r="G2479" i="1" a="1"/>
  <c r="G2479" i="1" s="1"/>
  <c r="G2480" i="1" a="1"/>
  <c r="G2480" i="1" s="1"/>
  <c r="G2481" i="1" a="1"/>
  <c r="G2481" i="1" s="1"/>
  <c r="G2482" i="1" a="1"/>
  <c r="G2482" i="1" s="1"/>
  <c r="G2483" i="1" a="1"/>
  <c r="G2483" i="1" s="1"/>
  <c r="G2484" i="1" a="1"/>
  <c r="G2484" i="1" s="1"/>
  <c r="G2485" i="1" a="1"/>
  <c r="G2485" i="1" s="1"/>
  <c r="G2486" i="1" a="1"/>
  <c r="G2486" i="1" s="1"/>
  <c r="G2487" i="1" a="1"/>
  <c r="G2487" i="1" s="1"/>
  <c r="G2488" i="1" a="1"/>
  <c r="G2488" i="1" s="1"/>
  <c r="G2489" i="1" a="1"/>
  <c r="G2489" i="1" s="1"/>
  <c r="G2490" i="1" a="1"/>
  <c r="G2490" i="1" s="1"/>
  <c r="G2491" i="1" a="1"/>
  <c r="G2491" i="1" s="1"/>
  <c r="G2492" i="1" a="1"/>
  <c r="G2492" i="1" s="1"/>
  <c r="G2493" i="1" a="1"/>
  <c r="G2493" i="1" s="1"/>
  <c r="G2494" i="1" a="1"/>
  <c r="G2494" i="1" s="1"/>
  <c r="G2495" i="1" a="1"/>
  <c r="G2495" i="1" s="1"/>
  <c r="G2496" i="1" a="1"/>
  <c r="G2496" i="1" s="1"/>
  <c r="G2497" i="1" a="1"/>
  <c r="G2497" i="1" s="1"/>
  <c r="G2498" i="1" a="1"/>
  <c r="G2498" i="1" s="1"/>
  <c r="G2499" i="1" a="1"/>
  <c r="G2499" i="1" s="1"/>
  <c r="G2500" i="1" a="1"/>
  <c r="G2500" i="1" s="1"/>
  <c r="G2501" i="1" a="1"/>
  <c r="G2501" i="1" s="1"/>
  <c r="D2" i="1" a="1"/>
  <c r="D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 s="1"/>
  <c r="D1001" i="1" a="1"/>
  <c r="D1001" i="1" s="1"/>
  <c r="D1002" i="1" a="1"/>
  <c r="D1002" i="1" s="1"/>
  <c r="D1003" i="1" a="1"/>
  <c r="D1003" i="1" s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 s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 s="1"/>
  <c r="D1042" i="1" a="1"/>
  <c r="D1042" i="1" s="1"/>
  <c r="D1043" i="1" a="1"/>
  <c r="D1043" i="1" s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 s="1"/>
  <c r="D1056" i="1" a="1"/>
  <c r="D1056" i="1" s="1"/>
  <c r="D1057" i="1" a="1"/>
  <c r="D1057" i="1" s="1"/>
  <c r="D1058" i="1" a="1"/>
  <c r="D1058" i="1" s="1"/>
  <c r="D1059" i="1" a="1"/>
  <c r="D1059" i="1" s="1"/>
  <c r="D1060" i="1" a="1"/>
  <c r="D1060" i="1" s="1"/>
  <c r="D1061" i="1" a="1"/>
  <c r="D1061" i="1" s="1"/>
  <c r="D1062" i="1" a="1"/>
  <c r="D1062" i="1" s="1"/>
  <c r="D1063" i="1" a="1"/>
  <c r="D1063" i="1" s="1"/>
  <c r="D1064" i="1" a="1"/>
  <c r="D1064" i="1" s="1"/>
  <c r="D1065" i="1" a="1"/>
  <c r="D1065" i="1" s="1"/>
  <c r="D1066" i="1" a="1"/>
  <c r="D1066" i="1" s="1"/>
  <c r="D1067" i="1" a="1"/>
  <c r="D1067" i="1" s="1"/>
  <c r="D1068" i="1" a="1"/>
  <c r="D1068" i="1" s="1"/>
  <c r="D1069" i="1" a="1"/>
  <c r="D1069" i="1" s="1"/>
  <c r="D1070" i="1" a="1"/>
  <c r="D1070" i="1" s="1"/>
  <c r="D1071" i="1" a="1"/>
  <c r="D1071" i="1" s="1"/>
  <c r="D1072" i="1" a="1"/>
  <c r="D1072" i="1" s="1"/>
  <c r="D1073" i="1" a="1"/>
  <c r="D1073" i="1" s="1"/>
  <c r="D1074" i="1" a="1"/>
  <c r="D1074" i="1" s="1"/>
  <c r="D1075" i="1" a="1"/>
  <c r="D1075" i="1" s="1"/>
  <c r="D1076" i="1" a="1"/>
  <c r="D1076" i="1" s="1"/>
  <c r="D1077" i="1" a="1"/>
  <c r="D1077" i="1" s="1"/>
  <c r="D1078" i="1" a="1"/>
  <c r="D1078" i="1" s="1"/>
  <c r="D1079" i="1" a="1"/>
  <c r="D1079" i="1" s="1"/>
  <c r="D1080" i="1" a="1"/>
  <c r="D1080" i="1" s="1"/>
  <c r="D1081" i="1" a="1"/>
  <c r="D1081" i="1" s="1"/>
  <c r="D1082" i="1" a="1"/>
  <c r="D1082" i="1" s="1"/>
  <c r="D1083" i="1" a="1"/>
  <c r="D1083" i="1" s="1"/>
  <c r="D1084" i="1" a="1"/>
  <c r="D1084" i="1" s="1"/>
  <c r="D1085" i="1" a="1"/>
  <c r="D1085" i="1" s="1"/>
  <c r="D1086" i="1" a="1"/>
  <c r="D1086" i="1" s="1"/>
  <c r="D1087" i="1" a="1"/>
  <c r="D1087" i="1" s="1"/>
  <c r="D1088" i="1" a="1"/>
  <c r="D1088" i="1" s="1"/>
  <c r="D1089" i="1" a="1"/>
  <c r="D1089" i="1" s="1"/>
  <c r="D1090" i="1" a="1"/>
  <c r="D1090" i="1" s="1"/>
  <c r="D1091" i="1" a="1"/>
  <c r="D1091" i="1" s="1"/>
  <c r="D1092" i="1" a="1"/>
  <c r="D1092" i="1" s="1"/>
  <c r="D1093" i="1" a="1"/>
  <c r="D1093" i="1" s="1"/>
  <c r="D1094" i="1" a="1"/>
  <c r="D1094" i="1" s="1"/>
  <c r="D1095" i="1" a="1"/>
  <c r="D1095" i="1" s="1"/>
  <c r="D1096" i="1" a="1"/>
  <c r="D1096" i="1" s="1"/>
  <c r="D1097" i="1" a="1"/>
  <c r="D1097" i="1" s="1"/>
  <c r="D1098" i="1" a="1"/>
  <c r="D1098" i="1" s="1"/>
  <c r="D1099" i="1" a="1"/>
  <c r="D1099" i="1" s="1"/>
  <c r="D1100" i="1" a="1"/>
  <c r="D1100" i="1" s="1"/>
  <c r="D1101" i="1" a="1"/>
  <c r="D1101" i="1" s="1"/>
  <c r="D1102" i="1" a="1"/>
  <c r="D1102" i="1" s="1"/>
  <c r="D1103" i="1" a="1"/>
  <c r="D1103" i="1" s="1"/>
  <c r="D1104" i="1" a="1"/>
  <c r="D1104" i="1" s="1"/>
  <c r="D1105" i="1" a="1"/>
  <c r="D1105" i="1" s="1"/>
  <c r="D1106" i="1" a="1"/>
  <c r="D1106" i="1" s="1"/>
  <c r="D1107" i="1" a="1"/>
  <c r="D1107" i="1" s="1"/>
  <c r="D1108" i="1" a="1"/>
  <c r="D1108" i="1" s="1"/>
  <c r="D1109" i="1" a="1"/>
  <c r="D1109" i="1" s="1"/>
  <c r="D1110" i="1" a="1"/>
  <c r="D1110" i="1" s="1"/>
  <c r="D1111" i="1" a="1"/>
  <c r="D1111" i="1" s="1"/>
  <c r="D1112" i="1" a="1"/>
  <c r="D1112" i="1" s="1"/>
  <c r="D1113" i="1" a="1"/>
  <c r="D1113" i="1" s="1"/>
  <c r="D1114" i="1" a="1"/>
  <c r="D1114" i="1" s="1"/>
  <c r="D1115" i="1" a="1"/>
  <c r="D1115" i="1" s="1"/>
  <c r="D1116" i="1" a="1"/>
  <c r="D1116" i="1" s="1"/>
  <c r="D1117" i="1" a="1"/>
  <c r="D1117" i="1" s="1"/>
  <c r="D1118" i="1" a="1"/>
  <c r="D1118" i="1" s="1"/>
  <c r="D1119" i="1" a="1"/>
  <c r="D1119" i="1" s="1"/>
  <c r="D1120" i="1" a="1"/>
  <c r="D1120" i="1" s="1"/>
  <c r="D1121" i="1" a="1"/>
  <c r="D1121" i="1" s="1"/>
  <c r="D1122" i="1" a="1"/>
  <c r="D1122" i="1" s="1"/>
  <c r="D1123" i="1" a="1"/>
  <c r="D1123" i="1" s="1"/>
  <c r="D1124" i="1" a="1"/>
  <c r="D1124" i="1" s="1"/>
  <c r="D1125" i="1" a="1"/>
  <c r="D1125" i="1" s="1"/>
  <c r="D1126" i="1" a="1"/>
  <c r="D1126" i="1" s="1"/>
  <c r="D1127" i="1" a="1"/>
  <c r="D1127" i="1" s="1"/>
  <c r="D1128" i="1" a="1"/>
  <c r="D1128" i="1" s="1"/>
  <c r="D1129" i="1" a="1"/>
  <c r="D1129" i="1" s="1"/>
  <c r="D1130" i="1" a="1"/>
  <c r="D1130" i="1" s="1"/>
  <c r="D1131" i="1" a="1"/>
  <c r="D1131" i="1" s="1"/>
  <c r="D1132" i="1" a="1"/>
  <c r="D1132" i="1" s="1"/>
  <c r="D1133" i="1" a="1"/>
  <c r="D1133" i="1" s="1"/>
  <c r="D1134" i="1" a="1"/>
  <c r="D1134" i="1" s="1"/>
  <c r="D1135" i="1" a="1"/>
  <c r="D1135" i="1" s="1"/>
  <c r="D1136" i="1" a="1"/>
  <c r="D1136" i="1" s="1"/>
  <c r="D1137" i="1" a="1"/>
  <c r="D1137" i="1" s="1"/>
  <c r="D1138" i="1" a="1"/>
  <c r="D1138" i="1" s="1"/>
  <c r="D1139" i="1" a="1"/>
  <c r="D1139" i="1" s="1"/>
  <c r="D1140" i="1" a="1"/>
  <c r="D1140" i="1" s="1"/>
  <c r="D1141" i="1" a="1"/>
  <c r="D1141" i="1" s="1"/>
  <c r="D1142" i="1" a="1"/>
  <c r="D1142" i="1" s="1"/>
  <c r="D1143" i="1" a="1"/>
  <c r="D1143" i="1" s="1"/>
  <c r="D1144" i="1" a="1"/>
  <c r="D1144" i="1" s="1"/>
  <c r="D1145" i="1" a="1"/>
  <c r="D1145" i="1" s="1"/>
  <c r="D1146" i="1" a="1"/>
  <c r="D1146" i="1" s="1"/>
  <c r="D1147" i="1" a="1"/>
  <c r="D1147" i="1" s="1"/>
  <c r="D1148" i="1" a="1"/>
  <c r="D1148" i="1" s="1"/>
  <c r="D1149" i="1" a="1"/>
  <c r="D1149" i="1" s="1"/>
  <c r="D1150" i="1" a="1"/>
  <c r="D1150" i="1" s="1"/>
  <c r="D1151" i="1" a="1"/>
  <c r="D1151" i="1" s="1"/>
  <c r="D1152" i="1" a="1"/>
  <c r="D1152" i="1" s="1"/>
  <c r="D1153" i="1" a="1"/>
  <c r="D1153" i="1" s="1"/>
  <c r="D1154" i="1" a="1"/>
  <c r="D1154" i="1" s="1"/>
  <c r="D1155" i="1" a="1"/>
  <c r="D1155" i="1" s="1"/>
  <c r="D1156" i="1" a="1"/>
  <c r="D1156" i="1" s="1"/>
  <c r="D1157" i="1" a="1"/>
  <c r="D1157" i="1" s="1"/>
  <c r="D1158" i="1" a="1"/>
  <c r="D1158" i="1" s="1"/>
  <c r="D1159" i="1" a="1"/>
  <c r="D1159" i="1" s="1"/>
  <c r="D1160" i="1" a="1"/>
  <c r="D1160" i="1" s="1"/>
  <c r="D1161" i="1" a="1"/>
  <c r="D1161" i="1" s="1"/>
  <c r="D1162" i="1" a="1"/>
  <c r="D1162" i="1" s="1"/>
  <c r="D1163" i="1" a="1"/>
  <c r="D1163" i="1" s="1"/>
  <c r="D1164" i="1" a="1"/>
  <c r="D1164" i="1" s="1"/>
  <c r="D1165" i="1" a="1"/>
  <c r="D1165" i="1" s="1"/>
  <c r="D1166" i="1" a="1"/>
  <c r="D1166" i="1" s="1"/>
  <c r="D1167" i="1" a="1"/>
  <c r="D1167" i="1" s="1"/>
  <c r="D1168" i="1" a="1"/>
  <c r="D1168" i="1" s="1"/>
  <c r="D1169" i="1" a="1"/>
  <c r="D1169" i="1" s="1"/>
  <c r="D1170" i="1" a="1"/>
  <c r="D1170" i="1" s="1"/>
  <c r="D1171" i="1" a="1"/>
  <c r="D1171" i="1" s="1"/>
  <c r="D1172" i="1" a="1"/>
  <c r="D1172" i="1" s="1"/>
  <c r="D1173" i="1" a="1"/>
  <c r="D1173" i="1" s="1"/>
  <c r="D1174" i="1" a="1"/>
  <c r="D1174" i="1" s="1"/>
  <c r="D1175" i="1" a="1"/>
  <c r="D1175" i="1" s="1"/>
  <c r="D1176" i="1" a="1"/>
  <c r="D1176" i="1" s="1"/>
  <c r="D1177" i="1" a="1"/>
  <c r="D1177" i="1" s="1"/>
  <c r="D1178" i="1" a="1"/>
  <c r="D1178" i="1" s="1"/>
  <c r="D1179" i="1" a="1"/>
  <c r="D1179" i="1" s="1"/>
  <c r="D1180" i="1" a="1"/>
  <c r="D1180" i="1" s="1"/>
  <c r="D1181" i="1" a="1"/>
  <c r="D1181" i="1" s="1"/>
  <c r="D1182" i="1" a="1"/>
  <c r="D1182" i="1" s="1"/>
  <c r="D1183" i="1" a="1"/>
  <c r="D1183" i="1" s="1"/>
  <c r="D1184" i="1" a="1"/>
  <c r="D1184" i="1" s="1"/>
  <c r="D1185" i="1" a="1"/>
  <c r="D1185" i="1" s="1"/>
  <c r="D1186" i="1" a="1"/>
  <c r="D1186" i="1" s="1"/>
  <c r="D1187" i="1" a="1"/>
  <c r="D1187" i="1" s="1"/>
  <c r="D1188" i="1" a="1"/>
  <c r="D1188" i="1" s="1"/>
  <c r="D1189" i="1" a="1"/>
  <c r="D1189" i="1" s="1"/>
  <c r="D1190" i="1" a="1"/>
  <c r="D1190" i="1" s="1"/>
  <c r="D1191" i="1" a="1"/>
  <c r="D1191" i="1" s="1"/>
  <c r="D1192" i="1" a="1"/>
  <c r="D1192" i="1" s="1"/>
  <c r="D1193" i="1" a="1"/>
  <c r="D1193" i="1" s="1"/>
  <c r="D1194" i="1" a="1"/>
  <c r="D1194" i="1" s="1"/>
  <c r="D1195" i="1" a="1"/>
  <c r="D1195" i="1" s="1"/>
  <c r="D1196" i="1" a="1"/>
  <c r="D1196" i="1" s="1"/>
  <c r="D1197" i="1" a="1"/>
  <c r="D1197" i="1" s="1"/>
  <c r="D1198" i="1" a="1"/>
  <c r="D1198" i="1" s="1"/>
  <c r="D1199" i="1" a="1"/>
  <c r="D1199" i="1" s="1"/>
  <c r="D1200" i="1" a="1"/>
  <c r="D1200" i="1" s="1"/>
  <c r="D1201" i="1" a="1"/>
  <c r="D1201" i="1" s="1"/>
  <c r="D1202" i="1" a="1"/>
  <c r="D1202" i="1" s="1"/>
  <c r="D1203" i="1" a="1"/>
  <c r="D1203" i="1" s="1"/>
  <c r="D1204" i="1" a="1"/>
  <c r="D1204" i="1" s="1"/>
  <c r="D1205" i="1" a="1"/>
  <c r="D1205" i="1" s="1"/>
  <c r="D1206" i="1" a="1"/>
  <c r="D1206" i="1" s="1"/>
  <c r="D1207" i="1" a="1"/>
  <c r="D1207" i="1" s="1"/>
  <c r="D1208" i="1" a="1"/>
  <c r="D1208" i="1" s="1"/>
  <c r="D1209" i="1" a="1"/>
  <c r="D1209" i="1" s="1"/>
  <c r="D1210" i="1" a="1"/>
  <c r="D1210" i="1" s="1"/>
  <c r="D1211" i="1" a="1"/>
  <c r="D1211" i="1" s="1"/>
  <c r="D1212" i="1" a="1"/>
  <c r="D1212" i="1" s="1"/>
  <c r="D1213" i="1" a="1"/>
  <c r="D1213" i="1" s="1"/>
  <c r="D1214" i="1" a="1"/>
  <c r="D1214" i="1" s="1"/>
  <c r="D1215" i="1" a="1"/>
  <c r="D1215" i="1" s="1"/>
  <c r="D1216" i="1" a="1"/>
  <c r="D1216" i="1" s="1"/>
  <c r="D1217" i="1" a="1"/>
  <c r="D1217" i="1" s="1"/>
  <c r="D1218" i="1" a="1"/>
  <c r="D1218" i="1" s="1"/>
  <c r="D1219" i="1" a="1"/>
  <c r="D1219" i="1" s="1"/>
  <c r="D1220" i="1" a="1"/>
  <c r="D1220" i="1" s="1"/>
  <c r="D1221" i="1" a="1"/>
  <c r="D1221" i="1" s="1"/>
  <c r="D1222" i="1" a="1"/>
  <c r="D1222" i="1" s="1"/>
  <c r="D1223" i="1" a="1"/>
  <c r="D1223" i="1" s="1"/>
  <c r="D1224" i="1" a="1"/>
  <c r="D1224" i="1" s="1"/>
  <c r="D1225" i="1" a="1"/>
  <c r="D1225" i="1" s="1"/>
  <c r="D1226" i="1" a="1"/>
  <c r="D1226" i="1" s="1"/>
  <c r="D1227" i="1" a="1"/>
  <c r="D1227" i="1" s="1"/>
  <c r="D1228" i="1" a="1"/>
  <c r="D1228" i="1" s="1"/>
  <c r="D1229" i="1" a="1"/>
  <c r="D1229" i="1" s="1"/>
  <c r="D1230" i="1" a="1"/>
  <c r="D1230" i="1" s="1"/>
  <c r="D1231" i="1" a="1"/>
  <c r="D1231" i="1" s="1"/>
  <c r="D1232" i="1" a="1"/>
  <c r="D1232" i="1" s="1"/>
  <c r="D1233" i="1" a="1"/>
  <c r="D1233" i="1" s="1"/>
  <c r="D1234" i="1" a="1"/>
  <c r="D1234" i="1" s="1"/>
  <c r="D1235" i="1" a="1"/>
  <c r="D1235" i="1" s="1"/>
  <c r="D1236" i="1" a="1"/>
  <c r="D1236" i="1" s="1"/>
  <c r="D1237" i="1" a="1"/>
  <c r="D1237" i="1" s="1"/>
  <c r="D1238" i="1" a="1"/>
  <c r="D1238" i="1" s="1"/>
  <c r="D1239" i="1" a="1"/>
  <c r="D1239" i="1" s="1"/>
  <c r="D1240" i="1" a="1"/>
  <c r="D1240" i="1" s="1"/>
  <c r="D1241" i="1" a="1"/>
  <c r="D1241" i="1" s="1"/>
  <c r="D1242" i="1" a="1"/>
  <c r="D1242" i="1" s="1"/>
  <c r="D1243" i="1" a="1"/>
  <c r="D1243" i="1" s="1"/>
  <c r="D1244" i="1" a="1"/>
  <c r="D1244" i="1" s="1"/>
  <c r="D1245" i="1" a="1"/>
  <c r="D1245" i="1" s="1"/>
  <c r="D1246" i="1" a="1"/>
  <c r="D1246" i="1" s="1"/>
  <c r="D1247" i="1" a="1"/>
  <c r="D1247" i="1" s="1"/>
  <c r="D1248" i="1" a="1"/>
  <c r="D1248" i="1" s="1"/>
  <c r="D1249" i="1" a="1"/>
  <c r="D1249" i="1" s="1"/>
  <c r="D1250" i="1" a="1"/>
  <c r="D1250" i="1" s="1"/>
  <c r="D1251" i="1" a="1"/>
  <c r="D1251" i="1" s="1"/>
  <c r="D1252" i="1" a="1"/>
  <c r="D1252" i="1" s="1"/>
  <c r="D1253" i="1" a="1"/>
  <c r="D1253" i="1" s="1"/>
  <c r="D1254" i="1" a="1"/>
  <c r="D1254" i="1" s="1"/>
  <c r="D1255" i="1" a="1"/>
  <c r="D1255" i="1" s="1"/>
  <c r="D1256" i="1" a="1"/>
  <c r="D1256" i="1" s="1"/>
  <c r="D1257" i="1" a="1"/>
  <c r="D1257" i="1" s="1"/>
  <c r="D1258" i="1" a="1"/>
  <c r="D1258" i="1" s="1"/>
  <c r="D1259" i="1" a="1"/>
  <c r="D1259" i="1" s="1"/>
  <c r="D1260" i="1" a="1"/>
  <c r="D1260" i="1" s="1"/>
  <c r="D1261" i="1" a="1"/>
  <c r="D1261" i="1" s="1"/>
  <c r="D1262" i="1" a="1"/>
  <c r="D1262" i="1" s="1"/>
  <c r="D1263" i="1" a="1"/>
  <c r="D1263" i="1" s="1"/>
  <c r="D1264" i="1" a="1"/>
  <c r="D1264" i="1" s="1"/>
  <c r="D1265" i="1" a="1"/>
  <c r="D1265" i="1" s="1"/>
  <c r="D1266" i="1" a="1"/>
  <c r="D1266" i="1" s="1"/>
  <c r="D1267" i="1" a="1"/>
  <c r="D1267" i="1" s="1"/>
  <c r="D1268" i="1" a="1"/>
  <c r="D1268" i="1" s="1"/>
  <c r="D1269" i="1" a="1"/>
  <c r="D1269" i="1" s="1"/>
  <c r="D1270" i="1" a="1"/>
  <c r="D1270" i="1" s="1"/>
  <c r="D1271" i="1" a="1"/>
  <c r="D1271" i="1" s="1"/>
  <c r="D1272" i="1" a="1"/>
  <c r="D1272" i="1" s="1"/>
  <c r="D1273" i="1" a="1"/>
  <c r="D1273" i="1" s="1"/>
  <c r="D1274" i="1" a="1"/>
  <c r="D1274" i="1" s="1"/>
  <c r="D1275" i="1" a="1"/>
  <c r="D1275" i="1" s="1"/>
  <c r="D1276" i="1" a="1"/>
  <c r="D1276" i="1" s="1"/>
  <c r="D1277" i="1" a="1"/>
  <c r="D1277" i="1" s="1"/>
  <c r="D1278" i="1" a="1"/>
  <c r="D1278" i="1" s="1"/>
  <c r="D1279" i="1" a="1"/>
  <c r="D1279" i="1" s="1"/>
  <c r="D1280" i="1" a="1"/>
  <c r="D1280" i="1" s="1"/>
  <c r="D1281" i="1" a="1"/>
  <c r="D1281" i="1" s="1"/>
  <c r="D1282" i="1" a="1"/>
  <c r="D1282" i="1" s="1"/>
  <c r="D1283" i="1" a="1"/>
  <c r="D1283" i="1" s="1"/>
  <c r="D1284" i="1" a="1"/>
  <c r="D1284" i="1" s="1"/>
  <c r="D1285" i="1" a="1"/>
  <c r="D1285" i="1" s="1"/>
  <c r="D1286" i="1" a="1"/>
  <c r="D1286" i="1" s="1"/>
  <c r="D1287" i="1" a="1"/>
  <c r="D1287" i="1" s="1"/>
  <c r="D1288" i="1" a="1"/>
  <c r="D1288" i="1" s="1"/>
  <c r="D1289" i="1" a="1"/>
  <c r="D1289" i="1" s="1"/>
  <c r="D1290" i="1" a="1"/>
  <c r="D1290" i="1" s="1"/>
  <c r="D1291" i="1" a="1"/>
  <c r="D1291" i="1" s="1"/>
  <c r="D1292" i="1" a="1"/>
  <c r="D1292" i="1" s="1"/>
  <c r="D1293" i="1" a="1"/>
  <c r="D1293" i="1" s="1"/>
  <c r="D1294" i="1" a="1"/>
  <c r="D1294" i="1" s="1"/>
  <c r="D1295" i="1" a="1"/>
  <c r="D1295" i="1" s="1"/>
  <c r="D1296" i="1" a="1"/>
  <c r="D1296" i="1" s="1"/>
  <c r="D1297" i="1" a="1"/>
  <c r="D1297" i="1" s="1"/>
  <c r="D1298" i="1" a="1"/>
  <c r="D1298" i="1" s="1"/>
  <c r="D1299" i="1" a="1"/>
  <c r="D1299" i="1" s="1"/>
  <c r="D1300" i="1" a="1"/>
  <c r="D1300" i="1" s="1"/>
  <c r="D1301" i="1" a="1"/>
  <c r="D1301" i="1" s="1"/>
  <c r="D1302" i="1" a="1"/>
  <c r="D1302" i="1" s="1"/>
  <c r="D1303" i="1" a="1"/>
  <c r="D1303" i="1" s="1"/>
  <c r="D1304" i="1" a="1"/>
  <c r="D1304" i="1" s="1"/>
  <c r="D1305" i="1" a="1"/>
  <c r="D1305" i="1" s="1"/>
  <c r="D1306" i="1" a="1"/>
  <c r="D1306" i="1" s="1"/>
  <c r="D1307" i="1" a="1"/>
  <c r="D1307" i="1" s="1"/>
  <c r="D1308" i="1" a="1"/>
  <c r="D1308" i="1" s="1"/>
  <c r="D1309" i="1" a="1"/>
  <c r="D1309" i="1" s="1"/>
  <c r="D1310" i="1" a="1"/>
  <c r="D1310" i="1" s="1"/>
  <c r="D1311" i="1" a="1"/>
  <c r="D1311" i="1" s="1"/>
  <c r="D1312" i="1" a="1"/>
  <c r="D1312" i="1" s="1"/>
  <c r="D1313" i="1" a="1"/>
  <c r="D1313" i="1" s="1"/>
  <c r="D1314" i="1" a="1"/>
  <c r="D1314" i="1" s="1"/>
  <c r="D1315" i="1" a="1"/>
  <c r="D1315" i="1" s="1"/>
  <c r="D1316" i="1" a="1"/>
  <c r="D1316" i="1" s="1"/>
  <c r="D1317" i="1" a="1"/>
  <c r="D1317" i="1" s="1"/>
  <c r="D1318" i="1" a="1"/>
  <c r="D1318" i="1" s="1"/>
  <c r="D1319" i="1" a="1"/>
  <c r="D1319" i="1" s="1"/>
  <c r="D1320" i="1" a="1"/>
  <c r="D1320" i="1" s="1"/>
  <c r="D1321" i="1" a="1"/>
  <c r="D1321" i="1" s="1"/>
  <c r="D1322" i="1" a="1"/>
  <c r="D1322" i="1" s="1"/>
  <c r="D1323" i="1" a="1"/>
  <c r="D1323" i="1" s="1"/>
  <c r="D1324" i="1" a="1"/>
  <c r="D1324" i="1" s="1"/>
  <c r="D1325" i="1" a="1"/>
  <c r="D1325" i="1" s="1"/>
  <c r="D1326" i="1" a="1"/>
  <c r="D1326" i="1" s="1"/>
  <c r="D1327" i="1" a="1"/>
  <c r="D1327" i="1" s="1"/>
  <c r="D1328" i="1" a="1"/>
  <c r="D1328" i="1" s="1"/>
  <c r="D1329" i="1" a="1"/>
  <c r="D1329" i="1" s="1"/>
  <c r="D1330" i="1" a="1"/>
  <c r="D1330" i="1" s="1"/>
  <c r="D1331" i="1" a="1"/>
  <c r="D1331" i="1" s="1"/>
  <c r="D1332" i="1" a="1"/>
  <c r="D1332" i="1" s="1"/>
  <c r="D1333" i="1" a="1"/>
  <c r="D1333" i="1" s="1"/>
  <c r="D1334" i="1" a="1"/>
  <c r="D1334" i="1" s="1"/>
  <c r="D1335" i="1" a="1"/>
  <c r="D1335" i="1" s="1"/>
  <c r="D1336" i="1" a="1"/>
  <c r="D1336" i="1" s="1"/>
  <c r="D1337" i="1" a="1"/>
  <c r="D1337" i="1" s="1"/>
  <c r="D1338" i="1" a="1"/>
  <c r="D1338" i="1" s="1"/>
  <c r="D1339" i="1" a="1"/>
  <c r="D1339" i="1" s="1"/>
  <c r="D1340" i="1" a="1"/>
  <c r="D1340" i="1" s="1"/>
  <c r="D1341" i="1" a="1"/>
  <c r="D1341" i="1" s="1"/>
  <c r="D1342" i="1" a="1"/>
  <c r="D1342" i="1" s="1"/>
  <c r="D1343" i="1" a="1"/>
  <c r="D1343" i="1" s="1"/>
  <c r="D1344" i="1" a="1"/>
  <c r="D1344" i="1" s="1"/>
  <c r="D1345" i="1" a="1"/>
  <c r="D1345" i="1" s="1"/>
  <c r="D1346" i="1" a="1"/>
  <c r="D1346" i="1" s="1"/>
  <c r="D1347" i="1" a="1"/>
  <c r="D1347" i="1" s="1"/>
  <c r="D1348" i="1" a="1"/>
  <c r="D1348" i="1" s="1"/>
  <c r="D1349" i="1" a="1"/>
  <c r="D1349" i="1" s="1"/>
  <c r="D1350" i="1" a="1"/>
  <c r="D1350" i="1" s="1"/>
  <c r="D1351" i="1" a="1"/>
  <c r="D1351" i="1" s="1"/>
  <c r="D1352" i="1" a="1"/>
  <c r="D1352" i="1" s="1"/>
  <c r="D1353" i="1" a="1"/>
  <c r="D1353" i="1" s="1"/>
  <c r="D1354" i="1" a="1"/>
  <c r="D1354" i="1" s="1"/>
  <c r="D1355" i="1" a="1"/>
  <c r="D1355" i="1" s="1"/>
  <c r="D1356" i="1" a="1"/>
  <c r="D1356" i="1" s="1"/>
  <c r="D1357" i="1" a="1"/>
  <c r="D1357" i="1" s="1"/>
  <c r="D1358" i="1" a="1"/>
  <c r="D1358" i="1" s="1"/>
  <c r="D1359" i="1" a="1"/>
  <c r="D1359" i="1" s="1"/>
  <c r="D1360" i="1" a="1"/>
  <c r="D1360" i="1" s="1"/>
  <c r="D1361" i="1" a="1"/>
  <c r="D1361" i="1" s="1"/>
  <c r="D1362" i="1" a="1"/>
  <c r="D1362" i="1" s="1"/>
  <c r="D1363" i="1" a="1"/>
  <c r="D1363" i="1" s="1"/>
  <c r="D1364" i="1" a="1"/>
  <c r="D1364" i="1" s="1"/>
  <c r="D1365" i="1" a="1"/>
  <c r="D1365" i="1" s="1"/>
  <c r="D1366" i="1" a="1"/>
  <c r="D1366" i="1" s="1"/>
  <c r="D1367" i="1" a="1"/>
  <c r="D1367" i="1" s="1"/>
  <c r="D1368" i="1" a="1"/>
  <c r="D1368" i="1" s="1"/>
  <c r="D1369" i="1" a="1"/>
  <c r="D1369" i="1" s="1"/>
  <c r="D1370" i="1" a="1"/>
  <c r="D1370" i="1" s="1"/>
  <c r="D1371" i="1" a="1"/>
  <c r="D1371" i="1" s="1"/>
  <c r="D1372" i="1" a="1"/>
  <c r="D1372" i="1" s="1"/>
  <c r="D1373" i="1" a="1"/>
  <c r="D1373" i="1" s="1"/>
  <c r="D1374" i="1" a="1"/>
  <c r="D1374" i="1" s="1"/>
  <c r="D1375" i="1" a="1"/>
  <c r="D1375" i="1" s="1"/>
  <c r="D1376" i="1" a="1"/>
  <c r="D1376" i="1" s="1"/>
  <c r="D1377" i="1" a="1"/>
  <c r="D1377" i="1" s="1"/>
  <c r="D1378" i="1" a="1"/>
  <c r="D1378" i="1" s="1"/>
  <c r="D1379" i="1" a="1"/>
  <c r="D1379" i="1" s="1"/>
  <c r="D1380" i="1" a="1"/>
  <c r="D1380" i="1" s="1"/>
  <c r="D1381" i="1" a="1"/>
  <c r="D1381" i="1" s="1"/>
  <c r="D1382" i="1" a="1"/>
  <c r="D1382" i="1" s="1"/>
  <c r="D1383" i="1" a="1"/>
  <c r="D1383" i="1" s="1"/>
  <c r="D1384" i="1" a="1"/>
  <c r="D1384" i="1" s="1"/>
  <c r="D1385" i="1" a="1"/>
  <c r="D1385" i="1" s="1"/>
  <c r="D1386" i="1" a="1"/>
  <c r="D1386" i="1" s="1"/>
  <c r="D1387" i="1" a="1"/>
  <c r="D1387" i="1" s="1"/>
  <c r="D1388" i="1" a="1"/>
  <c r="D1388" i="1" s="1"/>
  <c r="D1389" i="1" a="1"/>
  <c r="D1389" i="1" s="1"/>
  <c r="D1390" i="1" a="1"/>
  <c r="D1390" i="1" s="1"/>
  <c r="D1391" i="1" a="1"/>
  <c r="D1391" i="1" s="1"/>
  <c r="D1392" i="1" a="1"/>
  <c r="D1392" i="1" s="1"/>
  <c r="D1393" i="1" a="1"/>
  <c r="D1393" i="1" s="1"/>
  <c r="D1394" i="1" a="1"/>
  <c r="D1394" i="1" s="1"/>
  <c r="D1395" i="1" a="1"/>
  <c r="D1395" i="1" s="1"/>
  <c r="D1396" i="1" a="1"/>
  <c r="D1396" i="1" s="1"/>
  <c r="D1397" i="1" a="1"/>
  <c r="D1397" i="1" s="1"/>
  <c r="D1398" i="1" a="1"/>
  <c r="D1398" i="1" s="1"/>
  <c r="D1399" i="1" a="1"/>
  <c r="D1399" i="1" s="1"/>
  <c r="D1400" i="1" a="1"/>
  <c r="D1400" i="1" s="1"/>
  <c r="D1401" i="1" a="1"/>
  <c r="D1401" i="1" s="1"/>
  <c r="D1402" i="1" a="1"/>
  <c r="D1402" i="1" s="1"/>
  <c r="D1403" i="1" a="1"/>
  <c r="D1403" i="1" s="1"/>
  <c r="D1404" i="1" a="1"/>
  <c r="D1404" i="1" s="1"/>
  <c r="D1405" i="1" a="1"/>
  <c r="D1405" i="1" s="1"/>
  <c r="D1406" i="1" a="1"/>
  <c r="D1406" i="1" s="1"/>
  <c r="D1407" i="1" a="1"/>
  <c r="D1407" i="1" s="1"/>
  <c r="D1408" i="1" a="1"/>
  <c r="D1408" i="1" s="1"/>
  <c r="D1409" i="1" a="1"/>
  <c r="D1409" i="1" s="1"/>
  <c r="D1410" i="1" a="1"/>
  <c r="D1410" i="1" s="1"/>
  <c r="D1411" i="1" a="1"/>
  <c r="D1411" i="1" s="1"/>
  <c r="D1412" i="1" a="1"/>
  <c r="D1412" i="1" s="1"/>
  <c r="D1413" i="1" a="1"/>
  <c r="D1413" i="1" s="1"/>
  <c r="D1414" i="1" a="1"/>
  <c r="D1414" i="1" s="1"/>
  <c r="D1415" i="1" a="1"/>
  <c r="D1415" i="1" s="1"/>
  <c r="D1416" i="1" a="1"/>
  <c r="D1416" i="1" s="1"/>
  <c r="D1417" i="1" a="1"/>
  <c r="D1417" i="1" s="1"/>
  <c r="D1418" i="1" a="1"/>
  <c r="D1418" i="1" s="1"/>
  <c r="D1419" i="1" a="1"/>
  <c r="D1419" i="1" s="1"/>
  <c r="D1420" i="1" a="1"/>
  <c r="D1420" i="1" s="1"/>
  <c r="D1421" i="1" a="1"/>
  <c r="D1421" i="1" s="1"/>
  <c r="D1422" i="1" a="1"/>
  <c r="D1422" i="1" s="1"/>
  <c r="D1423" i="1" a="1"/>
  <c r="D1423" i="1" s="1"/>
  <c r="D1424" i="1" a="1"/>
  <c r="D1424" i="1" s="1"/>
  <c r="D1425" i="1" a="1"/>
  <c r="D1425" i="1" s="1"/>
  <c r="D1426" i="1" a="1"/>
  <c r="D1426" i="1" s="1"/>
  <c r="D1427" i="1" a="1"/>
  <c r="D1427" i="1" s="1"/>
  <c r="D1428" i="1" a="1"/>
  <c r="D1428" i="1" s="1"/>
  <c r="D1429" i="1" a="1"/>
  <c r="D1429" i="1" s="1"/>
  <c r="D1430" i="1" a="1"/>
  <c r="D1430" i="1" s="1"/>
  <c r="D1431" i="1" a="1"/>
  <c r="D1431" i="1" s="1"/>
  <c r="D1432" i="1" a="1"/>
  <c r="D1432" i="1" s="1"/>
  <c r="D1433" i="1" a="1"/>
  <c r="D1433" i="1" s="1"/>
  <c r="D1434" i="1" a="1"/>
  <c r="D1434" i="1" s="1"/>
  <c r="D1435" i="1" a="1"/>
  <c r="D1435" i="1" s="1"/>
  <c r="D1436" i="1" a="1"/>
  <c r="D1436" i="1" s="1"/>
  <c r="D1437" i="1" a="1"/>
  <c r="D1437" i="1" s="1"/>
  <c r="D1438" i="1" a="1"/>
  <c r="D1438" i="1" s="1"/>
  <c r="D1439" i="1" a="1"/>
  <c r="D1439" i="1" s="1"/>
  <c r="D1440" i="1" a="1"/>
  <c r="D1440" i="1" s="1"/>
  <c r="D1441" i="1" a="1"/>
  <c r="D1441" i="1" s="1"/>
  <c r="D1442" i="1" a="1"/>
  <c r="D1442" i="1" s="1"/>
  <c r="D1443" i="1" a="1"/>
  <c r="D1443" i="1" s="1"/>
  <c r="D1444" i="1" a="1"/>
  <c r="D1444" i="1" s="1"/>
  <c r="D1445" i="1" a="1"/>
  <c r="D1445" i="1" s="1"/>
  <c r="D1446" i="1" a="1"/>
  <c r="D1446" i="1" s="1"/>
  <c r="D1447" i="1" a="1"/>
  <c r="D1447" i="1" s="1"/>
  <c r="D1448" i="1" a="1"/>
  <c r="D1448" i="1" s="1"/>
  <c r="D1449" i="1" a="1"/>
  <c r="D1449" i="1" s="1"/>
  <c r="D1450" i="1" a="1"/>
  <c r="D1450" i="1" s="1"/>
  <c r="D1451" i="1" a="1"/>
  <c r="D1451" i="1" s="1"/>
  <c r="D1452" i="1" a="1"/>
  <c r="D1452" i="1" s="1"/>
  <c r="D1453" i="1" a="1"/>
  <c r="D1453" i="1" s="1"/>
  <c r="D1454" i="1" a="1"/>
  <c r="D1454" i="1" s="1"/>
  <c r="D1455" i="1" a="1"/>
  <c r="D1455" i="1" s="1"/>
  <c r="D1456" i="1" a="1"/>
  <c r="D1456" i="1" s="1"/>
  <c r="D1457" i="1" a="1"/>
  <c r="D1457" i="1" s="1"/>
  <c r="D1458" i="1" a="1"/>
  <c r="D1458" i="1" s="1"/>
  <c r="D1459" i="1" a="1"/>
  <c r="D1459" i="1" s="1"/>
  <c r="D1460" i="1" a="1"/>
  <c r="D1460" i="1" s="1"/>
  <c r="D1461" i="1" a="1"/>
  <c r="D1461" i="1" s="1"/>
  <c r="D1462" i="1" a="1"/>
  <c r="D1462" i="1" s="1"/>
  <c r="D1463" i="1" a="1"/>
  <c r="D1463" i="1" s="1"/>
  <c r="D1464" i="1" a="1"/>
  <c r="D1464" i="1" s="1"/>
  <c r="D1465" i="1" a="1"/>
  <c r="D1465" i="1" s="1"/>
  <c r="D1466" i="1" a="1"/>
  <c r="D1466" i="1" s="1"/>
  <c r="D1467" i="1" a="1"/>
  <c r="D1467" i="1" s="1"/>
  <c r="D1468" i="1" a="1"/>
  <c r="D1468" i="1" s="1"/>
  <c r="D1469" i="1" a="1"/>
  <c r="D1469" i="1" s="1"/>
  <c r="D1470" i="1" a="1"/>
  <c r="D1470" i="1" s="1"/>
  <c r="D1471" i="1" a="1"/>
  <c r="D1471" i="1" s="1"/>
  <c r="D1472" i="1" a="1"/>
  <c r="D1472" i="1" s="1"/>
  <c r="D1473" i="1" a="1"/>
  <c r="D1473" i="1" s="1"/>
  <c r="D1474" i="1" a="1"/>
  <c r="D1474" i="1" s="1"/>
  <c r="D1475" i="1" a="1"/>
  <c r="D1475" i="1" s="1"/>
  <c r="D1476" i="1" a="1"/>
  <c r="D1476" i="1" s="1"/>
  <c r="D1477" i="1" a="1"/>
  <c r="D1477" i="1" s="1"/>
  <c r="D1478" i="1" a="1"/>
  <c r="D1478" i="1" s="1"/>
  <c r="D1479" i="1" a="1"/>
  <c r="D1479" i="1" s="1"/>
  <c r="D1480" i="1" a="1"/>
  <c r="D1480" i="1" s="1"/>
  <c r="D1481" i="1" a="1"/>
  <c r="D1481" i="1" s="1"/>
  <c r="D1482" i="1" a="1"/>
  <c r="D1482" i="1" s="1"/>
  <c r="D1483" i="1" a="1"/>
  <c r="D1483" i="1" s="1"/>
  <c r="D1484" i="1" a="1"/>
  <c r="D1484" i="1" s="1"/>
  <c r="D1485" i="1" a="1"/>
  <c r="D1485" i="1" s="1"/>
  <c r="D1486" i="1" a="1"/>
  <c r="D1486" i="1" s="1"/>
  <c r="D1487" i="1" a="1"/>
  <c r="D1487" i="1" s="1"/>
  <c r="D1488" i="1" a="1"/>
  <c r="D1488" i="1" s="1"/>
  <c r="D1489" i="1" a="1"/>
  <c r="D1489" i="1" s="1"/>
  <c r="D1490" i="1" a="1"/>
  <c r="D1490" i="1" s="1"/>
  <c r="D1491" i="1" a="1"/>
  <c r="D1491" i="1" s="1"/>
  <c r="D1492" i="1" a="1"/>
  <c r="D1492" i="1" s="1"/>
  <c r="D1493" i="1" a="1"/>
  <c r="D1493" i="1" s="1"/>
  <c r="D1494" i="1" a="1"/>
  <c r="D1494" i="1" s="1"/>
  <c r="D1495" i="1" a="1"/>
  <c r="D1495" i="1" s="1"/>
  <c r="D1496" i="1" a="1"/>
  <c r="D1496" i="1" s="1"/>
  <c r="D1497" i="1" a="1"/>
  <c r="D1497" i="1" s="1"/>
  <c r="D1498" i="1" a="1"/>
  <c r="D1498" i="1" s="1"/>
  <c r="D1499" i="1" a="1"/>
  <c r="D1499" i="1" s="1"/>
  <c r="D1500" i="1" a="1"/>
  <c r="D1500" i="1" s="1"/>
  <c r="D1501" i="1" a="1"/>
  <c r="D1501" i="1" s="1"/>
  <c r="D1502" i="1" a="1"/>
  <c r="D1502" i="1" s="1"/>
  <c r="D1503" i="1" a="1"/>
  <c r="D1503" i="1" s="1"/>
  <c r="D1504" i="1" a="1"/>
  <c r="D1504" i="1" s="1"/>
  <c r="D1505" i="1" a="1"/>
  <c r="D1505" i="1" s="1"/>
  <c r="D1506" i="1" a="1"/>
  <c r="D1506" i="1" s="1"/>
  <c r="D1507" i="1" a="1"/>
  <c r="D1507" i="1" s="1"/>
  <c r="D1508" i="1" a="1"/>
  <c r="D1508" i="1" s="1"/>
  <c r="D1509" i="1" a="1"/>
  <c r="D1509" i="1" s="1"/>
  <c r="D1510" i="1" a="1"/>
  <c r="D1510" i="1" s="1"/>
  <c r="D1511" i="1" a="1"/>
  <c r="D1511" i="1" s="1"/>
  <c r="D1512" i="1" a="1"/>
  <c r="D1512" i="1" s="1"/>
  <c r="D1513" i="1" a="1"/>
  <c r="D1513" i="1" s="1"/>
  <c r="D1514" i="1" a="1"/>
  <c r="D1514" i="1" s="1"/>
  <c r="D1515" i="1" a="1"/>
  <c r="D1515" i="1" s="1"/>
  <c r="D1516" i="1" a="1"/>
  <c r="D1516" i="1" s="1"/>
  <c r="D1517" i="1" a="1"/>
  <c r="D1517" i="1" s="1"/>
  <c r="D1518" i="1" a="1"/>
  <c r="D1518" i="1" s="1"/>
  <c r="D1519" i="1" a="1"/>
  <c r="D1519" i="1" s="1"/>
  <c r="D1520" i="1" a="1"/>
  <c r="D1520" i="1" s="1"/>
  <c r="D1521" i="1" a="1"/>
  <c r="D1521" i="1" s="1"/>
  <c r="D1522" i="1" a="1"/>
  <c r="D1522" i="1" s="1"/>
  <c r="D1523" i="1" a="1"/>
  <c r="D1523" i="1" s="1"/>
  <c r="D1524" i="1" a="1"/>
  <c r="D1524" i="1" s="1"/>
  <c r="D1525" i="1" a="1"/>
  <c r="D1525" i="1" s="1"/>
  <c r="D1526" i="1" a="1"/>
  <c r="D1526" i="1" s="1"/>
  <c r="D1527" i="1" a="1"/>
  <c r="D1527" i="1" s="1"/>
  <c r="D1528" i="1" a="1"/>
  <c r="D1528" i="1" s="1"/>
  <c r="D1529" i="1" a="1"/>
  <c r="D1529" i="1" s="1"/>
  <c r="D1530" i="1" a="1"/>
  <c r="D1530" i="1" s="1"/>
  <c r="D1531" i="1" a="1"/>
  <c r="D1531" i="1" s="1"/>
  <c r="D1532" i="1" a="1"/>
  <c r="D1532" i="1" s="1"/>
  <c r="D1533" i="1" a="1"/>
  <c r="D1533" i="1" s="1"/>
  <c r="D1534" i="1" a="1"/>
  <c r="D1534" i="1" s="1"/>
  <c r="D1535" i="1" a="1"/>
  <c r="D1535" i="1" s="1"/>
  <c r="D1536" i="1" a="1"/>
  <c r="D1536" i="1" s="1"/>
  <c r="D1537" i="1" a="1"/>
  <c r="D1537" i="1" s="1"/>
  <c r="D1538" i="1" a="1"/>
  <c r="D1538" i="1" s="1"/>
  <c r="D1539" i="1" a="1"/>
  <c r="D1539" i="1" s="1"/>
  <c r="D1540" i="1" a="1"/>
  <c r="D1540" i="1" s="1"/>
  <c r="D1541" i="1" a="1"/>
  <c r="D1541" i="1" s="1"/>
  <c r="D1542" i="1" a="1"/>
  <c r="D1542" i="1" s="1"/>
  <c r="D1543" i="1" a="1"/>
  <c r="D1543" i="1" s="1"/>
  <c r="D1544" i="1" a="1"/>
  <c r="D1544" i="1" s="1"/>
  <c r="D1545" i="1" a="1"/>
  <c r="D1545" i="1" s="1"/>
  <c r="D1546" i="1" a="1"/>
  <c r="D1546" i="1" s="1"/>
  <c r="D1547" i="1" a="1"/>
  <c r="D1547" i="1" s="1"/>
  <c r="D1548" i="1" a="1"/>
  <c r="D1548" i="1" s="1"/>
  <c r="D1549" i="1" a="1"/>
  <c r="D1549" i="1" s="1"/>
  <c r="D1550" i="1" a="1"/>
  <c r="D1550" i="1" s="1"/>
  <c r="D1551" i="1" a="1"/>
  <c r="D1551" i="1" s="1"/>
  <c r="D1552" i="1" a="1"/>
  <c r="D1552" i="1" s="1"/>
  <c r="D1553" i="1" a="1"/>
  <c r="D1553" i="1" s="1"/>
  <c r="D1554" i="1" a="1"/>
  <c r="D1554" i="1" s="1"/>
  <c r="D1555" i="1" a="1"/>
  <c r="D1555" i="1" s="1"/>
  <c r="D1556" i="1" a="1"/>
  <c r="D1556" i="1" s="1"/>
  <c r="D1557" i="1" a="1"/>
  <c r="D1557" i="1" s="1"/>
  <c r="D1558" i="1" a="1"/>
  <c r="D1558" i="1" s="1"/>
  <c r="D1559" i="1" a="1"/>
  <c r="D1559" i="1" s="1"/>
  <c r="D1560" i="1" a="1"/>
  <c r="D1560" i="1" s="1"/>
  <c r="D1561" i="1" a="1"/>
  <c r="D1561" i="1" s="1"/>
  <c r="D1562" i="1" a="1"/>
  <c r="D1562" i="1" s="1"/>
  <c r="D1563" i="1" a="1"/>
  <c r="D1563" i="1" s="1"/>
  <c r="D1564" i="1" a="1"/>
  <c r="D1564" i="1" s="1"/>
  <c r="D1565" i="1" a="1"/>
  <c r="D1565" i="1" s="1"/>
  <c r="D1566" i="1" a="1"/>
  <c r="D1566" i="1" s="1"/>
  <c r="D1567" i="1" a="1"/>
  <c r="D1567" i="1" s="1"/>
  <c r="D1568" i="1" a="1"/>
  <c r="D1568" i="1" s="1"/>
  <c r="D1569" i="1" a="1"/>
  <c r="D1569" i="1" s="1"/>
  <c r="D1570" i="1" a="1"/>
  <c r="D1570" i="1" s="1"/>
  <c r="D1571" i="1" a="1"/>
  <c r="D1571" i="1" s="1"/>
  <c r="D1572" i="1" a="1"/>
  <c r="D1572" i="1" s="1"/>
  <c r="D1573" i="1" a="1"/>
  <c r="D1573" i="1" s="1"/>
  <c r="D1574" i="1" a="1"/>
  <c r="D1574" i="1" s="1"/>
  <c r="D1575" i="1" a="1"/>
  <c r="D1575" i="1" s="1"/>
  <c r="D1576" i="1" a="1"/>
  <c r="D1576" i="1" s="1"/>
  <c r="D1577" i="1" a="1"/>
  <c r="D1577" i="1" s="1"/>
  <c r="D1578" i="1" a="1"/>
  <c r="D1578" i="1" s="1"/>
  <c r="D1579" i="1" a="1"/>
  <c r="D1579" i="1" s="1"/>
  <c r="D1580" i="1" a="1"/>
  <c r="D1580" i="1" s="1"/>
  <c r="D1581" i="1" a="1"/>
  <c r="D1581" i="1" s="1"/>
  <c r="D1582" i="1" a="1"/>
  <c r="D1582" i="1" s="1"/>
  <c r="D1583" i="1" a="1"/>
  <c r="D1583" i="1" s="1"/>
  <c r="D1584" i="1" a="1"/>
  <c r="D1584" i="1" s="1"/>
  <c r="D1585" i="1" a="1"/>
  <c r="D1585" i="1" s="1"/>
  <c r="D1586" i="1" a="1"/>
  <c r="D1586" i="1" s="1"/>
  <c r="D1587" i="1" a="1"/>
  <c r="D1587" i="1" s="1"/>
  <c r="D1588" i="1" a="1"/>
  <c r="D1588" i="1" s="1"/>
  <c r="D1589" i="1" a="1"/>
  <c r="D1589" i="1" s="1"/>
  <c r="D1590" i="1" a="1"/>
  <c r="D1590" i="1" s="1"/>
  <c r="D1591" i="1" a="1"/>
  <c r="D1591" i="1" s="1"/>
  <c r="D1592" i="1" a="1"/>
  <c r="D1592" i="1" s="1"/>
  <c r="D1593" i="1" a="1"/>
  <c r="D1593" i="1" s="1"/>
  <c r="D1594" i="1" a="1"/>
  <c r="D1594" i="1" s="1"/>
  <c r="D1595" i="1" a="1"/>
  <c r="D1595" i="1" s="1"/>
  <c r="D1596" i="1" a="1"/>
  <c r="D1596" i="1" s="1"/>
  <c r="D1597" i="1" a="1"/>
  <c r="D1597" i="1" s="1"/>
  <c r="D1598" i="1" a="1"/>
  <c r="D1598" i="1" s="1"/>
  <c r="D1599" i="1" a="1"/>
  <c r="D1599" i="1" s="1"/>
  <c r="D1600" i="1" a="1"/>
  <c r="D1600" i="1" s="1"/>
  <c r="D1601" i="1" a="1"/>
  <c r="D1601" i="1" s="1"/>
  <c r="D1602" i="1" a="1"/>
  <c r="D1602" i="1" s="1"/>
  <c r="D1603" i="1" a="1"/>
  <c r="D1603" i="1" s="1"/>
  <c r="D1604" i="1" a="1"/>
  <c r="D1604" i="1" s="1"/>
  <c r="D1605" i="1" a="1"/>
  <c r="D1605" i="1" s="1"/>
  <c r="D1606" i="1" a="1"/>
  <c r="D1606" i="1" s="1"/>
  <c r="D1607" i="1" a="1"/>
  <c r="D1607" i="1" s="1"/>
  <c r="D1608" i="1" a="1"/>
  <c r="D1608" i="1" s="1"/>
  <c r="D1609" i="1" a="1"/>
  <c r="D1609" i="1" s="1"/>
  <c r="D1610" i="1" a="1"/>
  <c r="D1610" i="1" s="1"/>
  <c r="D1611" i="1" a="1"/>
  <c r="D1611" i="1" s="1"/>
  <c r="D1612" i="1" a="1"/>
  <c r="D1612" i="1" s="1"/>
  <c r="D1613" i="1" a="1"/>
  <c r="D1613" i="1" s="1"/>
  <c r="D1614" i="1" a="1"/>
  <c r="D1614" i="1" s="1"/>
  <c r="D1615" i="1" a="1"/>
  <c r="D1615" i="1" s="1"/>
  <c r="D1616" i="1" a="1"/>
  <c r="D1616" i="1" s="1"/>
  <c r="D1617" i="1" a="1"/>
  <c r="D1617" i="1" s="1"/>
  <c r="D1618" i="1" a="1"/>
  <c r="D1618" i="1" s="1"/>
  <c r="D1619" i="1" a="1"/>
  <c r="D1619" i="1" s="1"/>
  <c r="D1620" i="1" a="1"/>
  <c r="D1620" i="1" s="1"/>
  <c r="D1621" i="1" a="1"/>
  <c r="D1621" i="1" s="1"/>
  <c r="D1622" i="1" a="1"/>
  <c r="D1622" i="1" s="1"/>
  <c r="D1623" i="1" a="1"/>
  <c r="D1623" i="1" s="1"/>
  <c r="D1624" i="1" a="1"/>
  <c r="D1624" i="1" s="1"/>
  <c r="D1625" i="1" a="1"/>
  <c r="D1625" i="1" s="1"/>
  <c r="D1626" i="1" a="1"/>
  <c r="D1626" i="1" s="1"/>
  <c r="D1627" i="1" a="1"/>
  <c r="D1627" i="1" s="1"/>
  <c r="D1628" i="1" a="1"/>
  <c r="D1628" i="1" s="1"/>
  <c r="D1629" i="1" a="1"/>
  <c r="D1629" i="1" s="1"/>
  <c r="D1630" i="1" a="1"/>
  <c r="D1630" i="1" s="1"/>
  <c r="D1631" i="1" a="1"/>
  <c r="D1631" i="1" s="1"/>
  <c r="D1632" i="1" a="1"/>
  <c r="D1632" i="1" s="1"/>
  <c r="D1633" i="1" a="1"/>
  <c r="D1633" i="1" s="1"/>
  <c r="D1634" i="1" a="1"/>
  <c r="D1634" i="1" s="1"/>
  <c r="D1635" i="1" a="1"/>
  <c r="D1635" i="1" s="1"/>
  <c r="D1636" i="1" a="1"/>
  <c r="D1636" i="1" s="1"/>
  <c r="D1637" i="1" a="1"/>
  <c r="D1637" i="1" s="1"/>
  <c r="D1638" i="1" a="1"/>
  <c r="D1638" i="1" s="1"/>
  <c r="D1639" i="1" a="1"/>
  <c r="D1639" i="1" s="1"/>
  <c r="D1640" i="1" a="1"/>
  <c r="D1640" i="1" s="1"/>
  <c r="D1641" i="1" a="1"/>
  <c r="D1641" i="1" s="1"/>
  <c r="D1642" i="1" a="1"/>
  <c r="D1642" i="1" s="1"/>
  <c r="D1643" i="1" a="1"/>
  <c r="D1643" i="1" s="1"/>
  <c r="D1644" i="1" a="1"/>
  <c r="D1644" i="1" s="1"/>
  <c r="D1645" i="1" a="1"/>
  <c r="D1645" i="1" s="1"/>
  <c r="D1646" i="1" a="1"/>
  <c r="D1646" i="1" s="1"/>
  <c r="D1647" i="1" a="1"/>
  <c r="D1647" i="1" s="1"/>
  <c r="D1648" i="1" a="1"/>
  <c r="D1648" i="1" s="1"/>
  <c r="D1649" i="1" a="1"/>
  <c r="D1649" i="1" s="1"/>
  <c r="D1650" i="1" a="1"/>
  <c r="D1650" i="1" s="1"/>
  <c r="D1651" i="1" a="1"/>
  <c r="D1651" i="1" s="1"/>
  <c r="D1652" i="1" a="1"/>
  <c r="D1652" i="1" s="1"/>
  <c r="D1653" i="1" a="1"/>
  <c r="D1653" i="1" s="1"/>
  <c r="D1654" i="1" a="1"/>
  <c r="D1654" i="1" s="1"/>
  <c r="D1655" i="1" a="1"/>
  <c r="D1655" i="1" s="1"/>
  <c r="D1656" i="1" a="1"/>
  <c r="D1656" i="1" s="1"/>
  <c r="D1657" i="1" a="1"/>
  <c r="D1657" i="1" s="1"/>
  <c r="D1658" i="1" a="1"/>
  <c r="D1658" i="1" s="1"/>
  <c r="D1659" i="1" a="1"/>
  <c r="D1659" i="1" s="1"/>
  <c r="D1660" i="1" a="1"/>
  <c r="D1660" i="1" s="1"/>
  <c r="D1661" i="1" a="1"/>
  <c r="D1661" i="1" s="1"/>
  <c r="D1662" i="1" a="1"/>
  <c r="D1662" i="1" s="1"/>
  <c r="D1663" i="1" a="1"/>
  <c r="D1663" i="1" s="1"/>
  <c r="D1664" i="1" a="1"/>
  <c r="D1664" i="1" s="1"/>
  <c r="D1665" i="1" a="1"/>
  <c r="D1665" i="1" s="1"/>
  <c r="D1666" i="1" a="1"/>
  <c r="D1666" i="1" s="1"/>
  <c r="D1667" i="1" a="1"/>
  <c r="D1667" i="1" s="1"/>
  <c r="D1668" i="1" a="1"/>
  <c r="D1668" i="1" s="1"/>
  <c r="D1669" i="1" a="1"/>
  <c r="D1669" i="1" s="1"/>
  <c r="D1670" i="1" a="1"/>
  <c r="D1670" i="1" s="1"/>
  <c r="D1671" i="1" a="1"/>
  <c r="D1671" i="1" s="1"/>
  <c r="D1672" i="1" a="1"/>
  <c r="D1672" i="1" s="1"/>
  <c r="D1673" i="1" a="1"/>
  <c r="D1673" i="1" s="1"/>
  <c r="D1674" i="1" a="1"/>
  <c r="D1674" i="1" s="1"/>
  <c r="D1675" i="1" a="1"/>
  <c r="D1675" i="1" s="1"/>
  <c r="D1676" i="1" a="1"/>
  <c r="D1676" i="1" s="1"/>
  <c r="D1677" i="1" a="1"/>
  <c r="D1677" i="1" s="1"/>
  <c r="D1678" i="1" a="1"/>
  <c r="D1678" i="1" s="1"/>
  <c r="D1679" i="1" a="1"/>
  <c r="D1679" i="1" s="1"/>
  <c r="D1680" i="1" a="1"/>
  <c r="D1680" i="1" s="1"/>
  <c r="D1681" i="1" a="1"/>
  <c r="D1681" i="1" s="1"/>
  <c r="D1682" i="1" a="1"/>
  <c r="D1682" i="1" s="1"/>
  <c r="D1683" i="1" a="1"/>
  <c r="D1683" i="1" s="1"/>
  <c r="D1684" i="1" a="1"/>
  <c r="D1684" i="1" s="1"/>
  <c r="D1685" i="1" a="1"/>
  <c r="D1685" i="1" s="1"/>
  <c r="D1686" i="1" a="1"/>
  <c r="D1686" i="1" s="1"/>
  <c r="D1687" i="1" a="1"/>
  <c r="D1687" i="1" s="1"/>
  <c r="D1688" i="1" a="1"/>
  <c r="D1688" i="1" s="1"/>
  <c r="D1689" i="1" a="1"/>
  <c r="D1689" i="1" s="1"/>
  <c r="D1690" i="1" a="1"/>
  <c r="D1690" i="1" s="1"/>
  <c r="D1691" i="1" a="1"/>
  <c r="D1691" i="1" s="1"/>
  <c r="D1692" i="1" a="1"/>
  <c r="D1692" i="1" s="1"/>
  <c r="D1693" i="1" a="1"/>
  <c r="D1693" i="1" s="1"/>
  <c r="D1694" i="1" a="1"/>
  <c r="D1694" i="1" s="1"/>
  <c r="D1695" i="1" a="1"/>
  <c r="D1695" i="1" s="1"/>
  <c r="D1696" i="1" a="1"/>
  <c r="D1696" i="1" s="1"/>
  <c r="D1697" i="1" a="1"/>
  <c r="D1697" i="1" s="1"/>
  <c r="D1698" i="1" a="1"/>
  <c r="D1698" i="1" s="1"/>
  <c r="D1699" i="1" a="1"/>
  <c r="D1699" i="1" s="1"/>
  <c r="D1700" i="1" a="1"/>
  <c r="D1700" i="1" s="1"/>
  <c r="D1701" i="1" a="1"/>
  <c r="D1701" i="1" s="1"/>
  <c r="D1702" i="1" a="1"/>
  <c r="D1702" i="1" s="1"/>
  <c r="D1703" i="1" a="1"/>
  <c r="D1703" i="1" s="1"/>
  <c r="D1704" i="1" a="1"/>
  <c r="D1704" i="1" s="1"/>
  <c r="D1705" i="1" a="1"/>
  <c r="D1705" i="1" s="1"/>
  <c r="D1706" i="1" a="1"/>
  <c r="D1706" i="1" s="1"/>
  <c r="D1707" i="1" a="1"/>
  <c r="D1707" i="1" s="1"/>
  <c r="D1708" i="1" a="1"/>
  <c r="D1708" i="1" s="1"/>
  <c r="D1709" i="1" a="1"/>
  <c r="D1709" i="1" s="1"/>
  <c r="D1710" i="1" a="1"/>
  <c r="D1710" i="1" s="1"/>
  <c r="D1711" i="1" a="1"/>
  <c r="D1711" i="1" s="1"/>
  <c r="D1712" i="1" a="1"/>
  <c r="D1712" i="1" s="1"/>
  <c r="D1713" i="1" a="1"/>
  <c r="D1713" i="1" s="1"/>
  <c r="D1714" i="1" a="1"/>
  <c r="D1714" i="1" s="1"/>
  <c r="D1715" i="1" a="1"/>
  <c r="D1715" i="1" s="1"/>
  <c r="D1716" i="1" a="1"/>
  <c r="D1716" i="1" s="1"/>
  <c r="D1717" i="1" a="1"/>
  <c r="D1717" i="1" s="1"/>
  <c r="D1718" i="1" a="1"/>
  <c r="D1718" i="1" s="1"/>
  <c r="D1719" i="1" a="1"/>
  <c r="D1719" i="1" s="1"/>
  <c r="D1720" i="1" a="1"/>
  <c r="D1720" i="1" s="1"/>
  <c r="D1721" i="1" a="1"/>
  <c r="D1721" i="1" s="1"/>
  <c r="D1722" i="1" a="1"/>
  <c r="D1722" i="1" s="1"/>
  <c r="D1723" i="1" a="1"/>
  <c r="D1723" i="1" s="1"/>
  <c r="D1724" i="1" a="1"/>
  <c r="D1724" i="1" s="1"/>
  <c r="D1725" i="1" a="1"/>
  <c r="D1725" i="1" s="1"/>
  <c r="D1726" i="1" a="1"/>
  <c r="D1726" i="1" s="1"/>
  <c r="D1727" i="1" a="1"/>
  <c r="D1727" i="1" s="1"/>
  <c r="D1728" i="1" a="1"/>
  <c r="D1728" i="1" s="1"/>
  <c r="D1729" i="1" a="1"/>
  <c r="D1729" i="1" s="1"/>
  <c r="D1730" i="1" a="1"/>
  <c r="D1730" i="1" s="1"/>
  <c r="D1731" i="1" a="1"/>
  <c r="D1731" i="1" s="1"/>
  <c r="D1732" i="1" a="1"/>
  <c r="D1732" i="1" s="1"/>
  <c r="D1733" i="1" a="1"/>
  <c r="D1733" i="1" s="1"/>
  <c r="D1734" i="1" a="1"/>
  <c r="D1734" i="1" s="1"/>
  <c r="D1735" i="1" a="1"/>
  <c r="D1735" i="1" s="1"/>
  <c r="D1736" i="1" a="1"/>
  <c r="D1736" i="1" s="1"/>
  <c r="D1737" i="1" a="1"/>
  <c r="D1737" i="1" s="1"/>
  <c r="D1738" i="1" a="1"/>
  <c r="D1738" i="1" s="1"/>
  <c r="D1739" i="1" a="1"/>
  <c r="D1739" i="1" s="1"/>
  <c r="D1740" i="1" a="1"/>
  <c r="D1740" i="1" s="1"/>
  <c r="D1741" i="1" a="1"/>
  <c r="D1741" i="1" s="1"/>
  <c r="D1742" i="1" a="1"/>
  <c r="D1742" i="1" s="1"/>
  <c r="D1743" i="1" a="1"/>
  <c r="D1743" i="1" s="1"/>
  <c r="D1744" i="1" a="1"/>
  <c r="D1744" i="1" s="1"/>
  <c r="D1745" i="1" a="1"/>
  <c r="D1745" i="1" s="1"/>
  <c r="D1746" i="1" a="1"/>
  <c r="D1746" i="1" s="1"/>
  <c r="D1747" i="1" a="1"/>
  <c r="D1747" i="1" s="1"/>
  <c r="D1748" i="1" a="1"/>
  <c r="D1748" i="1" s="1"/>
  <c r="D1749" i="1" a="1"/>
  <c r="D1749" i="1" s="1"/>
  <c r="D1750" i="1" a="1"/>
  <c r="D1750" i="1" s="1"/>
  <c r="D1751" i="1" a="1"/>
  <c r="D1751" i="1" s="1"/>
  <c r="D1752" i="1" a="1"/>
  <c r="D1752" i="1" s="1"/>
  <c r="D1753" i="1" a="1"/>
  <c r="D1753" i="1" s="1"/>
  <c r="D1754" i="1" a="1"/>
  <c r="D1754" i="1" s="1"/>
  <c r="D1755" i="1" a="1"/>
  <c r="D1755" i="1" s="1"/>
  <c r="D1756" i="1" a="1"/>
  <c r="D1756" i="1" s="1"/>
  <c r="D1757" i="1" a="1"/>
  <c r="D1757" i="1" s="1"/>
  <c r="D1758" i="1" a="1"/>
  <c r="D1758" i="1" s="1"/>
  <c r="D1759" i="1" a="1"/>
  <c r="D1759" i="1" s="1"/>
  <c r="D1760" i="1" a="1"/>
  <c r="D1760" i="1" s="1"/>
  <c r="D1761" i="1" a="1"/>
  <c r="D1761" i="1" s="1"/>
  <c r="D1762" i="1" a="1"/>
  <c r="D1762" i="1" s="1"/>
  <c r="D1763" i="1" a="1"/>
  <c r="D1763" i="1" s="1"/>
  <c r="D1764" i="1" a="1"/>
  <c r="D1764" i="1" s="1"/>
  <c r="D1765" i="1" a="1"/>
  <c r="D1765" i="1" s="1"/>
  <c r="D1766" i="1" a="1"/>
  <c r="D1766" i="1" s="1"/>
  <c r="D1767" i="1" a="1"/>
  <c r="D1767" i="1" s="1"/>
  <c r="D1768" i="1" a="1"/>
  <c r="D1768" i="1" s="1"/>
  <c r="D1769" i="1" a="1"/>
  <c r="D1769" i="1" s="1"/>
  <c r="D1770" i="1" a="1"/>
  <c r="D1770" i="1" s="1"/>
  <c r="D1771" i="1" a="1"/>
  <c r="D1771" i="1" s="1"/>
  <c r="D1772" i="1" a="1"/>
  <c r="D1772" i="1" s="1"/>
  <c r="D1773" i="1" a="1"/>
  <c r="D1773" i="1" s="1"/>
  <c r="D1774" i="1" a="1"/>
  <c r="D1774" i="1" s="1"/>
  <c r="D1775" i="1" a="1"/>
  <c r="D1775" i="1" s="1"/>
  <c r="D1776" i="1" a="1"/>
  <c r="D1776" i="1" s="1"/>
  <c r="D1777" i="1" a="1"/>
  <c r="D1777" i="1" s="1"/>
  <c r="D1778" i="1" a="1"/>
  <c r="D1778" i="1" s="1"/>
  <c r="D1779" i="1" a="1"/>
  <c r="D1779" i="1" s="1"/>
  <c r="D1780" i="1" a="1"/>
  <c r="D1780" i="1" s="1"/>
  <c r="D1781" i="1" a="1"/>
  <c r="D1781" i="1" s="1"/>
  <c r="D1782" i="1" a="1"/>
  <c r="D1782" i="1" s="1"/>
  <c r="D1783" i="1" a="1"/>
  <c r="D1783" i="1" s="1"/>
  <c r="D1784" i="1" a="1"/>
  <c r="D1784" i="1" s="1"/>
  <c r="D1785" i="1" a="1"/>
  <c r="D1785" i="1" s="1"/>
  <c r="D1786" i="1" a="1"/>
  <c r="D1786" i="1" s="1"/>
  <c r="D1787" i="1" a="1"/>
  <c r="D1787" i="1" s="1"/>
  <c r="D1788" i="1" a="1"/>
  <c r="D1788" i="1" s="1"/>
  <c r="D1789" i="1" a="1"/>
  <c r="D1789" i="1" s="1"/>
  <c r="D1790" i="1" a="1"/>
  <c r="D1790" i="1" s="1"/>
  <c r="D1791" i="1" a="1"/>
  <c r="D1791" i="1" s="1"/>
  <c r="D1792" i="1" a="1"/>
  <c r="D1792" i="1" s="1"/>
  <c r="D1793" i="1" a="1"/>
  <c r="D1793" i="1" s="1"/>
  <c r="D1794" i="1" a="1"/>
  <c r="D1794" i="1" s="1"/>
  <c r="D1795" i="1" a="1"/>
  <c r="D1795" i="1" s="1"/>
  <c r="D1796" i="1" a="1"/>
  <c r="D1796" i="1" s="1"/>
  <c r="D1797" i="1" a="1"/>
  <c r="D1797" i="1" s="1"/>
  <c r="D1798" i="1" a="1"/>
  <c r="D1798" i="1" s="1"/>
  <c r="D1799" i="1" a="1"/>
  <c r="D1799" i="1" s="1"/>
  <c r="D1800" i="1" a="1"/>
  <c r="D1800" i="1" s="1"/>
  <c r="D1801" i="1" a="1"/>
  <c r="D1801" i="1" s="1"/>
  <c r="D1802" i="1" a="1"/>
  <c r="D1802" i="1" s="1"/>
  <c r="D1803" i="1" a="1"/>
  <c r="D1803" i="1" s="1"/>
  <c r="D1804" i="1" a="1"/>
  <c r="D1804" i="1" s="1"/>
  <c r="D1805" i="1" a="1"/>
  <c r="D1805" i="1" s="1"/>
  <c r="D1806" i="1" a="1"/>
  <c r="D1806" i="1" s="1"/>
  <c r="D1807" i="1" a="1"/>
  <c r="D1807" i="1" s="1"/>
  <c r="D1808" i="1" a="1"/>
  <c r="D1808" i="1" s="1"/>
  <c r="D1809" i="1" a="1"/>
  <c r="D1809" i="1" s="1"/>
  <c r="D1810" i="1" a="1"/>
  <c r="D1810" i="1" s="1"/>
  <c r="D1811" i="1" a="1"/>
  <c r="D1811" i="1" s="1"/>
  <c r="D1812" i="1" a="1"/>
  <c r="D1812" i="1" s="1"/>
  <c r="D1813" i="1" a="1"/>
  <c r="D1813" i="1" s="1"/>
  <c r="D1814" i="1" a="1"/>
  <c r="D1814" i="1" s="1"/>
  <c r="D1815" i="1" a="1"/>
  <c r="D1815" i="1" s="1"/>
  <c r="D1816" i="1" a="1"/>
  <c r="D1816" i="1" s="1"/>
  <c r="D1817" i="1" a="1"/>
  <c r="D1817" i="1" s="1"/>
  <c r="D1818" i="1" a="1"/>
  <c r="D1818" i="1" s="1"/>
  <c r="D1819" i="1" a="1"/>
  <c r="D1819" i="1" s="1"/>
  <c r="D1820" i="1" a="1"/>
  <c r="D1820" i="1" s="1"/>
  <c r="D1821" i="1" a="1"/>
  <c r="D1821" i="1" s="1"/>
  <c r="D1822" i="1" a="1"/>
  <c r="D1822" i="1" s="1"/>
  <c r="D1823" i="1" a="1"/>
  <c r="D1823" i="1" s="1"/>
  <c r="D1824" i="1" a="1"/>
  <c r="D1824" i="1" s="1"/>
  <c r="D1825" i="1" a="1"/>
  <c r="D1825" i="1" s="1"/>
  <c r="D1826" i="1" a="1"/>
  <c r="D1826" i="1" s="1"/>
  <c r="D1827" i="1" a="1"/>
  <c r="D1827" i="1" s="1"/>
  <c r="D1828" i="1" a="1"/>
  <c r="D1828" i="1" s="1"/>
  <c r="D1829" i="1" a="1"/>
  <c r="D1829" i="1" s="1"/>
  <c r="D1830" i="1" a="1"/>
  <c r="D1830" i="1" s="1"/>
  <c r="D1831" i="1" a="1"/>
  <c r="D1831" i="1" s="1"/>
  <c r="D1832" i="1" a="1"/>
  <c r="D1832" i="1" s="1"/>
  <c r="D1833" i="1" a="1"/>
  <c r="D1833" i="1" s="1"/>
  <c r="D1834" i="1" a="1"/>
  <c r="D1834" i="1" s="1"/>
  <c r="D1835" i="1" a="1"/>
  <c r="D1835" i="1" s="1"/>
  <c r="D1836" i="1" a="1"/>
  <c r="D1836" i="1" s="1"/>
  <c r="D1837" i="1" a="1"/>
  <c r="D1837" i="1" s="1"/>
  <c r="D1838" i="1" a="1"/>
  <c r="D1838" i="1" s="1"/>
  <c r="D1839" i="1" a="1"/>
  <c r="D1839" i="1" s="1"/>
  <c r="D1840" i="1" a="1"/>
  <c r="D1840" i="1" s="1"/>
  <c r="D1841" i="1" a="1"/>
  <c r="D1841" i="1" s="1"/>
  <c r="D1842" i="1" a="1"/>
  <c r="D1842" i="1" s="1"/>
  <c r="D1843" i="1" a="1"/>
  <c r="D1843" i="1" s="1"/>
  <c r="D1844" i="1" a="1"/>
  <c r="D1844" i="1" s="1"/>
  <c r="D1845" i="1" a="1"/>
  <c r="D1845" i="1" s="1"/>
  <c r="D1846" i="1" a="1"/>
  <c r="D1846" i="1" s="1"/>
  <c r="D1847" i="1" a="1"/>
  <c r="D1847" i="1" s="1"/>
  <c r="D1848" i="1" a="1"/>
  <c r="D1848" i="1" s="1"/>
  <c r="D1849" i="1" a="1"/>
  <c r="D1849" i="1" s="1"/>
  <c r="D1850" i="1" a="1"/>
  <c r="D1850" i="1" s="1"/>
  <c r="D1851" i="1" a="1"/>
  <c r="D1851" i="1" s="1"/>
  <c r="D1852" i="1" a="1"/>
  <c r="D1852" i="1" s="1"/>
  <c r="D1853" i="1" a="1"/>
  <c r="D1853" i="1" s="1"/>
  <c r="D1854" i="1" a="1"/>
  <c r="D1854" i="1" s="1"/>
  <c r="D1855" i="1" a="1"/>
  <c r="D1855" i="1" s="1"/>
  <c r="D1856" i="1" a="1"/>
  <c r="D1856" i="1" s="1"/>
  <c r="D1857" i="1" a="1"/>
  <c r="D1857" i="1" s="1"/>
  <c r="D1858" i="1" a="1"/>
  <c r="D1858" i="1" s="1"/>
  <c r="D1859" i="1" a="1"/>
  <c r="D1859" i="1" s="1"/>
  <c r="D1860" i="1" a="1"/>
  <c r="D1860" i="1" s="1"/>
  <c r="D1861" i="1" a="1"/>
  <c r="D1861" i="1" s="1"/>
  <c r="D1862" i="1" a="1"/>
  <c r="D1862" i="1" s="1"/>
  <c r="D1863" i="1" a="1"/>
  <c r="D1863" i="1" s="1"/>
  <c r="D1864" i="1" a="1"/>
  <c r="D1864" i="1" s="1"/>
  <c r="D1865" i="1" a="1"/>
  <c r="D1865" i="1" s="1"/>
  <c r="D1866" i="1" a="1"/>
  <c r="D1866" i="1" s="1"/>
  <c r="D1867" i="1" a="1"/>
  <c r="D1867" i="1" s="1"/>
  <c r="D1868" i="1" a="1"/>
  <c r="D1868" i="1" s="1"/>
  <c r="D1869" i="1" a="1"/>
  <c r="D1869" i="1" s="1"/>
  <c r="D1870" i="1" a="1"/>
  <c r="D1870" i="1" s="1"/>
  <c r="D1871" i="1" a="1"/>
  <c r="D1871" i="1" s="1"/>
  <c r="D1872" i="1" a="1"/>
  <c r="D1872" i="1" s="1"/>
  <c r="D1873" i="1" a="1"/>
  <c r="D1873" i="1" s="1"/>
  <c r="D1874" i="1" a="1"/>
  <c r="D1874" i="1" s="1"/>
  <c r="D1875" i="1" a="1"/>
  <c r="D1875" i="1" s="1"/>
  <c r="D1876" i="1" a="1"/>
  <c r="D1876" i="1" s="1"/>
  <c r="D1877" i="1" a="1"/>
  <c r="D1877" i="1" s="1"/>
  <c r="D1878" i="1" a="1"/>
  <c r="D1878" i="1" s="1"/>
  <c r="D1879" i="1" a="1"/>
  <c r="D1879" i="1" s="1"/>
  <c r="D1880" i="1" a="1"/>
  <c r="D1880" i="1" s="1"/>
  <c r="D1881" i="1" a="1"/>
  <c r="D1881" i="1" s="1"/>
  <c r="D1882" i="1" a="1"/>
  <c r="D1882" i="1" s="1"/>
  <c r="D1883" i="1" a="1"/>
  <c r="D1883" i="1" s="1"/>
  <c r="D1884" i="1" a="1"/>
  <c r="D1884" i="1" s="1"/>
  <c r="D1885" i="1" a="1"/>
  <c r="D1885" i="1" s="1"/>
  <c r="D1886" i="1" a="1"/>
  <c r="D1886" i="1" s="1"/>
  <c r="D1887" i="1" a="1"/>
  <c r="D1887" i="1" s="1"/>
  <c r="D1888" i="1" a="1"/>
  <c r="D1888" i="1" s="1"/>
  <c r="D1889" i="1" a="1"/>
  <c r="D1889" i="1" s="1"/>
  <c r="D1890" i="1" a="1"/>
  <c r="D1890" i="1" s="1"/>
  <c r="D1891" i="1" a="1"/>
  <c r="D1891" i="1" s="1"/>
  <c r="D1892" i="1" a="1"/>
  <c r="D1892" i="1" s="1"/>
  <c r="D1893" i="1" a="1"/>
  <c r="D1893" i="1" s="1"/>
  <c r="D1894" i="1" a="1"/>
  <c r="D1894" i="1" s="1"/>
  <c r="D1895" i="1" a="1"/>
  <c r="D1895" i="1" s="1"/>
  <c r="D1896" i="1" a="1"/>
  <c r="D1896" i="1" s="1"/>
  <c r="D1897" i="1" a="1"/>
  <c r="D1897" i="1" s="1"/>
  <c r="D1898" i="1" a="1"/>
  <c r="D1898" i="1" s="1"/>
  <c r="D1899" i="1" a="1"/>
  <c r="D1899" i="1" s="1"/>
  <c r="D1900" i="1" a="1"/>
  <c r="D1900" i="1" s="1"/>
  <c r="D1901" i="1" a="1"/>
  <c r="D1901" i="1" s="1"/>
  <c r="D1902" i="1" a="1"/>
  <c r="D1902" i="1" s="1"/>
  <c r="D1903" i="1" a="1"/>
  <c r="D1903" i="1" s="1"/>
  <c r="D1904" i="1" a="1"/>
  <c r="D1904" i="1" s="1"/>
  <c r="D1905" i="1" a="1"/>
  <c r="D1905" i="1" s="1"/>
  <c r="D1906" i="1" a="1"/>
  <c r="D1906" i="1" s="1"/>
  <c r="D1907" i="1" a="1"/>
  <c r="D1907" i="1" s="1"/>
  <c r="D1908" i="1" a="1"/>
  <c r="D1908" i="1" s="1"/>
  <c r="D1909" i="1" a="1"/>
  <c r="D1909" i="1" s="1"/>
  <c r="D1910" i="1" a="1"/>
  <c r="D1910" i="1" s="1"/>
  <c r="D1911" i="1" a="1"/>
  <c r="D1911" i="1" s="1"/>
  <c r="D1912" i="1" a="1"/>
  <c r="D1912" i="1" s="1"/>
  <c r="D1913" i="1" a="1"/>
  <c r="D1913" i="1" s="1"/>
  <c r="D1914" i="1" a="1"/>
  <c r="D1914" i="1" s="1"/>
  <c r="D1915" i="1" a="1"/>
  <c r="D1915" i="1" s="1"/>
  <c r="D1916" i="1" a="1"/>
  <c r="D1916" i="1" s="1"/>
  <c r="D1917" i="1" a="1"/>
  <c r="D1917" i="1" s="1"/>
  <c r="D1918" i="1" a="1"/>
  <c r="D1918" i="1" s="1"/>
  <c r="D1919" i="1" a="1"/>
  <c r="D1919" i="1" s="1"/>
  <c r="D1920" i="1" a="1"/>
  <c r="D1920" i="1" s="1"/>
  <c r="D1921" i="1" a="1"/>
  <c r="D1921" i="1" s="1"/>
  <c r="D1922" i="1" a="1"/>
  <c r="D1922" i="1" s="1"/>
  <c r="D1923" i="1" a="1"/>
  <c r="D1923" i="1" s="1"/>
  <c r="D1924" i="1" a="1"/>
  <c r="D1924" i="1" s="1"/>
  <c r="D1925" i="1" a="1"/>
  <c r="D1925" i="1" s="1"/>
  <c r="D1926" i="1" a="1"/>
  <c r="D1926" i="1" s="1"/>
  <c r="D1927" i="1" a="1"/>
  <c r="D1927" i="1" s="1"/>
  <c r="D1928" i="1" a="1"/>
  <c r="D1928" i="1" s="1"/>
  <c r="D1929" i="1" a="1"/>
  <c r="D1929" i="1" s="1"/>
  <c r="D1930" i="1" a="1"/>
  <c r="D1930" i="1" s="1"/>
  <c r="D1931" i="1" a="1"/>
  <c r="D1931" i="1" s="1"/>
  <c r="D1932" i="1" a="1"/>
  <c r="D1932" i="1" s="1"/>
  <c r="D1933" i="1" a="1"/>
  <c r="D1933" i="1" s="1"/>
  <c r="D1934" i="1" a="1"/>
  <c r="D1934" i="1" s="1"/>
  <c r="D1935" i="1" a="1"/>
  <c r="D1935" i="1" s="1"/>
  <c r="D1936" i="1" a="1"/>
  <c r="D1936" i="1" s="1"/>
  <c r="D1937" i="1" a="1"/>
  <c r="D1937" i="1" s="1"/>
  <c r="D1938" i="1" a="1"/>
  <c r="D1938" i="1" s="1"/>
  <c r="D1939" i="1" a="1"/>
  <c r="D1939" i="1" s="1"/>
  <c r="D1940" i="1" a="1"/>
  <c r="D1940" i="1" s="1"/>
  <c r="D1941" i="1" a="1"/>
  <c r="D1941" i="1" s="1"/>
  <c r="D1942" i="1" a="1"/>
  <c r="D1942" i="1" s="1"/>
  <c r="D1943" i="1" a="1"/>
  <c r="D1943" i="1" s="1"/>
  <c r="D1944" i="1" a="1"/>
  <c r="D1944" i="1" s="1"/>
  <c r="D1945" i="1" a="1"/>
  <c r="D1945" i="1" s="1"/>
  <c r="D1946" i="1" a="1"/>
  <c r="D1946" i="1" s="1"/>
  <c r="D1947" i="1" a="1"/>
  <c r="D1947" i="1" s="1"/>
  <c r="D1948" i="1" a="1"/>
  <c r="D1948" i="1" s="1"/>
  <c r="D1949" i="1" a="1"/>
  <c r="D1949" i="1" s="1"/>
  <c r="D1950" i="1" a="1"/>
  <c r="D1950" i="1" s="1"/>
  <c r="D1951" i="1" a="1"/>
  <c r="D1951" i="1" s="1"/>
  <c r="D1952" i="1" a="1"/>
  <c r="D1952" i="1" s="1"/>
  <c r="D1953" i="1" a="1"/>
  <c r="D1953" i="1" s="1"/>
  <c r="D1954" i="1" a="1"/>
  <c r="D1954" i="1" s="1"/>
  <c r="D1955" i="1" a="1"/>
  <c r="D1955" i="1" s="1"/>
  <c r="D1956" i="1" a="1"/>
  <c r="D1956" i="1" s="1"/>
  <c r="D1957" i="1" a="1"/>
  <c r="D1957" i="1" s="1"/>
  <c r="D1958" i="1" a="1"/>
  <c r="D1958" i="1" s="1"/>
  <c r="D1959" i="1" a="1"/>
  <c r="D1959" i="1" s="1"/>
  <c r="D1960" i="1" a="1"/>
  <c r="D1960" i="1" s="1"/>
  <c r="D1961" i="1" a="1"/>
  <c r="D1961" i="1" s="1"/>
  <c r="D1962" i="1" a="1"/>
  <c r="D1962" i="1" s="1"/>
  <c r="D1963" i="1" a="1"/>
  <c r="D1963" i="1" s="1"/>
  <c r="D1964" i="1" a="1"/>
  <c r="D1964" i="1" s="1"/>
  <c r="D1965" i="1" a="1"/>
  <c r="D1965" i="1" s="1"/>
  <c r="D1966" i="1" a="1"/>
  <c r="D1966" i="1" s="1"/>
  <c r="D1967" i="1" a="1"/>
  <c r="D1967" i="1" s="1"/>
  <c r="D1968" i="1" a="1"/>
  <c r="D1968" i="1" s="1"/>
  <c r="D1969" i="1" a="1"/>
  <c r="D1969" i="1" s="1"/>
  <c r="D1970" i="1" a="1"/>
  <c r="D1970" i="1" s="1"/>
  <c r="D1971" i="1" a="1"/>
  <c r="D1971" i="1" s="1"/>
  <c r="D1972" i="1" a="1"/>
  <c r="D1972" i="1" s="1"/>
  <c r="D1973" i="1" a="1"/>
  <c r="D1973" i="1" s="1"/>
  <c r="D1974" i="1" a="1"/>
  <c r="D1974" i="1" s="1"/>
  <c r="D1975" i="1" a="1"/>
  <c r="D1975" i="1" s="1"/>
  <c r="D1976" i="1" a="1"/>
  <c r="D1976" i="1" s="1"/>
  <c r="D1977" i="1" a="1"/>
  <c r="D1977" i="1" s="1"/>
  <c r="D1978" i="1" a="1"/>
  <c r="D1978" i="1" s="1"/>
  <c r="D1979" i="1" a="1"/>
  <c r="D1979" i="1" s="1"/>
  <c r="D1980" i="1" a="1"/>
  <c r="D1980" i="1" s="1"/>
  <c r="D1981" i="1" a="1"/>
  <c r="D1981" i="1" s="1"/>
  <c r="D1982" i="1" a="1"/>
  <c r="D1982" i="1" s="1"/>
  <c r="D1983" i="1" a="1"/>
  <c r="D1983" i="1" s="1"/>
  <c r="D1984" i="1" a="1"/>
  <c r="D1984" i="1" s="1"/>
  <c r="D1985" i="1" a="1"/>
  <c r="D1985" i="1" s="1"/>
  <c r="D1986" i="1" a="1"/>
  <c r="D1986" i="1" s="1"/>
  <c r="D1987" i="1" a="1"/>
  <c r="D1987" i="1" s="1"/>
  <c r="D1988" i="1" a="1"/>
  <c r="D1988" i="1" s="1"/>
  <c r="D1989" i="1" a="1"/>
  <c r="D1989" i="1" s="1"/>
  <c r="D1990" i="1" a="1"/>
  <c r="D1990" i="1" s="1"/>
  <c r="D1991" i="1" a="1"/>
  <c r="D1991" i="1" s="1"/>
  <c r="D1992" i="1" a="1"/>
  <c r="D1992" i="1" s="1"/>
  <c r="D1993" i="1" a="1"/>
  <c r="D1993" i="1" s="1"/>
  <c r="D1994" i="1" a="1"/>
  <c r="D1994" i="1" s="1"/>
  <c r="D1995" i="1" a="1"/>
  <c r="D1995" i="1" s="1"/>
  <c r="D1996" i="1" a="1"/>
  <c r="D1996" i="1" s="1"/>
  <c r="D1997" i="1" a="1"/>
  <c r="D1997" i="1" s="1"/>
  <c r="D1998" i="1" a="1"/>
  <c r="D1998" i="1" s="1"/>
  <c r="D1999" i="1" a="1"/>
  <c r="D1999" i="1" s="1"/>
  <c r="D2000" i="1" a="1"/>
  <c r="D2000" i="1" s="1"/>
  <c r="D2001" i="1" a="1"/>
  <c r="D2001" i="1" s="1"/>
  <c r="D2002" i="1" a="1"/>
  <c r="D2002" i="1" s="1"/>
  <c r="D2003" i="1" a="1"/>
  <c r="D2003" i="1" s="1"/>
  <c r="D2004" i="1" a="1"/>
  <c r="D2004" i="1" s="1"/>
  <c r="D2005" i="1" a="1"/>
  <c r="D2005" i="1" s="1"/>
  <c r="D2006" i="1" a="1"/>
  <c r="D2006" i="1" s="1"/>
  <c r="D2007" i="1" a="1"/>
  <c r="D2007" i="1" s="1"/>
  <c r="D2008" i="1" a="1"/>
  <c r="D2008" i="1" s="1"/>
  <c r="D2009" i="1" a="1"/>
  <c r="D2009" i="1" s="1"/>
  <c r="D2010" i="1" a="1"/>
  <c r="D2010" i="1" s="1"/>
  <c r="D2011" i="1" a="1"/>
  <c r="D2011" i="1" s="1"/>
  <c r="D2012" i="1" a="1"/>
  <c r="D2012" i="1" s="1"/>
  <c r="D2013" i="1" a="1"/>
  <c r="D2013" i="1" s="1"/>
  <c r="D2014" i="1" a="1"/>
  <c r="D2014" i="1" s="1"/>
  <c r="D2015" i="1" a="1"/>
  <c r="D2015" i="1" s="1"/>
  <c r="D2016" i="1" a="1"/>
  <c r="D2016" i="1" s="1"/>
  <c r="D2017" i="1" a="1"/>
  <c r="D2017" i="1" s="1"/>
  <c r="D2018" i="1" a="1"/>
  <c r="D2018" i="1" s="1"/>
  <c r="D2019" i="1" a="1"/>
  <c r="D2019" i="1" s="1"/>
  <c r="D2020" i="1" a="1"/>
  <c r="D2020" i="1" s="1"/>
  <c r="D2021" i="1" a="1"/>
  <c r="D2021" i="1" s="1"/>
  <c r="D2022" i="1" a="1"/>
  <c r="D2022" i="1" s="1"/>
  <c r="D2023" i="1" a="1"/>
  <c r="D2023" i="1" s="1"/>
  <c r="D2024" i="1" a="1"/>
  <c r="D2024" i="1" s="1"/>
  <c r="D2025" i="1" a="1"/>
  <c r="D2025" i="1" s="1"/>
  <c r="D2026" i="1" a="1"/>
  <c r="D2026" i="1" s="1"/>
  <c r="D2027" i="1" a="1"/>
  <c r="D2027" i="1" s="1"/>
  <c r="D2028" i="1" a="1"/>
  <c r="D2028" i="1" s="1"/>
  <c r="D2029" i="1" a="1"/>
  <c r="D2029" i="1" s="1"/>
  <c r="D2030" i="1" a="1"/>
  <c r="D2030" i="1" s="1"/>
  <c r="D2031" i="1" a="1"/>
  <c r="D2031" i="1" s="1"/>
  <c r="D2032" i="1" a="1"/>
  <c r="D2032" i="1" s="1"/>
  <c r="D2033" i="1" a="1"/>
  <c r="D2033" i="1" s="1"/>
  <c r="D2034" i="1" a="1"/>
  <c r="D2034" i="1" s="1"/>
  <c r="D2035" i="1" a="1"/>
  <c r="D2035" i="1" s="1"/>
  <c r="D2036" i="1" a="1"/>
  <c r="D2036" i="1" s="1"/>
  <c r="D2037" i="1" a="1"/>
  <c r="D2037" i="1" s="1"/>
  <c r="D2038" i="1" a="1"/>
  <c r="D2038" i="1" s="1"/>
  <c r="D2039" i="1" a="1"/>
  <c r="D2039" i="1" s="1"/>
  <c r="D2040" i="1" a="1"/>
  <c r="D2040" i="1" s="1"/>
  <c r="D2041" i="1" a="1"/>
  <c r="D2041" i="1" s="1"/>
  <c r="D2042" i="1" a="1"/>
  <c r="D2042" i="1" s="1"/>
  <c r="D2043" i="1" a="1"/>
  <c r="D2043" i="1" s="1"/>
  <c r="D2044" i="1" a="1"/>
  <c r="D2044" i="1" s="1"/>
  <c r="D2045" i="1" a="1"/>
  <c r="D2045" i="1" s="1"/>
  <c r="D2046" i="1" a="1"/>
  <c r="D2046" i="1" s="1"/>
  <c r="D2047" i="1" a="1"/>
  <c r="D2047" i="1" s="1"/>
  <c r="D2048" i="1" a="1"/>
  <c r="D2048" i="1" s="1"/>
  <c r="D2049" i="1" a="1"/>
  <c r="D2049" i="1" s="1"/>
  <c r="D2050" i="1" a="1"/>
  <c r="D2050" i="1" s="1"/>
  <c r="D2051" i="1" a="1"/>
  <c r="D2051" i="1" s="1"/>
  <c r="D2052" i="1" a="1"/>
  <c r="D2052" i="1" s="1"/>
  <c r="D2053" i="1" a="1"/>
  <c r="D2053" i="1" s="1"/>
  <c r="D2054" i="1" a="1"/>
  <c r="D2054" i="1" s="1"/>
  <c r="D2055" i="1" a="1"/>
  <c r="D2055" i="1" s="1"/>
  <c r="D2056" i="1" a="1"/>
  <c r="D2056" i="1" s="1"/>
  <c r="D2057" i="1" a="1"/>
  <c r="D2057" i="1" s="1"/>
  <c r="D2058" i="1" a="1"/>
  <c r="D2058" i="1" s="1"/>
  <c r="D2059" i="1" a="1"/>
  <c r="D2059" i="1" s="1"/>
  <c r="D2060" i="1" a="1"/>
  <c r="D2060" i="1" s="1"/>
  <c r="D2061" i="1" a="1"/>
  <c r="D2061" i="1" s="1"/>
  <c r="D2062" i="1" a="1"/>
  <c r="D2062" i="1" s="1"/>
  <c r="D2063" i="1" a="1"/>
  <c r="D2063" i="1" s="1"/>
  <c r="D2064" i="1" a="1"/>
  <c r="D2064" i="1" s="1"/>
  <c r="D2065" i="1" a="1"/>
  <c r="D2065" i="1" s="1"/>
  <c r="D2066" i="1" a="1"/>
  <c r="D2066" i="1" s="1"/>
  <c r="D2067" i="1" a="1"/>
  <c r="D2067" i="1" s="1"/>
  <c r="D2068" i="1" a="1"/>
  <c r="D2068" i="1" s="1"/>
  <c r="D2069" i="1" a="1"/>
  <c r="D2069" i="1" s="1"/>
  <c r="D2070" i="1" a="1"/>
  <c r="D2070" i="1" s="1"/>
  <c r="D2071" i="1" a="1"/>
  <c r="D2071" i="1" s="1"/>
  <c r="D2072" i="1" a="1"/>
  <c r="D2072" i="1" s="1"/>
  <c r="D2073" i="1" a="1"/>
  <c r="D2073" i="1" s="1"/>
  <c r="D2074" i="1" a="1"/>
  <c r="D2074" i="1" s="1"/>
  <c r="D2075" i="1" a="1"/>
  <c r="D2075" i="1" s="1"/>
  <c r="D2076" i="1" a="1"/>
  <c r="D2076" i="1" s="1"/>
  <c r="D2077" i="1" a="1"/>
  <c r="D2077" i="1" s="1"/>
  <c r="D2078" i="1" a="1"/>
  <c r="D2078" i="1" s="1"/>
  <c r="D2079" i="1" a="1"/>
  <c r="D2079" i="1" s="1"/>
  <c r="D2080" i="1" a="1"/>
  <c r="D2080" i="1" s="1"/>
  <c r="D2081" i="1" a="1"/>
  <c r="D2081" i="1" s="1"/>
  <c r="D2082" i="1" a="1"/>
  <c r="D2082" i="1" s="1"/>
  <c r="D2083" i="1" a="1"/>
  <c r="D2083" i="1" s="1"/>
  <c r="D2084" i="1" a="1"/>
  <c r="D2084" i="1" s="1"/>
  <c r="D2085" i="1" a="1"/>
  <c r="D2085" i="1" s="1"/>
  <c r="D2086" i="1" a="1"/>
  <c r="D2086" i="1" s="1"/>
  <c r="D2087" i="1" a="1"/>
  <c r="D2087" i="1" s="1"/>
  <c r="D2088" i="1" a="1"/>
  <c r="D2088" i="1" s="1"/>
  <c r="D2089" i="1" a="1"/>
  <c r="D2089" i="1" s="1"/>
  <c r="D2090" i="1" a="1"/>
  <c r="D2090" i="1" s="1"/>
  <c r="D2091" i="1" a="1"/>
  <c r="D2091" i="1" s="1"/>
  <c r="D2092" i="1" a="1"/>
  <c r="D2092" i="1" s="1"/>
  <c r="D2093" i="1" a="1"/>
  <c r="D2093" i="1" s="1"/>
  <c r="D2094" i="1" a="1"/>
  <c r="D2094" i="1" s="1"/>
  <c r="D2095" i="1" a="1"/>
  <c r="D2095" i="1" s="1"/>
  <c r="D2096" i="1" a="1"/>
  <c r="D2096" i="1" s="1"/>
  <c r="D2097" i="1" a="1"/>
  <c r="D2097" i="1" s="1"/>
  <c r="D2098" i="1" a="1"/>
  <c r="D2098" i="1" s="1"/>
  <c r="D2099" i="1" a="1"/>
  <c r="D2099" i="1" s="1"/>
  <c r="D2100" i="1" a="1"/>
  <c r="D2100" i="1" s="1"/>
  <c r="D2101" i="1" a="1"/>
  <c r="D2101" i="1" s="1"/>
  <c r="D2102" i="1" a="1"/>
  <c r="D2102" i="1" s="1"/>
  <c r="D2103" i="1" a="1"/>
  <c r="D2103" i="1" s="1"/>
  <c r="D2104" i="1" a="1"/>
  <c r="D2104" i="1" s="1"/>
  <c r="D2105" i="1" a="1"/>
  <c r="D2105" i="1" s="1"/>
  <c r="D2106" i="1" a="1"/>
  <c r="D2106" i="1" s="1"/>
  <c r="D2107" i="1" a="1"/>
  <c r="D2107" i="1" s="1"/>
  <c r="D2108" i="1" a="1"/>
  <c r="D2108" i="1" s="1"/>
  <c r="D2109" i="1" a="1"/>
  <c r="D2109" i="1" s="1"/>
  <c r="D2110" i="1" a="1"/>
  <c r="D2110" i="1" s="1"/>
  <c r="D2111" i="1" a="1"/>
  <c r="D2111" i="1" s="1"/>
  <c r="D2112" i="1" a="1"/>
  <c r="D2112" i="1" s="1"/>
  <c r="D2113" i="1" a="1"/>
  <c r="D2113" i="1" s="1"/>
  <c r="D2114" i="1" a="1"/>
  <c r="D2114" i="1" s="1"/>
  <c r="D2115" i="1" a="1"/>
  <c r="D2115" i="1" s="1"/>
  <c r="D2116" i="1" a="1"/>
  <c r="D2116" i="1" s="1"/>
  <c r="D2117" i="1" a="1"/>
  <c r="D2117" i="1" s="1"/>
  <c r="D2118" i="1" a="1"/>
  <c r="D2118" i="1" s="1"/>
  <c r="D2119" i="1" a="1"/>
  <c r="D2119" i="1" s="1"/>
  <c r="D2120" i="1" a="1"/>
  <c r="D2120" i="1" s="1"/>
  <c r="D2121" i="1" a="1"/>
  <c r="D2121" i="1" s="1"/>
  <c r="D2122" i="1" a="1"/>
  <c r="D2122" i="1" s="1"/>
  <c r="D2123" i="1" a="1"/>
  <c r="D2123" i="1" s="1"/>
  <c r="D2124" i="1" a="1"/>
  <c r="D2124" i="1" s="1"/>
  <c r="D2125" i="1" a="1"/>
  <c r="D2125" i="1" s="1"/>
  <c r="D2126" i="1" a="1"/>
  <c r="D2126" i="1" s="1"/>
  <c r="D2127" i="1" a="1"/>
  <c r="D2127" i="1" s="1"/>
  <c r="D2128" i="1" a="1"/>
  <c r="D2128" i="1" s="1"/>
  <c r="D2129" i="1" a="1"/>
  <c r="D2129" i="1" s="1"/>
  <c r="D2130" i="1" a="1"/>
  <c r="D2130" i="1" s="1"/>
  <c r="D2131" i="1" a="1"/>
  <c r="D2131" i="1" s="1"/>
  <c r="D2132" i="1" a="1"/>
  <c r="D2132" i="1" s="1"/>
  <c r="D2133" i="1" a="1"/>
  <c r="D2133" i="1" s="1"/>
  <c r="D2134" i="1" a="1"/>
  <c r="D2134" i="1" s="1"/>
  <c r="D2135" i="1" a="1"/>
  <c r="D2135" i="1" s="1"/>
  <c r="D2136" i="1" a="1"/>
  <c r="D2136" i="1" s="1"/>
  <c r="D2137" i="1" a="1"/>
  <c r="D2137" i="1" s="1"/>
  <c r="D2138" i="1" a="1"/>
  <c r="D2138" i="1" s="1"/>
  <c r="D2139" i="1" a="1"/>
  <c r="D2139" i="1" s="1"/>
  <c r="D2140" i="1" a="1"/>
  <c r="D2140" i="1" s="1"/>
  <c r="D2141" i="1" a="1"/>
  <c r="D2141" i="1" s="1"/>
  <c r="D2142" i="1" a="1"/>
  <c r="D2142" i="1" s="1"/>
  <c r="D2143" i="1" a="1"/>
  <c r="D2143" i="1" s="1"/>
  <c r="D2144" i="1" a="1"/>
  <c r="D2144" i="1" s="1"/>
  <c r="D2145" i="1" a="1"/>
  <c r="D2145" i="1" s="1"/>
  <c r="D2146" i="1" a="1"/>
  <c r="D2146" i="1" s="1"/>
  <c r="D2147" i="1" a="1"/>
  <c r="D2147" i="1" s="1"/>
  <c r="D2148" i="1" a="1"/>
  <c r="D2148" i="1" s="1"/>
  <c r="D2149" i="1" a="1"/>
  <c r="D2149" i="1" s="1"/>
  <c r="D2150" i="1" a="1"/>
  <c r="D2150" i="1" s="1"/>
  <c r="D2151" i="1" a="1"/>
  <c r="D2151" i="1" s="1"/>
  <c r="D2152" i="1" a="1"/>
  <c r="D2152" i="1" s="1"/>
  <c r="D2153" i="1" a="1"/>
  <c r="D2153" i="1" s="1"/>
  <c r="D2154" i="1" a="1"/>
  <c r="D2154" i="1" s="1"/>
  <c r="D2155" i="1" a="1"/>
  <c r="D2155" i="1" s="1"/>
  <c r="D2156" i="1" a="1"/>
  <c r="D2156" i="1" s="1"/>
  <c r="D2157" i="1" a="1"/>
  <c r="D2157" i="1" s="1"/>
  <c r="D2158" i="1" a="1"/>
  <c r="D2158" i="1" s="1"/>
  <c r="D2159" i="1" a="1"/>
  <c r="D2159" i="1" s="1"/>
  <c r="D2160" i="1" a="1"/>
  <c r="D2160" i="1" s="1"/>
  <c r="D2161" i="1" a="1"/>
  <c r="D2161" i="1" s="1"/>
  <c r="D2162" i="1" a="1"/>
  <c r="D2162" i="1" s="1"/>
  <c r="D2163" i="1" a="1"/>
  <c r="D2163" i="1" s="1"/>
  <c r="D2164" i="1" a="1"/>
  <c r="D2164" i="1" s="1"/>
  <c r="D2165" i="1" a="1"/>
  <c r="D2165" i="1" s="1"/>
  <c r="D2166" i="1" a="1"/>
  <c r="D2166" i="1" s="1"/>
  <c r="D2167" i="1" a="1"/>
  <c r="D2167" i="1" s="1"/>
  <c r="D2168" i="1" a="1"/>
  <c r="D2168" i="1" s="1"/>
  <c r="D2169" i="1" a="1"/>
  <c r="D2169" i="1" s="1"/>
  <c r="D2170" i="1" a="1"/>
  <c r="D2170" i="1" s="1"/>
  <c r="D2171" i="1" a="1"/>
  <c r="D2171" i="1" s="1"/>
  <c r="D2172" i="1" a="1"/>
  <c r="D2172" i="1" s="1"/>
  <c r="D2173" i="1" a="1"/>
  <c r="D2173" i="1" s="1"/>
  <c r="D2174" i="1" a="1"/>
  <c r="D2174" i="1" s="1"/>
  <c r="D2175" i="1" a="1"/>
  <c r="D2175" i="1" s="1"/>
  <c r="D2176" i="1" a="1"/>
  <c r="D2176" i="1" s="1"/>
  <c r="D2177" i="1" a="1"/>
  <c r="D2177" i="1" s="1"/>
  <c r="D2178" i="1" a="1"/>
  <c r="D2178" i="1" s="1"/>
  <c r="D2179" i="1" a="1"/>
  <c r="D2179" i="1" s="1"/>
  <c r="D2180" i="1" a="1"/>
  <c r="D2180" i="1" s="1"/>
  <c r="D2181" i="1" a="1"/>
  <c r="D2181" i="1" s="1"/>
  <c r="D2182" i="1" a="1"/>
  <c r="D2182" i="1" s="1"/>
  <c r="D2183" i="1" a="1"/>
  <c r="D2183" i="1" s="1"/>
  <c r="D2184" i="1" a="1"/>
  <c r="D2184" i="1" s="1"/>
  <c r="D2185" i="1" a="1"/>
  <c r="D2185" i="1" s="1"/>
  <c r="D2186" i="1" a="1"/>
  <c r="D2186" i="1" s="1"/>
  <c r="D2187" i="1" a="1"/>
  <c r="D2187" i="1" s="1"/>
  <c r="D2188" i="1" a="1"/>
  <c r="D2188" i="1" s="1"/>
  <c r="D2189" i="1" a="1"/>
  <c r="D2189" i="1" s="1"/>
  <c r="D2190" i="1" a="1"/>
  <c r="D2190" i="1" s="1"/>
  <c r="D2191" i="1" a="1"/>
  <c r="D2191" i="1" s="1"/>
  <c r="D2192" i="1" a="1"/>
  <c r="D2192" i="1" s="1"/>
  <c r="D2193" i="1" a="1"/>
  <c r="D2193" i="1" s="1"/>
  <c r="D2194" i="1" a="1"/>
  <c r="D2194" i="1" s="1"/>
  <c r="D2195" i="1" a="1"/>
  <c r="D2195" i="1" s="1"/>
  <c r="D2196" i="1" a="1"/>
  <c r="D2196" i="1" s="1"/>
  <c r="D2197" i="1" a="1"/>
  <c r="D2197" i="1" s="1"/>
  <c r="D2198" i="1" a="1"/>
  <c r="D2198" i="1" s="1"/>
  <c r="D2199" i="1" a="1"/>
  <c r="D2199" i="1" s="1"/>
  <c r="D2200" i="1" a="1"/>
  <c r="D2200" i="1" s="1"/>
  <c r="D2201" i="1" a="1"/>
  <c r="D2201" i="1" s="1"/>
  <c r="D2202" i="1" a="1"/>
  <c r="D2202" i="1" s="1"/>
  <c r="D2203" i="1" a="1"/>
  <c r="D2203" i="1" s="1"/>
  <c r="D2204" i="1" a="1"/>
  <c r="D2204" i="1" s="1"/>
  <c r="D2205" i="1" a="1"/>
  <c r="D2205" i="1" s="1"/>
  <c r="D2206" i="1" a="1"/>
  <c r="D2206" i="1" s="1"/>
  <c r="D2207" i="1" a="1"/>
  <c r="D2207" i="1" s="1"/>
  <c r="D2208" i="1" a="1"/>
  <c r="D2208" i="1" s="1"/>
  <c r="D2209" i="1" a="1"/>
  <c r="D2209" i="1" s="1"/>
  <c r="D2210" i="1" a="1"/>
  <c r="D2210" i="1" s="1"/>
  <c r="D2211" i="1" a="1"/>
  <c r="D2211" i="1" s="1"/>
  <c r="D2212" i="1" a="1"/>
  <c r="D2212" i="1" s="1"/>
  <c r="D2213" i="1" a="1"/>
  <c r="D2213" i="1" s="1"/>
  <c r="D2214" i="1" a="1"/>
  <c r="D2214" i="1" s="1"/>
  <c r="D2215" i="1" a="1"/>
  <c r="D2215" i="1" s="1"/>
  <c r="D2216" i="1" a="1"/>
  <c r="D2216" i="1" s="1"/>
  <c r="D2217" i="1" a="1"/>
  <c r="D2217" i="1" s="1"/>
  <c r="D2218" i="1" a="1"/>
  <c r="D2218" i="1" s="1"/>
  <c r="D2219" i="1" a="1"/>
  <c r="D2219" i="1" s="1"/>
  <c r="D2220" i="1" a="1"/>
  <c r="D2220" i="1" s="1"/>
  <c r="D2221" i="1" a="1"/>
  <c r="D2221" i="1" s="1"/>
  <c r="D2222" i="1" a="1"/>
  <c r="D2222" i="1" s="1"/>
  <c r="D2223" i="1" a="1"/>
  <c r="D2223" i="1" s="1"/>
  <c r="D2224" i="1" a="1"/>
  <c r="D2224" i="1" s="1"/>
  <c r="D2225" i="1" a="1"/>
  <c r="D2225" i="1" s="1"/>
  <c r="D2226" i="1" a="1"/>
  <c r="D2226" i="1" s="1"/>
  <c r="D2227" i="1" a="1"/>
  <c r="D2227" i="1" s="1"/>
  <c r="D2228" i="1" a="1"/>
  <c r="D2228" i="1" s="1"/>
  <c r="D2229" i="1" a="1"/>
  <c r="D2229" i="1" s="1"/>
  <c r="D2230" i="1" a="1"/>
  <c r="D2230" i="1" s="1"/>
  <c r="D2231" i="1" a="1"/>
  <c r="D2231" i="1" s="1"/>
  <c r="D2232" i="1" a="1"/>
  <c r="D2232" i="1" s="1"/>
  <c r="D2233" i="1" a="1"/>
  <c r="D2233" i="1" s="1"/>
  <c r="D2234" i="1" a="1"/>
  <c r="D2234" i="1" s="1"/>
  <c r="D2235" i="1" a="1"/>
  <c r="D2235" i="1" s="1"/>
  <c r="D2236" i="1" a="1"/>
  <c r="D2236" i="1" s="1"/>
  <c r="D2237" i="1" a="1"/>
  <c r="D2237" i="1" s="1"/>
  <c r="D2238" i="1" a="1"/>
  <c r="D2238" i="1" s="1"/>
  <c r="D2239" i="1" a="1"/>
  <c r="D2239" i="1" s="1"/>
  <c r="D2240" i="1" a="1"/>
  <c r="D2240" i="1" s="1"/>
  <c r="D2241" i="1" a="1"/>
  <c r="D2241" i="1" s="1"/>
  <c r="D2242" i="1" a="1"/>
  <c r="D2242" i="1" s="1"/>
  <c r="D2243" i="1" a="1"/>
  <c r="D2243" i="1" s="1"/>
  <c r="D2244" i="1" a="1"/>
  <c r="D2244" i="1" s="1"/>
  <c r="D2245" i="1" a="1"/>
  <c r="D2245" i="1" s="1"/>
  <c r="D2246" i="1" a="1"/>
  <c r="D2246" i="1" s="1"/>
  <c r="D2247" i="1" a="1"/>
  <c r="D2247" i="1" s="1"/>
  <c r="D2248" i="1" a="1"/>
  <c r="D2248" i="1" s="1"/>
  <c r="D2249" i="1" a="1"/>
  <c r="D2249" i="1" s="1"/>
  <c r="D2250" i="1" a="1"/>
  <c r="D2250" i="1" s="1"/>
  <c r="D2251" i="1" a="1"/>
  <c r="D2251" i="1" s="1"/>
  <c r="D2252" i="1" a="1"/>
  <c r="D2252" i="1" s="1"/>
  <c r="D2253" i="1" a="1"/>
  <c r="D2253" i="1" s="1"/>
  <c r="D2254" i="1" a="1"/>
  <c r="D2254" i="1" s="1"/>
  <c r="D2255" i="1" a="1"/>
  <c r="D2255" i="1" s="1"/>
  <c r="D2256" i="1" a="1"/>
  <c r="D2256" i="1" s="1"/>
  <c r="D2257" i="1" a="1"/>
  <c r="D2257" i="1" s="1"/>
  <c r="D2258" i="1" a="1"/>
  <c r="D2258" i="1" s="1"/>
  <c r="D2259" i="1" a="1"/>
  <c r="D2259" i="1" s="1"/>
  <c r="D2260" i="1" a="1"/>
  <c r="D2260" i="1" s="1"/>
  <c r="D2261" i="1" a="1"/>
  <c r="D2261" i="1" s="1"/>
  <c r="D2262" i="1" a="1"/>
  <c r="D2262" i="1" s="1"/>
  <c r="D2263" i="1" a="1"/>
  <c r="D2263" i="1" s="1"/>
  <c r="D2264" i="1" a="1"/>
  <c r="D2264" i="1" s="1"/>
  <c r="D2265" i="1" a="1"/>
  <c r="D2265" i="1" s="1"/>
  <c r="D2266" i="1" a="1"/>
  <c r="D2266" i="1" s="1"/>
  <c r="D2267" i="1" a="1"/>
  <c r="D2267" i="1" s="1"/>
  <c r="D2268" i="1" a="1"/>
  <c r="D2268" i="1" s="1"/>
  <c r="D2269" i="1" a="1"/>
  <c r="D2269" i="1" s="1"/>
  <c r="D2270" i="1" a="1"/>
  <c r="D2270" i="1" s="1"/>
  <c r="D2271" i="1" a="1"/>
  <c r="D2271" i="1" s="1"/>
  <c r="D2272" i="1" a="1"/>
  <c r="D2272" i="1" s="1"/>
  <c r="D2273" i="1" a="1"/>
  <c r="D2273" i="1" s="1"/>
  <c r="D2274" i="1" a="1"/>
  <c r="D2274" i="1" s="1"/>
  <c r="D2275" i="1" a="1"/>
  <c r="D2275" i="1" s="1"/>
  <c r="D2276" i="1" a="1"/>
  <c r="D2276" i="1" s="1"/>
  <c r="D2277" i="1" a="1"/>
  <c r="D2277" i="1" s="1"/>
  <c r="D2278" i="1" a="1"/>
  <c r="D2278" i="1" s="1"/>
  <c r="D2279" i="1" a="1"/>
  <c r="D2279" i="1" s="1"/>
  <c r="D2280" i="1" a="1"/>
  <c r="D2280" i="1" s="1"/>
  <c r="D2281" i="1" a="1"/>
  <c r="D2281" i="1" s="1"/>
  <c r="D2282" i="1" a="1"/>
  <c r="D2282" i="1" s="1"/>
  <c r="D2283" i="1" a="1"/>
  <c r="D2283" i="1" s="1"/>
  <c r="D2284" i="1" a="1"/>
  <c r="D2284" i="1" s="1"/>
  <c r="D2285" i="1" a="1"/>
  <c r="D2285" i="1" s="1"/>
  <c r="D2286" i="1" a="1"/>
  <c r="D2286" i="1" s="1"/>
  <c r="D2287" i="1" a="1"/>
  <c r="D2287" i="1" s="1"/>
  <c r="D2288" i="1" a="1"/>
  <c r="D2288" i="1" s="1"/>
  <c r="D2289" i="1" a="1"/>
  <c r="D2289" i="1" s="1"/>
  <c r="D2290" i="1" a="1"/>
  <c r="D2290" i="1" s="1"/>
  <c r="D2291" i="1" a="1"/>
  <c r="D2291" i="1" s="1"/>
  <c r="D2292" i="1" a="1"/>
  <c r="D2292" i="1" s="1"/>
  <c r="D2293" i="1" a="1"/>
  <c r="D2293" i="1" s="1"/>
  <c r="D2294" i="1" a="1"/>
  <c r="D2294" i="1" s="1"/>
  <c r="D2295" i="1" a="1"/>
  <c r="D2295" i="1" s="1"/>
  <c r="D2296" i="1" a="1"/>
  <c r="D2296" i="1" s="1"/>
  <c r="D2297" i="1" a="1"/>
  <c r="D2297" i="1" s="1"/>
  <c r="D2298" i="1" a="1"/>
  <c r="D2298" i="1" s="1"/>
  <c r="D2299" i="1" a="1"/>
  <c r="D2299" i="1" s="1"/>
  <c r="D2300" i="1" a="1"/>
  <c r="D2300" i="1" s="1"/>
  <c r="D2301" i="1" a="1"/>
  <c r="D2301" i="1" s="1"/>
  <c r="D2302" i="1" a="1"/>
  <c r="D2302" i="1" s="1"/>
  <c r="D2303" i="1" a="1"/>
  <c r="D2303" i="1" s="1"/>
  <c r="D2304" i="1" a="1"/>
  <c r="D2304" i="1" s="1"/>
  <c r="D2305" i="1" a="1"/>
  <c r="D2305" i="1" s="1"/>
  <c r="D2306" i="1" a="1"/>
  <c r="D2306" i="1" s="1"/>
  <c r="D2307" i="1" a="1"/>
  <c r="D2307" i="1" s="1"/>
  <c r="D2308" i="1" a="1"/>
  <c r="D2308" i="1" s="1"/>
  <c r="D2309" i="1" a="1"/>
  <c r="D2309" i="1" s="1"/>
  <c r="D2310" i="1" a="1"/>
  <c r="D2310" i="1" s="1"/>
  <c r="D2311" i="1" a="1"/>
  <c r="D2311" i="1" s="1"/>
  <c r="D2312" i="1" a="1"/>
  <c r="D2312" i="1" s="1"/>
  <c r="D2313" i="1" a="1"/>
  <c r="D2313" i="1" s="1"/>
  <c r="D2314" i="1" a="1"/>
  <c r="D2314" i="1" s="1"/>
  <c r="D2315" i="1" a="1"/>
  <c r="D2315" i="1" s="1"/>
  <c r="D2316" i="1" a="1"/>
  <c r="D2316" i="1" s="1"/>
  <c r="D2317" i="1" a="1"/>
  <c r="D2317" i="1" s="1"/>
  <c r="D2318" i="1" a="1"/>
  <c r="D2318" i="1" s="1"/>
  <c r="D2319" i="1" a="1"/>
  <c r="D2319" i="1" s="1"/>
  <c r="D2320" i="1" a="1"/>
  <c r="D2320" i="1" s="1"/>
  <c r="D2321" i="1" a="1"/>
  <c r="D2321" i="1" s="1"/>
  <c r="D2322" i="1" a="1"/>
  <c r="D2322" i="1" s="1"/>
  <c r="D2323" i="1" a="1"/>
  <c r="D2323" i="1" s="1"/>
  <c r="D2324" i="1" a="1"/>
  <c r="D2324" i="1" s="1"/>
  <c r="D2325" i="1" a="1"/>
  <c r="D2325" i="1" s="1"/>
  <c r="D2326" i="1" a="1"/>
  <c r="D2326" i="1" s="1"/>
  <c r="D2327" i="1" a="1"/>
  <c r="D2327" i="1" s="1"/>
  <c r="D2328" i="1" a="1"/>
  <c r="D2328" i="1" s="1"/>
  <c r="D2329" i="1" a="1"/>
  <c r="D2329" i="1" s="1"/>
  <c r="D2330" i="1" a="1"/>
  <c r="D2330" i="1" s="1"/>
  <c r="D2331" i="1" a="1"/>
  <c r="D2331" i="1" s="1"/>
  <c r="D2332" i="1" a="1"/>
  <c r="D2332" i="1" s="1"/>
  <c r="D2333" i="1" a="1"/>
  <c r="D2333" i="1" s="1"/>
  <c r="D2334" i="1" a="1"/>
  <c r="D2334" i="1" s="1"/>
  <c r="D2335" i="1" a="1"/>
  <c r="D2335" i="1" s="1"/>
  <c r="D2336" i="1" a="1"/>
  <c r="D2336" i="1" s="1"/>
  <c r="D2337" i="1" a="1"/>
  <c r="D2337" i="1" s="1"/>
  <c r="D2338" i="1" a="1"/>
  <c r="D2338" i="1" s="1"/>
  <c r="D2339" i="1" a="1"/>
  <c r="D2339" i="1" s="1"/>
  <c r="D2340" i="1" a="1"/>
  <c r="D2340" i="1" s="1"/>
  <c r="D2341" i="1" a="1"/>
  <c r="D2341" i="1" s="1"/>
  <c r="D2342" i="1" a="1"/>
  <c r="D2342" i="1" s="1"/>
  <c r="D2343" i="1" a="1"/>
  <c r="D2343" i="1" s="1"/>
  <c r="D2344" i="1" a="1"/>
  <c r="D2344" i="1" s="1"/>
  <c r="D2345" i="1" a="1"/>
  <c r="D2345" i="1" s="1"/>
  <c r="D2346" i="1" a="1"/>
  <c r="D2346" i="1" s="1"/>
  <c r="D2347" i="1" a="1"/>
  <c r="D2347" i="1" s="1"/>
  <c r="D2348" i="1" a="1"/>
  <c r="D2348" i="1" s="1"/>
  <c r="D2349" i="1" a="1"/>
  <c r="D2349" i="1" s="1"/>
  <c r="D2350" i="1" a="1"/>
  <c r="D2350" i="1" s="1"/>
  <c r="D2351" i="1" a="1"/>
  <c r="D2351" i="1" s="1"/>
  <c r="D2352" i="1" a="1"/>
  <c r="D2352" i="1" s="1"/>
  <c r="D2353" i="1" a="1"/>
  <c r="D2353" i="1" s="1"/>
  <c r="D2354" i="1" a="1"/>
  <c r="D2354" i="1" s="1"/>
  <c r="D2355" i="1" a="1"/>
  <c r="D2355" i="1" s="1"/>
  <c r="D2356" i="1" a="1"/>
  <c r="D2356" i="1" s="1"/>
  <c r="D2357" i="1" a="1"/>
  <c r="D2357" i="1" s="1"/>
  <c r="D2358" i="1" a="1"/>
  <c r="D2358" i="1" s="1"/>
  <c r="D2359" i="1" a="1"/>
  <c r="D2359" i="1" s="1"/>
  <c r="D2360" i="1" a="1"/>
  <c r="D2360" i="1" s="1"/>
  <c r="D2361" i="1" a="1"/>
  <c r="D2361" i="1" s="1"/>
  <c r="D2362" i="1" a="1"/>
  <c r="D2362" i="1" s="1"/>
  <c r="D2363" i="1" a="1"/>
  <c r="D2363" i="1" s="1"/>
  <c r="D2364" i="1" a="1"/>
  <c r="D2364" i="1" s="1"/>
  <c r="D2365" i="1" a="1"/>
  <c r="D2365" i="1" s="1"/>
  <c r="D2366" i="1" a="1"/>
  <c r="D2366" i="1" s="1"/>
  <c r="D2367" i="1" a="1"/>
  <c r="D2367" i="1" s="1"/>
  <c r="D2368" i="1" a="1"/>
  <c r="D2368" i="1" s="1"/>
  <c r="D2369" i="1" a="1"/>
  <c r="D2369" i="1" s="1"/>
  <c r="D2370" i="1" a="1"/>
  <c r="D2370" i="1" s="1"/>
  <c r="D2371" i="1" a="1"/>
  <c r="D2371" i="1" s="1"/>
  <c r="D2372" i="1" a="1"/>
  <c r="D2372" i="1" s="1"/>
  <c r="D2373" i="1" a="1"/>
  <c r="D2373" i="1" s="1"/>
  <c r="D2374" i="1" a="1"/>
  <c r="D2374" i="1" s="1"/>
  <c r="D2375" i="1" a="1"/>
  <c r="D2375" i="1" s="1"/>
  <c r="D2376" i="1" a="1"/>
  <c r="D2376" i="1" s="1"/>
  <c r="D2377" i="1" a="1"/>
  <c r="D2377" i="1" s="1"/>
  <c r="D2378" i="1" a="1"/>
  <c r="D2378" i="1" s="1"/>
  <c r="D2379" i="1" a="1"/>
  <c r="D2379" i="1" s="1"/>
  <c r="D2380" i="1" a="1"/>
  <c r="D2380" i="1" s="1"/>
  <c r="D2381" i="1" a="1"/>
  <c r="D2381" i="1" s="1"/>
  <c r="D2382" i="1" a="1"/>
  <c r="D2382" i="1" s="1"/>
  <c r="D2383" i="1" a="1"/>
  <c r="D2383" i="1" s="1"/>
  <c r="D2384" i="1" a="1"/>
  <c r="D2384" i="1" s="1"/>
  <c r="D2385" i="1" a="1"/>
  <c r="D2385" i="1" s="1"/>
  <c r="D2386" i="1" a="1"/>
  <c r="D2386" i="1" s="1"/>
  <c r="D2387" i="1" a="1"/>
  <c r="D2387" i="1" s="1"/>
  <c r="D2388" i="1" a="1"/>
  <c r="D2388" i="1" s="1"/>
  <c r="D2389" i="1" a="1"/>
  <c r="D2389" i="1" s="1"/>
  <c r="D2390" i="1" a="1"/>
  <c r="D2390" i="1" s="1"/>
  <c r="D2391" i="1" a="1"/>
  <c r="D2391" i="1" s="1"/>
  <c r="D2392" i="1" a="1"/>
  <c r="D2392" i="1" s="1"/>
  <c r="D2393" i="1" a="1"/>
  <c r="D2393" i="1" s="1"/>
  <c r="D2394" i="1" a="1"/>
  <c r="D2394" i="1" s="1"/>
  <c r="D2395" i="1" a="1"/>
  <c r="D2395" i="1" s="1"/>
  <c r="D2396" i="1" a="1"/>
  <c r="D2396" i="1" s="1"/>
  <c r="D2397" i="1" a="1"/>
  <c r="D2397" i="1" s="1"/>
  <c r="D2398" i="1" a="1"/>
  <c r="D2398" i="1" s="1"/>
  <c r="D2399" i="1" a="1"/>
  <c r="D2399" i="1" s="1"/>
  <c r="D2400" i="1" a="1"/>
  <c r="D2400" i="1" s="1"/>
  <c r="D2401" i="1" a="1"/>
  <c r="D2401" i="1" s="1"/>
  <c r="D2402" i="1" a="1"/>
  <c r="D2402" i="1" s="1"/>
  <c r="D2403" i="1" a="1"/>
  <c r="D2403" i="1" s="1"/>
  <c r="D2404" i="1" a="1"/>
  <c r="D2404" i="1" s="1"/>
  <c r="D2405" i="1" a="1"/>
  <c r="D2405" i="1" s="1"/>
  <c r="D2406" i="1" a="1"/>
  <c r="D2406" i="1" s="1"/>
  <c r="D2407" i="1" a="1"/>
  <c r="D2407" i="1" s="1"/>
  <c r="D2408" i="1" a="1"/>
  <c r="D2408" i="1" s="1"/>
  <c r="D2409" i="1" a="1"/>
  <c r="D2409" i="1" s="1"/>
  <c r="D2410" i="1" a="1"/>
  <c r="D2410" i="1" s="1"/>
  <c r="D2411" i="1" a="1"/>
  <c r="D2411" i="1" s="1"/>
  <c r="D2412" i="1" a="1"/>
  <c r="D2412" i="1" s="1"/>
  <c r="D2413" i="1" a="1"/>
  <c r="D2413" i="1" s="1"/>
  <c r="D2414" i="1" a="1"/>
  <c r="D2414" i="1" s="1"/>
  <c r="D2415" i="1" a="1"/>
  <c r="D2415" i="1" s="1"/>
  <c r="D2416" i="1" a="1"/>
  <c r="D2416" i="1" s="1"/>
  <c r="D2417" i="1" a="1"/>
  <c r="D2417" i="1" s="1"/>
  <c r="D2418" i="1" a="1"/>
  <c r="D2418" i="1" s="1"/>
  <c r="D2419" i="1" a="1"/>
  <c r="D2419" i="1" s="1"/>
  <c r="D2420" i="1" a="1"/>
  <c r="D2420" i="1" s="1"/>
  <c r="D2421" i="1" a="1"/>
  <c r="D2421" i="1" s="1"/>
  <c r="D2422" i="1" a="1"/>
  <c r="D2422" i="1" s="1"/>
  <c r="D2423" i="1" a="1"/>
  <c r="D2423" i="1" s="1"/>
  <c r="D2424" i="1" a="1"/>
  <c r="D2424" i="1" s="1"/>
  <c r="D2425" i="1" a="1"/>
  <c r="D2425" i="1" s="1"/>
  <c r="D2426" i="1" a="1"/>
  <c r="D2426" i="1" s="1"/>
  <c r="D2427" i="1" a="1"/>
  <c r="D2427" i="1" s="1"/>
  <c r="D2428" i="1" a="1"/>
  <c r="D2428" i="1" s="1"/>
  <c r="D2429" i="1" a="1"/>
  <c r="D2429" i="1" s="1"/>
  <c r="D2430" i="1" a="1"/>
  <c r="D2430" i="1" s="1"/>
  <c r="D2431" i="1" a="1"/>
  <c r="D2431" i="1" s="1"/>
  <c r="D2432" i="1" a="1"/>
  <c r="D2432" i="1" s="1"/>
  <c r="D2433" i="1" a="1"/>
  <c r="D2433" i="1" s="1"/>
  <c r="D2434" i="1" a="1"/>
  <c r="D2434" i="1" s="1"/>
  <c r="D2435" i="1" a="1"/>
  <c r="D2435" i="1" s="1"/>
  <c r="D2436" i="1" a="1"/>
  <c r="D2436" i="1" s="1"/>
  <c r="D2437" i="1" a="1"/>
  <c r="D2437" i="1" s="1"/>
  <c r="D2438" i="1" a="1"/>
  <c r="D2438" i="1" s="1"/>
  <c r="D2439" i="1" a="1"/>
  <c r="D2439" i="1" s="1"/>
  <c r="D2440" i="1" a="1"/>
  <c r="D2440" i="1" s="1"/>
  <c r="D2441" i="1" a="1"/>
  <c r="D2441" i="1" s="1"/>
  <c r="D2442" i="1" a="1"/>
  <c r="D2442" i="1" s="1"/>
  <c r="D2443" i="1" a="1"/>
  <c r="D2443" i="1" s="1"/>
  <c r="D2444" i="1" a="1"/>
  <c r="D2444" i="1" s="1"/>
  <c r="D2445" i="1" a="1"/>
  <c r="D2445" i="1" s="1"/>
  <c r="D2446" i="1" a="1"/>
  <c r="D2446" i="1" s="1"/>
  <c r="D2447" i="1" a="1"/>
  <c r="D2447" i="1" s="1"/>
  <c r="D2448" i="1" a="1"/>
  <c r="D2448" i="1" s="1"/>
  <c r="D2449" i="1" a="1"/>
  <c r="D2449" i="1" s="1"/>
  <c r="D2450" i="1" a="1"/>
  <c r="D2450" i="1" s="1"/>
  <c r="D2451" i="1" a="1"/>
  <c r="D2451" i="1" s="1"/>
  <c r="D2452" i="1" a="1"/>
  <c r="D2452" i="1" s="1"/>
  <c r="D2453" i="1" a="1"/>
  <c r="D2453" i="1" s="1"/>
  <c r="D2454" i="1" a="1"/>
  <c r="D2454" i="1" s="1"/>
  <c r="D2455" i="1" a="1"/>
  <c r="D2455" i="1" s="1"/>
  <c r="D2456" i="1" a="1"/>
  <c r="D2456" i="1" s="1"/>
  <c r="D2457" i="1" a="1"/>
  <c r="D2457" i="1" s="1"/>
  <c r="D2458" i="1" a="1"/>
  <c r="D2458" i="1" s="1"/>
  <c r="D2459" i="1" a="1"/>
  <c r="D2459" i="1" s="1"/>
  <c r="D2460" i="1" a="1"/>
  <c r="D2460" i="1" s="1"/>
  <c r="D2461" i="1" a="1"/>
  <c r="D2461" i="1" s="1"/>
  <c r="D2462" i="1" a="1"/>
  <c r="D2462" i="1" s="1"/>
  <c r="D2463" i="1" a="1"/>
  <c r="D2463" i="1" s="1"/>
  <c r="D2464" i="1" a="1"/>
  <c r="D2464" i="1" s="1"/>
  <c r="D2465" i="1" a="1"/>
  <c r="D2465" i="1" s="1"/>
  <c r="D2466" i="1" a="1"/>
  <c r="D2466" i="1" s="1"/>
  <c r="D2467" i="1" a="1"/>
  <c r="D2467" i="1" s="1"/>
  <c r="D2468" i="1" a="1"/>
  <c r="D2468" i="1" s="1"/>
  <c r="D2469" i="1" a="1"/>
  <c r="D2469" i="1" s="1"/>
  <c r="D2470" i="1" a="1"/>
  <c r="D2470" i="1" s="1"/>
  <c r="D2471" i="1" a="1"/>
  <c r="D2471" i="1" s="1"/>
  <c r="D2472" i="1" a="1"/>
  <c r="D2472" i="1" s="1"/>
  <c r="D2473" i="1" a="1"/>
  <c r="D2473" i="1" s="1"/>
  <c r="D2474" i="1" a="1"/>
  <c r="D2474" i="1" s="1"/>
  <c r="D2475" i="1" a="1"/>
  <c r="D2475" i="1" s="1"/>
  <c r="D2476" i="1" a="1"/>
  <c r="D2476" i="1" s="1"/>
  <c r="D2477" i="1" a="1"/>
  <c r="D2477" i="1" s="1"/>
  <c r="D2478" i="1" a="1"/>
  <c r="D2478" i="1" s="1"/>
  <c r="D2479" i="1" a="1"/>
  <c r="D2479" i="1" s="1"/>
  <c r="D2480" i="1" a="1"/>
  <c r="D2480" i="1" s="1"/>
  <c r="D2481" i="1" a="1"/>
  <c r="D2481" i="1" s="1"/>
  <c r="D2482" i="1" a="1"/>
  <c r="D2482" i="1" s="1"/>
  <c r="D2483" i="1" a="1"/>
  <c r="D2483" i="1" s="1"/>
  <c r="D2484" i="1" a="1"/>
  <c r="D2484" i="1" s="1"/>
  <c r="D2485" i="1" a="1"/>
  <c r="D2485" i="1" s="1"/>
  <c r="D2486" i="1" a="1"/>
  <c r="D2486" i="1" s="1"/>
  <c r="D2487" i="1" a="1"/>
  <c r="D2487" i="1" s="1"/>
  <c r="D2488" i="1" a="1"/>
  <c r="D2488" i="1" s="1"/>
  <c r="D2489" i="1" a="1"/>
  <c r="D2489" i="1" s="1"/>
  <c r="D2490" i="1" a="1"/>
  <c r="D2490" i="1" s="1"/>
  <c r="D2491" i="1" a="1"/>
  <c r="D2491" i="1" s="1"/>
  <c r="D2492" i="1" a="1"/>
  <c r="D2492" i="1" s="1"/>
  <c r="D2493" i="1" a="1"/>
  <c r="D2493" i="1" s="1"/>
  <c r="D2494" i="1" a="1"/>
  <c r="D2494" i="1" s="1"/>
  <c r="D2495" i="1" a="1"/>
  <c r="D2495" i="1" s="1"/>
  <c r="D2496" i="1" a="1"/>
  <c r="D2496" i="1" s="1"/>
  <c r="D2497" i="1" a="1"/>
  <c r="D2497" i="1" s="1"/>
  <c r="D2498" i="1" a="1"/>
  <c r="D2498" i="1" s="1"/>
  <c r="D2499" i="1" a="1"/>
  <c r="D2499" i="1" s="1"/>
  <c r="D2500" i="1" a="1"/>
  <c r="D2500" i="1" s="1"/>
  <c r="D2501" i="1" a="1"/>
  <c r="D2501" i="1" s="1"/>
  <c r="AH5" i="4" l="1"/>
  <c r="AH4" i="4"/>
  <c r="AH6" i="4"/>
  <c r="S6" i="4"/>
  <c r="S5" i="4"/>
  <c r="S4" i="4"/>
  <c r="I14" i="4"/>
  <c r="I13" i="4"/>
  <c r="I12" i="4"/>
  <c r="I10" i="4"/>
  <c r="I9" i="4"/>
  <c r="I8" i="4"/>
  <c r="I7" i="4"/>
  <c r="I5" i="4"/>
  <c r="I4" i="4"/>
  <c r="I6" i="4"/>
  <c r="I11" i="4"/>
  <c r="C6" i="4"/>
  <c r="C9" i="4" s="1"/>
  <c r="C1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E575E4-5D43-4330-AA92-47D9A057C56D}" keepAlive="1" name="Query - Table1" description="Connection to the 'Table1' query in the workbook." type="5" refreshedVersion="8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<sst xmlns="http://schemas.openxmlformats.org/spreadsheetml/2006/main" count="20102" uniqueCount="3846">
  <si>
    <t>appointment_id</t>
  </si>
  <si>
    <t>patient_id</t>
  </si>
  <si>
    <t>age</t>
  </si>
  <si>
    <t>gender</t>
  </si>
  <si>
    <t>imd_decile</t>
  </si>
  <si>
    <t>distance_km</t>
  </si>
  <si>
    <t>department</t>
  </si>
  <si>
    <t>appointment_type</t>
  </si>
  <si>
    <t>booking_date</t>
  </si>
  <si>
    <t>appointment_date</t>
  </si>
  <si>
    <t>lead_time_days</t>
  </si>
  <si>
    <t>day_of_week</t>
  </si>
  <si>
    <t>reminder_sent</t>
  </si>
  <si>
    <t>prior_dna_count</t>
  </si>
  <si>
    <t>appointment_status</t>
  </si>
  <si>
    <t>A202295</t>
  </si>
  <si>
    <t>P100274</t>
  </si>
  <si>
    <t>Male</t>
  </si>
  <si>
    <t>Physiotherapy</t>
  </si>
  <si>
    <t>Follow-up</t>
  </si>
  <si>
    <t>Thursday</t>
  </si>
  <si>
    <t>Yes</t>
  </si>
  <si>
    <t>Attended</t>
  </si>
  <si>
    <t>A200191</t>
  </si>
  <si>
    <t>P100576</t>
  </si>
  <si>
    <t>Orthopaedics</t>
  </si>
  <si>
    <t>New</t>
  </si>
  <si>
    <t>A202156</t>
  </si>
  <si>
    <t>P101491</t>
  </si>
  <si>
    <t>Female</t>
  </si>
  <si>
    <t>ENT</t>
  </si>
  <si>
    <t>Sunday</t>
  </si>
  <si>
    <t>No</t>
  </si>
  <si>
    <t>A200149</t>
  </si>
  <si>
    <t>P101552</t>
  </si>
  <si>
    <t>Monday</t>
  </si>
  <si>
    <t>A202315</t>
  </si>
  <si>
    <t>P100421</t>
  </si>
  <si>
    <t>Dermatology</t>
  </si>
  <si>
    <t>Did Not Attend</t>
  </si>
  <si>
    <t>A200209</t>
  </si>
  <si>
    <t>P101285</t>
  </si>
  <si>
    <t>Cardiology</t>
  </si>
  <si>
    <t>A200507</t>
  </si>
  <si>
    <t>P101408</t>
  </si>
  <si>
    <t>Ophthalmology</t>
  </si>
  <si>
    <t>Cancelled</t>
  </si>
  <si>
    <t>A201346</t>
  </si>
  <si>
    <t>P101406</t>
  </si>
  <si>
    <t>General Surgery</t>
  </si>
  <si>
    <t>A202001</t>
  </si>
  <si>
    <t>P101373</t>
  </si>
  <si>
    <t>Friday</t>
  </si>
  <si>
    <t>A200965</t>
  </si>
  <si>
    <t>P101242</t>
  </si>
  <si>
    <t>Saturday</t>
  </si>
  <si>
    <t>A202415</t>
  </si>
  <si>
    <t>P100263</t>
  </si>
  <si>
    <t>Gynaecology</t>
  </si>
  <si>
    <t>A202231</t>
  </si>
  <si>
    <t>P100418</t>
  </si>
  <si>
    <t>A202449</t>
  </si>
  <si>
    <t>P100094</t>
  </si>
  <si>
    <t>A201214</t>
  </si>
  <si>
    <t>P101544</t>
  </si>
  <si>
    <t>A201688</t>
  </si>
  <si>
    <t>P101453</t>
  </si>
  <si>
    <t>A202222</t>
  </si>
  <si>
    <t>P100907</t>
  </si>
  <si>
    <t>A200564</t>
  </si>
  <si>
    <t>P100735</t>
  </si>
  <si>
    <t>Tuesday</t>
  </si>
  <si>
    <t>A202033</t>
  </si>
  <si>
    <t>P100879</t>
  </si>
  <si>
    <t>A201470</t>
  </si>
  <si>
    <t>P101420</t>
  </si>
  <si>
    <t>A200322</t>
  </si>
  <si>
    <t>P100144</t>
  </si>
  <si>
    <t>A201978</t>
  </si>
  <si>
    <t>P100575</t>
  </si>
  <si>
    <t>Wednesday</t>
  </si>
  <si>
    <t>A200205</t>
  </si>
  <si>
    <t>P101227</t>
  </si>
  <si>
    <t>A201866</t>
  </si>
  <si>
    <t>P101212</t>
  </si>
  <si>
    <t>A201167</t>
  </si>
  <si>
    <t>P101463</t>
  </si>
  <si>
    <t>A200204</t>
  </si>
  <si>
    <t>P100967</t>
  </si>
  <si>
    <t>A202236</t>
  </si>
  <si>
    <t>P101031</t>
  </si>
  <si>
    <t>Diabetes &amp; Endocrinology</t>
  </si>
  <si>
    <t>A202145</t>
  </si>
  <si>
    <t>P100887</t>
  </si>
  <si>
    <t>A201537</t>
  </si>
  <si>
    <t>P100455</t>
  </si>
  <si>
    <t>A200315</t>
  </si>
  <si>
    <t>P100766</t>
  </si>
  <si>
    <t>A201883</t>
  </si>
  <si>
    <t>P100934</t>
  </si>
  <si>
    <t>A201916</t>
  </si>
  <si>
    <t>P100375</t>
  </si>
  <si>
    <t>A201879</t>
  </si>
  <si>
    <t>P100921</t>
  </si>
  <si>
    <t>A200414</t>
  </si>
  <si>
    <t>P101415</t>
  </si>
  <si>
    <t>A201833</t>
  </si>
  <si>
    <t>P101156</t>
  </si>
  <si>
    <t>A200270</t>
  </si>
  <si>
    <t>P100111</t>
  </si>
  <si>
    <t>A202194</t>
  </si>
  <si>
    <t>P101113</t>
  </si>
  <si>
    <t>A201397</t>
  </si>
  <si>
    <t>P100773</t>
  </si>
  <si>
    <t>A201822</t>
  </si>
  <si>
    <t>P100580</t>
  </si>
  <si>
    <t>A200260</t>
  </si>
  <si>
    <t>P100004</t>
  </si>
  <si>
    <t>A201469</t>
  </si>
  <si>
    <t>P101339</t>
  </si>
  <si>
    <t>A201959</t>
  </si>
  <si>
    <t>P101271</t>
  </si>
  <si>
    <t>A200611</t>
  </si>
  <si>
    <t>P101317</t>
  </si>
  <si>
    <t>A201557</t>
  </si>
  <si>
    <t>P100909</t>
  </si>
  <si>
    <t>A200095</t>
  </si>
  <si>
    <t>P101191</t>
  </si>
  <si>
    <t>A201019</t>
  </si>
  <si>
    <t>P100355</t>
  </si>
  <si>
    <t>A201183</t>
  </si>
  <si>
    <t>P100933</t>
  </si>
  <si>
    <t>A200689</t>
  </si>
  <si>
    <t>P100208</t>
  </si>
  <si>
    <t>A202138</t>
  </si>
  <si>
    <t>P101566</t>
  </si>
  <si>
    <t>A200779</t>
  </si>
  <si>
    <t>P101080</t>
  </si>
  <si>
    <t>A202095</t>
  </si>
  <si>
    <t>P100392</t>
  </si>
  <si>
    <t>A202379</t>
  </si>
  <si>
    <t>P100870</t>
  </si>
  <si>
    <t>A201012</t>
  </si>
  <si>
    <t>P100514</t>
  </si>
  <si>
    <t>A201895</t>
  </si>
  <si>
    <t>P100688</t>
  </si>
  <si>
    <t>A201171</t>
  </si>
  <si>
    <t>P100659</t>
  </si>
  <si>
    <t>A200638</t>
  </si>
  <si>
    <t>P101575</t>
  </si>
  <si>
    <t>A202386</t>
  </si>
  <si>
    <t>P100369</t>
  </si>
  <si>
    <t>A200373</t>
  </si>
  <si>
    <t>A202409</t>
  </si>
  <si>
    <t>P100935</t>
  </si>
  <si>
    <t>Respiratory Medicine</t>
  </si>
  <si>
    <t>A201442</t>
  </si>
  <si>
    <t>P101159</t>
  </si>
  <si>
    <t>A201761</t>
  </si>
  <si>
    <t>P100389</t>
  </si>
  <si>
    <t>A200404</t>
  </si>
  <si>
    <t>P100959</t>
  </si>
  <si>
    <t>A200727</t>
  </si>
  <si>
    <t>P101134</t>
  </si>
  <si>
    <t>A202480</t>
  </si>
  <si>
    <t>P100854</t>
  </si>
  <si>
    <t>A201022</t>
  </si>
  <si>
    <t>P101501</t>
  </si>
  <si>
    <t>A200633</t>
  </si>
  <si>
    <t>P100440</t>
  </si>
  <si>
    <t>A202115</t>
  </si>
  <si>
    <t>P100599</t>
  </si>
  <si>
    <t>A200370</t>
  </si>
  <si>
    <t>P101292</t>
  </si>
  <si>
    <t>A202400</t>
  </si>
  <si>
    <t>P100548</t>
  </si>
  <si>
    <t>A201534</t>
  </si>
  <si>
    <t>P101379</t>
  </si>
  <si>
    <t>A201175</t>
  </si>
  <si>
    <t>P101517</t>
  </si>
  <si>
    <t>A201337</t>
  </si>
  <si>
    <t>P100036</t>
  </si>
  <si>
    <t>A202488</t>
  </si>
  <si>
    <t>P101090</t>
  </si>
  <si>
    <t>A201163</t>
  </si>
  <si>
    <t>P100916</t>
  </si>
  <si>
    <t>A201653</t>
  </si>
  <si>
    <t>P101451</t>
  </si>
  <si>
    <t>A201915</t>
  </si>
  <si>
    <t>P100323</t>
  </si>
  <si>
    <t>A200587</t>
  </si>
  <si>
    <t>P101282</t>
  </si>
  <si>
    <t>A200846</t>
  </si>
  <si>
    <t>P101599</t>
  </si>
  <si>
    <t>A200192</t>
  </si>
  <si>
    <t>P101293</t>
  </si>
  <si>
    <t>A201549</t>
  </si>
  <si>
    <t>P100565</t>
  </si>
  <si>
    <t>A202129</t>
  </si>
  <si>
    <t>P101314</t>
  </si>
  <si>
    <t>A201467</t>
  </si>
  <si>
    <t>P101312</t>
  </si>
  <si>
    <t>A200977</t>
  </si>
  <si>
    <t>P100778</t>
  </si>
  <si>
    <t>A202200</t>
  </si>
  <si>
    <t>P100184</t>
  </si>
  <si>
    <t>A201546</t>
  </si>
  <si>
    <t>P100521</t>
  </si>
  <si>
    <t>A201851</t>
  </si>
  <si>
    <t>P101198</t>
  </si>
  <si>
    <t>A201428</t>
  </si>
  <si>
    <t>P100401</t>
  </si>
  <si>
    <t>A200940</t>
  </si>
  <si>
    <t>P100356</t>
  </si>
  <si>
    <t>A201396</t>
  </si>
  <si>
    <t>P100993</t>
  </si>
  <si>
    <t>A200368</t>
  </si>
  <si>
    <t>P101075</t>
  </si>
  <si>
    <t>A200334</t>
  </si>
  <si>
    <t>P100232</t>
  </si>
  <si>
    <t>A202185</t>
  </si>
  <si>
    <t>P100310</t>
  </si>
  <si>
    <t>A201211</t>
  </si>
  <si>
    <t>P101217</t>
  </si>
  <si>
    <t>A200870</t>
  </si>
  <si>
    <t>P101378</t>
  </si>
  <si>
    <t>A201003</t>
  </si>
  <si>
    <t>P100251</t>
  </si>
  <si>
    <t>A200092</t>
  </si>
  <si>
    <t>P100047</t>
  </si>
  <si>
    <t>A200423</t>
  </si>
  <si>
    <t>P101237</t>
  </si>
  <si>
    <t>A200811</t>
  </si>
  <si>
    <t>P100433</t>
  </si>
  <si>
    <t>A201063</t>
  </si>
  <si>
    <t>P100076</t>
  </si>
  <si>
    <t>A201989</t>
  </si>
  <si>
    <t>P101549</t>
  </si>
  <si>
    <t>A200474</t>
  </si>
  <si>
    <t>P100915</t>
  </si>
  <si>
    <t>A202394</t>
  </si>
  <si>
    <t>P100808</t>
  </si>
  <si>
    <t>A202102</t>
  </si>
  <si>
    <t>P101036</t>
  </si>
  <si>
    <t>A200003</t>
  </si>
  <si>
    <t>P100486</t>
  </si>
  <si>
    <t>A201886</t>
  </si>
  <si>
    <t>P100615</t>
  </si>
  <si>
    <t>A201995</t>
  </si>
  <si>
    <t>P100612</t>
  </si>
  <si>
    <t>A202117</t>
  </si>
  <si>
    <t>P100089</t>
  </si>
  <si>
    <t>A201574</t>
  </si>
  <si>
    <t>P101165</t>
  </si>
  <si>
    <t>A201652</t>
  </si>
  <si>
    <t>P101470</t>
  </si>
  <si>
    <t>A202024</t>
  </si>
  <si>
    <t>P100399</t>
  </si>
  <si>
    <t>A201119</t>
  </si>
  <si>
    <t>P100179</t>
  </si>
  <si>
    <t>A200316</t>
  </si>
  <si>
    <t>P100877</t>
  </si>
  <si>
    <t>A201379</t>
  </si>
  <si>
    <t>P100506</t>
  </si>
  <si>
    <t>A201787</t>
  </si>
  <si>
    <t>P101116</t>
  </si>
  <si>
    <t>A200096</t>
  </si>
  <si>
    <t>A201216</t>
  </si>
  <si>
    <t>P100899</t>
  </si>
  <si>
    <t>A200999</t>
  </si>
  <si>
    <t>P101296</t>
  </si>
  <si>
    <t>A201064</t>
  </si>
  <si>
    <t>P100219</t>
  </si>
  <si>
    <t>A201416</t>
  </si>
  <si>
    <t>P100461</t>
  </si>
  <si>
    <t>A200828</t>
  </si>
  <si>
    <t>P101070</t>
  </si>
  <si>
    <t>A200194</t>
  </si>
  <si>
    <t>P100185</t>
  </si>
  <si>
    <t>A200643</t>
  </si>
  <si>
    <t>P101369</t>
  </si>
  <si>
    <t>A201107</t>
  </si>
  <si>
    <t>P100572</t>
  </si>
  <si>
    <t>A200948</t>
  </si>
  <si>
    <t>P100681</t>
  </si>
  <si>
    <t>A201911</t>
  </si>
  <si>
    <t>P101203</t>
  </si>
  <si>
    <t>A200023</t>
  </si>
  <si>
    <t>P101365</t>
  </si>
  <si>
    <t>A200625</t>
  </si>
  <si>
    <t>P101067</t>
  </si>
  <si>
    <t>A200051</t>
  </si>
  <si>
    <t>P100029</t>
  </si>
  <si>
    <t>A200640</t>
  </si>
  <si>
    <t>P100227</t>
  </si>
  <si>
    <t>A200551</t>
  </si>
  <si>
    <t>P100346</t>
  </si>
  <si>
    <t>A201100</t>
  </si>
  <si>
    <t>P100097</t>
  </si>
  <si>
    <t>A200140</t>
  </si>
  <si>
    <t>P101231</t>
  </si>
  <si>
    <t>A201608</t>
  </si>
  <si>
    <t>P101589</t>
  </si>
  <si>
    <t>A200113</t>
  </si>
  <si>
    <t>P100976</t>
  </si>
  <si>
    <t>A202195</t>
  </si>
  <si>
    <t>P101076</t>
  </si>
  <si>
    <t>A202188</t>
  </si>
  <si>
    <t>P100932</t>
  </si>
  <si>
    <t>A201491</t>
  </si>
  <si>
    <t>P100454</t>
  </si>
  <si>
    <t>A201835</t>
  </si>
  <si>
    <t>P101044</t>
  </si>
  <si>
    <t>A201559</t>
  </si>
  <si>
    <t>P100730</t>
  </si>
  <si>
    <t>A200225</t>
  </si>
  <si>
    <t>P100419</t>
  </si>
  <si>
    <t>A200682</t>
  </si>
  <si>
    <t>P101372</t>
  </si>
  <si>
    <t>A200981</t>
  </si>
  <si>
    <t>P101564</t>
  </si>
  <si>
    <t>A201050</t>
  </si>
  <si>
    <t>P101397</t>
  </si>
  <si>
    <t>A200595</t>
  </si>
  <si>
    <t>P101150</t>
  </si>
  <si>
    <t>A201454</t>
  </si>
  <si>
    <t>A201310</t>
  </si>
  <si>
    <t>P101388</t>
  </si>
  <si>
    <t>A200865</t>
  </si>
  <si>
    <t>P100372</t>
  </si>
  <si>
    <t>A201440</t>
  </si>
  <si>
    <t>P100841</t>
  </si>
  <si>
    <t>A202459</t>
  </si>
  <si>
    <t>P100053</t>
  </si>
  <si>
    <t>A200769</t>
  </si>
  <si>
    <t>P100325</t>
  </si>
  <si>
    <t>A201613</t>
  </si>
  <si>
    <t>P101029</t>
  </si>
  <si>
    <t>A200215</t>
  </si>
  <si>
    <t>P100261</t>
  </si>
  <si>
    <t>A200827</t>
  </si>
  <si>
    <t>P100348</t>
  </si>
  <si>
    <t>A201650</t>
  </si>
  <si>
    <t>P101189</t>
  </si>
  <si>
    <t>A201170</t>
  </si>
  <si>
    <t>P100811</t>
  </si>
  <si>
    <t>A201115</t>
  </si>
  <si>
    <t>A201721</t>
  </si>
  <si>
    <t>P100966</t>
  </si>
  <si>
    <t>A200797</t>
  </si>
  <si>
    <t>P100646</t>
  </si>
  <si>
    <t>A201725</t>
  </si>
  <si>
    <t>P100607</t>
  </si>
  <si>
    <t>A200217</t>
  </si>
  <si>
    <t>P100742</t>
  </si>
  <si>
    <t>A201471</t>
  </si>
  <si>
    <t>A200515</t>
  </si>
  <si>
    <t>P101256</t>
  </si>
  <si>
    <t>A201303</t>
  </si>
  <si>
    <t>P100364</t>
  </si>
  <si>
    <t>A202490</t>
  </si>
  <si>
    <t>P100468</t>
  </si>
  <si>
    <t>A202309</t>
  </si>
  <si>
    <t>P100491</t>
  </si>
  <si>
    <t>A200851</t>
  </si>
  <si>
    <t>P100555</t>
  </si>
  <si>
    <t>A201340</t>
  </si>
  <si>
    <t>P100722</t>
  </si>
  <si>
    <t>A201045</t>
  </si>
  <si>
    <t>P101013</t>
  </si>
  <si>
    <t>A201035</t>
  </si>
  <si>
    <t>P100473</t>
  </si>
  <si>
    <t>A202065</t>
  </si>
  <si>
    <t>P100950</t>
  </si>
  <si>
    <t>A202432</t>
  </si>
  <si>
    <t>P100104</t>
  </si>
  <si>
    <t>A201208</t>
  </si>
  <si>
    <t>P100264</t>
  </si>
  <si>
    <t>A200603</t>
  </si>
  <si>
    <t>P100105</t>
  </si>
  <si>
    <t>A201620</t>
  </si>
  <si>
    <t>P100651</t>
  </si>
  <si>
    <t>A202482</t>
  </si>
  <si>
    <t>P101151</t>
  </si>
  <si>
    <t>A201228</t>
  </si>
  <si>
    <t>P100661</t>
  </si>
  <si>
    <t>A200637</t>
  </si>
  <si>
    <t>P101394</t>
  </si>
  <si>
    <t>A200088</t>
  </si>
  <si>
    <t>P100059</t>
  </si>
  <si>
    <t>A201341</t>
  </si>
  <si>
    <t>P101129</t>
  </si>
  <si>
    <t>A202351</t>
  </si>
  <si>
    <t>P100717</t>
  </si>
  <si>
    <t>A201417</t>
  </si>
  <si>
    <t>P100141</t>
  </si>
  <si>
    <t>A202288</t>
  </si>
  <si>
    <t>P100955</t>
  </si>
  <si>
    <t>A200274</t>
  </si>
  <si>
    <t>P101002</t>
  </si>
  <si>
    <t>A200105</t>
  </si>
  <si>
    <t>A200253</t>
  </si>
  <si>
    <t>A200045</t>
  </si>
  <si>
    <t>P101225</t>
  </si>
  <si>
    <t>A202015</t>
  </si>
  <si>
    <t>P100743</t>
  </si>
  <si>
    <t>A200925</t>
  </si>
  <si>
    <t>P100520</t>
  </si>
  <si>
    <t>A200480</t>
  </si>
  <si>
    <t>P101084</t>
  </si>
  <si>
    <t>A201839</t>
  </si>
  <si>
    <t>P101586</t>
  </si>
  <si>
    <t>A201452</t>
  </si>
  <si>
    <t>P101105</t>
  </si>
  <si>
    <t>A202045</t>
  </si>
  <si>
    <t>P100380</t>
  </si>
  <si>
    <t>A200035</t>
  </si>
  <si>
    <t>P100689</t>
  </si>
  <si>
    <t>A200441</t>
  </si>
  <si>
    <t>P100654</t>
  </si>
  <si>
    <t>A202345</t>
  </si>
  <si>
    <t>P100670</t>
  </si>
  <si>
    <t>A202417</t>
  </si>
  <si>
    <t>P100671</t>
  </si>
  <si>
    <t>A202456</t>
  </si>
  <si>
    <t>A200039</t>
  </si>
  <si>
    <t>P100349</t>
  </si>
  <si>
    <t>A200648</t>
  </si>
  <si>
    <t>P100048</t>
  </si>
  <si>
    <t>A201849</t>
  </si>
  <si>
    <t>P100304</t>
  </si>
  <si>
    <t>A201722</t>
  </si>
  <si>
    <t>P101125</t>
  </si>
  <si>
    <t>A202012</t>
  </si>
  <si>
    <t>P101534</t>
  </si>
  <si>
    <t>A200080</t>
  </si>
  <si>
    <t>P101578</t>
  </si>
  <si>
    <t>A202130</t>
  </si>
  <si>
    <t>P101213</t>
  </si>
  <si>
    <t>A201078</t>
  </si>
  <si>
    <t>P100855</t>
  </si>
  <si>
    <t>A200978</t>
  </si>
  <si>
    <t>P100352</t>
  </si>
  <si>
    <t>A200241</t>
  </si>
  <si>
    <t>P100970</t>
  </si>
  <si>
    <t>A202179</t>
  </si>
  <si>
    <t>P100982</t>
  </si>
  <si>
    <t>A200189</t>
  </si>
  <si>
    <t>P100972</t>
  </si>
  <si>
    <t>A201876</t>
  </si>
  <si>
    <t>P101114</t>
  </si>
  <si>
    <t>A201809</t>
  </si>
  <si>
    <t>P100583</t>
  </si>
  <si>
    <t>A200567</t>
  </si>
  <si>
    <t>P101015</t>
  </si>
  <si>
    <t>A202484</t>
  </si>
  <si>
    <t>P100863</t>
  </si>
  <si>
    <t>A202077</t>
  </si>
  <si>
    <t>P100872</t>
  </si>
  <si>
    <t>A201555</t>
  </si>
  <si>
    <t>P101525</t>
  </si>
  <si>
    <t>A200160</t>
  </si>
  <si>
    <t>P100000</t>
  </si>
  <si>
    <t>A200796</t>
  </si>
  <si>
    <t>P100767</t>
  </si>
  <si>
    <t>A201351</t>
  </si>
  <si>
    <t>P100239</t>
  </si>
  <si>
    <t>A200136</t>
  </si>
  <si>
    <t>P100170</t>
  </si>
  <si>
    <t>A202373</t>
  </si>
  <si>
    <t>P101598</t>
  </si>
  <si>
    <t>A201885</t>
  </si>
  <si>
    <t>P101273</t>
  </si>
  <si>
    <t>A200485</t>
  </si>
  <si>
    <t>P101124</t>
  </si>
  <si>
    <t>A202332</t>
  </si>
  <si>
    <t>P101061</t>
  </si>
  <si>
    <t>A201716</t>
  </si>
  <si>
    <t>P100635</t>
  </si>
  <si>
    <t>A201457</t>
  </si>
  <si>
    <t>P101433</t>
  </si>
  <si>
    <t>A200859</t>
  </si>
  <si>
    <t>P101596</t>
  </si>
  <si>
    <t>A202405</t>
  </si>
  <si>
    <t>P100827</t>
  </si>
  <si>
    <t>A200501</t>
  </si>
  <si>
    <t>P100293</t>
  </si>
  <si>
    <t>A202401</t>
  </si>
  <si>
    <t>P100803</t>
  </si>
  <si>
    <t>A200266</t>
  </si>
  <si>
    <t>A200805</t>
  </si>
  <si>
    <t>A200323</t>
  </si>
  <si>
    <t>P101039</t>
  </si>
  <si>
    <t>A200526</t>
  </si>
  <si>
    <t>P100645</t>
  </si>
  <si>
    <t>A200330</t>
  </si>
  <si>
    <t>P100088</t>
  </si>
  <si>
    <t>A201230</t>
  </si>
  <si>
    <t>P101377</t>
  </si>
  <si>
    <t>A201708</t>
  </si>
  <si>
    <t>P100544</t>
  </si>
  <si>
    <t>A200577</t>
  </si>
  <si>
    <t>P101254</t>
  </si>
  <si>
    <t>A200903</t>
  </si>
  <si>
    <t>P100753</t>
  </si>
  <si>
    <t>A201987</t>
  </si>
  <si>
    <t>P100925</t>
  </si>
  <si>
    <t>A201932</t>
  </si>
  <si>
    <t>P100823</t>
  </si>
  <si>
    <t>A201434</t>
  </si>
  <si>
    <t>P100216</t>
  </si>
  <si>
    <t>A200673</t>
  </si>
  <si>
    <t>P100090</t>
  </si>
  <si>
    <t>A200004</t>
  </si>
  <si>
    <t>P100701</t>
  </si>
  <si>
    <t>A201846</t>
  </si>
  <si>
    <t>P101353</t>
  </si>
  <si>
    <t>A200678</t>
  </si>
  <si>
    <t>A200559</t>
  </si>
  <si>
    <t>A201267</t>
  </si>
  <si>
    <t>P100332</t>
  </si>
  <si>
    <t>A201863</t>
  </si>
  <si>
    <t>P101522</t>
  </si>
  <si>
    <t>A202473</t>
  </si>
  <si>
    <t>P101584</t>
  </si>
  <si>
    <t>A201375</t>
  </si>
  <si>
    <t>P101087</t>
  </si>
  <si>
    <t>A200954</t>
  </si>
  <si>
    <t>A200127</t>
  </si>
  <si>
    <t>P101509</t>
  </si>
  <si>
    <t>A200628</t>
  </si>
  <si>
    <t>P100277</t>
  </si>
  <si>
    <t>A200335</t>
  </si>
  <si>
    <t>P100395</t>
  </si>
  <si>
    <t>A202438</t>
  </si>
  <si>
    <t>P101190</t>
  </si>
  <si>
    <t>A201246</t>
  </si>
  <si>
    <t>P100328</t>
  </si>
  <si>
    <t>A200355</t>
  </si>
  <si>
    <t>A201654</t>
  </si>
  <si>
    <t>P100102</t>
  </si>
  <si>
    <t>A201664</t>
  </si>
  <si>
    <t>P100715</t>
  </si>
  <si>
    <t>A200066</t>
  </si>
  <si>
    <t>P100035</t>
  </si>
  <si>
    <t>A202053</t>
  </si>
  <si>
    <t>A200022</t>
  </si>
  <si>
    <t>P100906</t>
  </si>
  <si>
    <t>A200037</t>
  </si>
  <si>
    <t>P100998</t>
  </si>
  <si>
    <t>A200049</t>
  </si>
  <si>
    <t>P100697</t>
  </si>
  <si>
    <t>A201593</t>
  </si>
  <si>
    <t>P101570</t>
  </si>
  <si>
    <t>A200268</t>
  </si>
  <si>
    <t>P101164</t>
  </si>
  <si>
    <t>A202078</t>
  </si>
  <si>
    <t>A202352</t>
  </si>
  <si>
    <t>P101381</t>
  </si>
  <si>
    <t>A201807</t>
  </si>
  <si>
    <t>P100269</t>
  </si>
  <si>
    <t>A200085</t>
  </si>
  <si>
    <t>P101106</t>
  </si>
  <si>
    <t>A200139</t>
  </si>
  <si>
    <t>P101108</t>
  </si>
  <si>
    <t>A200376</t>
  </si>
  <si>
    <t>P100270</t>
  </si>
  <si>
    <t>A201041</t>
  </si>
  <si>
    <t>P100736</t>
  </si>
  <si>
    <t>A200550</t>
  </si>
  <si>
    <t>P101049</t>
  </si>
  <si>
    <t>A200605</t>
  </si>
  <si>
    <t>P101209</t>
  </si>
  <si>
    <t>A201001</t>
  </si>
  <si>
    <t>A202018</t>
  </si>
  <si>
    <t>A201474</t>
  </si>
  <si>
    <t>P100557</t>
  </si>
  <si>
    <t>A201743</t>
  </si>
  <si>
    <t>P101354</t>
  </si>
  <si>
    <t>A202232</t>
  </si>
  <si>
    <t>P100025</t>
  </si>
  <si>
    <t>A200916</t>
  </si>
  <si>
    <t>P100318</t>
  </si>
  <si>
    <t>A202094</t>
  </si>
  <si>
    <t>P100259</t>
  </si>
  <si>
    <t>A202346</t>
  </si>
  <si>
    <t>P101180</t>
  </si>
  <si>
    <t>A201174</t>
  </si>
  <si>
    <t>P101011</t>
  </si>
  <si>
    <t>A201348</t>
  </si>
  <si>
    <t>P101102</t>
  </si>
  <si>
    <t>A200431</t>
  </si>
  <si>
    <t>P101101</t>
  </si>
  <si>
    <t>A200729</t>
  </si>
  <si>
    <t>P101497</t>
  </si>
  <si>
    <t>A202279</t>
  </si>
  <si>
    <t>P101508</t>
  </si>
  <si>
    <t>A200361</t>
  </si>
  <si>
    <t>P100317</t>
  </si>
  <si>
    <t>A201218</t>
  </si>
  <si>
    <t>A200549</t>
  </si>
  <si>
    <t>P100682</t>
  </si>
  <si>
    <t>A200572</t>
  </si>
  <si>
    <t>P100774</t>
  </si>
  <si>
    <t>A200340</t>
  </si>
  <si>
    <t>P100574</t>
  </si>
  <si>
    <t>A200223</t>
  </si>
  <si>
    <t>P101511</t>
  </si>
  <si>
    <t>A202075</t>
  </si>
  <si>
    <t>A201887</t>
  </si>
  <si>
    <t>A201257</t>
  </si>
  <si>
    <t>P100230</t>
  </si>
  <si>
    <t>A202407</t>
  </si>
  <si>
    <t>P100298</t>
  </si>
  <si>
    <t>A200126</t>
  </si>
  <si>
    <t>P101333</t>
  </si>
  <si>
    <t>A202073</t>
  </si>
  <si>
    <t>P100033</t>
  </si>
  <si>
    <t>A201638</t>
  </si>
  <si>
    <t>P100431</t>
  </si>
  <si>
    <t>A201583</t>
  </si>
  <si>
    <t>P100023</t>
  </si>
  <si>
    <t>A200483</t>
  </si>
  <si>
    <t>P101516</t>
  </si>
  <si>
    <t>A202264</t>
  </si>
  <si>
    <t>P100820</t>
  </si>
  <si>
    <t>A201373</t>
  </si>
  <si>
    <t>A201355</t>
  </si>
  <si>
    <t>P100151</t>
  </si>
  <si>
    <t>A200544</t>
  </si>
  <si>
    <t>P100553</t>
  </si>
  <si>
    <t>A200683</t>
  </si>
  <si>
    <t>P100133</t>
  </si>
  <si>
    <t>A200580</t>
  </si>
  <si>
    <t>P100706</t>
  </si>
  <si>
    <t>A200837</t>
  </si>
  <si>
    <t>P101130</t>
  </si>
  <si>
    <t>A201949</t>
  </si>
  <si>
    <t>P100176</t>
  </si>
  <si>
    <t>A200951</t>
  </si>
  <si>
    <t>P101117</t>
  </si>
  <si>
    <t>A200919</t>
  </si>
  <si>
    <t>P100442</t>
  </si>
  <si>
    <t>A200845</t>
  </si>
  <si>
    <t>P101172</t>
  </si>
  <si>
    <t>A201751</t>
  </si>
  <si>
    <t>P101319</t>
  </si>
  <si>
    <t>A202170</t>
  </si>
  <si>
    <t>P100728</t>
  </si>
  <si>
    <t>A201057</t>
  </si>
  <si>
    <t>A201914</t>
  </si>
  <si>
    <t>P101530</t>
  </si>
  <si>
    <t>A201906</t>
  </si>
  <si>
    <t>P100117</t>
  </si>
  <si>
    <t>A201904</t>
  </si>
  <si>
    <t>P100160</t>
  </si>
  <si>
    <t>A201263</t>
  </si>
  <si>
    <t>P100945</t>
  </si>
  <si>
    <t>A201095</t>
  </si>
  <si>
    <t>P100691</t>
  </si>
  <si>
    <t>A201817</t>
  </si>
  <si>
    <t>P100174</t>
  </si>
  <si>
    <t>A201365</t>
  </si>
  <si>
    <t>P100490</t>
  </si>
  <si>
    <t>A200383</t>
  </si>
  <si>
    <t>P100690</t>
  </si>
  <si>
    <t>A202333</t>
  </si>
  <si>
    <t>P101558</t>
  </si>
  <si>
    <t>A202485</t>
  </si>
  <si>
    <t>P100466</t>
  </si>
  <si>
    <t>A200220</t>
  </si>
  <si>
    <t>P101469</t>
  </si>
  <si>
    <t>A200175</t>
  </si>
  <si>
    <t>P101232</t>
  </si>
  <si>
    <t>A200086</t>
  </si>
  <si>
    <t>P100746</t>
  </si>
  <si>
    <t>A201165</t>
  </si>
  <si>
    <t>A200331</t>
  </si>
  <si>
    <t>P101417</t>
  </si>
  <si>
    <t>A201637</t>
  </si>
  <si>
    <t>P100142</t>
  </si>
  <si>
    <t>A200670</t>
  </si>
  <si>
    <t>P101479</t>
  </si>
  <si>
    <t>A200344</t>
  </si>
  <si>
    <t>P101362</t>
  </si>
  <si>
    <t>A202355</t>
  </si>
  <si>
    <t>A201801</t>
  </si>
  <si>
    <t>P100829</t>
  </si>
  <si>
    <t>A201164</t>
  </si>
  <si>
    <t>P101027</t>
  </si>
  <si>
    <t>A201598</t>
  </si>
  <si>
    <t>P100791</t>
  </si>
  <si>
    <t>A200513</t>
  </si>
  <si>
    <t>P100963</t>
  </si>
  <si>
    <t>A200893</t>
  </si>
  <si>
    <t>P100061</t>
  </si>
  <si>
    <t>A201447</t>
  </si>
  <si>
    <t>A200349</t>
  </si>
  <si>
    <t>P100792</t>
  </si>
  <si>
    <t>A200412</t>
  </si>
  <si>
    <t>P100747</t>
  </si>
  <si>
    <t>A200275</t>
  </si>
  <si>
    <t>P100282</t>
  </si>
  <si>
    <t>A200878</t>
  </si>
  <si>
    <t>P100816</t>
  </si>
  <si>
    <t>A200208</t>
  </si>
  <si>
    <t>P100846</t>
  </si>
  <si>
    <t>A201026</t>
  </si>
  <si>
    <t>P101138</t>
  </si>
  <si>
    <t>A202191</t>
  </si>
  <si>
    <t>P100813</t>
  </si>
  <si>
    <t>A201280</t>
  </si>
  <si>
    <t>P100807</t>
  </si>
  <si>
    <t>A200585</t>
  </si>
  <si>
    <t>P100200</t>
  </si>
  <si>
    <t>A200770</t>
  </si>
  <si>
    <t>P100457</t>
  </si>
  <si>
    <t>A200382</t>
  </si>
  <si>
    <t>A200138</t>
  </si>
  <si>
    <t>P101143</t>
  </si>
  <si>
    <t>A201717</t>
  </si>
  <si>
    <t>A200622</t>
  </si>
  <si>
    <t>A201294</t>
  </si>
  <si>
    <t>P100795</t>
  </si>
  <si>
    <t>A202263</t>
  </si>
  <si>
    <t>A201811</t>
  </si>
  <si>
    <t>P100210</t>
  </si>
  <si>
    <t>A201628</t>
  </si>
  <si>
    <t>P100415</t>
  </si>
  <si>
    <t>A202277</t>
  </si>
  <si>
    <t>P100594</t>
  </si>
  <si>
    <t>A201777</t>
  </si>
  <si>
    <t>P101409</t>
  </si>
  <si>
    <t>A200788</t>
  </si>
  <si>
    <t>P101016</t>
  </si>
  <si>
    <t>A200992</t>
  </si>
  <si>
    <t>P100882</t>
  </si>
  <si>
    <t>A201387</t>
  </si>
  <si>
    <t>P101177</t>
  </si>
  <si>
    <t>A200135</t>
  </si>
  <si>
    <t>A200964</t>
  </si>
  <si>
    <t>A201044</t>
  </si>
  <si>
    <t>P101531</t>
  </si>
  <si>
    <t>A200174</t>
  </si>
  <si>
    <t>P100603</t>
  </si>
  <si>
    <t>A200561</t>
  </si>
  <si>
    <t>P101205</t>
  </si>
  <si>
    <t>A201723</t>
  </si>
  <si>
    <t>P100119</t>
  </si>
  <si>
    <t>A202313</t>
  </si>
  <si>
    <t>P100339</t>
  </si>
  <si>
    <t>A200768</t>
  </si>
  <si>
    <t>P100456</t>
  </si>
  <si>
    <t>A201168</t>
  </si>
  <si>
    <t>P100272</t>
  </si>
  <si>
    <t>A202050</t>
  </si>
  <si>
    <t>P101248</t>
  </si>
  <si>
    <t>A202147</t>
  </si>
  <si>
    <t>P100427</t>
  </si>
  <si>
    <t>A201331</t>
  </si>
  <si>
    <t>P101051</t>
  </si>
  <si>
    <t>A200906</t>
  </si>
  <si>
    <t>P101119</t>
  </si>
  <si>
    <t>A200691</t>
  </si>
  <si>
    <t>P100531</t>
  </si>
  <si>
    <t>A200800</t>
  </si>
  <si>
    <t>P100869</t>
  </si>
  <si>
    <t>A202325</t>
  </si>
  <si>
    <t>P101245</t>
  </si>
  <si>
    <t>A201749</t>
  </si>
  <si>
    <t>P101153</t>
  </si>
  <si>
    <t>A201589</t>
  </si>
  <si>
    <t>P101050</t>
  </si>
  <si>
    <t>A200777</t>
  </si>
  <si>
    <t>A201401</t>
  </si>
  <si>
    <t>A201755</t>
  </si>
  <si>
    <t>P100800</t>
  </si>
  <si>
    <t>A200479</t>
  </si>
  <si>
    <t>P100761</t>
  </si>
  <si>
    <t>A201438</t>
  </si>
  <si>
    <t>P100347</t>
  </si>
  <si>
    <t>A201021</t>
  </si>
  <si>
    <t>A200563</t>
  </si>
  <si>
    <t>P100115</t>
  </si>
  <si>
    <t>A200862</t>
  </si>
  <si>
    <t>P100183</t>
  </si>
  <si>
    <t>A202324</t>
  </si>
  <si>
    <t>P101343</t>
  </si>
  <si>
    <t>A201405</t>
  </si>
  <si>
    <t>P100054</t>
  </si>
  <si>
    <t>A201536</t>
  </si>
  <si>
    <t>P100281</t>
  </si>
  <si>
    <t>A200825</t>
  </si>
  <si>
    <t>P101020</t>
  </si>
  <si>
    <t>A201919</t>
  </si>
  <si>
    <t>P100181</t>
  </si>
  <si>
    <t>A202250</t>
  </si>
  <si>
    <t>P101066</t>
  </si>
  <si>
    <t>A201195</t>
  </si>
  <si>
    <t>P100475</t>
  </si>
  <si>
    <t>A200305</t>
  </si>
  <si>
    <t>P100835</t>
  </si>
  <si>
    <t>A202180</t>
  </si>
  <si>
    <t>A201856</t>
  </si>
  <si>
    <t>P101423</t>
  </si>
  <si>
    <t>A201730</t>
  </si>
  <si>
    <t>P100759</t>
  </si>
  <si>
    <t>A200169</t>
  </si>
  <si>
    <t>A201519</t>
  </si>
  <si>
    <t>P100257</t>
  </si>
  <si>
    <t>A200459</t>
  </si>
  <si>
    <t>P101123</t>
  </si>
  <si>
    <t>A202486</t>
  </si>
  <si>
    <t>P101158</t>
  </si>
  <si>
    <t>A200273</t>
  </si>
  <si>
    <t>P100894</t>
  </si>
  <si>
    <t>A201324</t>
  </si>
  <si>
    <t>P100463</t>
  </si>
  <si>
    <t>A201824</t>
  </si>
  <si>
    <t>P100482</t>
  </si>
  <si>
    <t>A200593</t>
  </si>
  <si>
    <t>P100636</t>
  </si>
  <si>
    <t>A200534</t>
  </si>
  <si>
    <t>P101262</t>
  </si>
  <si>
    <t>A200099</t>
  </si>
  <si>
    <t>P101202</t>
  </si>
  <si>
    <t>A201302</t>
  </si>
  <si>
    <t>P100666</t>
  </si>
  <si>
    <t>A202462</t>
  </si>
  <si>
    <t>P100189</t>
  </si>
  <si>
    <t>A202393</t>
  </si>
  <si>
    <t>A201673</t>
  </si>
  <si>
    <t>P101167</t>
  </si>
  <si>
    <t>A201972</t>
  </si>
  <si>
    <t>P100474</t>
  </si>
  <si>
    <t>A202226</t>
  </si>
  <si>
    <t>P101077</t>
  </si>
  <si>
    <t>A202084</t>
  </si>
  <si>
    <t>P100086</t>
  </si>
  <si>
    <t>A200326</t>
  </si>
  <si>
    <t>P101064</t>
  </si>
  <si>
    <t>A201319</t>
  </si>
  <si>
    <t>A200164</t>
  </si>
  <si>
    <t>P100716</t>
  </si>
  <si>
    <t>A201300</t>
  </si>
  <si>
    <t>A200500</t>
  </si>
  <si>
    <t>P100804</t>
  </si>
  <si>
    <t>A200010</t>
  </si>
  <si>
    <t>P101462</t>
  </si>
  <si>
    <t>A202371</t>
  </si>
  <si>
    <t>A202021</t>
  </si>
  <si>
    <t>P101489</t>
  </si>
  <si>
    <t>A202105</t>
  </si>
  <si>
    <t>P100643</t>
  </si>
  <si>
    <t>A200228</t>
  </si>
  <si>
    <t>P101457</t>
  </si>
  <si>
    <t>A200195</t>
  </si>
  <si>
    <t>P100938</t>
  </si>
  <si>
    <t>A201528</t>
  </si>
  <si>
    <t>P101058</t>
  </si>
  <si>
    <t>A200917</t>
  </si>
  <si>
    <t>P100905</t>
  </si>
  <si>
    <t>A200809</t>
  </si>
  <si>
    <t>P100609</t>
  </si>
  <si>
    <t>A201921</t>
  </si>
  <si>
    <t>P100085</t>
  </si>
  <si>
    <t>A202146</t>
  </si>
  <si>
    <t>P100556</t>
  </si>
  <si>
    <t>A200170</t>
  </si>
  <si>
    <t>P101533</t>
  </si>
  <si>
    <t>A201281</t>
  </si>
  <si>
    <t>A200283</t>
  </si>
  <si>
    <t>P100081</t>
  </si>
  <si>
    <t>A201963</t>
  </si>
  <si>
    <t>P100731</t>
  </si>
  <si>
    <t>A200979</t>
  </si>
  <si>
    <t>P101418</t>
  </si>
  <si>
    <t>A200247</t>
  </si>
  <si>
    <t>A201052</t>
  </si>
  <si>
    <t>P100217</t>
  </si>
  <si>
    <t>A200420</t>
  </si>
  <si>
    <t>P101458</t>
  </si>
  <si>
    <t>A201039</t>
  </si>
  <si>
    <t>P101136</t>
  </si>
  <si>
    <t>A200214</t>
  </si>
  <si>
    <t>P100207</t>
  </si>
  <si>
    <t>A202481</t>
  </si>
  <si>
    <t>P101139</t>
  </si>
  <si>
    <t>A201624</t>
  </si>
  <si>
    <t>P101252</t>
  </si>
  <si>
    <t>A200061</t>
  </si>
  <si>
    <t>P100563</t>
  </si>
  <si>
    <t>A200918</t>
  </si>
  <si>
    <t>P100233</t>
  </si>
  <si>
    <t>A201729</t>
  </si>
  <si>
    <t>P101230</t>
  </si>
  <si>
    <t>A201982</t>
  </si>
  <si>
    <t>P100435</t>
  </si>
  <si>
    <t>A202225</t>
  </si>
  <si>
    <t>P100458</t>
  </si>
  <si>
    <t>A201481</t>
  </si>
  <si>
    <t>P100502</t>
  </si>
  <si>
    <t>A200617</t>
  </si>
  <si>
    <t>P100002</t>
  </si>
  <si>
    <t>A201352</t>
  </si>
  <si>
    <t>P100793</t>
  </si>
  <si>
    <t>A201328</t>
  </si>
  <si>
    <t>P100162</t>
  </si>
  <si>
    <t>A201532</t>
  </si>
  <si>
    <t>P100228</t>
  </si>
  <si>
    <t>A201837</t>
  </si>
  <si>
    <t>P100741</t>
  </si>
  <si>
    <t>A201427</t>
  </si>
  <si>
    <t>P100041</t>
  </si>
  <si>
    <t>A200236</t>
  </si>
  <si>
    <t>P100888</t>
  </si>
  <si>
    <t>A202353</t>
  </si>
  <si>
    <t>A201046</t>
  </si>
  <si>
    <t>A202338</t>
  </si>
  <si>
    <t>P100066</t>
  </si>
  <si>
    <t>A202286</t>
  </si>
  <si>
    <t>P100862</t>
  </si>
  <si>
    <t>A200131</t>
  </si>
  <si>
    <t>A200937</t>
  </si>
  <si>
    <t>P100099</t>
  </si>
  <si>
    <t>A200499</t>
  </si>
  <si>
    <t>P100009</t>
  </si>
  <si>
    <t>A201378</t>
  </si>
  <si>
    <t>P100121</t>
  </si>
  <si>
    <t>A201955</t>
  </si>
  <si>
    <t>P101407</t>
  </si>
  <si>
    <t>A201151</t>
  </si>
  <si>
    <t>P101424</t>
  </si>
  <si>
    <t>A200928</t>
  </si>
  <si>
    <t>P100092</t>
  </si>
  <si>
    <t>A201126</t>
  </si>
  <si>
    <t>P100606</t>
  </si>
  <si>
    <t>A201937</t>
  </si>
  <si>
    <t>A200669</t>
  </si>
  <si>
    <t>P100244</t>
  </si>
  <si>
    <t>A200497</t>
  </si>
  <si>
    <t>A201605</t>
  </si>
  <si>
    <t>A200646</t>
  </si>
  <si>
    <t>P101010</t>
  </si>
  <si>
    <t>A202108</t>
  </si>
  <si>
    <t>P100770</t>
  </si>
  <si>
    <t>A202135</t>
  </si>
  <si>
    <t>P101335</t>
  </si>
  <si>
    <t>A201139</t>
  </si>
  <si>
    <t>P101449</t>
  </si>
  <si>
    <t>A201413</t>
  </si>
  <si>
    <t>A201226</t>
  </si>
  <si>
    <t>A201114</t>
  </si>
  <si>
    <t>P101063</t>
  </si>
  <si>
    <t>A200583</t>
  </si>
  <si>
    <t>A201220</t>
  </si>
  <si>
    <t>A202296</t>
  </si>
  <si>
    <t>P101461</t>
  </si>
  <si>
    <t>A202003</t>
  </si>
  <si>
    <t>A200586</t>
  </si>
  <si>
    <t>P100469</t>
  </si>
  <si>
    <t>A200868</t>
  </si>
  <si>
    <t>P100040</t>
  </si>
  <si>
    <t>A202267</t>
  </si>
  <si>
    <t>A200996</t>
  </si>
  <si>
    <t>P100710</t>
  </si>
  <si>
    <t>A202131</t>
  </si>
  <si>
    <t>P100493</t>
  </si>
  <si>
    <t>A200554</t>
  </si>
  <si>
    <t>P100271</t>
  </si>
  <si>
    <t>A200029</t>
  </si>
  <si>
    <t>P101111</t>
  </si>
  <si>
    <t>A202257</t>
  </si>
  <si>
    <t>A200693</t>
  </si>
  <si>
    <t>P101196</t>
  </si>
  <si>
    <t>A201109</t>
  </si>
  <si>
    <t>A200556</t>
  </si>
  <si>
    <t>P100201</t>
  </si>
  <si>
    <t>A201482</t>
  </si>
  <si>
    <t>P100078</t>
  </si>
  <si>
    <t>A201242</t>
  </si>
  <si>
    <t>P101128</t>
  </si>
  <si>
    <t>A201157</t>
  </si>
  <si>
    <t>P101122</t>
  </si>
  <si>
    <t>A202458</t>
  </si>
  <si>
    <t>P101583</t>
  </si>
  <si>
    <t>A200938</t>
  </si>
  <si>
    <t>P100526</t>
  </si>
  <si>
    <t>A201279</t>
  </si>
  <si>
    <t>P101289</t>
  </si>
  <si>
    <t>A201104</t>
  </si>
  <si>
    <t>P101257</t>
  </si>
  <si>
    <t>A202262</t>
  </si>
  <si>
    <t>P101532</t>
  </si>
  <si>
    <t>A201288</t>
  </si>
  <si>
    <t>P100904</t>
  </si>
  <si>
    <t>A201000</t>
  </si>
  <si>
    <t>A201825</t>
  </si>
  <si>
    <t>A200943</t>
  </si>
  <si>
    <t>P100732</t>
  </si>
  <si>
    <t>A200694</t>
  </si>
  <si>
    <t>P101473</t>
  </si>
  <si>
    <t>A201844</t>
  </si>
  <si>
    <t>P101012</t>
  </si>
  <si>
    <t>A200157</t>
  </si>
  <si>
    <t>P100613</t>
  </si>
  <si>
    <t>A201423</t>
  </si>
  <si>
    <t>P100377</t>
  </si>
  <si>
    <t>A200272</t>
  </si>
  <si>
    <t>A201581</t>
  </si>
  <si>
    <t>P100487</t>
  </si>
  <si>
    <t>A202300</t>
  </si>
  <si>
    <t>P101176</t>
  </si>
  <si>
    <t>A201582</t>
  </si>
  <si>
    <t>P100499</t>
  </si>
  <si>
    <t>A201253</t>
  </si>
  <si>
    <t>P100120</t>
  </si>
  <si>
    <t>A201451</t>
  </si>
  <si>
    <t>P100265</t>
  </si>
  <si>
    <t>A200934</t>
  </si>
  <si>
    <t>A200042</t>
  </si>
  <si>
    <t>A201221</t>
  </si>
  <si>
    <t>A201271</t>
  </si>
  <si>
    <t>A201512</t>
  </si>
  <si>
    <t>A201909</t>
  </si>
  <si>
    <t>P100994</t>
  </si>
  <si>
    <t>A200299</t>
  </si>
  <si>
    <t>P101432</t>
  </si>
  <si>
    <t>A201646</t>
  </si>
  <si>
    <t>A200974</t>
  </si>
  <si>
    <t>A200700</t>
  </si>
  <si>
    <t>P101244</t>
  </si>
  <si>
    <t>A200389</t>
  </si>
  <si>
    <t>P101019</t>
  </si>
  <si>
    <t>A202336</t>
  </si>
  <si>
    <t>P101255</t>
  </si>
  <si>
    <t>A200635</t>
  </si>
  <si>
    <t>P100962</t>
  </si>
  <si>
    <t>A200765</t>
  </si>
  <si>
    <t>P101481</t>
  </si>
  <si>
    <t>A202342</t>
  </si>
  <si>
    <t>A200659</t>
  </si>
  <si>
    <t>P101500</t>
  </si>
  <si>
    <t>A202100</t>
  </si>
  <si>
    <t>P101445</t>
  </si>
  <si>
    <t>A201947</t>
  </si>
  <si>
    <t>A200421</t>
  </si>
  <si>
    <t>P101137</t>
  </si>
  <si>
    <t>A201415</t>
  </si>
  <si>
    <t>A200074</t>
  </si>
  <si>
    <t>A200379</t>
  </si>
  <si>
    <t>P100423</t>
  </si>
  <si>
    <t>A200857</t>
  </si>
  <si>
    <t>P100677</t>
  </si>
  <si>
    <t>A200443</t>
  </si>
  <si>
    <t>P101266</t>
  </si>
  <si>
    <t>A201090</t>
  </si>
  <si>
    <t>P100560</t>
  </si>
  <si>
    <t>A201644</t>
  </si>
  <si>
    <t>P100118</t>
  </si>
  <si>
    <t>A202097</t>
  </si>
  <si>
    <t>A201891</t>
  </si>
  <si>
    <t>P100977</t>
  </si>
  <si>
    <t>A200962</t>
  </si>
  <si>
    <t>P100700</t>
  </si>
  <si>
    <t>A201411</t>
  </si>
  <si>
    <t>P101567</t>
  </si>
  <si>
    <t>A201506</t>
  </si>
  <si>
    <t>P100296</t>
  </si>
  <si>
    <t>A200144</t>
  </si>
  <si>
    <t>P100733</t>
  </si>
  <si>
    <t>A201363</t>
  </si>
  <si>
    <t>A201029</t>
  </si>
  <si>
    <t>A202202</t>
  </si>
  <si>
    <t>A202303</t>
  </si>
  <si>
    <t>P101371</t>
  </si>
  <si>
    <t>A201728</t>
  </si>
  <si>
    <t>A200511</t>
  </si>
  <si>
    <t>A200444</t>
  </si>
  <si>
    <t>P100886</t>
  </si>
  <si>
    <t>A201233</t>
  </si>
  <si>
    <t>P101092</t>
  </si>
  <si>
    <t>A200393</t>
  </si>
  <si>
    <t>P100337</t>
  </si>
  <si>
    <t>A200158</t>
  </si>
  <si>
    <t>P100034</t>
  </si>
  <si>
    <t>A201249</t>
  </si>
  <si>
    <t>A200594</t>
  </si>
  <si>
    <t>P101094</t>
  </si>
  <si>
    <t>A202452</t>
  </si>
  <si>
    <t>A201552</t>
  </si>
  <si>
    <t>P101004</t>
  </si>
  <si>
    <t>A200817</t>
  </si>
  <si>
    <t>P100224</t>
  </si>
  <si>
    <t>A200508</t>
  </si>
  <si>
    <t>P101568</t>
  </si>
  <si>
    <t>A201562</t>
  </si>
  <si>
    <t>A200347</t>
  </si>
  <si>
    <t>A202489</t>
  </si>
  <si>
    <t>P100079</t>
  </si>
  <si>
    <t>A201037</t>
  </si>
  <si>
    <t>A200690</t>
  </si>
  <si>
    <t>P100204</t>
  </si>
  <si>
    <t>A202211</t>
  </si>
  <si>
    <t>A202220</t>
  </si>
  <si>
    <t>P100488</t>
  </si>
  <si>
    <t>A201621</t>
  </si>
  <si>
    <t>A201565</t>
  </si>
  <si>
    <t>A201516</t>
  </si>
  <si>
    <t>P101503</t>
  </si>
  <si>
    <t>A200203</t>
  </si>
  <si>
    <t>A202281</t>
  </si>
  <si>
    <t>A201554</t>
  </si>
  <si>
    <t>P100245</t>
  </si>
  <si>
    <t>A200626</t>
  </si>
  <si>
    <t>P100126</t>
  </si>
  <si>
    <t>A201200</t>
  </si>
  <si>
    <t>P100698</t>
  </si>
  <si>
    <t>A200230</t>
  </si>
  <si>
    <t>P101118</t>
  </si>
  <si>
    <t>A200438</t>
  </si>
  <si>
    <t>P100658</t>
  </si>
  <si>
    <t>A200661</t>
  </si>
  <si>
    <t>A200244</t>
  </si>
  <si>
    <t>P101304</t>
  </si>
  <si>
    <t>A200922</t>
  </si>
  <si>
    <t>P101286</t>
  </si>
  <si>
    <t>A202308</t>
  </si>
  <si>
    <t>A201874</t>
  </si>
  <si>
    <t>P101315</t>
  </si>
  <si>
    <t>A201522</t>
  </si>
  <si>
    <t>P100129</t>
  </si>
  <si>
    <t>A202153</t>
  </si>
  <si>
    <t>P101494</t>
  </si>
  <si>
    <t>A202136</t>
  </si>
  <si>
    <t>P101387</t>
  </si>
  <si>
    <t>A202009</t>
  </si>
  <si>
    <t>P100396</t>
  </si>
  <si>
    <t>A202133</t>
  </si>
  <si>
    <t>P101350</t>
  </si>
  <si>
    <t>A200654</t>
  </si>
  <si>
    <t>A201609</t>
  </si>
  <si>
    <t>P100308</t>
  </si>
  <si>
    <t>A200150</t>
  </si>
  <si>
    <t>P100338</t>
  </si>
  <si>
    <t>A201954</t>
  </si>
  <si>
    <t>A201016</t>
  </si>
  <si>
    <t>P101302</t>
  </si>
  <si>
    <t>A202426</t>
  </si>
  <si>
    <t>P100547</t>
  </si>
  <si>
    <t>A201122</t>
  </si>
  <si>
    <t>P100297</t>
  </si>
  <si>
    <t>A200017</t>
  </si>
  <si>
    <t>P101452</t>
  </si>
  <si>
    <t>A201124</t>
  </si>
  <si>
    <t>P100939</t>
  </si>
  <si>
    <t>A200706</t>
  </si>
  <si>
    <t>P100198</t>
  </si>
  <si>
    <t>A200815</t>
  </si>
  <si>
    <t>A202292</t>
  </si>
  <si>
    <t>P101440</t>
  </si>
  <si>
    <t>A200838</t>
  </si>
  <si>
    <t>P101222</t>
  </si>
  <si>
    <t>A200401</t>
  </si>
  <si>
    <t>P101541</t>
  </si>
  <si>
    <t>A201681</t>
  </si>
  <si>
    <t>A200077</t>
  </si>
  <si>
    <t>P100527</t>
  </si>
  <si>
    <t>A200495</t>
  </si>
  <si>
    <t>P100231</t>
  </si>
  <si>
    <t>A201578</t>
  </si>
  <si>
    <t>A201902</t>
  </si>
  <si>
    <t>P100868</t>
  </si>
  <si>
    <t>A200636</t>
  </si>
  <si>
    <t>P100012</t>
  </si>
  <si>
    <t>A200250</t>
  </si>
  <si>
    <t>A200055</t>
  </si>
  <si>
    <t>A200198</t>
  </si>
  <si>
    <t>P100294</t>
  </si>
  <si>
    <t>A201304</t>
  </si>
  <si>
    <t>P100199</t>
  </si>
  <si>
    <t>A200219</t>
  </si>
  <si>
    <t>P100087</t>
  </si>
  <si>
    <t>A200571</t>
  </si>
  <si>
    <t>P101332</t>
  </si>
  <si>
    <t>A201357</t>
  </si>
  <si>
    <t>A200147</t>
  </si>
  <si>
    <t>A200599</t>
  </si>
  <si>
    <t>P100432</t>
  </si>
  <si>
    <t>A202349</t>
  </si>
  <si>
    <t>P101220</t>
  </si>
  <si>
    <t>A200629</t>
  </si>
  <si>
    <t>A200472</t>
  </si>
  <si>
    <t>P101246</t>
  </si>
  <si>
    <t>A200663</t>
  </si>
  <si>
    <t>P100990</t>
  </si>
  <si>
    <t>A201772</t>
  </si>
  <si>
    <t>P101519</t>
  </si>
  <si>
    <t>A201062</t>
  </si>
  <si>
    <t>A200447</t>
  </si>
  <si>
    <t>A200902</t>
  </si>
  <si>
    <t>P101425</t>
  </si>
  <si>
    <t>A201956</t>
  </si>
  <si>
    <t>A200343</t>
  </si>
  <si>
    <t>A200631</t>
  </si>
  <si>
    <t>P100044</t>
  </si>
  <si>
    <t>A202141</t>
  </si>
  <si>
    <t>P100708</t>
  </si>
  <si>
    <t>A200291</t>
  </si>
  <si>
    <t>A201305</t>
  </si>
  <si>
    <t>P100158</t>
  </si>
  <si>
    <t>A200555</t>
  </si>
  <si>
    <t>A200346</t>
  </si>
  <si>
    <t>P100777</t>
  </si>
  <si>
    <t>A201085</t>
  </si>
  <si>
    <t>A200413</t>
  </si>
  <si>
    <t>P100989</t>
  </si>
  <si>
    <t>A201799</t>
  </si>
  <si>
    <t>P101093</t>
  </si>
  <si>
    <t>A201692</t>
  </si>
  <si>
    <t>P100845</t>
  </si>
  <si>
    <t>A201675</t>
  </si>
  <si>
    <t>A201669</t>
  </si>
  <si>
    <t>P101259</t>
  </si>
  <si>
    <t>A200312</t>
  </si>
  <si>
    <t>P100665</t>
  </si>
  <si>
    <t>A200237</t>
  </si>
  <si>
    <t>P101145</t>
  </si>
  <si>
    <t>A200616</t>
  </si>
  <si>
    <t>P100067</t>
  </si>
  <si>
    <t>A200034</t>
  </si>
  <si>
    <t>P100074</t>
  </si>
  <si>
    <t>A201307</t>
  </si>
  <si>
    <t>A201329</t>
  </si>
  <si>
    <t>A201456</t>
  </si>
  <si>
    <t>P101355</t>
  </si>
  <si>
    <t>A202244</t>
  </si>
  <si>
    <t>P100534</t>
  </si>
  <si>
    <t>A200856</t>
  </si>
  <si>
    <t>A201788</t>
  </si>
  <si>
    <t>P100280</t>
  </si>
  <si>
    <t>A201958</t>
  </si>
  <si>
    <t>P101251</t>
  </si>
  <si>
    <t>A202255</t>
  </si>
  <si>
    <t>A202328</t>
  </si>
  <si>
    <t>P100125</t>
  </si>
  <si>
    <t>A200445</t>
  </si>
  <si>
    <t>A200879</t>
  </si>
  <si>
    <t>A201212</t>
  </si>
  <si>
    <t>P101542</t>
  </si>
  <si>
    <t>A200578</t>
  </si>
  <si>
    <t>P100327</t>
  </si>
  <si>
    <t>A200392</t>
  </si>
  <si>
    <t>A200926</t>
  </si>
  <si>
    <t>P101594</t>
  </si>
  <si>
    <t>A201421</t>
  </si>
  <si>
    <t>P100769</t>
  </si>
  <si>
    <t>A201096</t>
  </si>
  <si>
    <t>P101135</t>
  </si>
  <si>
    <t>A201705</t>
  </si>
  <si>
    <t>P100014</t>
  </si>
  <si>
    <t>A201205</t>
  </si>
  <si>
    <t>P101444</t>
  </si>
  <si>
    <t>A202060</t>
  </si>
  <si>
    <t>P100782</t>
  </si>
  <si>
    <t>A202340</t>
  </si>
  <si>
    <t>P101389</t>
  </si>
  <si>
    <t>A201156</t>
  </si>
  <si>
    <t>A201845</t>
  </si>
  <si>
    <t>P100307</t>
  </si>
  <si>
    <t>A201738</t>
  </si>
  <si>
    <t>P101472</t>
  </si>
  <si>
    <t>A201077</t>
  </si>
  <si>
    <t>P100028</t>
  </si>
  <si>
    <t>A202057</t>
  </si>
  <si>
    <t>A201740</t>
  </si>
  <si>
    <t>P100924</t>
  </si>
  <si>
    <t>A200792</t>
  </si>
  <si>
    <t>P100420</t>
  </si>
  <si>
    <t>A200742</t>
  </si>
  <si>
    <t>P101267</t>
  </si>
  <si>
    <t>A201143</t>
  </si>
  <si>
    <t>P100705</t>
  </si>
  <si>
    <t>A202317</t>
  </si>
  <si>
    <t>P100465</t>
  </si>
  <si>
    <t>A200993</t>
  </si>
  <si>
    <t>P100537</t>
  </si>
  <si>
    <t>A202499</t>
  </si>
  <si>
    <t>A201453</t>
  </si>
  <si>
    <t>P100718</t>
  </si>
  <si>
    <t>A200514</t>
  </si>
  <si>
    <t>P100550</t>
  </si>
  <si>
    <t>A201550</t>
  </si>
  <si>
    <t>A201087</t>
  </si>
  <si>
    <t>P101243</t>
  </si>
  <si>
    <t>A200290</t>
  </si>
  <si>
    <t>P100749</t>
  </si>
  <si>
    <t>A201606</t>
  </si>
  <si>
    <t>A202304</t>
  </si>
  <si>
    <t>P101330</t>
  </si>
  <si>
    <t>A201953</t>
  </si>
  <si>
    <t>P101384</t>
  </si>
  <si>
    <t>A202040</t>
  </si>
  <si>
    <t>P101280</t>
  </si>
  <si>
    <t>A200442</t>
  </si>
  <si>
    <t>P101152</t>
  </si>
  <si>
    <t>A201193</t>
  </si>
  <si>
    <t>A202316</t>
  </si>
  <si>
    <t>P100425</t>
  </si>
  <si>
    <t>A201132</t>
  </si>
  <si>
    <t>P100500</t>
  </si>
  <si>
    <t>A201084</t>
  </si>
  <si>
    <t>A200333</t>
  </si>
  <si>
    <t>P101529</t>
  </si>
  <si>
    <t>A200761</t>
  </si>
  <si>
    <t>P100403</t>
  </si>
  <si>
    <t>A200281</t>
  </si>
  <si>
    <t>A200265</t>
  </si>
  <si>
    <t>A202134</t>
  </si>
  <si>
    <t>A202049</t>
  </si>
  <si>
    <t>A202099</t>
  </si>
  <si>
    <t>P100316</t>
  </si>
  <si>
    <t>A200001</t>
  </si>
  <si>
    <t>P101127</t>
  </si>
  <si>
    <t>A200944</t>
  </si>
  <si>
    <t>P100523</t>
  </si>
  <si>
    <t>A202037</t>
  </si>
  <si>
    <t>A202475</t>
  </si>
  <si>
    <t>A200450</t>
  </si>
  <si>
    <t>A201201</t>
  </si>
  <si>
    <t>P100624</t>
  </si>
  <si>
    <t>A201025</t>
  </si>
  <si>
    <t>P101121</t>
  </si>
  <si>
    <t>A201024</t>
  </si>
  <si>
    <t>A200829</t>
  </si>
  <si>
    <t>P100422</t>
  </si>
  <si>
    <t>A201672</t>
  </si>
  <si>
    <t>P100590</t>
  </si>
  <si>
    <t>A200615</t>
  </si>
  <si>
    <t>P101115</t>
  </si>
  <si>
    <t>A200969</t>
  </si>
  <si>
    <t>A201585</t>
  </si>
  <si>
    <t>A200681</t>
  </si>
  <si>
    <t>P100918</t>
  </si>
  <si>
    <t>A202020</t>
  </si>
  <si>
    <t>P100402</t>
  </si>
  <si>
    <t>A200417</t>
  </si>
  <si>
    <t>A201235</t>
  </si>
  <si>
    <t>P100964</t>
  </si>
  <si>
    <t>A201693</t>
  </si>
  <si>
    <t>A200528</t>
  </si>
  <si>
    <t>A202066</t>
  </si>
  <si>
    <t>P101431</t>
  </si>
  <si>
    <t>A202260</t>
  </si>
  <si>
    <t>A201121</t>
  </si>
  <si>
    <t>P100408</t>
  </si>
  <si>
    <t>A200258</t>
  </si>
  <si>
    <t>A202113</t>
  </si>
  <si>
    <t>P101017</t>
  </si>
  <si>
    <t>A200582</t>
  </si>
  <si>
    <t>P101323</t>
  </si>
  <si>
    <t>A200953</t>
  </si>
  <si>
    <t>P101392</t>
  </si>
  <si>
    <t>A202016</t>
  </si>
  <si>
    <t>A200303</t>
  </si>
  <si>
    <t>A200524</t>
  </si>
  <si>
    <t>P101083</t>
  </si>
  <si>
    <t>A201051</t>
  </si>
  <si>
    <t>P100249</t>
  </si>
  <si>
    <t>A201951</t>
  </si>
  <si>
    <t>P101024</t>
  </si>
  <si>
    <t>A201794</t>
  </si>
  <si>
    <t>P100621</t>
  </si>
  <si>
    <t>A201367</t>
  </si>
  <si>
    <t>A201678</t>
  </si>
  <si>
    <t>P100417</t>
  </si>
  <si>
    <t>A201150</t>
  </si>
  <si>
    <t>P101498</t>
  </si>
  <si>
    <t>A200752</t>
  </si>
  <si>
    <t>P100225</t>
  </si>
  <si>
    <t>A200660</t>
  </si>
  <si>
    <t>P100627</t>
  </si>
  <si>
    <t>A201473</t>
  </si>
  <si>
    <t>P101468</t>
  </si>
  <si>
    <t>A200071</t>
  </si>
  <si>
    <t>A201500</t>
  </si>
  <si>
    <t>A202285</t>
  </si>
  <si>
    <t>P100961</t>
  </si>
  <si>
    <t>A200193</t>
  </si>
  <si>
    <t>P100279</t>
  </si>
  <si>
    <t>A201325</t>
  </si>
  <si>
    <t>P101450</t>
  </si>
  <si>
    <t>A200129</t>
  </si>
  <si>
    <t>P100693</t>
  </si>
  <si>
    <t>A201711</t>
  </si>
  <si>
    <t>A201841</t>
  </si>
  <si>
    <t>P100242</t>
  </si>
  <si>
    <t>A200277</t>
  </si>
  <si>
    <t>A201939</t>
  </si>
  <si>
    <t>A201765</t>
  </si>
  <si>
    <t>A201563</t>
  </si>
  <si>
    <t>P101442</t>
  </si>
  <si>
    <t>A201185</t>
  </si>
  <si>
    <t>P100836</t>
  </si>
  <si>
    <t>A201561</t>
  </si>
  <si>
    <t>A201152</t>
  </si>
  <si>
    <t>A201350</t>
  </si>
  <si>
    <t>P101236</t>
  </si>
  <si>
    <t>A200598</t>
  </si>
  <si>
    <t>P100050</t>
  </si>
  <si>
    <t>A200994</t>
  </si>
  <si>
    <t>A201296</t>
  </si>
  <si>
    <t>A200565</t>
  </si>
  <si>
    <t>A202258</t>
  </si>
  <si>
    <t>P100694</t>
  </si>
  <si>
    <t>A202061</t>
  </si>
  <si>
    <t>A202361</t>
  </si>
  <si>
    <t>P100046</t>
  </si>
  <si>
    <t>A202461</t>
  </si>
  <si>
    <t>P100789</t>
  </si>
  <si>
    <t>A200734</t>
  </si>
  <si>
    <t>A200604</t>
  </si>
  <si>
    <t>P100840</t>
  </si>
  <si>
    <t>A201544</t>
  </si>
  <si>
    <t>A201920</t>
  </si>
  <si>
    <t>P100901</t>
  </si>
  <si>
    <t>A201059</t>
  </si>
  <si>
    <t>A200402</t>
  </si>
  <si>
    <t>A200358</t>
  </si>
  <si>
    <t>P101221</t>
  </si>
  <si>
    <t>A200172</t>
  </si>
  <si>
    <t>A202209</t>
  </si>
  <si>
    <t>A200945</t>
  </si>
  <si>
    <t>A202235</t>
  </si>
  <si>
    <t>P100350</t>
  </si>
  <si>
    <t>A202056</t>
  </si>
  <si>
    <t>P100156</t>
  </si>
  <si>
    <t>A201042</t>
  </si>
  <si>
    <t>A202249</t>
  </si>
  <si>
    <t>P100161</t>
  </si>
  <si>
    <t>A202103</t>
  </si>
  <si>
    <t>P101291</t>
  </si>
  <si>
    <t>A200504</t>
  </si>
  <si>
    <t>P100871</t>
  </si>
  <si>
    <t>A200833</t>
  </si>
  <si>
    <t>P101340</t>
  </si>
  <si>
    <t>A200400</t>
  </si>
  <si>
    <t>P101325</t>
  </si>
  <si>
    <t>A201767</t>
  </si>
  <si>
    <t>P100498</t>
  </si>
  <si>
    <t>A201458</t>
  </si>
  <si>
    <t>A200211</t>
  </si>
  <si>
    <t>P100106</t>
  </si>
  <si>
    <t>A200772</t>
  </si>
  <si>
    <t>P100799</t>
  </si>
  <si>
    <t>A202114</t>
  </si>
  <si>
    <t>A200463</t>
  </si>
  <si>
    <t>P101572</t>
  </si>
  <si>
    <t>A200473</t>
  </si>
  <si>
    <t>A200855</t>
  </si>
  <si>
    <t>P100947</t>
  </si>
  <si>
    <t>A201855</t>
  </si>
  <si>
    <t>P101018</t>
  </si>
  <si>
    <t>A200251</t>
  </si>
  <si>
    <t>A201604</t>
  </si>
  <si>
    <t>P100006</t>
  </si>
  <si>
    <t>A200639</t>
  </si>
  <si>
    <t>A200743</t>
  </si>
  <si>
    <t>A200018</t>
  </si>
  <si>
    <t>A202093</t>
  </si>
  <si>
    <t>A202076</t>
  </si>
  <si>
    <t>P100441</t>
  </si>
  <si>
    <t>A200464</t>
  </si>
  <si>
    <t>A202297</t>
  </si>
  <si>
    <t>P100525</t>
  </si>
  <si>
    <t>A201778</t>
  </si>
  <si>
    <t>P100895</t>
  </si>
  <si>
    <t>A201361</t>
  </si>
  <si>
    <t>A202443</t>
  </si>
  <si>
    <t>P100045</t>
  </si>
  <si>
    <t>A201101</t>
  </si>
  <si>
    <t>P101346</t>
  </si>
  <si>
    <t>A200579</t>
  </si>
  <si>
    <t>A202310</t>
  </si>
  <si>
    <t>P100826</t>
  </si>
  <si>
    <t>A200924</t>
  </si>
  <si>
    <t>A200790</t>
  </si>
  <si>
    <t>P100641</t>
  </si>
  <si>
    <t>A202144</t>
  </si>
  <si>
    <t>A202237</t>
  </si>
  <si>
    <t>P101052</t>
  </si>
  <si>
    <t>A200608</t>
  </si>
  <si>
    <t>A200493</t>
  </si>
  <si>
    <t>P101210</t>
  </si>
  <si>
    <t>A202354</t>
  </si>
  <si>
    <t>A201943</t>
  </si>
  <si>
    <t>A200697</t>
  </si>
  <si>
    <t>P100600</t>
  </si>
  <si>
    <t>A201492</t>
  </si>
  <si>
    <t>P100063</t>
  </si>
  <si>
    <t>A200804</t>
  </si>
  <si>
    <t>A200403</t>
  </si>
  <si>
    <t>P101597</t>
  </si>
  <si>
    <t>A201326</t>
  </si>
  <si>
    <t>P100082</t>
  </si>
  <si>
    <t>A200179</t>
  </si>
  <si>
    <t>P100667</t>
  </si>
  <si>
    <t>A201704</t>
  </si>
  <si>
    <t>P100734</t>
  </si>
  <si>
    <t>A201002</t>
  </si>
  <si>
    <t>P101097</t>
  </si>
  <si>
    <t>A202319</t>
  </si>
  <si>
    <t>A202080</t>
  </si>
  <si>
    <t>A202199</t>
  </si>
  <si>
    <t>P100917</t>
  </si>
  <si>
    <t>A202054</t>
  </si>
  <si>
    <t>A202306</t>
  </si>
  <si>
    <t>P100956</t>
  </si>
  <si>
    <t>A201942</t>
  </si>
  <si>
    <t>P100926</t>
  </si>
  <si>
    <t>A200710</t>
  </si>
  <si>
    <t>P100579</t>
  </si>
  <si>
    <t>A201484</t>
  </si>
  <si>
    <t>A201184</t>
  </si>
  <si>
    <t>P101414</t>
  </si>
  <si>
    <t>A200972</t>
  </si>
  <si>
    <t>A201880</t>
  </si>
  <si>
    <t>A202271</t>
  </si>
  <si>
    <t>A201247</t>
  </si>
  <si>
    <t>P101437</t>
  </si>
  <si>
    <t>A200601</t>
  </si>
  <si>
    <t>P101510</t>
  </si>
  <si>
    <t>A202085</t>
  </si>
  <si>
    <t>P100010</t>
  </si>
  <si>
    <t>A202382</t>
  </si>
  <si>
    <t>A202071</t>
  </si>
  <si>
    <t>P100196</t>
  </si>
  <si>
    <t>A201079</t>
  </si>
  <si>
    <t>A201540</t>
  </si>
  <si>
    <t>P100516</t>
  </si>
  <si>
    <t>A202472</t>
  </si>
  <si>
    <t>P100608</t>
  </si>
  <si>
    <t>A200462</t>
  </si>
  <si>
    <t>A200329</t>
  </si>
  <si>
    <t>P100016</t>
  </si>
  <si>
    <t>A201619</t>
  </si>
  <si>
    <t>P100771</t>
  </si>
  <si>
    <t>A200747</t>
  </si>
  <si>
    <t>A202025</t>
  </si>
  <si>
    <t>P100515</t>
  </si>
  <si>
    <t>A202322</t>
  </si>
  <si>
    <t>P101571</t>
  </si>
  <si>
    <t>A201075</t>
  </si>
  <si>
    <t>P100853</t>
  </si>
  <si>
    <t>A201739</t>
  </si>
  <si>
    <t>P100290</t>
  </si>
  <si>
    <t>A200239</t>
  </si>
  <si>
    <t>P100630</t>
  </si>
  <si>
    <t>A200374</t>
  </si>
  <si>
    <t>P100711</t>
  </si>
  <si>
    <t>A200973</t>
  </si>
  <si>
    <t>P100889</t>
  </si>
  <si>
    <t>A200730</t>
  </si>
  <si>
    <t>P101207</t>
  </si>
  <si>
    <t>A201343</t>
  </si>
  <si>
    <t>P100720</t>
  </si>
  <si>
    <t>A201395</t>
  </si>
  <si>
    <t>P100640</t>
  </si>
  <si>
    <t>A200351</t>
  </si>
  <si>
    <t>A201400</t>
  </si>
  <si>
    <t>A200476</t>
  </si>
  <si>
    <t>A201381</t>
  </si>
  <si>
    <t>A200123</t>
  </si>
  <si>
    <t>P101393</t>
  </si>
  <si>
    <t>A200155</t>
  </si>
  <si>
    <t>P100785</t>
  </si>
  <si>
    <t>A202494</t>
  </si>
  <si>
    <t>A202298</t>
  </si>
  <si>
    <t>P100669</t>
  </si>
  <si>
    <t>A200310</t>
  </si>
  <si>
    <t>P100075</t>
  </si>
  <si>
    <t>A200031</t>
  </si>
  <si>
    <t>P100968</t>
  </si>
  <si>
    <t>A201551</t>
  </si>
  <si>
    <t>A202377</t>
  </si>
  <si>
    <t>P101466</t>
  </si>
  <si>
    <t>A202241</t>
  </si>
  <si>
    <t>P101085</t>
  </si>
  <si>
    <t>A201684</t>
  </si>
  <si>
    <t>P101275</t>
  </si>
  <si>
    <t>A201893</t>
  </si>
  <si>
    <t>P101175</t>
  </si>
  <si>
    <t>A202106</t>
  </si>
  <si>
    <t>A201790</t>
  </si>
  <si>
    <t>P100751</t>
  </si>
  <si>
    <t>A200280</t>
  </si>
  <si>
    <t>P100353</t>
  </si>
  <si>
    <t>A201884</t>
  </si>
  <si>
    <t>P101281</t>
  </si>
  <si>
    <t>A200547</t>
  </si>
  <si>
    <t>A201502</t>
  </si>
  <si>
    <t>A201490</t>
  </si>
  <si>
    <t>P101518</t>
  </si>
  <si>
    <t>A200032</t>
  </si>
  <si>
    <t>P100740</t>
  </si>
  <si>
    <t>A201199</t>
  </si>
  <si>
    <t>A200367</t>
  </si>
  <si>
    <t>P101247</t>
  </si>
  <si>
    <t>A200101</t>
  </si>
  <si>
    <t>P100243</t>
  </si>
  <si>
    <t>A201186</t>
  </si>
  <si>
    <t>P100762</t>
  </si>
  <si>
    <t>A202139</t>
  </si>
  <si>
    <t>A201511</t>
  </si>
  <si>
    <t>P100130</t>
  </si>
  <si>
    <t>A201649</t>
  </si>
  <si>
    <t>A201276</t>
  </si>
  <si>
    <t>P100241</t>
  </si>
  <si>
    <t>A202087</t>
  </si>
  <si>
    <t>A202418</t>
  </si>
  <si>
    <t>P100986</t>
  </si>
  <si>
    <t>A202022</t>
  </si>
  <si>
    <t>P100388</t>
  </si>
  <si>
    <t>A202238</t>
  </si>
  <si>
    <t>P100172</t>
  </si>
  <si>
    <t>A201538</t>
  </si>
  <si>
    <t>A200386</t>
  </si>
  <si>
    <t>A201530</t>
  </si>
  <si>
    <t>P101514</t>
  </si>
  <si>
    <t>A201577</t>
  </si>
  <si>
    <t>A200590</t>
  </si>
  <si>
    <t>P100374</t>
  </si>
  <si>
    <t>A201237</t>
  </si>
  <si>
    <t>A201504</t>
  </si>
  <si>
    <t>A200240</t>
  </si>
  <si>
    <t>A200173</t>
  </si>
  <si>
    <t>P100462</t>
  </si>
  <si>
    <t>A201261</t>
  </si>
  <si>
    <t>P100020</t>
  </si>
  <si>
    <t>A202152</t>
  </si>
  <si>
    <t>A201014</t>
  </si>
  <si>
    <t>A201278</t>
  </si>
  <si>
    <t>P100289</t>
  </si>
  <si>
    <t>A202460</t>
  </si>
  <si>
    <t>P100194</t>
  </si>
  <si>
    <t>A200350</t>
  </si>
  <si>
    <t>P101545</t>
  </si>
  <si>
    <t>A200354</t>
  </si>
  <si>
    <t>A201923</t>
  </si>
  <si>
    <t>P100958</t>
  </si>
  <si>
    <t>A201665</t>
  </si>
  <si>
    <t>A201189</t>
  </si>
  <si>
    <t>P100476</t>
  </si>
  <si>
    <t>A201110</t>
  </si>
  <si>
    <t>P101035</t>
  </si>
  <si>
    <t>A200664</t>
  </si>
  <si>
    <t>P100679</t>
  </si>
  <si>
    <t>A201424</t>
  </si>
  <si>
    <t>A200385</t>
  </si>
  <si>
    <t>A200840</t>
  </si>
  <si>
    <t>A201970</t>
  </si>
  <si>
    <t>P100361</t>
  </si>
  <si>
    <t>A200176</t>
  </si>
  <si>
    <t>A200432</t>
  </si>
  <si>
    <t>P100541</t>
  </si>
  <si>
    <t>A201918</t>
  </si>
  <si>
    <t>P100878</t>
  </si>
  <si>
    <t>A201971</t>
  </si>
  <si>
    <t>P100912</t>
  </si>
  <si>
    <t>A202064</t>
  </si>
  <si>
    <t>A200130</t>
  </si>
  <si>
    <t>P100953</t>
  </si>
  <si>
    <t>A200505</t>
  </si>
  <si>
    <t>P100470</t>
  </si>
  <si>
    <t>A200540</t>
  </si>
  <si>
    <t>P100786</t>
  </si>
  <si>
    <t>A202167</t>
  </si>
  <si>
    <t>P101520</t>
  </si>
  <si>
    <t>A200939</t>
  </si>
  <si>
    <t>P101327</t>
  </si>
  <si>
    <t>A200122</t>
  </si>
  <si>
    <t>P101496</t>
  </si>
  <si>
    <t>A202069</t>
  </si>
  <si>
    <t>P100405</t>
  </si>
  <si>
    <t>A201290</t>
  </si>
  <si>
    <t>A200391</t>
  </si>
  <si>
    <t>A201217</t>
  </si>
  <si>
    <t>P100416</t>
  </si>
  <si>
    <t>A200783</t>
  </si>
  <si>
    <t>A200803</t>
  </si>
  <si>
    <t>A201334</t>
  </si>
  <si>
    <t>P101219</t>
  </si>
  <si>
    <t>A201154</t>
  </si>
  <si>
    <t>P100359</t>
  </si>
  <si>
    <t>A200910</t>
  </si>
  <si>
    <t>P101426</t>
  </si>
  <si>
    <t>A201082</t>
  </si>
  <si>
    <t>P100940</t>
  </si>
  <si>
    <t>A202217</t>
  </si>
  <si>
    <t>A200453</t>
  </si>
  <si>
    <t>A201127</t>
  </si>
  <si>
    <t>P101476</t>
  </si>
  <si>
    <t>A200053</t>
  </si>
  <si>
    <t>P101536</t>
  </si>
  <si>
    <t>A200517</t>
  </si>
  <si>
    <t>A200746</t>
  </si>
  <si>
    <t>A201008</t>
  </si>
  <si>
    <t>P101556</t>
  </si>
  <si>
    <t>A200929</t>
  </si>
  <si>
    <t>A202495</t>
  </si>
  <si>
    <t>P100598</t>
  </si>
  <si>
    <t>A201584</t>
  </si>
  <si>
    <t>P101195</t>
  </si>
  <si>
    <t>A201686</t>
  </si>
  <si>
    <t>P101573</t>
  </si>
  <si>
    <t>A201525</t>
  </si>
  <si>
    <t>A200530</t>
  </si>
  <si>
    <t>A200242</t>
  </si>
  <si>
    <t>A201523</t>
  </si>
  <si>
    <t>P100676</t>
  </si>
  <si>
    <t>A200471</t>
  </si>
  <si>
    <t>A200707</t>
  </si>
  <si>
    <t>P100739</t>
  </si>
  <si>
    <t>A200602</t>
  </si>
  <si>
    <t>P101484</t>
  </si>
  <si>
    <t>A201859</t>
  </si>
  <si>
    <t>P100371</t>
  </si>
  <si>
    <t>A201567</t>
  </si>
  <si>
    <t>A201088</t>
  </si>
  <si>
    <t>P101543</t>
  </si>
  <si>
    <t>A202122</t>
  </si>
  <si>
    <t>A200823</t>
  </si>
  <si>
    <t>A202496</t>
  </si>
  <si>
    <t>P101507</t>
  </si>
  <si>
    <t>A201314</t>
  </si>
  <si>
    <t>P100620</t>
  </si>
  <si>
    <t>A201666</t>
  </si>
  <si>
    <t>A200781</t>
  </si>
  <si>
    <t>P101551</t>
  </si>
  <si>
    <t>A200947</t>
  </si>
  <si>
    <t>A200243</t>
  </si>
  <si>
    <t>A200982</t>
  </si>
  <si>
    <t>P101059</t>
  </si>
  <si>
    <t>A201153</t>
  </si>
  <si>
    <t>P101427</t>
  </si>
  <si>
    <t>A200377</t>
  </si>
  <si>
    <t>P100152</t>
  </si>
  <si>
    <t>A200202</t>
  </si>
  <si>
    <t>P100284</t>
  </si>
  <si>
    <t>A201433</t>
  </si>
  <si>
    <t>A200491</t>
  </si>
  <si>
    <t>A201370</t>
  </si>
  <si>
    <t>P101527</t>
  </si>
  <si>
    <t>A201468</t>
  </si>
  <si>
    <t>P100632</t>
  </si>
  <si>
    <t>A200107</t>
  </si>
  <si>
    <t>P100864</t>
  </si>
  <si>
    <t>A202234</t>
  </si>
  <si>
    <t>P101069</t>
  </si>
  <si>
    <t>A200961</t>
  </si>
  <si>
    <t>A202184</t>
  </si>
  <si>
    <t>A200221</t>
  </si>
  <si>
    <t>A200853</t>
  </si>
  <si>
    <t>P100911</t>
  </si>
  <si>
    <t>A200767</t>
  </si>
  <si>
    <t>P101197</t>
  </si>
  <si>
    <t>A200294</t>
  </si>
  <si>
    <t>P100060</t>
  </si>
  <si>
    <t>A200502</t>
  </si>
  <si>
    <t>A202454</t>
  </si>
  <si>
    <t>P100209</t>
  </si>
  <si>
    <t>A200503</t>
  </si>
  <si>
    <t>A200880</t>
  </si>
  <si>
    <t>P101033</t>
  </si>
  <si>
    <t>A202208</t>
  </si>
  <si>
    <t>P100852</t>
  </si>
  <si>
    <t>A201464</t>
  </si>
  <si>
    <t>A202068</t>
  </si>
  <si>
    <t>P101413</t>
  </si>
  <si>
    <t>A201541</t>
  </si>
  <si>
    <t>P101438</t>
  </si>
  <si>
    <t>A201391</t>
  </si>
  <si>
    <t>A201017</t>
  </si>
  <si>
    <t>P100329</t>
  </si>
  <si>
    <t>A202008</t>
  </si>
  <si>
    <t>A200651</t>
  </si>
  <si>
    <t>P101512</t>
  </si>
  <si>
    <t>A201981</t>
  </si>
  <si>
    <t>P100026</t>
  </si>
  <si>
    <t>A202178</t>
  </si>
  <si>
    <t>P100903</t>
  </si>
  <si>
    <t>A201009</t>
  </si>
  <si>
    <t>A201254</t>
  </si>
  <si>
    <t>A201832</t>
  </si>
  <si>
    <t>P101460</t>
  </si>
  <si>
    <t>A201830</t>
  </si>
  <si>
    <t>P100254</t>
  </si>
  <si>
    <t>A200527</t>
  </si>
  <si>
    <t>P101488</t>
  </si>
  <si>
    <t>A201394</t>
  </si>
  <si>
    <t>P100633</t>
  </si>
  <si>
    <t>A200655</t>
  </si>
  <si>
    <t>P100187</t>
  </si>
  <si>
    <t>A201894</t>
  </si>
  <si>
    <t>A200850</t>
  </si>
  <si>
    <t>P101026</t>
  </si>
  <si>
    <t>A201034</t>
  </si>
  <si>
    <t>A201867</t>
  </si>
  <si>
    <t>A202329</t>
  </si>
  <si>
    <t>A201783</t>
  </si>
  <si>
    <t>A200552</t>
  </si>
  <si>
    <t>A200652</t>
  </si>
  <si>
    <t>A202339</t>
  </si>
  <si>
    <t>P101224</t>
  </si>
  <si>
    <t>A200449</t>
  </si>
  <si>
    <t>P100558</t>
  </si>
  <si>
    <t>A201611</t>
  </si>
  <si>
    <t>A201957</t>
  </si>
  <si>
    <t>A202157</t>
  </si>
  <si>
    <t>P101155</t>
  </si>
  <si>
    <t>A200254</t>
  </si>
  <si>
    <t>P100190</t>
  </si>
  <si>
    <t>A202031</t>
  </si>
  <si>
    <t>P101163</t>
  </si>
  <si>
    <t>A201065</t>
  </si>
  <si>
    <t>P101295</t>
  </si>
  <si>
    <t>A201979</t>
  </si>
  <si>
    <t>P100262</t>
  </si>
  <si>
    <t>A200830</t>
  </si>
  <si>
    <t>P101032</t>
  </si>
  <si>
    <t>A200287</t>
  </si>
  <si>
    <t>P100587</t>
  </si>
  <si>
    <t>A200342</t>
  </si>
  <si>
    <t>P100370</t>
  </si>
  <si>
    <t>A200218</t>
  </si>
  <si>
    <t>A202433</t>
  </si>
  <si>
    <t>A200259</t>
  </si>
  <si>
    <t>A202487</t>
  </si>
  <si>
    <t>P101321</t>
  </si>
  <si>
    <t>A201312</t>
  </si>
  <si>
    <t>P101241</t>
  </si>
  <si>
    <t>A201353</t>
  </si>
  <si>
    <t>A201819</t>
  </si>
  <si>
    <t>A200285</t>
  </si>
  <si>
    <t>A202091</t>
  </si>
  <si>
    <t>P101007</t>
  </si>
  <si>
    <t>A201080</t>
  </si>
  <si>
    <t>A200958</t>
  </si>
  <si>
    <t>P101548</t>
  </si>
  <si>
    <t>A200317</t>
  </si>
  <si>
    <t>P101260</t>
  </si>
  <si>
    <t>A200836</t>
  </si>
  <si>
    <t>A200842</t>
  </si>
  <si>
    <t>A202397</t>
  </si>
  <si>
    <t>P100008</t>
  </si>
  <si>
    <t>A201616</t>
  </si>
  <si>
    <t>A200054</t>
  </si>
  <si>
    <t>P100850</t>
  </si>
  <si>
    <t>A200224</t>
  </si>
  <si>
    <t>P100439</t>
  </si>
  <si>
    <t>A200263</t>
  </si>
  <si>
    <t>A200751</t>
  </si>
  <si>
    <t>A202154</t>
  </si>
  <si>
    <t>A200591</t>
  </si>
  <si>
    <t>A200246</t>
  </si>
  <si>
    <t>A200737</t>
  </si>
  <si>
    <t>A200863</t>
  </si>
  <si>
    <t>P100900</t>
  </si>
  <si>
    <t>A200731</t>
  </si>
  <si>
    <t>P100412</t>
  </si>
  <si>
    <t>A201680</t>
  </si>
  <si>
    <t>P101361</t>
  </si>
  <si>
    <t>A200793</t>
  </si>
  <si>
    <t>P101258</t>
  </si>
  <si>
    <t>A200064</t>
  </si>
  <si>
    <t>A201322</t>
  </si>
  <si>
    <t>P100394</t>
  </si>
  <si>
    <t>A202182</t>
  </si>
  <si>
    <t>A201888</t>
  </si>
  <si>
    <t>P100980</t>
  </si>
  <si>
    <t>A200439</t>
  </si>
  <si>
    <t>P100810</t>
  </si>
  <si>
    <t>A201607</t>
  </si>
  <si>
    <t>A201410</t>
  </si>
  <si>
    <t>P100143</t>
  </si>
  <si>
    <t>A201647</t>
  </si>
  <si>
    <t>P100056</t>
  </si>
  <si>
    <t>A200162</t>
  </si>
  <si>
    <t>A201941</t>
  </si>
  <si>
    <t>A202171</t>
  </si>
  <si>
    <t>P100776</t>
  </si>
  <si>
    <t>A202215</t>
  </si>
  <si>
    <t>P100404</t>
  </si>
  <si>
    <t>A202435</t>
  </si>
  <si>
    <t>P101324</t>
  </si>
  <si>
    <t>A201858</t>
  </si>
  <si>
    <t>P101043</t>
  </si>
  <si>
    <t>A200289</t>
  </si>
  <si>
    <t>P101309</t>
  </si>
  <si>
    <t>A200186</t>
  </si>
  <si>
    <t>P100062</t>
  </si>
  <si>
    <t>A201202</t>
  </si>
  <si>
    <t>P100165</t>
  </si>
  <si>
    <t>A201359</t>
  </si>
  <si>
    <t>P101287</t>
  </si>
  <si>
    <t>A201376</t>
  </si>
  <si>
    <t>P100312</t>
  </si>
  <si>
    <t>A200372</t>
  </si>
  <si>
    <t>P101233</t>
  </si>
  <si>
    <t>A201907</t>
  </si>
  <si>
    <t>A201392</t>
  </si>
  <si>
    <t>P100376</t>
  </si>
  <si>
    <t>A201369</t>
  </si>
  <si>
    <t>A201207</t>
  </si>
  <si>
    <t>A201239</t>
  </si>
  <si>
    <t>A201762</t>
  </si>
  <si>
    <t>A200024</t>
  </si>
  <si>
    <t>P101182</t>
  </si>
  <si>
    <t>A201924</t>
  </si>
  <si>
    <t>P101550</t>
  </si>
  <si>
    <t>A200896</t>
  </si>
  <si>
    <t>A201160</t>
  </si>
  <si>
    <t>P100522</t>
  </si>
  <si>
    <t>A200715</t>
  </si>
  <si>
    <t>A201527</t>
  </si>
  <si>
    <t>A200460</t>
  </si>
  <si>
    <t>A200744</t>
  </si>
  <si>
    <t>A202124</t>
  </si>
  <si>
    <t>A201897</t>
  </si>
  <si>
    <t>P101034</t>
  </si>
  <si>
    <t>A202251</t>
  </si>
  <si>
    <t>A202474</t>
  </si>
  <si>
    <t>A201558</t>
  </si>
  <si>
    <t>P101300</t>
  </si>
  <si>
    <t>A200786</t>
  </si>
  <si>
    <t>P100554</t>
  </si>
  <si>
    <t>A200841</t>
  </si>
  <si>
    <t>A201232</t>
  </si>
  <si>
    <t>P100539</t>
  </si>
  <si>
    <t>A202402</t>
  </si>
  <si>
    <t>P101072</t>
  </si>
  <si>
    <t>A201803</t>
  </si>
  <si>
    <t>P101495</t>
  </si>
  <si>
    <t>A200898</t>
  </si>
  <si>
    <t>P101173</t>
  </si>
  <si>
    <t>A200231</t>
  </si>
  <si>
    <t>P101169</t>
  </si>
  <si>
    <t>A200716</t>
  </si>
  <si>
    <t>A200060</t>
  </si>
  <si>
    <t>P100672</t>
  </si>
  <si>
    <t>A202446</t>
  </si>
  <si>
    <t>A200067</t>
  </si>
  <si>
    <t>A200839</t>
  </si>
  <si>
    <t>P101434</t>
  </si>
  <si>
    <t>A201215</t>
  </si>
  <si>
    <t>P101582</t>
  </si>
  <si>
    <t>A201531</t>
  </si>
  <si>
    <t>P101068</t>
  </si>
  <si>
    <t>A202436</t>
  </si>
  <si>
    <t>P100755</t>
  </si>
  <si>
    <t>A202483</t>
  </si>
  <si>
    <t>A202109</t>
  </si>
  <si>
    <t>P100320</t>
  </si>
  <si>
    <t>A202476</t>
  </si>
  <si>
    <t>A201636</t>
  </si>
  <si>
    <t>P100071</t>
  </si>
  <si>
    <t>A200267</t>
  </si>
  <si>
    <t>P100819</t>
  </si>
  <si>
    <t>A200199</t>
  </si>
  <si>
    <t>A202406</t>
  </si>
  <si>
    <t>P100197</t>
  </si>
  <si>
    <t>A201992</t>
  </si>
  <si>
    <t>P100223</t>
  </si>
  <si>
    <t>A200942</t>
  </si>
  <si>
    <t>P100760</t>
  </si>
  <si>
    <t>A201912</t>
  </si>
  <si>
    <t>A201724</t>
  </si>
  <si>
    <t>P100180</t>
  </si>
  <si>
    <t>A201980</t>
  </si>
  <si>
    <t>A201660</t>
  </si>
  <si>
    <t>P101025</t>
  </si>
  <si>
    <t>A200957</t>
  </si>
  <si>
    <t>A202041</t>
  </si>
  <si>
    <t>P100985</t>
  </si>
  <si>
    <t>A201513</t>
  </si>
  <si>
    <t>A200388</t>
  </si>
  <si>
    <t>P100546</t>
  </si>
  <si>
    <t>A200892</t>
  </si>
  <si>
    <t>A201802</t>
  </si>
  <si>
    <t>P101587</t>
  </si>
  <si>
    <t>A200298</t>
  </si>
  <si>
    <t>A200998</t>
  </si>
  <si>
    <t>A200125</t>
  </si>
  <si>
    <t>A201514</t>
  </si>
  <si>
    <t>P101331</t>
  </si>
  <si>
    <t>A201031</t>
  </si>
  <si>
    <t>P100528</t>
  </si>
  <si>
    <t>A200115</t>
  </si>
  <si>
    <t>P101042</t>
  </si>
  <si>
    <t>A200207</t>
  </si>
  <si>
    <t>A200121</t>
  </si>
  <si>
    <t>A202035</t>
  </si>
  <si>
    <t>P101569</t>
  </si>
  <si>
    <t>A200869</t>
  </si>
  <si>
    <t>P100707</t>
  </si>
  <si>
    <t>A200000</t>
  </si>
  <si>
    <t>A201931</t>
  </si>
  <si>
    <t>P100098</t>
  </si>
  <si>
    <t>A200156</t>
  </si>
  <si>
    <t>P100260</t>
  </si>
  <si>
    <t>A202028</t>
  </si>
  <si>
    <t>P100481</t>
  </si>
  <si>
    <t>A201781</t>
  </si>
  <si>
    <t>P101483</t>
  </si>
  <si>
    <t>A201986</t>
  </si>
  <si>
    <t>P101263</t>
  </si>
  <si>
    <t>A201615</t>
  </si>
  <si>
    <t>A201719</t>
  </si>
  <si>
    <t>A200271</t>
  </si>
  <si>
    <t>P100591</t>
  </si>
  <si>
    <t>A202183</t>
  </si>
  <si>
    <t>A200852</t>
  </si>
  <si>
    <t>P100657</t>
  </si>
  <si>
    <t>A200584</t>
  </si>
  <si>
    <t>P101311</t>
  </si>
  <si>
    <t>A202159</t>
  </si>
  <si>
    <t>P100825</t>
  </si>
  <si>
    <t>A200076</t>
  </si>
  <si>
    <t>A200766</t>
  </si>
  <si>
    <t>A202155</t>
  </si>
  <si>
    <t>P101089</t>
  </si>
  <si>
    <t>A202410</t>
  </si>
  <si>
    <t>A200784</t>
  </si>
  <si>
    <t>P101464</t>
  </si>
  <si>
    <t>A200428</t>
  </si>
  <si>
    <t>P100988</t>
  </si>
  <si>
    <t>A201677</t>
  </si>
  <si>
    <t>A200990</t>
  </si>
  <si>
    <t>P101595</t>
  </si>
  <si>
    <t>A201630</t>
  </si>
  <si>
    <t>A200814</t>
  </si>
  <si>
    <t>A200387</t>
  </si>
  <si>
    <t>A200390</t>
  </si>
  <si>
    <t>P100449</t>
  </si>
  <si>
    <t>A201437</t>
  </si>
  <si>
    <t>A201696</t>
  </si>
  <si>
    <t>A201191</t>
  </si>
  <si>
    <t>P100236</t>
  </si>
  <si>
    <t>A202311</t>
  </si>
  <si>
    <t>A200075</t>
  </si>
  <si>
    <t>P100437</t>
  </si>
  <si>
    <t>A200098</t>
  </si>
  <si>
    <t>A200522</t>
  </si>
  <si>
    <t>A201685</t>
  </si>
  <si>
    <t>P101146</t>
  </si>
  <si>
    <t>A202348</t>
  </si>
  <si>
    <t>P100831</t>
  </si>
  <si>
    <t>A200548</t>
  </si>
  <si>
    <t>A201996</t>
  </si>
  <si>
    <t>A200754</t>
  </si>
  <si>
    <t>P101037</t>
  </si>
  <si>
    <t>A200692</t>
  </si>
  <si>
    <t>A200763</t>
  </si>
  <si>
    <t>P100913</t>
  </si>
  <si>
    <t>A201524</t>
  </si>
  <si>
    <t>A200177</t>
  </si>
  <si>
    <t>P101073</t>
  </si>
  <si>
    <t>A200396</t>
  </si>
  <si>
    <t>A201374</t>
  </si>
  <si>
    <t>A201714</t>
  </si>
  <si>
    <t>A202128</t>
  </si>
  <si>
    <t>A201617</t>
  </si>
  <si>
    <t>P101579</t>
  </si>
  <si>
    <t>A201773</t>
  </si>
  <si>
    <t>A200406</t>
  </si>
  <si>
    <t>A200264</t>
  </si>
  <si>
    <t>P100175</t>
  </si>
  <si>
    <t>A200521</t>
  </si>
  <si>
    <t>A202019</t>
  </si>
  <si>
    <t>P100166</t>
  </si>
  <si>
    <t>A200986</t>
  </si>
  <si>
    <t>P100068</t>
  </si>
  <si>
    <t>A200789</t>
  </si>
  <si>
    <t>A202278</t>
  </si>
  <si>
    <t>A201036</t>
  </si>
  <si>
    <t>A201097</t>
  </si>
  <si>
    <t>A201642</t>
  </si>
  <si>
    <t>A201882</t>
  </si>
  <si>
    <t>A200545</t>
  </si>
  <si>
    <t>A202203</t>
  </si>
  <si>
    <t>P101277</t>
  </si>
  <si>
    <t>A201968</t>
  </si>
  <si>
    <t>P100038</t>
  </si>
  <si>
    <t>A202287</t>
  </si>
  <si>
    <t>A200466</t>
  </si>
  <si>
    <t>A200821</t>
  </si>
  <si>
    <t>A200484</t>
  </si>
  <si>
    <t>A200380</t>
  </si>
  <si>
    <t>P100535</t>
  </si>
  <si>
    <t>A201997</t>
  </si>
  <si>
    <t>A200685</t>
  </si>
  <si>
    <t>A201848</t>
  </si>
  <si>
    <t>A200911</t>
  </si>
  <si>
    <t>A200339</t>
  </si>
  <si>
    <t>P100011</t>
  </si>
  <si>
    <t>A200422</t>
  </si>
  <si>
    <t>A201366</t>
  </si>
  <si>
    <t>P100538</t>
  </si>
  <si>
    <t>A200028</t>
  </si>
  <si>
    <t>P100226</t>
  </si>
  <si>
    <t>A202357</t>
  </si>
  <si>
    <t>A200300</t>
  </si>
  <si>
    <t>A202321</t>
  </si>
  <si>
    <t>A200699</t>
  </si>
  <si>
    <t>A200357</t>
  </si>
  <si>
    <t>A201517</t>
  </si>
  <si>
    <t>P100095</t>
  </si>
  <si>
    <t>A200749</t>
  </si>
  <si>
    <t>A201382</t>
  </si>
  <si>
    <t>P101342</t>
  </si>
  <si>
    <t>A201510</t>
  </si>
  <si>
    <t>A200612</t>
  </si>
  <si>
    <t>P101120</t>
  </si>
  <si>
    <t>A202266</t>
  </si>
  <si>
    <t>A200083</t>
  </si>
  <si>
    <t>P100675</t>
  </si>
  <si>
    <t>A200704</t>
  </si>
  <si>
    <t>P101218</t>
  </si>
  <si>
    <t>A202378</t>
  </si>
  <si>
    <t>A202492</t>
  </si>
  <si>
    <t>P100107</t>
  </si>
  <si>
    <t>A201657</t>
  </si>
  <si>
    <t>A200525</t>
  </si>
  <si>
    <t>P100273</t>
  </si>
  <si>
    <t>A200006</t>
  </si>
  <si>
    <t>A200296</t>
  </si>
  <si>
    <t>P101274</t>
  </si>
  <si>
    <t>A201182</t>
  </si>
  <si>
    <t>P100383</t>
  </si>
  <si>
    <t>A200581</t>
  </si>
  <si>
    <t>P100582</t>
  </si>
  <si>
    <t>A202455</t>
  </si>
  <si>
    <t>P101239</t>
  </si>
  <si>
    <t>A200988</t>
  </si>
  <si>
    <t>A200874</t>
  </si>
  <si>
    <t>A202101</t>
  </si>
  <si>
    <t>P100814</t>
  </si>
  <si>
    <t>A202176</t>
  </si>
  <si>
    <t>P101535</t>
  </si>
  <si>
    <t>A201766</t>
  </si>
  <si>
    <t>A201439</t>
  </si>
  <si>
    <t>P101443</t>
  </si>
  <si>
    <t>A201706</t>
  </si>
  <si>
    <t>P100220</t>
  </si>
  <si>
    <t>A200543</t>
  </si>
  <si>
    <t>P101141</t>
  </si>
  <si>
    <t>A200309</t>
  </si>
  <si>
    <t>P100605</t>
  </si>
  <si>
    <t>A202376</t>
  </si>
  <si>
    <t>P101071</t>
  </si>
  <si>
    <t>A200620</t>
  </si>
  <si>
    <t>A200619</t>
  </si>
  <si>
    <t>A201144</t>
  </si>
  <si>
    <t>A200112</t>
  </si>
  <si>
    <t>A200932</t>
  </si>
  <si>
    <t>A200818</t>
  </si>
  <si>
    <t>P100507</t>
  </si>
  <si>
    <t>A200009</t>
  </si>
  <si>
    <t>P100797</t>
  </si>
  <si>
    <t>A202243</t>
  </si>
  <si>
    <t>P101308</t>
  </si>
  <si>
    <t>A201480</t>
  </si>
  <si>
    <t>A200187</t>
  </si>
  <si>
    <t>P100027</t>
  </si>
  <si>
    <t>A200097</t>
  </si>
  <si>
    <t>P100319</t>
  </si>
  <si>
    <t>A201406</t>
  </si>
  <si>
    <t>A200520</t>
  </si>
  <si>
    <t>A201067</t>
  </si>
  <si>
    <t>A202451</t>
  </si>
  <si>
    <t>P101436</t>
  </si>
  <si>
    <t>A200835</t>
  </si>
  <si>
    <t>P100229</t>
  </si>
  <si>
    <t>A200714</t>
  </si>
  <si>
    <t>P100018</t>
  </si>
  <si>
    <t>A200987</t>
  </si>
  <si>
    <t>P100589</t>
  </si>
  <si>
    <t>A201441</t>
  </si>
  <si>
    <t>A200657</t>
  </si>
  <si>
    <t>A201166</t>
  </si>
  <si>
    <t>P100951</t>
  </si>
  <si>
    <t>A201927</t>
  </si>
  <si>
    <t>P101183</t>
  </si>
  <si>
    <t>A200184</t>
  </si>
  <si>
    <t>P100288</t>
  </si>
  <si>
    <t>A201098</t>
  </si>
  <si>
    <t>P100447</t>
  </si>
  <si>
    <t>A202172</t>
  </si>
  <si>
    <t>A200306</t>
  </si>
  <si>
    <t>P101368</t>
  </si>
  <si>
    <t>A202079</t>
  </si>
  <si>
    <t>A200913</t>
  </si>
  <si>
    <t>A200145</t>
  </si>
  <si>
    <t>P100881</t>
  </si>
  <si>
    <t>A201081</t>
  </si>
  <si>
    <t>A202193</t>
  </si>
  <si>
    <t>P100532</t>
  </si>
  <si>
    <t>A202269</t>
  </si>
  <si>
    <t>A201488</t>
  </si>
  <si>
    <t>A202423</t>
  </si>
  <si>
    <t>A200991</t>
  </si>
  <si>
    <t>A200318</t>
  </si>
  <si>
    <t>P100215</t>
  </si>
  <si>
    <t>A200558</t>
  </si>
  <si>
    <t>P100891</t>
  </si>
  <si>
    <t>A202479</t>
  </si>
  <si>
    <t>A202123</t>
  </si>
  <si>
    <t>P100610</t>
  </si>
  <si>
    <t>A201936</t>
  </si>
  <si>
    <t>A201356</t>
  </si>
  <si>
    <t>P100169</t>
  </si>
  <si>
    <t>A202389</t>
  </si>
  <si>
    <t>A200813</t>
  </si>
  <si>
    <t>P101593</t>
  </si>
  <si>
    <t>A201658</t>
  </si>
  <si>
    <t>A200375</t>
  </si>
  <si>
    <t>A200531</t>
  </si>
  <si>
    <t>P100150</t>
  </si>
  <si>
    <t>A200073</t>
  </si>
  <si>
    <t>A201224</t>
  </si>
  <si>
    <t>P100510</t>
  </si>
  <si>
    <t>A201614</t>
  </si>
  <si>
    <t>A200899</t>
  </si>
  <si>
    <t>A201177</t>
  </si>
  <si>
    <t>A201599</t>
  </si>
  <si>
    <t>A201398</t>
  </si>
  <si>
    <t>A201448</t>
  </si>
  <si>
    <t>A201118</t>
  </si>
  <si>
    <t>A200782</t>
  </si>
  <si>
    <t>P100100</t>
  </si>
  <si>
    <t>A200773</t>
  </si>
  <si>
    <t>P100321</t>
  </si>
  <si>
    <t>A200536</t>
  </si>
  <si>
    <t>P101307</t>
  </si>
  <si>
    <t>A200720</t>
  </si>
  <si>
    <t>A201760</t>
  </si>
  <si>
    <t>A202126</t>
  </si>
  <si>
    <t>A200562</t>
  </si>
  <si>
    <t>P100765</t>
  </si>
  <si>
    <t>A201498</t>
  </si>
  <si>
    <t>P100674</t>
  </si>
  <si>
    <t>A201429</t>
  </si>
  <si>
    <t>P101047</t>
  </si>
  <si>
    <t>A201479</t>
  </si>
  <si>
    <t>A202055</t>
  </si>
  <si>
    <t>P101398</t>
  </si>
  <si>
    <t>A200847</t>
  </si>
  <si>
    <t>A200885</t>
  </si>
  <si>
    <t>A200718</t>
  </si>
  <si>
    <t>A202166</t>
  </si>
  <si>
    <t>A200118</t>
  </si>
  <si>
    <t>A200666</t>
  </si>
  <si>
    <t>A201946</t>
  </si>
  <si>
    <t>A201455</t>
  </si>
  <si>
    <t>A200510</t>
  </si>
  <si>
    <t>A201651</t>
  </si>
  <si>
    <t>P101272</t>
  </si>
  <si>
    <t>A201020</t>
  </si>
  <si>
    <t>A201068</t>
  </si>
  <si>
    <t>A200883</t>
  </si>
  <si>
    <t>A201734</t>
  </si>
  <si>
    <t>A201568</t>
  </si>
  <si>
    <t>A201407</t>
  </si>
  <si>
    <t>P100459</t>
  </si>
  <si>
    <t>A201435</t>
  </si>
  <si>
    <t>P101009</t>
  </si>
  <si>
    <t>A202189</t>
  </si>
  <si>
    <t>P100712</t>
  </si>
  <si>
    <t>A201089</t>
  </si>
  <si>
    <t>A200844</t>
  </si>
  <si>
    <t>A201857</t>
  </si>
  <si>
    <t>P100893</t>
  </si>
  <si>
    <t>A200041</t>
  </si>
  <si>
    <t>P101486</t>
  </si>
  <si>
    <t>A200461</t>
  </si>
  <si>
    <t>P101555</t>
  </si>
  <si>
    <t>A200047</t>
  </si>
  <si>
    <t>A200686</t>
  </si>
  <si>
    <t>P100091</t>
  </si>
  <si>
    <t>A202294</t>
  </si>
  <si>
    <t>A200854</t>
  </si>
  <si>
    <t>A201311</t>
  </si>
  <si>
    <t>A201713</t>
  </si>
  <si>
    <t>A201058</t>
  </si>
  <si>
    <t>A200109</t>
  </si>
  <si>
    <t>A201047</t>
  </si>
  <si>
    <t>P100702</t>
  </si>
  <si>
    <t>A201785</t>
  </si>
  <si>
    <t>P100838</t>
  </si>
  <si>
    <t>A200848</t>
  </si>
  <si>
    <t>A200360</t>
  </si>
  <si>
    <t>A201535</t>
  </si>
  <si>
    <t>P100867</t>
  </si>
  <si>
    <t>A201129</t>
  </si>
  <si>
    <t>P100979</t>
  </si>
  <si>
    <t>A200677</t>
  </si>
  <si>
    <t>A201520</t>
  </si>
  <si>
    <t>A201135</t>
  </si>
  <si>
    <t>A201698</t>
  </si>
  <si>
    <t>P100957</t>
  </si>
  <si>
    <t>A200724</t>
  </si>
  <si>
    <t>A200798</t>
  </si>
  <si>
    <t>A201940</t>
  </si>
  <si>
    <t>A200589</t>
  </si>
  <si>
    <t>A200165</t>
  </si>
  <si>
    <t>P100451</t>
  </si>
  <si>
    <t>A200395</t>
  </si>
  <si>
    <t>A202467</t>
  </si>
  <si>
    <t>A202444</t>
  </si>
  <si>
    <t>A200117</t>
  </si>
  <si>
    <t>A200888</t>
  </si>
  <si>
    <t>P101056</t>
  </si>
  <si>
    <t>A200708</t>
  </si>
  <si>
    <t>A201472</t>
  </si>
  <si>
    <t>A202074</t>
  </si>
  <si>
    <t>A200725</t>
  </si>
  <si>
    <t>A202162</t>
  </si>
  <si>
    <t>P100005</t>
  </si>
  <si>
    <t>A200908</t>
  </si>
  <si>
    <t>A201419</t>
  </si>
  <si>
    <t>P101375</t>
  </si>
  <si>
    <t>A200238</t>
  </si>
  <si>
    <t>A201285</t>
  </si>
  <si>
    <t>A200148</t>
  </si>
  <si>
    <t>P100489</t>
  </si>
  <si>
    <t>A200089</t>
  </si>
  <si>
    <t>A202221</t>
  </si>
  <si>
    <t>A201295</t>
  </si>
  <si>
    <t>P100398</t>
  </si>
  <si>
    <t>A201463</t>
  </si>
  <si>
    <t>A201461</t>
  </si>
  <si>
    <t>P100542</t>
  </si>
  <si>
    <t>A202344</t>
  </si>
  <si>
    <t>P100662</t>
  </si>
  <si>
    <t>A201245</t>
  </si>
  <si>
    <t>P100927</t>
  </si>
  <si>
    <t>A202058</t>
  </si>
  <si>
    <t>P101226</t>
  </si>
  <si>
    <t>A200078</t>
  </si>
  <si>
    <t>A202168</t>
  </si>
  <si>
    <t>P100113</t>
  </si>
  <si>
    <t>A200293</t>
  </si>
  <si>
    <t>A201753</t>
  </si>
  <si>
    <t>P101447</t>
  </si>
  <si>
    <t>A200570</t>
  </si>
  <si>
    <t>P100424</t>
  </si>
  <si>
    <t>A200959</t>
  </si>
  <si>
    <t>P101349</t>
  </si>
  <si>
    <t>A200154</t>
  </si>
  <si>
    <t>P101580</t>
  </si>
  <si>
    <t>A201659</t>
  </si>
  <si>
    <t>P101109</t>
  </si>
  <si>
    <t>A201414</t>
  </si>
  <si>
    <t>A200656</t>
  </si>
  <si>
    <t>P100892</t>
  </si>
  <si>
    <t>A202320</t>
  </si>
  <si>
    <t>A201197</t>
  </si>
  <si>
    <t>A202149</t>
  </si>
  <si>
    <t>P100569</t>
  </si>
  <si>
    <t>A200314</t>
  </si>
  <si>
    <t>P100802</t>
  </si>
  <si>
    <t>A201102</t>
  </si>
  <si>
    <t>P100258</t>
  </si>
  <si>
    <t>A200419</t>
  </si>
  <si>
    <t>A201270</t>
  </si>
  <si>
    <t>A201679</t>
  </si>
  <si>
    <t>A202027</t>
  </si>
  <si>
    <t>A201991</t>
  </si>
  <si>
    <t>P100291</t>
  </si>
  <si>
    <t>A201922</t>
  </si>
  <si>
    <t>A200005</t>
  </si>
  <si>
    <t>P100344</t>
  </si>
  <si>
    <t>A201985</t>
  </si>
  <si>
    <t>A201408</t>
  </si>
  <si>
    <t>A200858</t>
  </si>
  <si>
    <t>A201501</t>
  </si>
  <si>
    <t>A201960</t>
  </si>
  <si>
    <t>A200353</t>
  </si>
  <si>
    <t>P101347</t>
  </si>
  <si>
    <t>A201483</t>
  </si>
  <si>
    <t>A201169</t>
  </si>
  <si>
    <t>P100043</t>
  </si>
  <si>
    <t>A200468</t>
  </si>
  <si>
    <t>P100322</t>
  </si>
  <si>
    <t>A201236</t>
  </si>
  <si>
    <t>A202158</t>
  </si>
  <si>
    <t>A201890</t>
  </si>
  <si>
    <t>A200597</t>
  </si>
  <si>
    <t>P100723</t>
  </si>
  <si>
    <t>A202302</t>
  </si>
  <si>
    <t>A200662</t>
  </si>
  <si>
    <t>P100406</t>
  </si>
  <si>
    <t>A200799</t>
  </si>
  <si>
    <t>A201250</t>
  </si>
  <si>
    <t>P100801</t>
  </si>
  <si>
    <t>A200983</t>
  </si>
  <si>
    <t>P100981</t>
  </si>
  <si>
    <t>A201289</t>
  </si>
  <si>
    <t>A200826</t>
  </si>
  <si>
    <t>A201274</t>
  </si>
  <si>
    <t>A200063</t>
  </si>
  <si>
    <t>P100103</t>
  </si>
  <si>
    <t>A201071</t>
  </si>
  <si>
    <t>A200967</t>
  </si>
  <si>
    <t>A201371</t>
  </si>
  <si>
    <t>A202246</t>
  </si>
  <si>
    <t>A201496</t>
  </si>
  <si>
    <t>A200059</t>
  </si>
  <si>
    <t>A202312</t>
  </si>
  <si>
    <t>A201505</t>
  </si>
  <si>
    <t>P100617</t>
  </si>
  <si>
    <t>A202212</t>
  </si>
  <si>
    <t>A201209</t>
  </si>
  <si>
    <t>P101526</t>
  </si>
  <si>
    <t>A200687</t>
  </si>
  <si>
    <t>A201393</t>
  </si>
  <si>
    <t>P101294</t>
  </si>
  <si>
    <t>A200667</t>
  </si>
  <si>
    <t>P101380</t>
  </si>
  <si>
    <t>A202017</t>
  </si>
  <si>
    <t>P100696</t>
  </si>
  <si>
    <t>A201140</t>
  </si>
  <si>
    <t>A200200</t>
  </si>
  <si>
    <t>A201840</t>
  </si>
  <si>
    <t>A201190</t>
  </si>
  <si>
    <t>A202429</t>
  </si>
  <si>
    <t>A201683</t>
  </si>
  <si>
    <t>A200292</t>
  </si>
  <si>
    <t>P101001</t>
  </si>
  <si>
    <t>A201327</t>
  </si>
  <si>
    <t>P100952</t>
  </si>
  <si>
    <t>A202201</t>
  </si>
  <si>
    <t>A200210</t>
  </si>
  <si>
    <t>P101513</t>
  </si>
  <si>
    <t>A202388</t>
  </si>
  <si>
    <t>A200588</t>
  </si>
  <si>
    <t>A201015</t>
  </si>
  <si>
    <t>A201364</t>
  </si>
  <si>
    <t>A202120</t>
  </si>
  <si>
    <t>P100484</t>
  </si>
  <si>
    <t>A202369</t>
  </si>
  <si>
    <t>P100306</t>
  </si>
  <si>
    <t>A201251</t>
  </si>
  <si>
    <t>A201120</t>
  </si>
  <si>
    <t>P100833</t>
  </si>
  <si>
    <t>A202422</t>
  </si>
  <si>
    <t>A202305</t>
  </si>
  <si>
    <t>A201196</t>
  </si>
  <si>
    <t>P100943</t>
  </si>
  <si>
    <t>A201023</t>
  </si>
  <si>
    <t>P101008</t>
  </si>
  <si>
    <t>A202088</t>
  </si>
  <si>
    <t>A201974</t>
  </si>
  <si>
    <t>P100448</t>
  </si>
  <si>
    <t>A200569</t>
  </si>
  <si>
    <t>P101185</t>
  </si>
  <si>
    <t>A200912</t>
  </si>
  <si>
    <t>P100686</t>
  </si>
  <si>
    <t>A200984</t>
  </si>
  <si>
    <t>P101223</t>
  </si>
  <si>
    <t>A201733</t>
  </si>
  <si>
    <t>A201929</t>
  </si>
  <si>
    <t>A200494</t>
  </si>
  <si>
    <t>P101179</t>
  </si>
  <si>
    <t>A200641</t>
  </si>
  <si>
    <t>P100354</t>
  </si>
  <si>
    <t>A201125</t>
  </si>
  <si>
    <t>P101475</t>
  </si>
  <si>
    <t>A200110</t>
  </si>
  <si>
    <t>A201006</t>
  </si>
  <si>
    <t>A200046</t>
  </si>
  <si>
    <t>A202143</t>
  </si>
  <si>
    <t>P101306</t>
  </si>
  <si>
    <t>A201131</t>
  </si>
  <si>
    <t>A201007</t>
  </si>
  <si>
    <t>P100512</t>
  </si>
  <si>
    <t>A201145</t>
  </si>
  <si>
    <t>A202127</t>
  </si>
  <si>
    <t>A200363</t>
  </si>
  <si>
    <t>A202323</t>
  </si>
  <si>
    <t>P100496</t>
  </si>
  <si>
    <t>A200785</t>
  </si>
  <si>
    <t>A201786</t>
  </si>
  <si>
    <t>P100595</t>
  </si>
  <si>
    <t>A202011</t>
  </si>
  <si>
    <t>A201049</t>
  </si>
  <si>
    <t>A200104</t>
  </si>
  <si>
    <t>A201746</t>
  </si>
  <si>
    <t>A202414</t>
  </si>
  <si>
    <t>P100647</t>
  </si>
  <si>
    <t>A202098</t>
  </si>
  <si>
    <t>A201188</t>
  </si>
  <si>
    <t>P100167</t>
  </si>
  <si>
    <t>A200630</t>
  </si>
  <si>
    <t>A200575</t>
  </si>
  <si>
    <t>A202272</t>
  </si>
  <si>
    <t>A200901</t>
  </si>
  <si>
    <t>A200831</t>
  </si>
  <si>
    <t>P100634</t>
  </si>
  <si>
    <t>A201821</t>
  </si>
  <si>
    <t>P100240</t>
  </si>
  <si>
    <t>A201687</t>
  </si>
  <si>
    <t>A200860</t>
  </si>
  <si>
    <t>A200927</t>
  </si>
  <si>
    <t>P100452</t>
  </si>
  <si>
    <t>A200696</t>
  </si>
  <si>
    <t>P101250</t>
  </si>
  <si>
    <t>A202365</t>
  </si>
  <si>
    <t>A200820</t>
  </si>
  <si>
    <t>A200644</t>
  </si>
  <si>
    <t>P100015</t>
  </si>
  <si>
    <t>A202334</t>
  </si>
  <si>
    <t>A200705</t>
  </si>
  <si>
    <t>A201700</t>
  </si>
  <si>
    <t>A202096</t>
  </si>
  <si>
    <t>P100902</t>
  </si>
  <si>
    <t>A200560</t>
  </si>
  <si>
    <t>P101588</t>
  </si>
  <si>
    <t>A201622</t>
  </si>
  <si>
    <t>A201695</t>
  </si>
  <si>
    <t>A202268</t>
  </si>
  <si>
    <t>A201815</t>
  </si>
  <si>
    <t>A201591</t>
  </si>
  <si>
    <t>A200332</t>
  </si>
  <si>
    <t>A202240</t>
  </si>
  <si>
    <t>A201027</t>
  </si>
  <si>
    <t>P100397</t>
  </si>
  <si>
    <t>A201872</t>
  </si>
  <si>
    <t>A202335</t>
  </si>
  <si>
    <t>P100756</t>
  </si>
  <si>
    <t>A200609</t>
  </si>
  <si>
    <t>A200093</t>
  </si>
  <si>
    <t>A202245</t>
  </si>
  <si>
    <t>P101360</t>
  </si>
  <si>
    <t>A201282</t>
  </si>
  <si>
    <t>P101288</t>
  </si>
  <si>
    <t>A200276</t>
  </si>
  <si>
    <t>P101485</t>
  </si>
  <si>
    <t>A201757</t>
  </si>
  <si>
    <t>A202089</t>
  </si>
  <si>
    <t>A200935</t>
  </si>
  <si>
    <t>A200124</t>
  </si>
  <si>
    <t>A201597</t>
  </si>
  <si>
    <t>P101502</t>
  </si>
  <si>
    <t>A200232</t>
  </si>
  <si>
    <t>P100212</t>
  </si>
  <si>
    <t>A200257</t>
  </si>
  <si>
    <t>A201422</t>
  </si>
  <si>
    <t>A200269</t>
  </si>
  <si>
    <t>A201092</t>
  </si>
  <si>
    <t>A200183</t>
  </si>
  <si>
    <t>P101107</t>
  </si>
  <si>
    <t>A201138</t>
  </si>
  <si>
    <t>P101439</t>
  </si>
  <si>
    <t>A200025</t>
  </si>
  <si>
    <t>A201889</t>
  </si>
  <si>
    <t>A202218</t>
  </si>
  <si>
    <t>A201013</t>
  </si>
  <si>
    <t>A202112</t>
  </si>
  <si>
    <t>A201579</t>
  </si>
  <si>
    <t>A201485</t>
  </si>
  <si>
    <t>P100479</t>
  </si>
  <si>
    <t>A201529</t>
  </si>
  <si>
    <t>A201600</t>
  </si>
  <si>
    <t>P100737</t>
  </si>
  <si>
    <t>A200801</t>
  </si>
  <si>
    <t>A202428</t>
  </si>
  <si>
    <t>P100495</t>
  </si>
  <si>
    <t>A201826</t>
  </si>
  <si>
    <t>A202457</t>
  </si>
  <si>
    <t>P101581</t>
  </si>
  <si>
    <t>A201256</t>
  </si>
  <si>
    <t>A201412</t>
  </si>
  <si>
    <t>A201476</t>
  </si>
  <si>
    <t>A201707</t>
  </si>
  <si>
    <t>A200146</t>
  </si>
  <si>
    <t>A200518</t>
  </si>
  <si>
    <t>A202280</t>
  </si>
  <si>
    <t>P100101</t>
  </si>
  <si>
    <t>A201083</t>
  </si>
  <si>
    <t>P101471</t>
  </si>
  <si>
    <t>A200755</t>
  </si>
  <si>
    <t>A200081</t>
  </si>
  <si>
    <t>P101577</t>
  </si>
  <si>
    <t>A202187</t>
  </si>
  <si>
    <t>P100159</t>
  </si>
  <si>
    <t>A200171</t>
  </si>
  <si>
    <t>P101303</t>
  </si>
  <si>
    <t>A201806</t>
  </si>
  <si>
    <t>A201875</t>
  </si>
  <si>
    <t>P100362</t>
  </si>
  <si>
    <t>A202380</t>
  </si>
  <si>
    <t>A201418</t>
  </si>
  <si>
    <t>P100391</t>
  </si>
  <si>
    <t>A200084</t>
  </si>
  <si>
    <t>A201349</t>
  </si>
  <si>
    <t>A201497</t>
  </si>
  <si>
    <t>A200435</t>
  </si>
  <si>
    <t>A200703</t>
  </si>
  <si>
    <t>P100504</t>
  </si>
  <si>
    <t>A200738</t>
  </si>
  <si>
    <t>A201409</t>
  </si>
  <si>
    <t>P100127</t>
  </si>
  <si>
    <t>A200381</t>
  </si>
  <si>
    <t>P100410</t>
  </si>
  <si>
    <t>A200056</t>
  </si>
  <si>
    <t>A201066</t>
  </si>
  <si>
    <t>A200481</t>
  </si>
  <si>
    <t>A200672</t>
  </si>
  <si>
    <t>P100464</t>
  </si>
  <si>
    <t>A200030</t>
  </si>
  <si>
    <t>A200021</t>
  </si>
  <si>
    <t>P101142</t>
  </si>
  <si>
    <t>A200632</t>
  </si>
  <si>
    <t>P101062</t>
  </si>
  <si>
    <t>A201566</t>
  </si>
  <si>
    <t>A201774</t>
  </si>
  <si>
    <t>A201626</t>
  </si>
  <si>
    <t>A201808</t>
  </si>
  <si>
    <t>A200415</t>
  </si>
  <si>
    <t>P100017</t>
  </si>
  <si>
    <t>A201248</t>
  </si>
  <si>
    <t>P100324</t>
  </si>
  <si>
    <t>A201820</t>
  </si>
  <si>
    <t>A201431</t>
  </si>
  <si>
    <t>A200477</t>
  </si>
  <si>
    <t>A202450</t>
  </si>
  <si>
    <t>A200875</t>
  </si>
  <si>
    <t>P100794</t>
  </si>
  <si>
    <t>A202239</t>
  </si>
  <si>
    <t>A201291</t>
  </si>
  <si>
    <t>A202227</t>
  </si>
  <si>
    <t>A202368</t>
  </si>
  <si>
    <t>P100923</t>
  </si>
  <si>
    <t>A200849</t>
  </si>
  <si>
    <t>P101060</t>
  </si>
  <si>
    <t>A200538</t>
  </si>
  <si>
    <t>P101038</t>
  </si>
  <si>
    <t>A200295</t>
  </si>
  <si>
    <t>A200091</t>
  </si>
  <si>
    <t>P100467</t>
  </si>
  <si>
    <t>A201933</t>
  </si>
  <si>
    <t>A201010</t>
  </si>
  <si>
    <t>P101416</t>
  </si>
  <si>
    <t>A201701</t>
  </si>
  <si>
    <t>A202034</t>
  </si>
  <si>
    <t>A200816</t>
  </si>
  <si>
    <t>A200758</t>
  </si>
  <si>
    <t>P100851</t>
  </si>
  <si>
    <t>A200216</t>
  </si>
  <si>
    <t>A201784</t>
  </si>
  <si>
    <t>A200313</t>
  </si>
  <si>
    <t>A201810</t>
  </si>
  <si>
    <t>A201070</t>
  </si>
  <si>
    <t>P100357</t>
  </si>
  <si>
    <t>A201756</t>
  </si>
  <si>
    <t>A201172</t>
  </si>
  <si>
    <t>P100211</t>
  </si>
  <si>
    <t>A201798</t>
  </si>
  <si>
    <t>A200535</t>
  </si>
  <si>
    <t>A201011</t>
  </si>
  <si>
    <t>A201112</t>
  </si>
  <si>
    <t>P100971</t>
  </si>
  <si>
    <t>A201944</t>
  </si>
  <si>
    <t>P101313</t>
  </si>
  <si>
    <t>A200304</t>
  </si>
  <si>
    <t>P101358</t>
  </si>
  <si>
    <t>A200161</t>
  </si>
  <si>
    <t>A202445</t>
  </si>
  <si>
    <t>A200698</t>
  </si>
  <si>
    <t>P101359</t>
  </si>
  <si>
    <t>A200152</t>
  </si>
  <si>
    <t>A200980</t>
  </si>
  <si>
    <t>A202367</t>
  </si>
  <si>
    <t>A200923</t>
  </si>
  <si>
    <t>A200058</t>
  </si>
  <si>
    <t>A201158</t>
  </si>
  <si>
    <t>A200764</t>
  </si>
  <si>
    <t>A200222</t>
  </si>
  <si>
    <t>A201737</t>
  </si>
  <si>
    <t>A201277</t>
  </si>
  <si>
    <t>A202261</t>
  </si>
  <si>
    <t>A202204</t>
  </si>
  <si>
    <t>A201635</t>
  </si>
  <si>
    <t>A200506</t>
  </si>
  <si>
    <t>P101299</t>
  </si>
  <si>
    <t>A200457</t>
  </si>
  <si>
    <t>A200167</t>
  </si>
  <si>
    <t>A202046</t>
  </si>
  <si>
    <t>A200345</t>
  </si>
  <si>
    <t>A202036</t>
  </si>
  <si>
    <t>A201060</t>
  </si>
  <si>
    <t>P101215</t>
  </si>
  <si>
    <t>A201796</t>
  </si>
  <si>
    <t>A200735</t>
  </si>
  <si>
    <t>A200015</t>
  </si>
  <si>
    <t>P100341</t>
  </si>
  <si>
    <t>A201899</t>
  </si>
  <si>
    <t>A201105</t>
  </si>
  <si>
    <t>A200470</t>
  </si>
  <si>
    <t>A200732</t>
  </si>
  <si>
    <t>A201383</t>
  </si>
  <si>
    <t>A200410</t>
  </si>
  <si>
    <t>P100996</t>
  </si>
  <si>
    <t>A202366</t>
  </si>
  <si>
    <t>P101206</t>
  </si>
  <si>
    <t>A201961</t>
  </si>
  <si>
    <t>A202404</t>
  </si>
  <si>
    <t>A201113</t>
  </si>
  <si>
    <t>P100072</t>
  </si>
  <si>
    <t>A201715</t>
  </si>
  <si>
    <t>A200658</t>
  </si>
  <si>
    <t>P100193</t>
  </si>
  <si>
    <t>A200082</t>
  </si>
  <si>
    <t>P101561</t>
  </si>
  <si>
    <t>A201432</t>
  </si>
  <si>
    <t>A200523</t>
  </si>
  <si>
    <t>P101186</t>
  </si>
  <si>
    <t>A201446</t>
  </si>
  <si>
    <t>A201117</t>
  </si>
  <si>
    <t>A200433</t>
  </si>
  <si>
    <t>A200489</t>
  </si>
  <si>
    <t>A201925</t>
  </si>
  <si>
    <t>A200775</t>
  </si>
  <si>
    <t>A201495</t>
  </si>
  <si>
    <t>A200369</t>
  </si>
  <si>
    <t>A201321</t>
  </si>
  <si>
    <t>A201668</t>
  </si>
  <si>
    <t>A200668</t>
  </si>
  <si>
    <t>A201116</t>
  </si>
  <si>
    <t>A201043</t>
  </si>
  <si>
    <t>P101482</t>
  </si>
  <si>
    <t>A200418</t>
  </si>
  <si>
    <t>A201072</t>
  </si>
  <si>
    <t>A201287</t>
  </si>
  <si>
    <t>A200062</t>
  </si>
  <si>
    <t>A202318</t>
  </si>
  <si>
    <t>P101131</t>
  </si>
  <si>
    <t>A201965</t>
  </si>
  <si>
    <t>P100182</t>
  </si>
  <si>
    <t>A201053</t>
  </si>
  <si>
    <t>A201264</t>
  </si>
  <si>
    <t>A200794</t>
  </si>
  <si>
    <t>A202173</t>
  </si>
  <si>
    <t>A201564</t>
  </si>
  <si>
    <t>A200519</t>
  </si>
  <si>
    <t>A201054</t>
  </si>
  <si>
    <t>A201273</t>
  </si>
  <si>
    <t>P100051</t>
  </si>
  <si>
    <t>A201161</t>
  </si>
  <si>
    <t>A201988</t>
  </si>
  <si>
    <t>A201983</t>
  </si>
  <si>
    <t>A200399</t>
  </si>
  <si>
    <t>A202403</t>
  </si>
  <si>
    <t>A201547</t>
  </si>
  <si>
    <t>A201632</t>
  </si>
  <si>
    <t>P100639</t>
  </si>
  <si>
    <t>A200907</t>
  </si>
  <si>
    <t>P101326</t>
  </si>
  <si>
    <t>A202148</t>
  </si>
  <si>
    <t>A201103</t>
  </si>
  <si>
    <t>P100445</t>
  </si>
  <si>
    <t>A202169</t>
  </si>
  <si>
    <t>A201298</t>
  </si>
  <si>
    <t>P100173</t>
  </si>
  <si>
    <t>A200894</t>
  </si>
  <si>
    <t>A201674</t>
  </si>
  <si>
    <t>A201691</t>
  </si>
  <si>
    <t>A201309</t>
  </si>
  <si>
    <t>A201345</t>
  </si>
  <si>
    <t>P100055</t>
  </si>
  <si>
    <t>A202362</t>
  </si>
  <si>
    <t>P101401</t>
  </si>
  <si>
    <t>A201380</t>
  </si>
  <si>
    <t>P100400</t>
  </si>
  <si>
    <t>A201768</t>
  </si>
  <si>
    <t>A200512</t>
  </si>
  <si>
    <t>A201966</t>
  </si>
  <si>
    <t>A200679</t>
  </si>
  <si>
    <t>A200546</t>
  </si>
  <si>
    <t>A200427</t>
  </si>
  <si>
    <t>P101188</t>
  </si>
  <si>
    <t>A201573</t>
  </si>
  <si>
    <t>A201814</t>
  </si>
  <si>
    <t>A201816</t>
  </si>
  <si>
    <t>A202442</t>
  </si>
  <si>
    <t>A200824</t>
  </si>
  <si>
    <t>P100518</t>
  </si>
  <si>
    <t>A200780</t>
  </si>
  <si>
    <t>A200132</t>
  </si>
  <si>
    <t>A200424</t>
  </si>
  <si>
    <t>A200348</t>
  </si>
  <si>
    <t>A201449</t>
  </si>
  <si>
    <t>P100108</t>
  </si>
  <si>
    <t>A201478</t>
  </si>
  <si>
    <t>A201486</t>
  </si>
  <si>
    <t>A201489</t>
  </si>
  <si>
    <t>A200557</t>
  </si>
  <si>
    <t>A201362</t>
  </si>
  <si>
    <t>A200963</t>
  </si>
  <si>
    <t>A201460</t>
  </si>
  <si>
    <t>P100628</t>
  </si>
  <si>
    <t>A202118</t>
  </si>
  <si>
    <t>P100134</t>
  </si>
  <si>
    <t>A200624</t>
  </si>
  <si>
    <t>P100147</t>
  </si>
  <si>
    <t>A200739</t>
  </si>
  <si>
    <t>P100024</t>
  </si>
  <si>
    <t>A202437</t>
  </si>
  <si>
    <t>A201443</t>
  </si>
  <si>
    <t>A201945</t>
  </si>
  <si>
    <t>A200966</t>
  </si>
  <si>
    <t>A201533</t>
  </si>
  <si>
    <t>P100132</t>
  </si>
  <si>
    <t>A201206</t>
  </si>
  <si>
    <t>P100649</t>
  </si>
  <si>
    <t>A201771</t>
  </si>
  <si>
    <t>P100880</t>
  </si>
  <si>
    <t>A201670</t>
  </si>
  <si>
    <t>P100268</t>
  </si>
  <si>
    <t>A202174</t>
  </si>
  <si>
    <t>A202274</t>
  </si>
  <si>
    <t>A201770</t>
  </si>
  <si>
    <t>A200407</t>
  </si>
  <si>
    <t>A200159</t>
  </si>
  <si>
    <t>P100847</t>
  </si>
  <si>
    <t>A201244</t>
  </si>
  <si>
    <t>A201699</t>
  </si>
  <si>
    <t>A202030</t>
  </si>
  <si>
    <t>A201878</t>
  </si>
  <si>
    <t>A202121</t>
  </si>
  <si>
    <t>A201641</t>
  </si>
  <si>
    <t>A200201</t>
  </si>
  <si>
    <t>A200890</t>
  </si>
  <si>
    <t>A201223</t>
  </si>
  <si>
    <t>P100529</t>
  </si>
  <si>
    <t>A201984</t>
  </si>
  <si>
    <t>A200234</t>
  </si>
  <si>
    <t>A201055</t>
  </si>
  <si>
    <t>A202210</t>
  </si>
  <si>
    <t>P101537</t>
  </si>
  <si>
    <t>A200711</t>
  </si>
  <si>
    <t>A201618</t>
  </si>
  <si>
    <t>P101344</t>
  </si>
  <si>
    <t>A200070</t>
  </si>
  <si>
    <t>A202042</t>
  </si>
  <si>
    <t>A200486</t>
  </si>
  <si>
    <t>P100564</t>
  </si>
  <si>
    <t>A200921</t>
  </si>
  <si>
    <t>A200757</t>
  </si>
  <si>
    <t>A200068</t>
  </si>
  <si>
    <t>A201342</t>
  </si>
  <si>
    <t>A202051</t>
  </si>
  <si>
    <t>A201389</t>
  </si>
  <si>
    <t>P101290</t>
  </si>
  <si>
    <t>A201173</t>
  </si>
  <si>
    <t>P100725</t>
  </si>
  <si>
    <t>A200262</t>
  </si>
  <si>
    <t>A201465</t>
  </si>
  <si>
    <t>A200072</t>
  </si>
  <si>
    <t>A201964</t>
  </si>
  <si>
    <t>A202381</t>
  </si>
  <si>
    <t>A202090</t>
  </si>
  <si>
    <t>A201445</t>
  </si>
  <si>
    <t>A201179</t>
  </si>
  <si>
    <t>A202471</t>
  </si>
  <si>
    <t>A200867</t>
  </si>
  <si>
    <t>P101086</t>
  </si>
  <si>
    <t>A200436</t>
  </si>
  <si>
    <t>A201134</t>
  </si>
  <si>
    <t>A202477</t>
  </si>
  <si>
    <t>P100450</t>
  </si>
  <si>
    <t>A201004</t>
  </si>
  <si>
    <t>A201640</t>
  </si>
  <si>
    <t>P100619</t>
  </si>
  <si>
    <t>A200701</t>
  </si>
  <si>
    <t>A201892</t>
  </si>
  <si>
    <t>A201645</t>
  </si>
  <si>
    <t>A201805</t>
  </si>
  <si>
    <t>A201556</t>
  </si>
  <si>
    <t>P100140</t>
  </si>
  <si>
    <t>A200378</t>
  </si>
  <si>
    <t>P100368</t>
  </si>
  <si>
    <t>A201990</t>
  </si>
  <si>
    <t>A201690</t>
  </si>
  <si>
    <t>A201146</t>
  </si>
  <si>
    <t>A201018</t>
  </si>
  <si>
    <t>P100552</t>
  </si>
  <si>
    <t>A201655</t>
  </si>
  <si>
    <t>A201073</t>
  </si>
  <si>
    <t>A200618</t>
  </si>
  <si>
    <t>P101170</t>
  </si>
  <si>
    <t>A200327</t>
  </si>
  <si>
    <t>P101329</t>
  </si>
  <si>
    <t>A201804</t>
  </si>
  <si>
    <t>A202440</t>
  </si>
  <si>
    <t>A201948</t>
  </si>
  <si>
    <t>P101204</t>
  </si>
  <si>
    <t>A201297</t>
  </si>
  <si>
    <t>A200452</t>
  </si>
  <si>
    <t>P101100</t>
  </si>
  <si>
    <t>A202000</t>
  </si>
  <si>
    <t>A201998</t>
  </si>
  <si>
    <t>A201238</t>
  </si>
  <si>
    <t>A201748</t>
  </si>
  <si>
    <t>P100983</t>
  </si>
  <si>
    <t>A200649</t>
  </si>
  <si>
    <t>P100191</t>
  </si>
  <si>
    <t>A200286</t>
  </si>
  <si>
    <t>A202125</t>
  </si>
  <si>
    <t>P100750</t>
  </si>
  <si>
    <t>A200038</t>
  </si>
  <si>
    <t>A201475</t>
  </si>
  <si>
    <t>A202219</t>
  </si>
  <si>
    <t>A201521</t>
  </si>
  <si>
    <t>A201404</t>
  </si>
  <si>
    <t>A200642</t>
  </si>
  <si>
    <t>P100213</t>
  </si>
  <si>
    <t>A200684</t>
  </si>
  <si>
    <t>A200600</t>
  </si>
  <si>
    <t>P100007</t>
  </si>
  <si>
    <t>A201384</t>
  </si>
  <si>
    <t>A202469</t>
  </si>
  <si>
    <t>P100188</t>
  </si>
  <si>
    <t>A201836</t>
  </si>
  <si>
    <t>A202010</t>
  </si>
  <si>
    <t>A202385</t>
  </si>
  <si>
    <t>A201032</t>
  </si>
  <si>
    <t>A201477</t>
  </si>
  <si>
    <t>A202002</t>
  </si>
  <si>
    <t>P100278</t>
  </si>
  <si>
    <t>A200539</t>
  </si>
  <si>
    <t>A202082</t>
  </si>
  <si>
    <t>A202160</t>
  </si>
  <si>
    <t>A200877</t>
  </si>
  <si>
    <t>A200233</t>
  </si>
  <si>
    <t>A201108</t>
  </si>
  <si>
    <t>A200336</t>
  </si>
  <si>
    <t>A200319</t>
  </si>
  <si>
    <t>P100513</t>
  </si>
  <si>
    <t>A200717</t>
  </si>
  <si>
    <t>A201450</t>
  </si>
  <si>
    <t>A200185</t>
  </si>
  <si>
    <t>A202395</t>
  </si>
  <si>
    <t>P100561</t>
  </si>
  <si>
    <t>A200750</t>
  </si>
  <si>
    <t>P100438</t>
  </si>
  <si>
    <t>A202116</t>
  </si>
  <si>
    <t>P101385</t>
  </si>
  <si>
    <t>A201147</t>
  </si>
  <si>
    <t>A202390</t>
  </si>
  <si>
    <t>A200760</t>
  </si>
  <si>
    <t>P101161</t>
  </si>
  <si>
    <t>A201629</t>
  </si>
  <si>
    <t>A202014</t>
  </si>
  <si>
    <t>A201402</t>
  </si>
  <si>
    <t>A202233</t>
  </si>
  <si>
    <t>P100171</t>
  </si>
  <si>
    <t>A200606</t>
  </si>
  <si>
    <t>A201198</t>
  </si>
  <si>
    <t>A201347</t>
  </si>
  <si>
    <t>A200012</t>
  </si>
  <si>
    <t>P101268</t>
  </si>
  <si>
    <t>A201732</t>
  </si>
  <si>
    <t>A202223</t>
  </si>
  <si>
    <t>A202301</t>
  </si>
  <si>
    <t>P100136</t>
  </si>
  <si>
    <t>A201386</t>
  </si>
  <si>
    <t>P100611</t>
  </si>
  <si>
    <t>A201313</t>
  </si>
  <si>
    <t>A201030</t>
  </si>
  <si>
    <t>P100333</t>
  </si>
  <si>
    <t>A200975</t>
  </si>
  <si>
    <t>A202337</t>
  </si>
  <si>
    <t>P100790</t>
  </si>
  <si>
    <t>A200044</t>
  </si>
  <si>
    <t>P100022</t>
  </si>
  <si>
    <t>A200576</t>
  </si>
  <si>
    <t>A200930</t>
  </si>
  <si>
    <t>A200405</t>
  </si>
  <si>
    <t>A202470</t>
  </si>
  <si>
    <t>A200278</t>
  </si>
  <si>
    <t>A200359</t>
  </si>
  <si>
    <t>A202359</t>
  </si>
  <si>
    <t>A200745</t>
  </si>
  <si>
    <t>P100093</t>
  </si>
  <si>
    <t>A201775</t>
  </si>
  <si>
    <t>A201763</t>
  </si>
  <si>
    <t>A200726</t>
  </si>
  <si>
    <t>P101253</t>
  </si>
  <si>
    <t>A201241</t>
  </si>
  <si>
    <t>P100326</t>
  </si>
  <si>
    <t>A200791</t>
  </si>
  <si>
    <t>A200019</t>
  </si>
  <si>
    <t>A201459</t>
  </si>
  <si>
    <t>A200872</t>
  </si>
  <si>
    <t>P100890</t>
  </si>
  <si>
    <t>A201905</t>
  </si>
  <si>
    <t>P100787</t>
  </si>
  <si>
    <t>A201262</t>
  </si>
  <si>
    <t>A201709</t>
  </si>
  <si>
    <t>A202291</t>
  </si>
  <si>
    <t>A200482</t>
  </si>
  <si>
    <t>A201779</t>
  </si>
  <si>
    <t>P101395</t>
  </si>
  <si>
    <t>A201745</t>
  </si>
  <si>
    <t>A200532</t>
  </si>
  <si>
    <t>A202327</t>
  </si>
  <si>
    <t>P100978</t>
  </si>
  <si>
    <t>A200338</t>
  </si>
  <si>
    <t>A201420</t>
  </si>
  <si>
    <t>A200623</t>
  </si>
  <si>
    <t>P100616</t>
  </si>
  <si>
    <t>A202092</t>
  </si>
  <si>
    <t>P101238</t>
  </si>
  <si>
    <t>A201203</t>
  </si>
  <si>
    <t>A200970</t>
  </si>
  <si>
    <t>A201967</t>
  </si>
  <si>
    <t>A201093</t>
  </si>
  <si>
    <t>A201789</t>
  </si>
  <si>
    <t>A202374</t>
  </si>
  <si>
    <t>A200469</t>
  </si>
  <si>
    <t>P100472</t>
  </si>
  <si>
    <t>A200302</t>
  </si>
  <si>
    <t>A202007</t>
  </si>
  <si>
    <t>P100301</t>
  </si>
  <si>
    <t>A200834</t>
  </si>
  <si>
    <t>A201903</t>
  </si>
  <si>
    <t>A201372</t>
  </si>
  <si>
    <t>P100585</t>
  </si>
  <si>
    <t>A202293</t>
  </si>
  <si>
    <t>A201462</t>
  </si>
  <si>
    <t>A200832</t>
  </si>
  <si>
    <t>P101376</t>
  </si>
  <si>
    <t>A202453</t>
  </si>
  <si>
    <t>A202372</t>
  </si>
  <si>
    <t>A200137</t>
  </si>
  <si>
    <t>A200995</t>
  </si>
  <si>
    <t>A200756</t>
  </si>
  <si>
    <t>A201286</t>
  </si>
  <si>
    <t>A200455</t>
  </si>
  <si>
    <t>A200094</t>
  </si>
  <si>
    <t>A200446</t>
  </si>
  <si>
    <t>A201234</t>
  </si>
  <si>
    <t>A200728</t>
  </si>
  <si>
    <t>A200366</t>
  </si>
  <si>
    <t>A200182</t>
  </si>
  <si>
    <t>A201149</t>
  </si>
  <si>
    <t>P101126</t>
  </si>
  <si>
    <t>A202343</t>
  </si>
  <si>
    <t>P100954</t>
  </si>
  <si>
    <t>A202043</t>
  </si>
  <si>
    <t>A201368</t>
  </si>
  <si>
    <t>A200997</t>
  </si>
  <si>
    <t>A200492</t>
  </si>
  <si>
    <t>P100266</t>
  </si>
  <si>
    <t>A202119</t>
  </si>
  <si>
    <t>A201633</t>
  </si>
  <si>
    <t>P100414</t>
  </si>
  <si>
    <t>A201123</t>
  </si>
  <si>
    <t>A202062</t>
  </si>
  <si>
    <t>P101144</t>
  </si>
  <si>
    <t>A200106</t>
  </si>
  <si>
    <t>A201425</t>
  </si>
  <si>
    <t>P100650</t>
  </si>
  <si>
    <t>A202299</t>
  </si>
  <si>
    <t>A200475</t>
  </si>
  <si>
    <t>A201639</t>
  </si>
  <si>
    <t>P100065</t>
  </si>
  <si>
    <t>A202048</t>
  </si>
  <si>
    <t>P100551</t>
  </si>
  <si>
    <t>A201159</t>
  </si>
  <si>
    <t>P100695</t>
  </si>
  <si>
    <t>A200111</t>
  </si>
  <si>
    <t>P101160</t>
  </si>
  <si>
    <t>A201572</t>
  </si>
  <si>
    <t>P100668</t>
  </si>
  <si>
    <t>A200429</t>
  </si>
  <si>
    <t>A202350</t>
  </si>
  <si>
    <t>P101399</t>
  </si>
  <si>
    <t>A201731</t>
  </si>
  <si>
    <t>P100283</t>
  </si>
  <si>
    <t>A202468</t>
  </si>
  <si>
    <t>A202419</t>
  </si>
  <si>
    <t>A200955</t>
  </si>
  <si>
    <t>A201973</t>
  </si>
  <si>
    <t>A200614</t>
  </si>
  <si>
    <t>A200933</t>
  </si>
  <si>
    <t>A201952</t>
  </si>
  <si>
    <t>A201061</t>
  </si>
  <si>
    <t>A201838</t>
  </si>
  <si>
    <t>A201758</t>
  </si>
  <si>
    <t>P101422</t>
  </si>
  <si>
    <t>A201900</t>
  </si>
  <si>
    <t>A200541</t>
  </si>
  <si>
    <t>P101040</t>
  </si>
  <si>
    <t>A200566</t>
  </si>
  <si>
    <t>A200920</t>
  </si>
  <si>
    <t>A202498</t>
  </si>
  <si>
    <t>A200650</t>
  </si>
  <si>
    <t>A200416</t>
  </si>
  <si>
    <t>A200320</t>
  </si>
  <si>
    <t>A201682</t>
  </si>
  <si>
    <t>A202330</t>
  </si>
  <si>
    <t>A202439</t>
  </si>
  <si>
    <t>A201625</t>
  </si>
  <si>
    <t>A200206</t>
  </si>
  <si>
    <t>A202214</t>
  </si>
  <si>
    <t>A200440</t>
  </si>
  <si>
    <t>P100313</t>
  </si>
  <si>
    <t>A201975</t>
  </si>
  <si>
    <t>A200365</t>
  </si>
  <si>
    <t>P101412</t>
  </si>
  <si>
    <t>A200819</t>
  </si>
  <si>
    <t>A201862</t>
  </si>
  <si>
    <t>A201268</t>
  </si>
  <si>
    <t>A201917</t>
  </si>
  <si>
    <t>A200627</t>
  </si>
  <si>
    <t>A200364</t>
  </si>
  <si>
    <t>P100783</t>
  </si>
  <si>
    <t>A201881</t>
  </si>
  <si>
    <t>P100255</t>
  </si>
  <si>
    <t>A201694</t>
  </si>
  <si>
    <t>P100453</t>
  </si>
  <si>
    <t>A201106</t>
  </si>
  <si>
    <t>A201155</t>
  </si>
  <si>
    <t>A200168</t>
  </si>
  <si>
    <t>P100822</t>
  </si>
  <si>
    <t>A201317</t>
  </si>
  <si>
    <t>P100592</t>
  </si>
  <si>
    <t>A202047</t>
  </si>
  <si>
    <t>A200713</t>
  </si>
  <si>
    <t>P100562</t>
  </si>
  <si>
    <t>A201344</t>
  </si>
  <si>
    <t>A201255</t>
  </si>
  <si>
    <t>A201736</t>
  </si>
  <si>
    <t>P101014</t>
  </si>
  <si>
    <t>A201634</t>
  </si>
  <si>
    <t>A201436</t>
  </si>
  <si>
    <t>P101592</t>
  </si>
  <si>
    <t>A202265</t>
  </si>
  <si>
    <t>A200119</t>
  </si>
  <si>
    <t>P101193</t>
  </si>
  <si>
    <t>A200398</t>
  </si>
  <si>
    <t>A201662</t>
  </si>
  <si>
    <t>A201667</t>
  </si>
  <si>
    <t>A201601</t>
  </si>
  <si>
    <t>A201390</t>
  </si>
  <si>
    <t>A202067</t>
  </si>
  <si>
    <t>P101235</t>
  </si>
  <si>
    <t>A202151</t>
  </si>
  <si>
    <t>A202142</t>
  </si>
  <si>
    <t>A202023</t>
  </si>
  <si>
    <t>P101322</t>
  </si>
  <si>
    <t>A201712</t>
  </si>
  <si>
    <t>A201800</t>
  </si>
  <si>
    <t>A201877</t>
  </si>
  <si>
    <t>A200284</t>
  </si>
  <si>
    <t>A201137</t>
  </si>
  <si>
    <t>A202224</t>
  </si>
  <si>
    <t>A202270</t>
  </si>
  <si>
    <t>A200384</t>
  </si>
  <si>
    <t>A201569</t>
  </si>
  <si>
    <t>A201643</t>
  </si>
  <si>
    <t>P101560</t>
  </si>
  <si>
    <t>A202198</t>
  </si>
  <si>
    <t>P100360</t>
  </si>
  <si>
    <t>A202140</t>
  </si>
  <si>
    <t>P100941</t>
  </si>
  <si>
    <t>A201752</t>
  </si>
  <si>
    <t>A201860</t>
  </si>
  <si>
    <t>A201747</t>
  </si>
  <si>
    <t>P100444</t>
  </si>
  <si>
    <t>A202032</t>
  </si>
  <si>
    <t>A201791</t>
  </si>
  <si>
    <t>A201656</t>
  </si>
  <si>
    <t>A201283</t>
  </si>
  <si>
    <t>P100928</t>
  </si>
  <si>
    <t>A200887</t>
  </si>
  <si>
    <t>A200956</t>
  </si>
  <si>
    <t>A201934</t>
  </si>
  <si>
    <t>A200607</t>
  </si>
  <si>
    <t>P100788</t>
  </si>
  <si>
    <t>A200891</t>
  </si>
  <si>
    <t>A200153</t>
  </si>
  <si>
    <t>A202104</t>
  </si>
  <si>
    <t>A202026</t>
  </si>
  <si>
    <t>A201795</t>
  </si>
  <si>
    <t>A200451</t>
  </si>
  <si>
    <t>A200181</t>
  </si>
  <si>
    <t>A200876</t>
  </si>
  <si>
    <t>A201099</t>
  </si>
  <si>
    <t>A201515</t>
  </si>
  <si>
    <t>A201430</t>
  </si>
  <si>
    <t>P100540</t>
  </si>
  <si>
    <t>A201194</t>
  </si>
  <si>
    <t>A201627</t>
  </si>
  <si>
    <t>A201854</t>
  </si>
  <si>
    <t>A201148</t>
  </si>
  <si>
    <t>P100413</t>
  </si>
  <si>
    <t>A200114</t>
  </si>
  <si>
    <t>A201871</t>
  </si>
  <si>
    <t>A202190</t>
  </si>
  <si>
    <t>A200904</t>
  </si>
  <si>
    <t>A202341</t>
  </si>
  <si>
    <t>A202420</t>
  </si>
  <si>
    <t>A201913</t>
  </si>
  <si>
    <t>A201861</t>
  </si>
  <si>
    <t>A200142</t>
  </si>
  <si>
    <t>A201136</t>
  </si>
  <si>
    <t>P100146</t>
  </si>
  <si>
    <t>A200759</t>
  </si>
  <si>
    <t>A200702</t>
  </si>
  <si>
    <t>P100508</t>
  </si>
  <si>
    <t>A202307</t>
  </si>
  <si>
    <t>A202013</t>
  </si>
  <si>
    <t>A202177</t>
  </si>
  <si>
    <t>P100758</t>
  </si>
  <si>
    <t>A200430</t>
  </si>
  <si>
    <t>A201718</t>
  </si>
  <si>
    <t>A200665</t>
  </si>
  <si>
    <t>P100205</t>
  </si>
  <si>
    <t>A200873</t>
  </si>
  <si>
    <t>P100763</t>
  </si>
  <si>
    <t>A201930</t>
  </si>
  <si>
    <t>A200026</t>
  </si>
  <si>
    <t>P100407</t>
  </si>
  <si>
    <t>A201663</t>
  </si>
  <si>
    <t>P100083</t>
  </si>
  <si>
    <t>A201542</t>
  </si>
  <si>
    <t>A201333</t>
  </si>
  <si>
    <t>A200458</t>
  </si>
  <si>
    <t>A200408</t>
  </si>
  <si>
    <t>A200613</t>
  </si>
  <si>
    <t>P100653</t>
  </si>
  <si>
    <t>A202004</t>
  </si>
  <si>
    <t>P101269</t>
  </si>
  <si>
    <t>A200196</t>
  </si>
  <si>
    <t>P100247</t>
  </si>
  <si>
    <t>A201130</t>
  </si>
  <si>
    <t>A200674</t>
  </si>
  <si>
    <t>P101590</t>
  </si>
  <si>
    <t>A200007</t>
  </si>
  <si>
    <t>A200774</t>
  </si>
  <si>
    <t>A202275</t>
  </si>
  <si>
    <t>A202314</t>
  </si>
  <si>
    <t>A200478</t>
  </si>
  <si>
    <t>P101305</t>
  </si>
  <si>
    <t>A202252</t>
  </si>
  <si>
    <t>A202006</t>
  </si>
  <si>
    <t>A200229</t>
  </si>
  <si>
    <t>A200897</t>
  </si>
  <si>
    <t>P100796</t>
  </si>
  <si>
    <t>A202364</t>
  </si>
  <si>
    <t>A200048</t>
  </si>
  <si>
    <t>A200437</t>
  </si>
  <si>
    <t>P101337</t>
  </si>
  <si>
    <t>A200321</t>
  </si>
  <si>
    <t>P101110</t>
  </si>
  <si>
    <t>A202360</t>
  </si>
  <si>
    <t>A201870</t>
  </si>
  <si>
    <t>A202242</t>
  </si>
  <si>
    <t>P100177</t>
  </si>
  <si>
    <t>A202229</t>
  </si>
  <si>
    <t>P101214</t>
  </si>
  <si>
    <t>A201843</t>
  </si>
  <si>
    <t>A200931</t>
  </si>
  <si>
    <t>A200719</t>
  </si>
  <si>
    <t>A201898</t>
  </si>
  <si>
    <t>P101208</t>
  </si>
  <si>
    <t>A200976</t>
  </si>
  <si>
    <t>P100343</t>
  </si>
  <si>
    <t>A201776</t>
  </si>
  <si>
    <t>A200128</t>
  </si>
  <si>
    <t>P100314</t>
  </si>
  <si>
    <t>A200297</t>
  </si>
  <si>
    <t>A201509</t>
  </si>
  <si>
    <t>A202392</t>
  </si>
  <si>
    <t>A202253</t>
  </si>
  <si>
    <t>A200971</t>
  </si>
  <si>
    <t>P101178</t>
  </si>
  <si>
    <t>A200016</t>
  </si>
  <si>
    <t>P100148</t>
  </si>
  <si>
    <t>A201076</t>
  </si>
  <si>
    <t>P100570</t>
  </si>
  <si>
    <t>A200884</t>
  </si>
  <si>
    <t>A201842</t>
  </si>
  <si>
    <t>A202478</t>
  </si>
  <si>
    <t>A201792</t>
  </si>
  <si>
    <t>A200328</t>
  </si>
  <si>
    <t>A201831</t>
  </si>
  <si>
    <t>A202464</t>
  </si>
  <si>
    <t>A200516</t>
  </si>
  <si>
    <t>A200279</t>
  </si>
  <si>
    <t>A200864</t>
  </si>
  <si>
    <t>A201648</t>
  </si>
  <si>
    <t>A201977</t>
  </si>
  <si>
    <t>A200050</t>
  </si>
  <si>
    <t>A200014</t>
  </si>
  <si>
    <t>A200985</t>
  </si>
  <si>
    <t>P100830</t>
  </si>
  <si>
    <t>A200909</t>
  </si>
  <si>
    <t>P101104</t>
  </si>
  <si>
    <t>A202497</t>
  </si>
  <si>
    <t>P101099</t>
  </si>
  <si>
    <t>A202391</t>
  </si>
  <si>
    <t>A201853</t>
  </si>
  <si>
    <t>A202197</t>
  </si>
  <si>
    <t>P101410</t>
  </si>
  <si>
    <t>A201847</t>
  </si>
  <si>
    <t>A201829</t>
  </si>
  <si>
    <t>A200249</t>
  </si>
  <si>
    <t>P101402</t>
  </si>
  <si>
    <t>A201782</t>
  </si>
  <si>
    <t>A202254</t>
  </si>
  <si>
    <t>A200871</t>
  </si>
  <si>
    <t>A200498</t>
  </si>
  <si>
    <t>A201864</t>
  </si>
  <si>
    <t>A200610</t>
  </si>
  <si>
    <t>P100949</t>
  </si>
  <si>
    <t>A200143</t>
  </si>
  <si>
    <t>A202230</t>
  </si>
  <si>
    <t>A200087</t>
  </si>
  <si>
    <t>A200496</t>
  </si>
  <si>
    <t>P100987</t>
  </si>
  <si>
    <t>A201976</t>
  </si>
  <si>
    <t>A200568</t>
  </si>
  <si>
    <t>A202207</t>
  </si>
  <si>
    <t>A201754</t>
  </si>
  <si>
    <t>A200301</t>
  </si>
  <si>
    <t>A200256</t>
  </si>
  <si>
    <t>A200190</t>
  </si>
  <si>
    <t>A201403</t>
  </si>
  <si>
    <t>A200103</t>
  </si>
  <si>
    <t>P100713</t>
  </si>
  <si>
    <t>A201590</t>
  </si>
  <si>
    <t>A201750</t>
  </si>
  <si>
    <t>A201225</t>
  </si>
  <si>
    <t>A201548</t>
  </si>
  <si>
    <t>A201320</t>
  </si>
  <si>
    <t>P100883</t>
  </si>
  <si>
    <t>A201141</t>
  </si>
  <si>
    <t>A200950</t>
  </si>
  <si>
    <t>A201338</t>
  </si>
  <si>
    <t>P100021</t>
  </si>
  <si>
    <t>A201950</t>
  </si>
  <si>
    <t>A200213</t>
  </si>
  <si>
    <t>A202276</t>
  </si>
  <si>
    <t>P100577</t>
  </si>
  <si>
    <t>A200712</t>
  </si>
  <si>
    <t>A201318</t>
  </si>
  <si>
    <t>P100873</t>
  </si>
  <si>
    <t>A202411</t>
  </si>
  <si>
    <t>A201868</t>
  </si>
  <si>
    <t>A201204</t>
  </si>
  <si>
    <t>A201265</t>
  </si>
  <si>
    <t>A201710</t>
  </si>
  <si>
    <t>A200861</t>
  </si>
  <si>
    <t>A200324</t>
  </si>
  <si>
    <t>A201358</t>
  </si>
  <si>
    <t>A201272</t>
  </si>
  <si>
    <t>P100876</t>
  </si>
  <si>
    <t>A201671</t>
  </si>
  <si>
    <t>A201580</t>
  </si>
  <si>
    <t>P100817</t>
  </si>
  <si>
    <t>A200914</t>
  </si>
  <si>
    <t>A201526</t>
  </si>
  <si>
    <t>A200866</t>
  </si>
  <si>
    <t>A202421</t>
  </si>
  <si>
    <t>A200843</t>
  </si>
  <si>
    <t>A202213</t>
  </si>
  <si>
    <t>A201518</t>
  </si>
  <si>
    <t>A201243</t>
  </si>
  <si>
    <t>A201258</t>
  </si>
  <si>
    <t>P101341</t>
  </si>
  <si>
    <t>A201336</t>
  </si>
  <si>
    <t>A202493</t>
  </si>
  <si>
    <t>A201111</t>
  </si>
  <si>
    <t>P100299</t>
  </si>
  <si>
    <t>A200002</t>
  </si>
  <si>
    <t>A200802</t>
  </si>
  <si>
    <t>A200795</t>
  </si>
  <si>
    <t>A202063</t>
  </si>
  <si>
    <t>A202029</t>
  </si>
  <si>
    <t>A202465</t>
  </si>
  <si>
    <t>P100511</t>
  </si>
  <si>
    <t>A201539</t>
  </si>
  <si>
    <t>A202247</t>
  </si>
  <si>
    <t>A201133</t>
  </si>
  <si>
    <t>A200356</t>
  </si>
  <si>
    <t>P100192</t>
  </si>
  <si>
    <t>A201508</t>
  </si>
  <si>
    <t>A200941</t>
  </si>
  <si>
    <t>P100037</t>
  </si>
  <si>
    <t>A202132</t>
  </si>
  <si>
    <t>A200134</t>
  </si>
  <si>
    <t>A200740</t>
  </si>
  <si>
    <t>A202283</t>
  </si>
  <si>
    <t>A201993</t>
  </si>
  <si>
    <t>A202384</t>
  </si>
  <si>
    <t>A200425</t>
  </si>
  <si>
    <t>A200465</t>
  </si>
  <si>
    <t>A200102</t>
  </si>
  <si>
    <t>P100625</t>
  </si>
  <si>
    <t>A202256</t>
  </si>
  <si>
    <t>A201594</t>
  </si>
  <si>
    <t>A201588</t>
  </si>
  <si>
    <t>A201587</t>
  </si>
  <si>
    <t>A202163</t>
  </si>
  <si>
    <t>P100483</t>
  </si>
  <si>
    <t>A200490</t>
  </si>
  <si>
    <t>A200748</t>
  </si>
  <si>
    <t>A201545</t>
  </si>
  <si>
    <t>A202181</t>
  </si>
  <si>
    <t>A200722</t>
  </si>
  <si>
    <t>P100276</t>
  </si>
  <si>
    <t>A200337</t>
  </si>
  <si>
    <t>A200881</t>
  </si>
  <si>
    <t>P101538</t>
  </si>
  <si>
    <t>A201339</t>
  </si>
  <si>
    <t>A201493</t>
  </si>
  <si>
    <t>A201222</t>
  </si>
  <si>
    <t>A200151</t>
  </si>
  <si>
    <t>A200695</t>
  </si>
  <si>
    <t>A202290</t>
  </si>
  <si>
    <t>A201910</t>
  </si>
  <si>
    <t>A202038</t>
  </si>
  <si>
    <t>A201553</t>
  </si>
  <si>
    <t>A201869</t>
  </si>
  <si>
    <t>P100460</t>
  </si>
  <si>
    <t>A201850</t>
  </si>
  <si>
    <t>A201586</t>
  </si>
  <si>
    <t>A202447</t>
  </si>
  <si>
    <t>A202363</t>
  </si>
  <si>
    <t>A201741</t>
  </si>
  <si>
    <t>A201354</t>
  </si>
  <si>
    <t>P100381</t>
  </si>
  <si>
    <t>A202434</t>
  </si>
  <si>
    <t>A200807</t>
  </si>
  <si>
    <t>A201896</t>
  </si>
  <si>
    <t>P101403</t>
  </si>
  <si>
    <t>A201908</t>
  </si>
  <si>
    <t>A202039</t>
  </si>
  <si>
    <t>A200362</t>
  </si>
  <si>
    <t>A200311</t>
  </si>
  <si>
    <t>A200308</t>
  </si>
  <si>
    <t>P101234</t>
  </si>
  <si>
    <t>A201571</t>
  </si>
  <si>
    <t>P100154</t>
  </si>
  <si>
    <t>A200936</t>
  </si>
  <si>
    <t>A202282</t>
  </si>
  <si>
    <t>A202441</t>
  </si>
  <si>
    <t>A200946</t>
  </si>
  <si>
    <t>A201928</t>
  </si>
  <si>
    <t>A201056</t>
  </si>
  <si>
    <t>A201128</t>
  </si>
  <si>
    <t>A200043</t>
  </si>
  <si>
    <t>P100218</t>
  </si>
  <si>
    <t>A200052</t>
  </si>
  <si>
    <t>P100366</t>
  </si>
  <si>
    <t>A201720</t>
  </si>
  <si>
    <t>A200197</t>
  </si>
  <si>
    <t>A202396</t>
  </si>
  <si>
    <t>P100471</t>
  </si>
  <si>
    <t>A200008</t>
  </si>
  <si>
    <t>A202005</t>
  </si>
  <si>
    <t>P100430</t>
  </si>
  <si>
    <t>A200166</t>
  </si>
  <si>
    <t>A200573</t>
  </si>
  <si>
    <t>A202070</t>
  </si>
  <si>
    <t>A200245</t>
  </si>
  <si>
    <t>A202110</t>
  </si>
  <si>
    <t>A200255</t>
  </si>
  <si>
    <t>A202448</t>
  </si>
  <si>
    <t>P101585</t>
  </si>
  <si>
    <t>A201227</t>
  </si>
  <si>
    <t>A201827</t>
  </si>
  <si>
    <t>P101370</t>
  </si>
  <si>
    <t>A201742</t>
  </si>
  <si>
    <t>A200645</t>
  </si>
  <si>
    <t>P101041</t>
  </si>
  <si>
    <t>A200776</t>
  </si>
  <si>
    <t>A201494</t>
  </si>
  <si>
    <t>A202398</t>
  </si>
  <si>
    <t>A200787</t>
  </si>
  <si>
    <t>A201592</t>
  </si>
  <si>
    <t>A200227</t>
  </si>
  <si>
    <t>A201315</t>
  </si>
  <si>
    <t>P100492</t>
  </si>
  <si>
    <t>A200163</t>
  </si>
  <si>
    <t>A200487</t>
  </si>
  <si>
    <t>A201231</t>
  </si>
  <si>
    <t>A200282</t>
  </si>
  <si>
    <t>A201192</t>
  </si>
  <si>
    <t>A201048</t>
  </si>
  <si>
    <t>A200542</t>
  </si>
  <si>
    <t>A201812</t>
  </si>
  <si>
    <t>P100568</t>
  </si>
  <si>
    <t>A200141</t>
  </si>
  <si>
    <t>A200079</t>
  </si>
  <si>
    <t>A202284</t>
  </si>
  <si>
    <t>A200771</t>
  </si>
  <si>
    <t>P101278</t>
  </si>
  <si>
    <t>A201094</t>
  </si>
  <si>
    <t>A201040</t>
  </si>
  <si>
    <t>P100644</t>
  </si>
  <si>
    <t>A201873</t>
  </si>
  <si>
    <t>A201603</t>
  </si>
  <si>
    <t>A201028</t>
  </si>
  <si>
    <t>A200394</t>
  </si>
  <si>
    <t>A201726</t>
  </si>
  <si>
    <t>A202052</t>
  </si>
  <si>
    <t>P100812</t>
  </si>
  <si>
    <t>A202186</t>
  </si>
  <si>
    <t>A200488</t>
  </si>
  <si>
    <t>A200226</t>
  </si>
  <si>
    <t>A201543</t>
  </si>
  <si>
    <t>P100536</t>
  </si>
  <si>
    <t>A202416</t>
  </si>
  <si>
    <t>A201301</t>
  </si>
  <si>
    <t>A200069</t>
  </si>
  <si>
    <t>A200733</t>
  </si>
  <si>
    <t>A200905</t>
  </si>
  <si>
    <t>A200676</t>
  </si>
  <si>
    <t>P100858</t>
  </si>
  <si>
    <t>A200723</t>
  </si>
  <si>
    <t>A202259</t>
  </si>
  <si>
    <t>P101576</t>
  </si>
  <si>
    <t>A202206</t>
  </si>
  <si>
    <t>A200968</t>
  </si>
  <si>
    <t>A200822</t>
  </si>
  <si>
    <t>A200688</t>
  </si>
  <si>
    <t>A201744</t>
  </si>
  <si>
    <t>A201769</t>
  </si>
  <si>
    <t>A200120</t>
  </si>
  <si>
    <t>A201266</t>
  </si>
  <si>
    <t>A201703</t>
  </si>
  <si>
    <t>A200592</t>
  </si>
  <si>
    <t>A200778</t>
  </si>
  <si>
    <t>P100593</t>
  </si>
  <si>
    <t>A201575</t>
  </si>
  <si>
    <t>A202273</t>
  </si>
  <si>
    <t>P101162</t>
  </si>
  <si>
    <t>A200886</t>
  </si>
  <si>
    <t>A201176</t>
  </si>
  <si>
    <t>A201187</t>
  </si>
  <si>
    <t>A201180</t>
  </si>
  <si>
    <t>A201033</t>
  </si>
  <si>
    <t>P100052</t>
  </si>
  <si>
    <t>A201818</t>
  </si>
  <si>
    <t>A200108</t>
  </si>
  <si>
    <t>A202466</t>
  </si>
  <si>
    <t>A202165</t>
  </si>
  <si>
    <t>P100485</t>
  </si>
  <si>
    <t>A202427</t>
  </si>
  <si>
    <t>A200456</t>
  </si>
  <si>
    <t>A200027</t>
  </si>
  <si>
    <t>A201661</t>
  </si>
  <si>
    <t>A201570</t>
  </si>
  <si>
    <t>A201292</t>
  </si>
  <si>
    <t>A201284</t>
  </si>
  <si>
    <t>P101174</t>
  </si>
  <si>
    <t>A201735</t>
  </si>
  <si>
    <t>P101030</t>
  </si>
  <si>
    <t>A201938</t>
  </si>
  <si>
    <t>A202111</t>
  </si>
  <si>
    <t>A201005</t>
  </si>
  <si>
    <t>A202192</t>
  </si>
  <si>
    <t>P101540</t>
  </si>
  <si>
    <t>A200895</t>
  </si>
  <si>
    <t>P101456</t>
  </si>
  <si>
    <t>A200188</t>
  </si>
  <si>
    <t>P100684</t>
  </si>
  <si>
    <t>A202161</t>
  </si>
  <si>
    <t>A201759</t>
  </si>
  <si>
    <t>P101181</t>
  </si>
  <si>
    <t>A200574</t>
  </si>
  <si>
    <t>A201865</t>
  </si>
  <si>
    <t>P100859</t>
  </si>
  <si>
    <t>A201852</t>
  </si>
  <si>
    <t>P100206</t>
  </si>
  <si>
    <t>A201595</t>
  </si>
  <si>
    <t>A200741</t>
  </si>
  <si>
    <t>P100861</t>
  </si>
  <si>
    <t>A202196</t>
  </si>
  <si>
    <t>A202083</t>
  </si>
  <si>
    <t>P101082</t>
  </si>
  <si>
    <t>A202424</t>
  </si>
  <si>
    <t>A200467</t>
  </si>
  <si>
    <t>P101480</t>
  </si>
  <si>
    <t>A200537</t>
  </si>
  <si>
    <t>A200952</t>
  </si>
  <si>
    <t>P100673</t>
  </si>
  <si>
    <t>A202408</t>
  </si>
  <si>
    <t>P101316</t>
  </si>
  <si>
    <t>A201142</t>
  </si>
  <si>
    <t>A202491</t>
  </si>
  <si>
    <t>A200057</t>
  </si>
  <si>
    <t>A201259</t>
  </si>
  <si>
    <t>A200248</t>
  </si>
  <si>
    <t>A200553</t>
  </si>
  <si>
    <t>A200949</t>
  </si>
  <si>
    <t>A201596</t>
  </si>
  <si>
    <t>A200762</t>
  </si>
  <si>
    <t>A200100</t>
  </si>
  <si>
    <t>P100937</t>
  </si>
  <si>
    <t>A202107</t>
  </si>
  <si>
    <t>A200040</t>
  </si>
  <si>
    <t>A201560</t>
  </si>
  <si>
    <t>A201091</t>
  </si>
  <si>
    <t>A201069</t>
  </si>
  <si>
    <t>A200882</t>
  </si>
  <si>
    <t>A200509</t>
  </si>
  <si>
    <t>A200133</t>
  </si>
  <si>
    <t>A201499</t>
  </si>
  <si>
    <t>A200325</t>
  </si>
  <si>
    <t>A201260</t>
  </si>
  <si>
    <t>A201335</t>
  </si>
  <si>
    <t>A200307</t>
  </si>
  <si>
    <t>A202081</t>
  </si>
  <si>
    <t>A201901</t>
  </si>
  <si>
    <t>P100351</t>
  </si>
  <si>
    <t>A201828</t>
  </si>
  <si>
    <t>P100222</t>
  </si>
  <si>
    <t>A200753</t>
  </si>
  <si>
    <t>A201926</t>
  </si>
  <si>
    <t>A201935</t>
  </si>
  <si>
    <t>P100203</t>
  </si>
  <si>
    <t>A201793</t>
  </si>
  <si>
    <t>P101528</t>
  </si>
  <si>
    <t>A201275</t>
  </si>
  <si>
    <t>A200808</t>
  </si>
  <si>
    <t>A201507</t>
  </si>
  <si>
    <t>A200116</t>
  </si>
  <si>
    <t>P101356</t>
  </si>
  <si>
    <t>A200352</t>
  </si>
  <si>
    <t>A201631</t>
  </si>
  <si>
    <t>A201086</t>
  </si>
  <si>
    <t>A202387</t>
  </si>
  <si>
    <t>A200680</t>
  </si>
  <si>
    <t>A200709</t>
  </si>
  <si>
    <t>P100057</t>
  </si>
  <si>
    <t>A201487</t>
  </si>
  <si>
    <t>A200212</t>
  </si>
  <si>
    <t>A202248</t>
  </si>
  <si>
    <t>A200448</t>
  </si>
  <si>
    <t>P101201</t>
  </si>
  <si>
    <t>A201612</t>
  </si>
  <si>
    <t>A200411</t>
  </si>
  <si>
    <t>A201466</t>
  </si>
  <si>
    <t>A202463</t>
  </si>
  <si>
    <t>P100494</t>
  </si>
  <si>
    <t>A202044</t>
  </si>
  <si>
    <t>A201676</t>
  </si>
  <si>
    <t>A200889</t>
  </si>
  <si>
    <t>P101421</t>
  </si>
  <si>
    <t>A201797</t>
  </si>
  <si>
    <t>A201181</t>
  </si>
  <si>
    <t>P100704</t>
  </si>
  <si>
    <t>A202205</t>
  </si>
  <si>
    <t>A201178</t>
  </si>
  <si>
    <t>A200653</t>
  </si>
  <si>
    <t>A200810</t>
  </si>
  <si>
    <t>A201780</t>
  </si>
  <si>
    <t>A200178</t>
  </si>
  <si>
    <t>A200915</t>
  </si>
  <si>
    <t>P100379</t>
  </si>
  <si>
    <t>A200235</t>
  </si>
  <si>
    <t>A201689</t>
  </si>
  <si>
    <t>A200454</t>
  </si>
  <si>
    <t>A201229</t>
  </si>
  <si>
    <t>A200288</t>
  </si>
  <si>
    <t>A201213</t>
  </si>
  <si>
    <t>A200533</t>
  </si>
  <si>
    <t>A201074</t>
  </si>
  <si>
    <t>A200671</t>
  </si>
  <si>
    <t>A202331</t>
  </si>
  <si>
    <t>A200180</t>
  </si>
  <si>
    <t>A201330</t>
  </si>
  <si>
    <t>P101276</t>
  </si>
  <si>
    <t>A201727</t>
  </si>
  <si>
    <t>A202431</t>
  </si>
  <si>
    <t>P100084</t>
  </si>
  <si>
    <t>A202370</t>
  </si>
  <si>
    <t>A201306</t>
  </si>
  <si>
    <t>A201834</t>
  </si>
  <si>
    <t>A202175</t>
  </si>
  <si>
    <t>A201269</t>
  </si>
  <si>
    <t>P100096</t>
  </si>
  <si>
    <t>A200721</t>
  </si>
  <si>
    <t>A201994</t>
  </si>
  <si>
    <t>A200036</t>
  </si>
  <si>
    <t>P100642</t>
  </si>
  <si>
    <t>A201823</t>
  </si>
  <si>
    <t>P100157</t>
  </si>
  <si>
    <t>A202164</t>
  </si>
  <si>
    <t>A200675</t>
  </si>
  <si>
    <t>A201764</t>
  </si>
  <si>
    <t>A202150</t>
  </si>
  <si>
    <t>A201377</t>
  </si>
  <si>
    <t>A201813</t>
  </si>
  <si>
    <t>A200341</t>
  </si>
  <si>
    <t>A201332</t>
  </si>
  <si>
    <t>P100295</t>
  </si>
  <si>
    <t>A201210</t>
  </si>
  <si>
    <t>A200634</t>
  </si>
  <si>
    <t>P100748</t>
  </si>
  <si>
    <t>A202413</t>
  </si>
  <si>
    <t>A202375</t>
  </si>
  <si>
    <t>A202059</t>
  </si>
  <si>
    <t>A201299</t>
  </si>
  <si>
    <t>A202137</t>
  </si>
  <si>
    <t>A201962</t>
  </si>
  <si>
    <t>A200434</t>
  </si>
  <si>
    <t>A200065</t>
  </si>
  <si>
    <t>A202358</t>
  </si>
  <si>
    <t>A201444</t>
  </si>
  <si>
    <t>P100178</t>
  </si>
  <si>
    <t>A201503</t>
  </si>
  <si>
    <t>A200989</t>
  </si>
  <si>
    <t>P100446</t>
  </si>
  <si>
    <t>A201252</t>
  </si>
  <si>
    <t>A201702</t>
  </si>
  <si>
    <t>P101391</t>
  </si>
  <si>
    <t>A200371</t>
  </si>
  <si>
    <t>A202412</t>
  </si>
  <si>
    <t>A200647</t>
  </si>
  <si>
    <t>P100549</t>
  </si>
  <si>
    <t>A201162</t>
  </si>
  <si>
    <t>A201969</t>
  </si>
  <si>
    <t>P100305</t>
  </si>
  <si>
    <t>A200397</t>
  </si>
  <si>
    <t>A200090</t>
  </si>
  <si>
    <t>A201308</t>
  </si>
  <si>
    <t>P101005</t>
  </si>
  <si>
    <t>A202399</t>
  </si>
  <si>
    <t>A202383</t>
  </si>
  <si>
    <t>A200806</t>
  </si>
  <si>
    <t>P100384</t>
  </si>
  <si>
    <t>A200529</t>
  </si>
  <si>
    <t>P100614</t>
  </si>
  <si>
    <t>A202086</t>
  </si>
  <si>
    <t>A200261</t>
  </si>
  <si>
    <t>A202216</t>
  </si>
  <si>
    <t>A201426</t>
  </si>
  <si>
    <t>A201999</t>
  </si>
  <si>
    <t>A200409</t>
  </si>
  <si>
    <t>A202326</t>
  </si>
  <si>
    <t>A201316</t>
  </si>
  <si>
    <t>A202430</t>
  </si>
  <si>
    <t>A201240</t>
  </si>
  <si>
    <t>P101112</t>
  </si>
  <si>
    <t>A201399</t>
  </si>
  <si>
    <t>A201323</t>
  </si>
  <si>
    <t>A200426</t>
  </si>
  <si>
    <t>A200013</t>
  </si>
  <si>
    <t>A200900</t>
  </si>
  <si>
    <t>A201610</t>
  </si>
  <si>
    <t>A200621</t>
  </si>
  <si>
    <t>P101133</t>
  </si>
  <si>
    <t>A202289</t>
  </si>
  <si>
    <t>A200252</t>
  </si>
  <si>
    <t>P100884</t>
  </si>
  <si>
    <t>A202347</t>
  </si>
  <si>
    <t>A200736</t>
  </si>
  <si>
    <t>A200812</t>
  </si>
  <si>
    <t>A201385</t>
  </si>
  <si>
    <t>A202072</t>
  </si>
  <si>
    <t>A201293</t>
  </si>
  <si>
    <t>A201388</t>
  </si>
  <si>
    <t>A201602</t>
  </si>
  <si>
    <t>P100331</t>
  </si>
  <si>
    <t>A201038</t>
  </si>
  <si>
    <t>A200960</t>
  </si>
  <si>
    <t>A201360</t>
  </si>
  <si>
    <t>A201697</t>
  </si>
  <si>
    <t>A200020</t>
  </si>
  <si>
    <t>A200011</t>
  </si>
  <si>
    <t>A200033</t>
  </si>
  <si>
    <t>A200596</t>
  </si>
  <si>
    <t>A201576</t>
  </si>
  <si>
    <t>A201623</t>
  </si>
  <si>
    <t>A202356</t>
  </si>
  <si>
    <t>A202228</t>
  </si>
  <si>
    <t>A202425</t>
  </si>
  <si>
    <t>A201219</t>
  </si>
  <si>
    <t>P101046</t>
  </si>
  <si>
    <t>Age_band</t>
  </si>
  <si>
    <t>imd_group</t>
  </si>
  <si>
    <t>appointment_month</t>
  </si>
  <si>
    <t>lead_time_band</t>
  </si>
  <si>
    <t>prior_dna_flag</t>
  </si>
  <si>
    <t>is_dna</t>
  </si>
  <si>
    <t>is_attended</t>
  </si>
  <si>
    <t>is_cancelled</t>
  </si>
  <si>
    <t>Metric</t>
  </si>
  <si>
    <t>Value</t>
  </si>
  <si>
    <t>Overview</t>
  </si>
  <si>
    <t>Total appointments booked</t>
  </si>
  <si>
    <t>Cancelled in advance</t>
  </si>
  <si>
    <t>Kept bookings (Attended + DNA)</t>
  </si>
  <si>
    <t>Did Not Attend (DNA)</t>
  </si>
  <si>
    <t>Overall DNA rate</t>
  </si>
  <si>
    <t>NHS national benchmark DNA rate (assumption)</t>
  </si>
  <si>
    <t>Gap to benchmark (%)</t>
  </si>
  <si>
    <t>Average lead time - all bookings (days)</t>
  </si>
  <si>
    <t>Average lead time - Attended (days)</t>
  </si>
  <si>
    <t>Average lead time - DNA (days)</t>
  </si>
  <si>
    <t>Bookings with a reminder set (%)</t>
  </si>
  <si>
    <t>DNA rate when reminder sent</t>
  </si>
  <si>
    <t>DNA rate when NO reminder sent</t>
  </si>
  <si>
    <t>Catergory</t>
  </si>
  <si>
    <t>DNA Rate %</t>
  </si>
  <si>
    <t>Total Bookings
 (excl. cancelled)</t>
  </si>
  <si>
    <t>DNA Count</t>
  </si>
  <si>
    <t>DNA Rate by Department</t>
  </si>
  <si>
    <t>All Appointments</t>
  </si>
  <si>
    <t>DNA Rate by Booking Lead Time</t>
  </si>
  <si>
    <t>DNA Rate by Reminder Status</t>
  </si>
  <si>
    <t>0-7 days</t>
  </si>
  <si>
    <t>8-14 days</t>
  </si>
  <si>
    <t>15-30 days</t>
  </si>
  <si>
    <t>31-60 days</t>
  </si>
  <si>
    <t>61+ days</t>
  </si>
  <si>
    <t>DNA Rate by Age Band</t>
  </si>
  <si>
    <t>DNA Rate by Deprivation Group</t>
  </si>
  <si>
    <t>DNA Rate by Prior DNA history</t>
  </si>
  <si>
    <t>Least Deprived</t>
  </si>
  <si>
    <t>0-17</t>
  </si>
  <si>
    <t>18-29</t>
  </si>
  <si>
    <t>30-44</t>
  </si>
  <si>
    <t>45-59</t>
  </si>
  <si>
    <t>60-74</t>
  </si>
  <si>
    <t>75+</t>
  </si>
  <si>
    <t>Has prior DNA history</t>
  </si>
  <si>
    <t>No prior DNA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</si>
</sst>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%"/>
    <numFmt numFmtId="169" formatCode="0.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  <xf numFmtId="0" fontId="18" fillId="0" borderId="0" xfId="0" applyFont="1"/>
    <xf numFmtId="168" fontId="0" fillId="0" borderId="0" xfId="0" applyNumberFormat="1"/>
    <xf numFmtId="168" fontId="18" fillId="0" borderId="0" xfId="0" applyNumberFormat="1" applyFont="1"/>
    <xf numFmtId="169" fontId="0" fillId="0" borderId="0" xfId="0" applyNumberFormat="1"/>
    <xf numFmtId="169" fontId="18" fillId="0" borderId="0" xfId="0" applyNumberFormat="1" applyFont="1"/>
    <xf numFmtId="0" fontId="0" fillId="0" borderId="0" xfId="0" applyAlignment="1">
      <alignment wrapText="1"/>
    </xf>
    <xf numFmtId="0" fontId="0" fillId="0" borderId="11" xfId="0" applyFont="1" applyBorder="1"/>
    <xf numFmtId="0" fontId="0" fillId="0" borderId="0" xfId="0" applyBorder="1"/>
    <xf numFmtId="168" fontId="0" fillId="0" borderId="0" xfId="0" applyNumberFormat="1" applyBorder="1"/>
    <xf numFmtId="0" fontId="0" fillId="0" borderId="0" xfId="0" applyNumberFormat="1"/>
    <xf numFmtId="0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0" formatCode="General"/>
    </dxf>
    <dxf>
      <numFmt numFmtId="0" formatCode="General"/>
    </dxf>
    <dxf>
      <numFmt numFmtId="168" formatCode="0.0%"/>
    </dxf>
    <dxf>
      <numFmt numFmtId="0" formatCode="General"/>
    </dxf>
    <dxf>
      <numFmt numFmtId="0" formatCode="General"/>
    </dxf>
    <dxf>
      <numFmt numFmtId="168" formatCode="0.0%"/>
    </dxf>
    <dxf>
      <numFmt numFmtId="168" formatCode="0.0%"/>
    </dxf>
    <dxf>
      <numFmt numFmtId="168" formatCode="0.0%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68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E56F9-45B0-4892-A7CC-A40277E69947}" name="Table1" displayName="Table1" ref="A1:W2501" totalsRowShown="0">
  <autoFilter ref="A1:W2501" xr:uid="{973E56F9-45B0-4892-A7CC-A40277E69947}"/>
  <tableColumns count="23">
    <tableColumn id="1" xr3:uid="{B793E350-C355-405D-BB4A-98EB6F8AE869}" name="appointment_id"/>
    <tableColumn id="2" xr3:uid="{93B76E90-9FDA-4AAA-B8DF-B35B7B601694}" name="patient_id"/>
    <tableColumn id="3" xr3:uid="{FADECEF2-CD60-4C88-916D-49308362434D}" name="age"/>
    <tableColumn id="16" xr3:uid="{B10D6450-06C4-4E69-9FE6-92C7A6074F38}" name="Age_band" dataDxfId="25">
      <calculatedColumnFormula array="1">_xlfn.IFS(Table1[[#This Row],[age]]&lt;=17,"0-17",C2&lt;=29,"18-29",C2&lt;=44,"30-44",C2&lt;=59,"45-59",C2&lt;=74,"60-74",TRUE,"75+")</calculatedColumnFormula>
    </tableColumn>
    <tableColumn id="4" xr3:uid="{FF1ED6ED-7502-4350-B25A-BE87C1200958}" name="gender"/>
    <tableColumn id="5" xr3:uid="{0D858FC1-449F-4D11-A386-3D353704EB8E}" name="imd_decile"/>
    <tableColumn id="17" xr3:uid="{73460A40-8B99-4EC4-97A0-B9195BFD212B}" name="imd_group" dataDxfId="24">
      <calculatedColumnFormula array="1">_xlfn.IFS(_xlfn.SINGLE(Table1[imd_decile])&lt;=3,"Most Deprived",F2&lt;=7,"Moderately Deprived",F2&lt;=10,"Least Deprived")</calculatedColumnFormula>
    </tableColumn>
    <tableColumn id="6" xr3:uid="{D2E74758-9299-42B0-83AA-CAEDE13085E5}" name="distance_km"/>
    <tableColumn id="7" xr3:uid="{3EF29753-1D0C-48AF-A1CD-43E498760A85}" name="department"/>
    <tableColumn id="8" xr3:uid="{9C07AAF7-8C88-4FDC-A299-53CD0B18EC2D}" name="appointment_type"/>
    <tableColumn id="9" xr3:uid="{25227019-38DF-4CCE-BA75-2C86F72C508A}" name="booking_date" dataDxfId="27"/>
    <tableColumn id="10" xr3:uid="{1D3E667C-BD92-4035-A3BE-D332A1E84EF0}" name="appointment_date" dataDxfId="26"/>
    <tableColumn id="18" xr3:uid="{AD135555-CB2C-4E9D-A131-9C6831C35210}" name="appointment_month" dataDxfId="23">
      <calculatedColumnFormula>TEXT(Table1[[#This Row],[appointment_date]],"MM/YYYY")</calculatedColumnFormula>
    </tableColumn>
    <tableColumn id="11" xr3:uid="{6437F4A8-79EF-47F8-9C6D-21DFE7D8F541}" name="lead_time_days"/>
    <tableColumn id="19" xr3:uid="{8849A98B-AF10-49AB-B02A-17E54E6C38C3}" name="lead_time_band" dataDxfId="22">
      <calculatedColumnFormula array="1">_xlfn.IFS(Table1[[#This Row],[lead_time_days]]&lt;=7,"0-7 days",N2&lt;=14,"8-14 days",N2&lt;=30,"15-30 days",N2&lt;=60,"31-60 days",TRUE,"61+ days")</calculatedColumnFormula>
    </tableColumn>
    <tableColumn id="12" xr3:uid="{206CA299-B75E-45BC-8E38-6F8DC3127E9D}" name="day_of_week"/>
    <tableColumn id="13" xr3:uid="{8542A9C6-4A37-4CB0-8A42-128FBA88971D}" name="reminder_sent"/>
    <tableColumn id="14" xr3:uid="{92DC2F9C-A661-479D-BA1D-D113291374BE}" name="prior_dna_count"/>
    <tableColumn id="20" xr3:uid="{61C73E46-3BC9-4E06-ADB1-58060136831C}" name="prior_dna_flag" dataDxfId="21">
      <calculatedColumnFormula>IF(Table1[prior_dna_count]&gt;=1,"Has prior DNA history","No prior DNA history")</calculatedColumnFormula>
    </tableColumn>
    <tableColumn id="15" xr3:uid="{85252374-ADE0-4DC1-9894-353F9BDAFA3D}" name="appointment_status"/>
    <tableColumn id="21" xr3:uid="{BB331B3A-1465-47CB-A4EA-9DF5788BC7C6}" name="is_dna" dataDxfId="20">
      <calculatedColumnFormula>V1</calculatedColumnFormula>
    </tableColumn>
    <tableColumn id="22" xr3:uid="{D65452D9-1BB7-4D11-81EB-CC017B6CDA26}" name="is_attended" dataDxfId="19">
      <calculatedColumnFormula>IF(Table1[appointment_status]="Attended","1","0")</calculatedColumnFormula>
    </tableColumn>
    <tableColumn id="23" xr3:uid="{712D09B6-4747-41FE-9B78-7875AA7E85AF}" name="is_cancelled" dataDxfId="18">
      <calculatedColumnFormula>IF(Table1[appointment_status]="Cancelled","1","0")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71EDB8-353D-476F-8D61-D158DA32E4DF}" name="Table3" displayName="Table3" ref="B3:C17" totalsRowShown="0">
  <autoFilter ref="B3:C17" xr:uid="{7471EDB8-353D-476F-8D61-D158DA32E4DF}"/>
  <tableColumns count="2">
    <tableColumn id="1" xr3:uid="{CF3ED866-DBD9-4D50-A791-ADC4F41558F8}" name="Metric"/>
    <tableColumn id="2" xr3:uid="{B6211538-7F2E-4DF5-8869-8EDBB779815D}" name="Value" dataDxfId="17">
      <calculatedColumnFormula>COUNTA(A:A)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79C47F-0C02-4441-A801-A61B49524147}" name="Table4" displayName="Table4" ref="F3:I14" totalsRowShown="0">
  <autoFilter ref="F3:I14" xr:uid="{D579C47F-0C02-4441-A801-A61B49524147}"/>
  <tableColumns count="4">
    <tableColumn id="1" xr3:uid="{78AD125E-83DF-451D-B98E-2FFB6F515855}" name="Catergory"/>
    <tableColumn id="3" xr3:uid="{AD437EC4-2FBF-48AE-A29B-10A3C509B473}" name="Total Bookings_x000a_ (excl. cancelled)" dataDxfId="16">
      <calculatedColumnFormula>COUNTIFS(Table1[department], F4, Table1[appointment_status], "&lt;&gt;Cancelled")</calculatedColumnFormula>
    </tableColumn>
    <tableColumn id="4" xr3:uid="{46B65025-9332-4621-A73D-80A32E7EC098}" name="DNA Count" dataDxfId="15">
      <calculatedColumnFormula>COUNTIFS(Table1[department], F4, Table1[appointment_status], "Did Not Attend")</calculatedColumnFormula>
    </tableColumn>
    <tableColumn id="5" xr3:uid="{898E4453-E6C7-4155-B86C-ECE751FF66E7}" name="DNA Rate %" dataDxfId="14">
      <calculatedColumnFormula>H4/G4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F6B437-81C6-49A8-BFEF-8711A7234560}" name="Table46" displayName="Table46" ref="K3:N9" totalsRowShown="0">
  <autoFilter ref="K3:N9" xr:uid="{90F6B437-81C6-49A8-BFEF-8711A7234560}"/>
  <tableColumns count="4">
    <tableColumn id="1" xr3:uid="{13AB3BBF-2BFD-4DA8-9D7B-15EF901B1F4C}" name="Catergory"/>
    <tableColumn id="3" xr3:uid="{74C37DFD-A08C-407E-A45F-E4E3DDCAF8A5}" name="Total Bookings_x000a_ (excl. cancelled)" dataDxfId="13">
      <calculatedColumnFormula>COUNTIFS(Table1[lead_time_band], K4, Table1[appointment_status], "&lt;&gt;Cancelled")</calculatedColumnFormula>
    </tableColumn>
    <tableColumn id="4" xr3:uid="{42AD9440-3253-4B0B-ABF9-D2BD61399845}" name="DNA Count" dataDxfId="12">
      <calculatedColumnFormula>COUNTIFS(Table1[lead_time_band], K4, Table1[appointment_status], "Did Not Attend")</calculatedColumnFormula>
    </tableColumn>
    <tableColumn id="5" xr3:uid="{39ABBAC5-EAAE-44E1-9DA0-89331197FCC5}" name="DNA Rate %" dataDxfId="11">
      <calculatedColumnFormula>M4/L4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867A40-CE82-40A3-85B0-D4F41854C594}" name="Table410" displayName="Table410" ref="P3:S6" totalsRowShown="0">
  <autoFilter ref="P3:S6" xr:uid="{0D867A40-CE82-40A3-85B0-D4F41854C594}"/>
  <tableColumns count="4">
    <tableColumn id="1" xr3:uid="{AABC8B41-BD96-4333-9938-E6082CB69813}" name="Catergory"/>
    <tableColumn id="3" xr3:uid="{7612EC43-07C5-4F89-A206-099F9E0C0213}" name="Total Bookings_x000a_ (excl. cancelled)" dataDxfId="4">
      <calculatedColumnFormula>COUNTIFS(Table1[reminder_sent], P4, Table1[appointment_status], "&lt;&gt;Cancelled")</calculatedColumnFormula>
    </tableColumn>
    <tableColumn id="4" xr3:uid="{EACCF899-F9EE-42F6-8109-75BEBB7F30DA}" name="DNA Count" dataDxfId="3">
      <calculatedColumnFormula>COUNTIFS(Table1[reminder_sent], P4, Table1[appointment_status], "Did Not Attend")</calculatedColumnFormula>
    </tableColumn>
    <tableColumn id="5" xr3:uid="{D1E3F50A-4CBF-4D49-97BF-EE0E8417E9BF}" name="DNA Rate %" dataDxfId="2">
      <calculatedColumnFormula>R4/Q4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55244B-8F3A-4056-AA3E-DE79108DE08B}" name="Table411" displayName="Table411" ref="U3:X4" totalsRowShown="0">
  <autoFilter ref="U3:X4" xr:uid="{7C55244B-8F3A-4056-AA3E-DE79108DE08B}"/>
  <tableColumns count="4">
    <tableColumn id="1" xr3:uid="{DDBDC4D0-7994-4EFD-A98B-810D14522777}" name="Catergory">
      <calculatedColumnFormula array="1">_xlfn.IFS(_xlfn.SINGLE(Table1[imd_decile])&lt;=3,"Most Deprived",T4&lt;=7,"Moderately Deprived",T4&lt;=10,"Least Deprived")</calculatedColumnFormula>
    </tableColumn>
    <tableColumn id="3" xr3:uid="{57EAD3B5-495F-4699-8BC4-0539A4BC6B66}" name="Total Bookings_x000a_ (excl. cancelled)">
      <calculatedColumnFormula>COUNTIFS(Table1[imd_group], U4, Table1[appointment_status], "&lt;&gt;Cancelled")</calculatedColumnFormula>
    </tableColumn>
    <tableColumn id="4" xr3:uid="{323463E7-FB6E-46A3-8946-E1E929B1174E}" name="DNA Count">
      <calculatedColumnFormula>COUNTIFS(Table1[imd_group], U4, Table1[appointment_status], "Did Not Attend")</calculatedColumnFormula>
    </tableColumn>
    <tableColumn id="5" xr3:uid="{D013ADDA-E8D1-4D1E-971D-ADA8574CFD74}" name="DNA Rate %" dataDxfId="5">
      <calculatedColumnFormula>W4/V4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7342CE8-F8FD-49D6-8473-055513905DEB}" name="Table41112" displayName="Table41112" ref="Z3:AC10" totalsRowShown="0">
  <autoFilter ref="Z3:AC10" xr:uid="{C7342CE8-F8FD-49D6-8473-055513905DEB}"/>
  <tableColumns count="4">
    <tableColumn id="1" xr3:uid="{3B046508-4CBD-44DE-ACA6-10A399562F8C}" name="Catergory"/>
    <tableColumn id="3" xr3:uid="{8CA66BE9-FDC3-4277-A541-4868DB7AA90F}" name="Total Bookings_x000a_ (excl. cancelled)" dataDxfId="9">
      <calculatedColumnFormula>COUNTIFS(Table1[Age_band], Z4, Table1[appointment_status], "&lt;&gt;Cancelled")</calculatedColumnFormula>
    </tableColumn>
    <tableColumn id="4" xr3:uid="{06FC5B8D-AF7A-4A13-8AC3-4701719445AC}" name="DNA Count" dataDxfId="8">
      <calculatedColumnFormula>COUNTIFS(Table1[Age_band], Z4, Table1[appointment_status], "Did Not Attend")</calculatedColumnFormula>
    </tableColumn>
    <tableColumn id="5" xr3:uid="{DC0E29F7-0844-4D7B-97EE-2D3CC585DA88}" name="DNA Rate %" dataDxfId="7">
      <calculatedColumnFormula>AB4/AA4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F9E24FE-29E2-4948-9052-724110D843CA}" name="Table41113" displayName="Table41113" ref="AE3:AH6" totalsRowShown="0">
  <autoFilter ref="AE3:AH6" xr:uid="{9F9E24FE-29E2-4948-9052-724110D843CA}"/>
  <tableColumns count="4">
    <tableColumn id="1" xr3:uid="{B1924ECF-12A0-4321-9E51-B377BDC0CC25}" name="Catergory" dataDxfId="10"/>
    <tableColumn id="3" xr3:uid="{4C746C43-DE02-44BD-AC58-90E15F848CA2}" name="Total Bookings_x000a_ (excl. cancelled)" dataDxfId="1">
      <calculatedColumnFormula>COUNTIFS(Table1[prior_dna_flag], AE4, Table1[appointment_status], "&lt;&gt;Cancelled")</calculatedColumnFormula>
    </tableColumn>
    <tableColumn id="4" xr3:uid="{96F44392-2A6C-4C58-A878-041964991CF5}" name="DNA Count" dataDxfId="0">
      <calculatedColumnFormula>COUNTIFS(Table1[prior_dna_flag], AE4, Table1[appointment_status], "Did Not Attend")</calculatedColumnFormula>
    </tableColumn>
    <tableColumn id="5" xr3:uid="{D3071DE9-2EE0-40D0-A0BE-9F201C5BBF7B}" name="DNA Rate %" dataDxfId="6">
      <calculatedColumnFormula>AG4/AF4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65B6-199D-413F-A53C-34209F689AB4}">
  <dimension ref="A1:W2501"/>
  <sheetViews>
    <sheetView topLeftCell="A24" zoomScale="80" zoomScaleNormal="80" workbookViewId="0">
      <selection activeCell="S61" sqref="S61"/>
    </sheetView>
  </sheetViews>
  <sheetFormatPr defaultRowHeight="15"/>
  <cols>
    <col min="1" max="1" width="16.42578125" customWidth="1"/>
    <col min="2" max="2" width="11.28515625" customWidth="1"/>
    <col min="4" max="4" width="11.28515625" customWidth="1"/>
    <col min="6" max="6" width="12.42578125" customWidth="1"/>
    <col min="7" max="7" width="18.85546875" customWidth="1"/>
    <col min="8" max="8" width="14.28515625" customWidth="1"/>
    <col min="9" max="9" width="18.5703125" customWidth="1"/>
    <col min="10" max="10" width="14.42578125" customWidth="1"/>
    <col min="11" max="11" width="18.5703125" customWidth="1"/>
    <col min="12" max="12" width="16.42578125" customWidth="1"/>
    <col min="13" max="13" width="17" customWidth="1"/>
    <col min="14" max="14" width="15.7109375" customWidth="1"/>
    <col min="15" max="15" width="16.85546875" customWidth="1"/>
    <col min="16" max="16" width="20.140625" customWidth="1"/>
    <col min="19" max="19" width="19.85546875" customWidth="1"/>
    <col min="20" max="20" width="21.140625" customWidth="1"/>
    <col min="21" max="21" width="9.28515625" customWidth="1"/>
    <col min="22" max="22" width="12.7109375" customWidth="1"/>
    <col min="23" max="23" width="13.85546875" customWidth="1"/>
  </cols>
  <sheetData>
    <row r="1" spans="1:23">
      <c r="A1" t="s">
        <v>0</v>
      </c>
      <c r="B1" t="s">
        <v>1</v>
      </c>
      <c r="C1" t="s">
        <v>2</v>
      </c>
      <c r="D1" t="s">
        <v>3797</v>
      </c>
      <c r="E1" t="s">
        <v>3</v>
      </c>
      <c r="F1" t="s">
        <v>4</v>
      </c>
      <c r="G1" t="s">
        <v>3798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3799</v>
      </c>
      <c r="N1" t="s">
        <v>10</v>
      </c>
      <c r="O1" t="s">
        <v>3800</v>
      </c>
      <c r="P1" t="s">
        <v>11</v>
      </c>
      <c r="Q1" t="s">
        <v>12</v>
      </c>
      <c r="R1" t="s">
        <v>13</v>
      </c>
      <c r="S1" t="s">
        <v>3801</v>
      </c>
      <c r="T1" t="s">
        <v>14</v>
      </c>
      <c r="U1" t="s">
        <v>3802</v>
      </c>
      <c r="V1" t="s">
        <v>3803</v>
      </c>
      <c r="W1" t="s">
        <v>3804</v>
      </c>
    </row>
    <row r="2" spans="1:23">
      <c r="A2" t="s">
        <v>15</v>
      </c>
      <c r="B2" t="s">
        <v>16</v>
      </c>
      <c r="C2">
        <v>77</v>
      </c>
      <c r="D2" t="str" cm="1">
        <f t="array" ref="D2">_xlfn.IFS(Table1[[#This Row],[age]]&lt;=17,"0-17",C2&lt;=29,"18-29",C2&lt;=44,"30-44",C2&lt;=59,"45-59",C2&lt;=74,"60-74",TRUE,"75+")</f>
        <v>75+</v>
      </c>
      <c r="E2" t="s">
        <v>17</v>
      </c>
      <c r="F2">
        <v>7</v>
      </c>
      <c r="G2" t="str" cm="1">
        <f t="array" ref="G2">_xlfn.IFS(_xlfn.SINGLE(Table1[imd_decile])&lt;=3,"Most Deprived",F2&lt;=7,"Moderately Deprived",F2&lt;=10,"Least Deprived")</f>
        <v>Moderately Deprived</v>
      </c>
      <c r="H2">
        <v>5.0999999999999996</v>
      </c>
      <c r="I2" t="s">
        <v>18</v>
      </c>
      <c r="J2" t="s">
        <v>19</v>
      </c>
      <c r="K2" s="1">
        <v>45663</v>
      </c>
      <c r="L2" s="1">
        <v>45666</v>
      </c>
      <c r="M2" s="1" t="str">
        <f>TEXT(Table1[[#This Row],[appointment_date]],"MM/YYYY")</f>
        <v>01/2025</v>
      </c>
      <c r="N2">
        <v>3</v>
      </c>
      <c r="O2" t="str" cm="1">
        <f t="array" ref="O2">_xlfn.IFS(Table1[[#This Row],[lead_time_days]]&lt;=7,"0-7 days",N2&lt;=14,"8-14 days",N2&lt;=30,"15-30 days",N2&lt;=60,"31-60 days",TRUE,"61+ days")</f>
        <v>0-7 days</v>
      </c>
      <c r="P2" t="s">
        <v>20</v>
      </c>
      <c r="Q2" t="s">
        <v>21</v>
      </c>
      <c r="R2">
        <v>0</v>
      </c>
      <c r="S2" t="str">
        <f>IF(Table1[prior_dna_count]&gt;=1,"Has prior DNA history","No prior DNA history")</f>
        <v>No prior DNA history</v>
      </c>
      <c r="T2" t="s">
        <v>22</v>
      </c>
      <c r="U2" t="str">
        <f t="shared" ref="U2:U65" si="0">V1</f>
        <v>is_attended</v>
      </c>
      <c r="V2" t="str">
        <f>IF(Table1[appointment_status]="Attended","1","0")</f>
        <v>1</v>
      </c>
      <c r="W2" t="str">
        <f>IF(Table1[appointment_status]="Cancelled","1","0")</f>
        <v>0</v>
      </c>
    </row>
    <row r="3" spans="1:23">
      <c r="A3" t="s">
        <v>23</v>
      </c>
      <c r="B3" t="s">
        <v>24</v>
      </c>
      <c r="C3">
        <v>73</v>
      </c>
      <c r="D3" t="str" cm="1">
        <f t="array" ref="D3">_xlfn.IFS(Table1[[#This Row],[age]]&lt;=17,"0-17",C3&lt;=29,"18-29",C3&lt;=44,"30-44",C3&lt;=59,"45-59",C3&lt;=74,"60-74",TRUE,"75+")</f>
        <v>60-74</v>
      </c>
      <c r="E3" t="s">
        <v>17</v>
      </c>
      <c r="F3">
        <v>4</v>
      </c>
      <c r="G3" t="str" cm="1">
        <f t="array" ref="G3">_xlfn.IFS(_xlfn.SINGLE(Table1[imd_decile])&lt;=3,"Most Deprived",F3&lt;=7,"Moderately Deprived",F3&lt;=10,"Least Deprived")</f>
        <v>Moderately Deprived</v>
      </c>
      <c r="H3">
        <v>2.8</v>
      </c>
      <c r="I3" t="s">
        <v>25</v>
      </c>
      <c r="J3" t="s">
        <v>26</v>
      </c>
      <c r="K3" s="1">
        <v>45664</v>
      </c>
      <c r="L3" s="1">
        <v>45666</v>
      </c>
      <c r="M3" s="1" t="str">
        <f>TEXT(Table1[[#This Row],[appointment_date]],"MM/YYYY")</f>
        <v>01/2025</v>
      </c>
      <c r="N3">
        <v>2</v>
      </c>
      <c r="O3" t="str" cm="1">
        <f t="array" ref="O3">_xlfn.IFS(Table1[[#This Row],[lead_time_days]]&lt;=7,"0-7 days",N3&lt;=14,"8-14 days",N3&lt;=30,"15-30 days",N3&lt;=60,"31-60 days",TRUE,"61+ days")</f>
        <v>0-7 days</v>
      </c>
      <c r="P3" t="s">
        <v>20</v>
      </c>
      <c r="Q3" t="s">
        <v>21</v>
      </c>
      <c r="R3">
        <v>0</v>
      </c>
      <c r="S3" t="str">
        <f>IF(Table1[prior_dna_count]&gt;=1,"Has prior DNA history","No prior DNA history")</f>
        <v>No prior DNA history</v>
      </c>
      <c r="T3" t="s">
        <v>22</v>
      </c>
      <c r="U3" t="str">
        <f t="shared" si="0"/>
        <v>1</v>
      </c>
      <c r="V3" t="str">
        <f>IF(Table1[appointment_status]="Attended","1","0")</f>
        <v>1</v>
      </c>
      <c r="W3" t="str">
        <f>IF(Table1[appointment_status]="Cancelled","1","0")</f>
        <v>0</v>
      </c>
    </row>
    <row r="4" spans="1:23">
      <c r="A4" t="s">
        <v>27</v>
      </c>
      <c r="B4" t="s">
        <v>28</v>
      </c>
      <c r="C4">
        <v>47</v>
      </c>
      <c r="D4" t="str" cm="1">
        <f t="array" ref="D4">_xlfn.IFS(Table1[[#This Row],[age]]&lt;=17,"0-17",C4&lt;=29,"18-29",C4&lt;=44,"30-44",C4&lt;=59,"45-59",C4&lt;=74,"60-74",TRUE,"75+")</f>
        <v>45-59</v>
      </c>
      <c r="E4" t="s">
        <v>29</v>
      </c>
      <c r="F4">
        <v>1</v>
      </c>
      <c r="G4" t="str" cm="1">
        <f t="array" ref="G4">_xlfn.IFS(_xlfn.SINGLE(Table1[imd_decile])&lt;=3,"Most Deprived",F4&lt;=7,"Moderately Deprived",F4&lt;=10,"Least Deprived")</f>
        <v>Most Deprived</v>
      </c>
      <c r="H4">
        <v>5.7</v>
      </c>
      <c r="I4" t="s">
        <v>30</v>
      </c>
      <c r="J4" t="s">
        <v>26</v>
      </c>
      <c r="K4" s="1">
        <v>45663</v>
      </c>
      <c r="L4" s="1">
        <v>45669</v>
      </c>
      <c r="M4" s="1" t="str">
        <f>TEXT(Table1[[#This Row],[appointment_date]],"MM/YYYY")</f>
        <v>01/2025</v>
      </c>
      <c r="N4">
        <v>6</v>
      </c>
      <c r="O4" t="str" cm="1">
        <f t="array" ref="O4">_xlfn.IFS(Table1[[#This Row],[lead_time_days]]&lt;=7,"0-7 days",N4&lt;=14,"8-14 days",N4&lt;=30,"15-30 days",N4&lt;=60,"31-60 days",TRUE,"61+ days")</f>
        <v>0-7 days</v>
      </c>
      <c r="P4" t="s">
        <v>31</v>
      </c>
      <c r="Q4" t="s">
        <v>32</v>
      </c>
      <c r="R4">
        <v>0</v>
      </c>
      <c r="S4" t="str">
        <f>IF(Table1[prior_dna_count]&gt;=1,"Has prior DNA history","No prior DNA history")</f>
        <v>No prior DNA history</v>
      </c>
      <c r="T4" t="s">
        <v>22</v>
      </c>
      <c r="U4" t="str">
        <f t="shared" si="0"/>
        <v>1</v>
      </c>
      <c r="V4" t="str">
        <f>IF(Table1[appointment_status]="Attended","1","0")</f>
        <v>1</v>
      </c>
      <c r="W4" t="str">
        <f>IF(Table1[appointment_status]="Cancelled","1","0")</f>
        <v>0</v>
      </c>
    </row>
    <row r="5" spans="1:23">
      <c r="A5" t="s">
        <v>33</v>
      </c>
      <c r="B5" t="s">
        <v>34</v>
      </c>
      <c r="C5">
        <v>36</v>
      </c>
      <c r="D5" t="str" cm="1">
        <f t="array" ref="D5">_xlfn.IFS(Table1[[#This Row],[age]]&lt;=17,"0-17",C5&lt;=29,"18-29",C5&lt;=44,"30-44",C5&lt;=59,"45-59",C5&lt;=74,"60-74",TRUE,"75+")</f>
        <v>30-44</v>
      </c>
      <c r="E5" t="s">
        <v>29</v>
      </c>
      <c r="F5">
        <v>7</v>
      </c>
      <c r="G5" t="str" cm="1">
        <f t="array" ref="G5">_xlfn.IFS(_xlfn.SINGLE(Table1[imd_decile])&lt;=3,"Most Deprived",F5&lt;=7,"Moderately Deprived",F5&lt;=10,"Least Deprived")</f>
        <v>Moderately Deprived</v>
      </c>
      <c r="H5">
        <v>11.2</v>
      </c>
      <c r="I5" t="s">
        <v>18</v>
      </c>
      <c r="J5" t="s">
        <v>19</v>
      </c>
      <c r="K5" s="1">
        <v>45664</v>
      </c>
      <c r="L5" s="1">
        <v>45670</v>
      </c>
      <c r="M5" s="1" t="str">
        <f>TEXT(Table1[[#This Row],[appointment_date]],"MM/YYYY")</f>
        <v>01/2025</v>
      </c>
      <c r="N5">
        <v>6</v>
      </c>
      <c r="O5" t="str" cm="1">
        <f t="array" ref="O5">_xlfn.IFS(Table1[[#This Row],[lead_time_days]]&lt;=7,"0-7 days",N5&lt;=14,"8-14 days",N5&lt;=30,"15-30 days",N5&lt;=60,"31-60 days",TRUE,"61+ days")</f>
        <v>0-7 days</v>
      </c>
      <c r="P5" t="s">
        <v>35</v>
      </c>
      <c r="Q5" t="s">
        <v>21</v>
      </c>
      <c r="R5">
        <v>0</v>
      </c>
      <c r="S5" t="str">
        <f>IF(Table1[prior_dna_count]&gt;=1,"Has prior DNA history","No prior DNA history")</f>
        <v>No prior DNA history</v>
      </c>
      <c r="T5" t="s">
        <v>22</v>
      </c>
      <c r="U5" t="str">
        <f t="shared" si="0"/>
        <v>1</v>
      </c>
      <c r="V5" t="str">
        <f>IF(Table1[appointment_status]="Attended","1","0")</f>
        <v>1</v>
      </c>
      <c r="W5" t="str">
        <f>IF(Table1[appointment_status]="Cancelled","1","0")</f>
        <v>0</v>
      </c>
    </row>
    <row r="6" spans="1:23">
      <c r="A6" t="s">
        <v>36</v>
      </c>
      <c r="B6" t="s">
        <v>37</v>
      </c>
      <c r="C6">
        <v>32</v>
      </c>
      <c r="D6" t="str" cm="1">
        <f t="array" ref="D6">_xlfn.IFS(Table1[[#This Row],[age]]&lt;=17,"0-17",C6&lt;=29,"18-29",C6&lt;=44,"30-44",C6&lt;=59,"45-59",C6&lt;=74,"60-74",TRUE,"75+")</f>
        <v>30-44</v>
      </c>
      <c r="E6" t="s">
        <v>17</v>
      </c>
      <c r="F6">
        <v>7</v>
      </c>
      <c r="G6" t="str" cm="1">
        <f t="array" ref="G6">_xlfn.IFS(_xlfn.SINGLE(Table1[imd_decile])&lt;=3,"Most Deprived",F6&lt;=7,"Moderately Deprived",F6&lt;=10,"Least Deprived")</f>
        <v>Moderately Deprived</v>
      </c>
      <c r="H6">
        <v>10.6</v>
      </c>
      <c r="I6" t="s">
        <v>38</v>
      </c>
      <c r="J6" t="s">
        <v>26</v>
      </c>
      <c r="K6" s="1">
        <v>45664</v>
      </c>
      <c r="L6" s="1">
        <v>45670</v>
      </c>
      <c r="M6" s="1" t="str">
        <f>TEXT(Table1[[#This Row],[appointment_date]],"MM/YYYY")</f>
        <v>01/2025</v>
      </c>
      <c r="N6">
        <v>6</v>
      </c>
      <c r="O6" t="str" cm="1">
        <f t="array" ref="O6">_xlfn.IFS(Table1[[#This Row],[lead_time_days]]&lt;=7,"0-7 days",N6&lt;=14,"8-14 days",N6&lt;=30,"15-30 days",N6&lt;=60,"31-60 days",TRUE,"61+ days")</f>
        <v>0-7 days</v>
      </c>
      <c r="P6" t="s">
        <v>35</v>
      </c>
      <c r="Q6" t="s">
        <v>32</v>
      </c>
      <c r="R6">
        <v>0</v>
      </c>
      <c r="S6" t="str">
        <f>IF(Table1[prior_dna_count]&gt;=1,"Has prior DNA history","No prior DNA history")</f>
        <v>No prior DNA history</v>
      </c>
      <c r="T6" t="s">
        <v>39</v>
      </c>
      <c r="U6" t="str">
        <f t="shared" si="0"/>
        <v>1</v>
      </c>
      <c r="V6" t="str">
        <f>IF(Table1[appointment_status]="Attended","1","0")</f>
        <v>0</v>
      </c>
      <c r="W6" t="str">
        <f>IF(Table1[appointment_status]="Cancelled","1","0")</f>
        <v>0</v>
      </c>
    </row>
    <row r="7" spans="1:23">
      <c r="A7" t="s">
        <v>40</v>
      </c>
      <c r="B7" t="s">
        <v>41</v>
      </c>
      <c r="C7">
        <v>52</v>
      </c>
      <c r="D7" t="str" cm="1">
        <f t="array" ref="D7">_xlfn.IFS(Table1[[#This Row],[age]]&lt;=17,"0-17",C7&lt;=29,"18-29",C7&lt;=44,"30-44",C7&lt;=59,"45-59",C7&lt;=74,"60-74",TRUE,"75+")</f>
        <v>45-59</v>
      </c>
      <c r="E7" t="s">
        <v>29</v>
      </c>
      <c r="F7">
        <v>8</v>
      </c>
      <c r="G7" t="str" cm="1">
        <f t="array" ref="G7">_xlfn.IFS(_xlfn.SINGLE(Table1[imd_decile])&lt;=3,"Most Deprived",F7&lt;=7,"Moderately Deprived",F7&lt;=10,"Least Deprived")</f>
        <v>Least Deprived</v>
      </c>
      <c r="H7">
        <v>3.9</v>
      </c>
      <c r="I7" t="s">
        <v>42</v>
      </c>
      <c r="J7" t="s">
        <v>26</v>
      </c>
      <c r="K7" s="1">
        <v>45668</v>
      </c>
      <c r="L7" s="1">
        <v>45670</v>
      </c>
      <c r="M7" s="1" t="str">
        <f>TEXT(Table1[[#This Row],[appointment_date]],"MM/YYYY")</f>
        <v>01/2025</v>
      </c>
      <c r="N7">
        <v>2</v>
      </c>
      <c r="O7" t="str" cm="1">
        <f t="array" ref="O7">_xlfn.IFS(Table1[[#This Row],[lead_time_days]]&lt;=7,"0-7 days",N7&lt;=14,"8-14 days",N7&lt;=30,"15-30 days",N7&lt;=60,"31-60 days",TRUE,"61+ days")</f>
        <v>0-7 days</v>
      </c>
      <c r="P7" t="s">
        <v>35</v>
      </c>
      <c r="Q7" t="s">
        <v>21</v>
      </c>
      <c r="R7">
        <v>0</v>
      </c>
      <c r="S7" t="str">
        <f>IF(Table1[prior_dna_count]&gt;=1,"Has prior DNA history","No prior DNA history")</f>
        <v>No prior DNA history</v>
      </c>
      <c r="T7" t="s">
        <v>22</v>
      </c>
      <c r="U7" t="str">
        <f t="shared" si="0"/>
        <v>0</v>
      </c>
      <c r="V7" t="str">
        <f>IF(Table1[appointment_status]="Attended","1","0")</f>
        <v>1</v>
      </c>
      <c r="W7" t="str">
        <f>IF(Table1[appointment_status]="Cancelled","1","0")</f>
        <v>0</v>
      </c>
    </row>
    <row r="8" spans="1:23">
      <c r="A8" t="s">
        <v>43</v>
      </c>
      <c r="B8" t="s">
        <v>44</v>
      </c>
      <c r="C8">
        <v>47</v>
      </c>
      <c r="D8" t="str" cm="1">
        <f t="array" ref="D8">_xlfn.IFS(Table1[[#This Row],[age]]&lt;=17,"0-17",C8&lt;=29,"18-29",C8&lt;=44,"30-44",C8&lt;=59,"45-59",C8&lt;=74,"60-74",TRUE,"75+")</f>
        <v>45-59</v>
      </c>
      <c r="E8" t="s">
        <v>29</v>
      </c>
      <c r="F8">
        <v>9</v>
      </c>
      <c r="G8" t="str" cm="1">
        <f t="array" ref="G8">_xlfn.IFS(_xlfn.SINGLE(Table1[imd_decile])&lt;=3,"Most Deprived",F8&lt;=7,"Moderately Deprived",F8&lt;=10,"Least Deprived")</f>
        <v>Least Deprived</v>
      </c>
      <c r="H8">
        <v>20.2</v>
      </c>
      <c r="I8" t="s">
        <v>45</v>
      </c>
      <c r="J8" t="s">
        <v>26</v>
      </c>
      <c r="K8" s="1">
        <v>45663</v>
      </c>
      <c r="L8" s="1">
        <v>45673</v>
      </c>
      <c r="M8" s="1" t="str">
        <f>TEXT(Table1[[#This Row],[appointment_date]],"MM/YYYY")</f>
        <v>01/2025</v>
      </c>
      <c r="N8">
        <v>10</v>
      </c>
      <c r="O8" t="str" cm="1">
        <f t="array" ref="O8">_xlfn.IFS(Table1[[#This Row],[lead_time_days]]&lt;=7,"0-7 days",N8&lt;=14,"8-14 days",N8&lt;=30,"15-30 days",N8&lt;=60,"31-60 days",TRUE,"61+ days")</f>
        <v>8-14 days</v>
      </c>
      <c r="P8" t="s">
        <v>20</v>
      </c>
      <c r="Q8" t="s">
        <v>21</v>
      </c>
      <c r="R8">
        <v>0</v>
      </c>
      <c r="S8" t="str">
        <f>IF(Table1[prior_dna_count]&gt;=1,"Has prior DNA history","No prior DNA history")</f>
        <v>No prior DNA history</v>
      </c>
      <c r="T8" t="s">
        <v>46</v>
      </c>
      <c r="U8" t="str">
        <f t="shared" si="0"/>
        <v>1</v>
      </c>
      <c r="V8" t="str">
        <f>IF(Table1[appointment_status]="Attended","1","0")</f>
        <v>0</v>
      </c>
      <c r="W8" t="str">
        <f>IF(Table1[appointment_status]="Cancelled","1","0")</f>
        <v>1</v>
      </c>
    </row>
    <row r="9" spans="1:23">
      <c r="A9" t="s">
        <v>47</v>
      </c>
      <c r="B9" t="s">
        <v>48</v>
      </c>
      <c r="C9">
        <v>52</v>
      </c>
      <c r="D9" t="str" cm="1">
        <f t="array" ref="D9">_xlfn.IFS(Table1[[#This Row],[age]]&lt;=17,"0-17",C9&lt;=29,"18-29",C9&lt;=44,"30-44",C9&lt;=59,"45-59",C9&lt;=74,"60-74",TRUE,"75+")</f>
        <v>45-59</v>
      </c>
      <c r="E9" t="s">
        <v>17</v>
      </c>
      <c r="F9">
        <v>4</v>
      </c>
      <c r="G9" t="str" cm="1">
        <f t="array" ref="G9">_xlfn.IFS(_xlfn.SINGLE(Table1[imd_decile])&lt;=3,"Most Deprived",F9&lt;=7,"Moderately Deprived",F9&lt;=10,"Least Deprived")</f>
        <v>Moderately Deprived</v>
      </c>
      <c r="H9">
        <v>6.3</v>
      </c>
      <c r="I9" t="s">
        <v>49</v>
      </c>
      <c r="J9" t="s">
        <v>26</v>
      </c>
      <c r="K9" s="1">
        <v>45671</v>
      </c>
      <c r="L9" s="1">
        <v>45673</v>
      </c>
      <c r="M9" s="1" t="str">
        <f>TEXT(Table1[[#This Row],[appointment_date]],"MM/YYYY")</f>
        <v>01/2025</v>
      </c>
      <c r="N9">
        <v>2</v>
      </c>
      <c r="O9" t="str" cm="1">
        <f t="array" ref="O9">_xlfn.IFS(Table1[[#This Row],[lead_time_days]]&lt;=7,"0-7 days",N9&lt;=14,"8-14 days",N9&lt;=30,"15-30 days",N9&lt;=60,"31-60 days",TRUE,"61+ days")</f>
        <v>0-7 days</v>
      </c>
      <c r="P9" t="s">
        <v>20</v>
      </c>
      <c r="Q9" t="s">
        <v>21</v>
      </c>
      <c r="R9">
        <v>0</v>
      </c>
      <c r="S9" t="str">
        <f>IF(Table1[prior_dna_count]&gt;=1,"Has prior DNA history","No prior DNA history")</f>
        <v>No prior DNA history</v>
      </c>
      <c r="T9" t="s">
        <v>22</v>
      </c>
      <c r="U9" t="str">
        <f t="shared" si="0"/>
        <v>0</v>
      </c>
      <c r="V9" t="str">
        <f>IF(Table1[appointment_status]="Attended","1","0")</f>
        <v>1</v>
      </c>
      <c r="W9" t="str">
        <f>IF(Table1[appointment_status]="Cancelled","1","0")</f>
        <v>0</v>
      </c>
    </row>
    <row r="10" spans="1:23">
      <c r="A10" t="s">
        <v>50</v>
      </c>
      <c r="B10" t="s">
        <v>51</v>
      </c>
      <c r="C10">
        <v>17</v>
      </c>
      <c r="D10" t="str" cm="1">
        <f t="array" ref="D10">_xlfn.IFS(Table1[[#This Row],[age]]&lt;=17,"0-17",C10&lt;=29,"18-29",C10&lt;=44,"30-44",C10&lt;=59,"45-59",C10&lt;=74,"60-74",TRUE,"75+")</f>
        <v>0-17</v>
      </c>
      <c r="E10" t="s">
        <v>29</v>
      </c>
      <c r="F10">
        <v>6</v>
      </c>
      <c r="G10" t="str" cm="1">
        <f t="array" ref="G10">_xlfn.IFS(_xlfn.SINGLE(Table1[imd_decile])&lt;=3,"Most Deprived",F10&lt;=7,"Moderately Deprived",F10&lt;=10,"Least Deprived")</f>
        <v>Moderately Deprived</v>
      </c>
      <c r="H10">
        <v>17.7</v>
      </c>
      <c r="I10" t="s">
        <v>18</v>
      </c>
      <c r="J10" t="s">
        <v>26</v>
      </c>
      <c r="K10" s="1">
        <v>45664</v>
      </c>
      <c r="L10" s="1">
        <v>45674</v>
      </c>
      <c r="M10" s="1" t="str">
        <f>TEXT(Table1[[#This Row],[appointment_date]],"MM/YYYY")</f>
        <v>01/2025</v>
      </c>
      <c r="N10">
        <v>10</v>
      </c>
      <c r="O10" t="str" cm="1">
        <f t="array" ref="O10">_xlfn.IFS(Table1[[#This Row],[lead_time_days]]&lt;=7,"0-7 days",N10&lt;=14,"8-14 days",N10&lt;=30,"15-30 days",N10&lt;=60,"31-60 days",TRUE,"61+ days")</f>
        <v>8-14 days</v>
      </c>
      <c r="P10" t="s">
        <v>52</v>
      </c>
      <c r="Q10" t="s">
        <v>21</v>
      </c>
      <c r="R10">
        <v>0</v>
      </c>
      <c r="S10" t="str">
        <f>IF(Table1[prior_dna_count]&gt;=1,"Has prior DNA history","No prior DNA history")</f>
        <v>No prior DNA history</v>
      </c>
      <c r="T10" t="s">
        <v>22</v>
      </c>
      <c r="U10" t="str">
        <f t="shared" si="0"/>
        <v>1</v>
      </c>
      <c r="V10" t="str">
        <f>IF(Table1[appointment_status]="Attended","1","0")</f>
        <v>1</v>
      </c>
      <c r="W10" t="str">
        <f>IF(Table1[appointment_status]="Cancelled","1","0")</f>
        <v>0</v>
      </c>
    </row>
    <row r="11" spans="1:23">
      <c r="A11" t="s">
        <v>53</v>
      </c>
      <c r="B11" t="s">
        <v>54</v>
      </c>
      <c r="C11">
        <v>79</v>
      </c>
      <c r="D11" t="str" cm="1">
        <f t="array" ref="D11">_xlfn.IFS(Table1[[#This Row],[age]]&lt;=17,"0-17",C11&lt;=29,"18-29",C11&lt;=44,"30-44",C11&lt;=59,"45-59",C11&lt;=74,"60-74",TRUE,"75+")</f>
        <v>75+</v>
      </c>
      <c r="E11" t="s">
        <v>29</v>
      </c>
      <c r="F11">
        <v>9</v>
      </c>
      <c r="G11" t="str" cm="1">
        <f t="array" ref="G11">_xlfn.IFS(_xlfn.SINGLE(Table1[imd_decile])&lt;=3,"Most Deprived",F11&lt;=7,"Moderately Deprived",F11&lt;=10,"Least Deprived")</f>
        <v>Least Deprived</v>
      </c>
      <c r="H11">
        <v>6.5</v>
      </c>
      <c r="I11" t="s">
        <v>42</v>
      </c>
      <c r="J11" t="s">
        <v>26</v>
      </c>
      <c r="K11" s="1">
        <v>45673</v>
      </c>
      <c r="L11" s="1">
        <v>45675</v>
      </c>
      <c r="M11" s="1" t="str">
        <f>TEXT(Table1[[#This Row],[appointment_date]],"MM/YYYY")</f>
        <v>01/2025</v>
      </c>
      <c r="N11">
        <v>2</v>
      </c>
      <c r="O11" t="str" cm="1">
        <f t="array" ref="O11">_xlfn.IFS(Table1[[#This Row],[lead_time_days]]&lt;=7,"0-7 days",N11&lt;=14,"8-14 days",N11&lt;=30,"15-30 days",N11&lt;=60,"31-60 days",TRUE,"61+ days")</f>
        <v>0-7 days</v>
      </c>
      <c r="P11" t="s">
        <v>55</v>
      </c>
      <c r="Q11" t="s">
        <v>21</v>
      </c>
      <c r="R11">
        <v>0</v>
      </c>
      <c r="S11" t="str">
        <f>IF(Table1[prior_dna_count]&gt;=1,"Has prior DNA history","No prior DNA history")</f>
        <v>No prior DNA history</v>
      </c>
      <c r="T11" t="s">
        <v>22</v>
      </c>
      <c r="U11" t="str">
        <f t="shared" si="0"/>
        <v>1</v>
      </c>
      <c r="V11" t="str">
        <f>IF(Table1[appointment_status]="Attended","1","0")</f>
        <v>1</v>
      </c>
      <c r="W11" t="str">
        <f>IF(Table1[appointment_status]="Cancelled","1","0")</f>
        <v>0</v>
      </c>
    </row>
    <row r="12" spans="1:23">
      <c r="A12" t="s">
        <v>56</v>
      </c>
      <c r="B12" t="s">
        <v>57</v>
      </c>
      <c r="C12">
        <v>37</v>
      </c>
      <c r="D12" t="str" cm="1">
        <f t="array" ref="D12">_xlfn.IFS(Table1[[#This Row],[age]]&lt;=17,"0-17",C12&lt;=29,"18-29",C12&lt;=44,"30-44",C12&lt;=59,"45-59",C12&lt;=74,"60-74",TRUE,"75+")</f>
        <v>30-44</v>
      </c>
      <c r="E12" t="s">
        <v>17</v>
      </c>
      <c r="F12">
        <v>1</v>
      </c>
      <c r="G12" t="str" cm="1">
        <f t="array" ref="G12">_xlfn.IFS(_xlfn.SINGLE(Table1[imd_decile])&lt;=3,"Most Deprived",F12&lt;=7,"Moderately Deprived",F12&lt;=10,"Least Deprived")</f>
        <v>Most Deprived</v>
      </c>
      <c r="H12">
        <v>5.2</v>
      </c>
      <c r="I12" t="s">
        <v>58</v>
      </c>
      <c r="J12" t="s">
        <v>26</v>
      </c>
      <c r="K12" s="1">
        <v>45671</v>
      </c>
      <c r="L12" s="1">
        <v>45675</v>
      </c>
      <c r="M12" s="1" t="str">
        <f>TEXT(Table1[[#This Row],[appointment_date]],"MM/YYYY")</f>
        <v>01/2025</v>
      </c>
      <c r="N12">
        <v>4</v>
      </c>
      <c r="O12" t="str" cm="1">
        <f t="array" ref="O12">_xlfn.IFS(Table1[[#This Row],[lead_time_days]]&lt;=7,"0-7 days",N12&lt;=14,"8-14 days",N12&lt;=30,"15-30 days",N12&lt;=60,"31-60 days",TRUE,"61+ days")</f>
        <v>0-7 days</v>
      </c>
      <c r="P12" t="s">
        <v>55</v>
      </c>
      <c r="Q12" t="s">
        <v>21</v>
      </c>
      <c r="R12">
        <v>0</v>
      </c>
      <c r="S12" t="str">
        <f>IF(Table1[prior_dna_count]&gt;=1,"Has prior DNA history","No prior DNA history")</f>
        <v>No prior DNA history</v>
      </c>
      <c r="T12" t="s">
        <v>22</v>
      </c>
      <c r="U12" t="str">
        <f t="shared" si="0"/>
        <v>1</v>
      </c>
      <c r="V12" t="str">
        <f>IF(Table1[appointment_status]="Attended","1","0")</f>
        <v>1</v>
      </c>
      <c r="W12" t="str">
        <f>IF(Table1[appointment_status]="Cancelled","1","0")</f>
        <v>0</v>
      </c>
    </row>
    <row r="13" spans="1:23">
      <c r="A13" t="s">
        <v>59</v>
      </c>
      <c r="B13" t="s">
        <v>60</v>
      </c>
      <c r="C13">
        <v>46</v>
      </c>
      <c r="D13" t="str" cm="1">
        <f t="array" ref="D13">_xlfn.IFS(Table1[[#This Row],[age]]&lt;=17,"0-17",C13&lt;=29,"18-29",C13&lt;=44,"30-44",C13&lt;=59,"45-59",C13&lt;=74,"60-74",TRUE,"75+")</f>
        <v>45-59</v>
      </c>
      <c r="E13" t="s">
        <v>17</v>
      </c>
      <c r="F13">
        <v>10</v>
      </c>
      <c r="G13" t="str" cm="1">
        <f t="array" ref="G13">_xlfn.IFS(_xlfn.SINGLE(Table1[imd_decile])&lt;=3,"Most Deprived",F13&lt;=7,"Moderately Deprived",F13&lt;=10,"Least Deprived")</f>
        <v>Least Deprived</v>
      </c>
      <c r="H13">
        <v>1.5</v>
      </c>
      <c r="I13" t="s">
        <v>49</v>
      </c>
      <c r="J13" t="s">
        <v>26</v>
      </c>
      <c r="K13" s="1">
        <v>45665</v>
      </c>
      <c r="L13" s="1">
        <v>45676</v>
      </c>
      <c r="M13" s="1" t="str">
        <f>TEXT(Table1[[#This Row],[appointment_date]],"MM/YYYY")</f>
        <v>01/2025</v>
      </c>
      <c r="N13">
        <v>11</v>
      </c>
      <c r="O13" t="str" cm="1">
        <f t="array" ref="O13">_xlfn.IFS(Table1[[#This Row],[lead_time_days]]&lt;=7,"0-7 days",N13&lt;=14,"8-14 days",N13&lt;=30,"15-30 days",N13&lt;=60,"31-60 days",TRUE,"61+ days")</f>
        <v>8-14 days</v>
      </c>
      <c r="P13" t="s">
        <v>31</v>
      </c>
      <c r="Q13" t="s">
        <v>32</v>
      </c>
      <c r="R13">
        <v>0</v>
      </c>
      <c r="S13" t="str">
        <f>IF(Table1[prior_dna_count]&gt;=1,"Has prior DNA history","No prior DNA history")</f>
        <v>No prior DNA history</v>
      </c>
      <c r="T13" t="s">
        <v>22</v>
      </c>
      <c r="U13" t="str">
        <f t="shared" si="0"/>
        <v>1</v>
      </c>
      <c r="V13" t="str">
        <f>IF(Table1[appointment_status]="Attended","1","0")</f>
        <v>1</v>
      </c>
      <c r="W13" t="str">
        <f>IF(Table1[appointment_status]="Cancelled","1","0")</f>
        <v>0</v>
      </c>
    </row>
    <row r="14" spans="1:23">
      <c r="A14" t="s">
        <v>61</v>
      </c>
      <c r="B14" t="s">
        <v>62</v>
      </c>
      <c r="C14">
        <v>15</v>
      </c>
      <c r="D14" t="str" cm="1">
        <f t="array" ref="D14">_xlfn.IFS(Table1[[#This Row],[age]]&lt;=17,"0-17",C14&lt;=29,"18-29",C14&lt;=44,"30-44",C14&lt;=59,"45-59",C14&lt;=74,"60-74",TRUE,"75+")</f>
        <v>0-17</v>
      </c>
      <c r="E14" t="s">
        <v>29</v>
      </c>
      <c r="F14">
        <v>2</v>
      </c>
      <c r="G14" t="str" cm="1">
        <f t="array" ref="G14">_xlfn.IFS(_xlfn.SINGLE(Table1[imd_decile])&lt;=3,"Most Deprived",F14&lt;=7,"Moderately Deprived",F14&lt;=10,"Least Deprived")</f>
        <v>Most Deprived</v>
      </c>
      <c r="H14">
        <v>2.6</v>
      </c>
      <c r="I14" t="s">
        <v>30</v>
      </c>
      <c r="J14" t="s">
        <v>26</v>
      </c>
      <c r="K14" s="1">
        <v>45667</v>
      </c>
      <c r="L14" s="1">
        <v>45676</v>
      </c>
      <c r="M14" s="1" t="str">
        <f>TEXT(Table1[[#This Row],[appointment_date]],"MM/YYYY")</f>
        <v>01/2025</v>
      </c>
      <c r="N14">
        <v>9</v>
      </c>
      <c r="O14" t="str" cm="1">
        <f t="array" ref="O14">_xlfn.IFS(Table1[[#This Row],[lead_time_days]]&lt;=7,"0-7 days",N14&lt;=14,"8-14 days",N14&lt;=30,"15-30 days",N14&lt;=60,"31-60 days",TRUE,"61+ days")</f>
        <v>8-14 days</v>
      </c>
      <c r="P14" t="s">
        <v>31</v>
      </c>
      <c r="Q14" t="s">
        <v>32</v>
      </c>
      <c r="R14">
        <v>0</v>
      </c>
      <c r="S14" t="str">
        <f>IF(Table1[prior_dna_count]&gt;=1,"Has prior DNA history","No prior DNA history")</f>
        <v>No prior DNA history</v>
      </c>
      <c r="T14" t="s">
        <v>39</v>
      </c>
      <c r="U14" t="str">
        <f t="shared" si="0"/>
        <v>1</v>
      </c>
      <c r="V14" t="str">
        <f>IF(Table1[appointment_status]="Attended","1","0")</f>
        <v>0</v>
      </c>
      <c r="W14" t="str">
        <f>IF(Table1[appointment_status]="Cancelled","1","0")</f>
        <v>0</v>
      </c>
    </row>
    <row r="15" spans="1:23">
      <c r="A15" t="s">
        <v>63</v>
      </c>
      <c r="B15" t="s">
        <v>64</v>
      </c>
      <c r="C15">
        <v>73</v>
      </c>
      <c r="D15" t="str" cm="1">
        <f t="array" ref="D15">_xlfn.IFS(Table1[[#This Row],[age]]&lt;=17,"0-17",C15&lt;=29,"18-29",C15&lt;=44,"30-44",C15&lt;=59,"45-59",C15&lt;=74,"60-74",TRUE,"75+")</f>
        <v>60-74</v>
      </c>
      <c r="E15" t="s">
        <v>17</v>
      </c>
      <c r="F15">
        <v>2</v>
      </c>
      <c r="G15" t="str" cm="1">
        <f t="array" ref="G15">_xlfn.IFS(_xlfn.SINGLE(Table1[imd_decile])&lt;=3,"Most Deprived",F15&lt;=7,"Moderately Deprived",F15&lt;=10,"Least Deprived")</f>
        <v>Most Deprived</v>
      </c>
      <c r="H15">
        <v>19.7</v>
      </c>
      <c r="I15" t="s">
        <v>45</v>
      </c>
      <c r="J15" t="s">
        <v>19</v>
      </c>
      <c r="K15" s="1">
        <v>45668</v>
      </c>
      <c r="L15" s="1">
        <v>45677</v>
      </c>
      <c r="M15" s="1" t="str">
        <f>TEXT(Table1[[#This Row],[appointment_date]],"MM/YYYY")</f>
        <v>01/2025</v>
      </c>
      <c r="N15">
        <v>9</v>
      </c>
      <c r="O15" t="str" cm="1">
        <f t="array" ref="O15">_xlfn.IFS(Table1[[#This Row],[lead_time_days]]&lt;=7,"0-7 days",N15&lt;=14,"8-14 days",N15&lt;=30,"15-30 days",N15&lt;=60,"31-60 days",TRUE,"61+ days")</f>
        <v>8-14 days</v>
      </c>
      <c r="P15" t="s">
        <v>35</v>
      </c>
      <c r="Q15" t="s">
        <v>21</v>
      </c>
      <c r="R15">
        <v>0</v>
      </c>
      <c r="S15" t="str">
        <f>IF(Table1[prior_dna_count]&gt;=1,"Has prior DNA history","No prior DNA history")</f>
        <v>No prior DNA history</v>
      </c>
      <c r="T15" t="s">
        <v>22</v>
      </c>
      <c r="U15" t="str">
        <f t="shared" si="0"/>
        <v>0</v>
      </c>
      <c r="V15" t="str">
        <f>IF(Table1[appointment_status]="Attended","1","0")</f>
        <v>1</v>
      </c>
      <c r="W15" t="str">
        <f>IF(Table1[appointment_status]="Cancelled","1","0")</f>
        <v>0</v>
      </c>
    </row>
    <row r="16" spans="1:23">
      <c r="A16" t="s">
        <v>65</v>
      </c>
      <c r="B16" t="s">
        <v>66</v>
      </c>
      <c r="C16">
        <v>40</v>
      </c>
      <c r="D16" t="str" cm="1">
        <f t="array" ref="D16">_xlfn.IFS(Table1[[#This Row],[age]]&lt;=17,"0-17",C16&lt;=29,"18-29",C16&lt;=44,"30-44",C16&lt;=59,"45-59",C16&lt;=74,"60-74",TRUE,"75+")</f>
        <v>30-44</v>
      </c>
      <c r="E16" t="s">
        <v>29</v>
      </c>
      <c r="F16">
        <v>5</v>
      </c>
      <c r="G16" t="str" cm="1">
        <f t="array" ref="G16">_xlfn.IFS(_xlfn.SINGLE(Table1[imd_decile])&lt;=3,"Most Deprived",F16&lt;=7,"Moderately Deprived",F16&lt;=10,"Least Deprived")</f>
        <v>Moderately Deprived</v>
      </c>
      <c r="H16">
        <v>15.3</v>
      </c>
      <c r="I16" t="s">
        <v>18</v>
      </c>
      <c r="J16" t="s">
        <v>19</v>
      </c>
      <c r="K16" s="1">
        <v>45663</v>
      </c>
      <c r="L16" s="1">
        <v>45677</v>
      </c>
      <c r="M16" s="1" t="str">
        <f>TEXT(Table1[[#This Row],[appointment_date]],"MM/YYYY")</f>
        <v>01/2025</v>
      </c>
      <c r="N16">
        <v>14</v>
      </c>
      <c r="O16" t="str" cm="1">
        <f t="array" ref="O16">_xlfn.IFS(Table1[[#This Row],[lead_time_days]]&lt;=7,"0-7 days",N16&lt;=14,"8-14 days",N16&lt;=30,"15-30 days",N16&lt;=60,"31-60 days",TRUE,"61+ days")</f>
        <v>8-14 days</v>
      </c>
      <c r="P16" t="s">
        <v>35</v>
      </c>
      <c r="Q16" t="s">
        <v>21</v>
      </c>
      <c r="R16">
        <v>0</v>
      </c>
      <c r="S16" t="str">
        <f>IF(Table1[prior_dna_count]&gt;=1,"Has prior DNA history","No prior DNA history")</f>
        <v>No prior DNA history</v>
      </c>
      <c r="T16" t="s">
        <v>46</v>
      </c>
      <c r="U16" t="str">
        <f t="shared" si="0"/>
        <v>1</v>
      </c>
      <c r="V16" t="str">
        <f>IF(Table1[appointment_status]="Attended","1","0")</f>
        <v>0</v>
      </c>
      <c r="W16" t="str">
        <f>IF(Table1[appointment_status]="Cancelled","1","0")</f>
        <v>1</v>
      </c>
    </row>
    <row r="17" spans="1:23">
      <c r="A17" t="s">
        <v>67</v>
      </c>
      <c r="B17" t="s">
        <v>68</v>
      </c>
      <c r="C17">
        <v>23</v>
      </c>
      <c r="D17" t="str" cm="1">
        <f t="array" ref="D17">_xlfn.IFS(Table1[[#This Row],[age]]&lt;=17,"0-17",C17&lt;=29,"18-29",C17&lt;=44,"30-44",C17&lt;=59,"45-59",C17&lt;=74,"60-74",TRUE,"75+")</f>
        <v>18-29</v>
      </c>
      <c r="E17" t="s">
        <v>17</v>
      </c>
      <c r="F17">
        <v>6</v>
      </c>
      <c r="G17" t="str" cm="1">
        <f t="array" ref="G17">_xlfn.IFS(_xlfn.SINGLE(Table1[imd_decile])&lt;=3,"Most Deprived",F17&lt;=7,"Moderately Deprived",F17&lt;=10,"Least Deprived")</f>
        <v>Moderately Deprived</v>
      </c>
      <c r="H17">
        <v>9.6999999999999993</v>
      </c>
      <c r="I17" t="s">
        <v>42</v>
      </c>
      <c r="J17" t="s">
        <v>26</v>
      </c>
      <c r="K17" s="1">
        <v>45671</v>
      </c>
      <c r="L17" s="1">
        <v>45677</v>
      </c>
      <c r="M17" s="1" t="str">
        <f>TEXT(Table1[[#This Row],[appointment_date]],"MM/YYYY")</f>
        <v>01/2025</v>
      </c>
      <c r="N17">
        <v>6</v>
      </c>
      <c r="O17" t="str" cm="1">
        <f t="array" ref="O17">_xlfn.IFS(Table1[[#This Row],[lead_time_days]]&lt;=7,"0-7 days",N17&lt;=14,"8-14 days",N17&lt;=30,"15-30 days",N17&lt;=60,"31-60 days",TRUE,"61+ days")</f>
        <v>0-7 days</v>
      </c>
      <c r="P17" t="s">
        <v>35</v>
      </c>
      <c r="Q17" t="s">
        <v>32</v>
      </c>
      <c r="R17">
        <v>0</v>
      </c>
      <c r="S17" t="str">
        <f>IF(Table1[prior_dna_count]&gt;=1,"Has prior DNA history","No prior DNA history")</f>
        <v>No prior DNA history</v>
      </c>
      <c r="T17" t="s">
        <v>22</v>
      </c>
      <c r="U17" t="str">
        <f t="shared" si="0"/>
        <v>0</v>
      </c>
      <c r="V17" t="str">
        <f>IF(Table1[appointment_status]="Attended","1","0")</f>
        <v>1</v>
      </c>
      <c r="W17" t="str">
        <f>IF(Table1[appointment_status]="Cancelled","1","0")</f>
        <v>0</v>
      </c>
    </row>
    <row r="18" spans="1:23">
      <c r="A18" t="s">
        <v>69</v>
      </c>
      <c r="B18" t="s">
        <v>70</v>
      </c>
      <c r="C18">
        <v>51</v>
      </c>
      <c r="D18" t="str" cm="1">
        <f t="array" ref="D18">_xlfn.IFS(Table1[[#This Row],[age]]&lt;=17,"0-17",C18&lt;=29,"18-29",C18&lt;=44,"30-44",C18&lt;=59,"45-59",C18&lt;=74,"60-74",TRUE,"75+")</f>
        <v>45-59</v>
      </c>
      <c r="E18" t="s">
        <v>17</v>
      </c>
      <c r="F18">
        <v>3</v>
      </c>
      <c r="G18" t="str" cm="1">
        <f t="array" ref="G18">_xlfn.IFS(_xlfn.SINGLE(Table1[imd_decile])&lt;=3,"Most Deprived",F18&lt;=7,"Moderately Deprived",F18&lt;=10,"Least Deprived")</f>
        <v>Most Deprived</v>
      </c>
      <c r="H18">
        <v>5.2</v>
      </c>
      <c r="I18" t="s">
        <v>25</v>
      </c>
      <c r="J18" t="s">
        <v>26</v>
      </c>
      <c r="K18" s="1">
        <v>45673</v>
      </c>
      <c r="L18" s="1">
        <v>45678</v>
      </c>
      <c r="M18" s="1" t="str">
        <f>TEXT(Table1[[#This Row],[appointment_date]],"MM/YYYY")</f>
        <v>01/2025</v>
      </c>
      <c r="N18">
        <v>5</v>
      </c>
      <c r="O18" t="str" cm="1">
        <f t="array" ref="O18">_xlfn.IFS(Table1[[#This Row],[lead_time_days]]&lt;=7,"0-7 days",N18&lt;=14,"8-14 days",N18&lt;=30,"15-30 days",N18&lt;=60,"31-60 days",TRUE,"61+ days")</f>
        <v>0-7 days</v>
      </c>
      <c r="P18" t="s">
        <v>71</v>
      </c>
      <c r="Q18" t="s">
        <v>21</v>
      </c>
      <c r="R18">
        <v>0</v>
      </c>
      <c r="S18" t="str">
        <f>IF(Table1[prior_dna_count]&gt;=1,"Has prior DNA history","No prior DNA history")</f>
        <v>No prior DNA history</v>
      </c>
      <c r="T18" t="s">
        <v>22</v>
      </c>
      <c r="U18" t="str">
        <f t="shared" si="0"/>
        <v>1</v>
      </c>
      <c r="V18" t="str">
        <f>IF(Table1[appointment_status]="Attended","1","0")</f>
        <v>1</v>
      </c>
      <c r="W18" t="str">
        <f>IF(Table1[appointment_status]="Cancelled","1","0")</f>
        <v>0</v>
      </c>
    </row>
    <row r="19" spans="1:23">
      <c r="A19" t="s">
        <v>72</v>
      </c>
      <c r="B19" t="s">
        <v>73</v>
      </c>
      <c r="C19">
        <v>47</v>
      </c>
      <c r="D19" t="str" cm="1">
        <f t="array" ref="D19">_xlfn.IFS(Table1[[#This Row],[age]]&lt;=17,"0-17",C19&lt;=29,"18-29",C19&lt;=44,"30-44",C19&lt;=59,"45-59",C19&lt;=74,"60-74",TRUE,"75+")</f>
        <v>45-59</v>
      </c>
      <c r="E19" t="s">
        <v>17</v>
      </c>
      <c r="F19">
        <v>1</v>
      </c>
      <c r="G19" t="str" cm="1">
        <f t="array" ref="G19">_xlfn.IFS(_xlfn.SINGLE(Table1[imd_decile])&lt;=3,"Most Deprived",F19&lt;=7,"Moderately Deprived",F19&lt;=10,"Least Deprived")</f>
        <v>Most Deprived</v>
      </c>
      <c r="H19">
        <v>10.3</v>
      </c>
      <c r="I19" t="s">
        <v>25</v>
      </c>
      <c r="J19" t="s">
        <v>26</v>
      </c>
      <c r="K19" s="1">
        <v>45673</v>
      </c>
      <c r="L19" s="1">
        <v>45678</v>
      </c>
      <c r="M19" s="1" t="str">
        <f>TEXT(Table1[[#This Row],[appointment_date]],"MM/YYYY")</f>
        <v>01/2025</v>
      </c>
      <c r="N19">
        <v>5</v>
      </c>
      <c r="O19" t="str" cm="1">
        <f t="array" ref="O19">_xlfn.IFS(Table1[[#This Row],[lead_time_days]]&lt;=7,"0-7 days",N19&lt;=14,"8-14 days",N19&lt;=30,"15-30 days",N19&lt;=60,"31-60 days",TRUE,"61+ days")</f>
        <v>0-7 days</v>
      </c>
      <c r="P19" t="s">
        <v>71</v>
      </c>
      <c r="Q19" t="s">
        <v>21</v>
      </c>
      <c r="R19">
        <v>0</v>
      </c>
      <c r="S19" t="str">
        <f>IF(Table1[prior_dna_count]&gt;=1,"Has prior DNA history","No prior DNA history")</f>
        <v>No prior DNA history</v>
      </c>
      <c r="T19" t="s">
        <v>22</v>
      </c>
      <c r="U19" t="str">
        <f t="shared" si="0"/>
        <v>1</v>
      </c>
      <c r="V19" t="str">
        <f>IF(Table1[appointment_status]="Attended","1","0")</f>
        <v>1</v>
      </c>
      <c r="W19" t="str">
        <f>IF(Table1[appointment_status]="Cancelled","1","0")</f>
        <v>0</v>
      </c>
    </row>
    <row r="20" spans="1:23">
      <c r="A20" t="s">
        <v>74</v>
      </c>
      <c r="B20" t="s">
        <v>75</v>
      </c>
      <c r="C20">
        <v>43</v>
      </c>
      <c r="D20" t="str" cm="1">
        <f t="array" ref="D20">_xlfn.IFS(Table1[[#This Row],[age]]&lt;=17,"0-17",C20&lt;=29,"18-29",C20&lt;=44,"30-44",C20&lt;=59,"45-59",C20&lt;=74,"60-74",TRUE,"75+")</f>
        <v>30-44</v>
      </c>
      <c r="E20" t="s">
        <v>29</v>
      </c>
      <c r="F20">
        <v>2</v>
      </c>
      <c r="G20" t="str" cm="1">
        <f t="array" ref="G20">_xlfn.IFS(_xlfn.SINGLE(Table1[imd_decile])&lt;=3,"Most Deprived",F20&lt;=7,"Moderately Deprived",F20&lt;=10,"Least Deprived")</f>
        <v>Most Deprived</v>
      </c>
      <c r="H20">
        <v>2.2999999999999998</v>
      </c>
      <c r="I20" t="s">
        <v>38</v>
      </c>
      <c r="J20" t="s">
        <v>26</v>
      </c>
      <c r="K20" s="1">
        <v>45672</v>
      </c>
      <c r="L20" s="1">
        <v>45678</v>
      </c>
      <c r="M20" s="1" t="str">
        <f>TEXT(Table1[[#This Row],[appointment_date]],"MM/YYYY")</f>
        <v>01/2025</v>
      </c>
      <c r="N20">
        <v>6</v>
      </c>
      <c r="O20" t="str" cm="1">
        <f t="array" ref="O20">_xlfn.IFS(Table1[[#This Row],[lead_time_days]]&lt;=7,"0-7 days",N20&lt;=14,"8-14 days",N20&lt;=30,"15-30 days",N20&lt;=60,"31-60 days",TRUE,"61+ days")</f>
        <v>0-7 days</v>
      </c>
      <c r="P20" t="s">
        <v>71</v>
      </c>
      <c r="Q20" t="s">
        <v>21</v>
      </c>
      <c r="R20">
        <v>0</v>
      </c>
      <c r="S20" t="str">
        <f>IF(Table1[prior_dna_count]&gt;=1,"Has prior DNA history","No prior DNA history")</f>
        <v>No prior DNA history</v>
      </c>
      <c r="T20" t="s">
        <v>46</v>
      </c>
      <c r="U20" t="str">
        <f t="shared" si="0"/>
        <v>1</v>
      </c>
      <c r="V20" t="str">
        <f>IF(Table1[appointment_status]="Attended","1","0")</f>
        <v>0</v>
      </c>
      <c r="W20" t="str">
        <f>IF(Table1[appointment_status]="Cancelled","1","0")</f>
        <v>1</v>
      </c>
    </row>
    <row r="21" spans="1:23">
      <c r="A21" t="s">
        <v>76</v>
      </c>
      <c r="B21" t="s">
        <v>77</v>
      </c>
      <c r="C21">
        <v>32</v>
      </c>
      <c r="D21" t="str" cm="1">
        <f t="array" ref="D21">_xlfn.IFS(Table1[[#This Row],[age]]&lt;=17,"0-17",C21&lt;=29,"18-29",C21&lt;=44,"30-44",C21&lt;=59,"45-59",C21&lt;=74,"60-74",TRUE,"75+")</f>
        <v>30-44</v>
      </c>
      <c r="E21" t="s">
        <v>17</v>
      </c>
      <c r="F21">
        <v>6</v>
      </c>
      <c r="G21" t="str" cm="1">
        <f t="array" ref="G21">_xlfn.IFS(_xlfn.SINGLE(Table1[imd_decile])&lt;=3,"Most Deprived",F21&lt;=7,"Moderately Deprived",F21&lt;=10,"Least Deprived")</f>
        <v>Moderately Deprived</v>
      </c>
      <c r="H21">
        <v>2.8</v>
      </c>
      <c r="I21" t="s">
        <v>25</v>
      </c>
      <c r="J21" t="s">
        <v>19</v>
      </c>
      <c r="K21" s="1">
        <v>45670</v>
      </c>
      <c r="L21" s="1">
        <v>45678</v>
      </c>
      <c r="M21" s="1" t="str">
        <f>TEXT(Table1[[#This Row],[appointment_date]],"MM/YYYY")</f>
        <v>01/2025</v>
      </c>
      <c r="N21">
        <v>8</v>
      </c>
      <c r="O21" t="str" cm="1">
        <f t="array" ref="O21">_xlfn.IFS(Table1[[#This Row],[lead_time_days]]&lt;=7,"0-7 days",N21&lt;=14,"8-14 days",N21&lt;=30,"15-30 days",N21&lt;=60,"31-60 days",TRUE,"61+ days")</f>
        <v>8-14 days</v>
      </c>
      <c r="P21" t="s">
        <v>71</v>
      </c>
      <c r="Q21" t="s">
        <v>21</v>
      </c>
      <c r="R21">
        <v>0</v>
      </c>
      <c r="S21" t="str">
        <f>IF(Table1[prior_dna_count]&gt;=1,"Has prior DNA history","No prior DNA history")</f>
        <v>No prior DNA history</v>
      </c>
      <c r="T21" t="s">
        <v>22</v>
      </c>
      <c r="U21" t="str">
        <f t="shared" si="0"/>
        <v>0</v>
      </c>
      <c r="V21" t="str">
        <f>IF(Table1[appointment_status]="Attended","1","0")</f>
        <v>1</v>
      </c>
      <c r="W21" t="str">
        <f>IF(Table1[appointment_status]="Cancelled","1","0")</f>
        <v>0</v>
      </c>
    </row>
    <row r="22" spans="1:23">
      <c r="A22" t="s">
        <v>78</v>
      </c>
      <c r="B22" t="s">
        <v>79</v>
      </c>
      <c r="C22">
        <v>20</v>
      </c>
      <c r="D22" t="str" cm="1">
        <f t="array" ref="D22">_xlfn.IFS(Table1[[#This Row],[age]]&lt;=17,"0-17",C22&lt;=29,"18-29",C22&lt;=44,"30-44",C22&lt;=59,"45-59",C22&lt;=74,"60-74",TRUE,"75+")</f>
        <v>18-29</v>
      </c>
      <c r="E22" t="s">
        <v>17</v>
      </c>
      <c r="F22">
        <v>2</v>
      </c>
      <c r="G22" t="str" cm="1">
        <f t="array" ref="G22">_xlfn.IFS(_xlfn.SINGLE(Table1[imd_decile])&lt;=3,"Most Deprived",F22&lt;=7,"Moderately Deprived",F22&lt;=10,"Least Deprived")</f>
        <v>Most Deprived</v>
      </c>
      <c r="H22">
        <v>11</v>
      </c>
      <c r="I22" t="s">
        <v>42</v>
      </c>
      <c r="J22" t="s">
        <v>26</v>
      </c>
      <c r="K22" s="1">
        <v>45664</v>
      </c>
      <c r="L22" s="1">
        <v>45679</v>
      </c>
      <c r="M22" s="1" t="str">
        <f>TEXT(Table1[[#This Row],[appointment_date]],"MM/YYYY")</f>
        <v>01/2025</v>
      </c>
      <c r="N22">
        <v>15</v>
      </c>
      <c r="O22" t="str" cm="1">
        <f t="array" ref="O22">_xlfn.IFS(Table1[[#This Row],[lead_time_days]]&lt;=7,"0-7 days",N22&lt;=14,"8-14 days",N22&lt;=30,"15-30 days",N22&lt;=60,"31-60 days",TRUE,"61+ days")</f>
        <v>15-30 days</v>
      </c>
      <c r="P22" t="s">
        <v>80</v>
      </c>
      <c r="Q22" t="s">
        <v>32</v>
      </c>
      <c r="R22">
        <v>0</v>
      </c>
      <c r="S22" t="str">
        <f>IF(Table1[prior_dna_count]&gt;=1,"Has prior DNA history","No prior DNA history")</f>
        <v>No prior DNA history</v>
      </c>
      <c r="T22" t="s">
        <v>22</v>
      </c>
      <c r="U22" t="str">
        <f t="shared" si="0"/>
        <v>1</v>
      </c>
      <c r="V22" t="str">
        <f>IF(Table1[appointment_status]="Attended","1","0")</f>
        <v>1</v>
      </c>
      <c r="W22" t="str">
        <f>IF(Table1[appointment_status]="Cancelled","1","0")</f>
        <v>0</v>
      </c>
    </row>
    <row r="23" spans="1:23">
      <c r="A23" t="s">
        <v>81</v>
      </c>
      <c r="B23" t="s">
        <v>82</v>
      </c>
      <c r="C23">
        <v>37</v>
      </c>
      <c r="D23" t="str" cm="1">
        <f t="array" ref="D23">_xlfn.IFS(Table1[[#This Row],[age]]&lt;=17,"0-17",C23&lt;=29,"18-29",C23&lt;=44,"30-44",C23&lt;=59,"45-59",C23&lt;=74,"60-74",TRUE,"75+")</f>
        <v>30-44</v>
      </c>
      <c r="E23" t="s">
        <v>29</v>
      </c>
      <c r="F23">
        <v>4</v>
      </c>
      <c r="G23" t="str" cm="1">
        <f t="array" ref="G23">_xlfn.IFS(_xlfn.SINGLE(Table1[imd_decile])&lt;=3,"Most Deprived",F23&lt;=7,"Moderately Deprived",F23&lt;=10,"Least Deprived")</f>
        <v>Moderately Deprived</v>
      </c>
      <c r="H23">
        <v>1.7</v>
      </c>
      <c r="I23" t="s">
        <v>18</v>
      </c>
      <c r="J23" t="s">
        <v>19</v>
      </c>
      <c r="K23" s="1">
        <v>45668</v>
      </c>
      <c r="L23" s="1">
        <v>45680</v>
      </c>
      <c r="M23" s="1" t="str">
        <f>TEXT(Table1[[#This Row],[appointment_date]],"MM/YYYY")</f>
        <v>01/2025</v>
      </c>
      <c r="N23">
        <v>12</v>
      </c>
      <c r="O23" t="str" cm="1">
        <f t="array" ref="O23">_xlfn.IFS(Table1[[#This Row],[lead_time_days]]&lt;=7,"0-7 days",N23&lt;=14,"8-14 days",N23&lt;=30,"15-30 days",N23&lt;=60,"31-60 days",TRUE,"61+ days")</f>
        <v>8-14 days</v>
      </c>
      <c r="P23" t="s">
        <v>20</v>
      </c>
      <c r="Q23" t="s">
        <v>21</v>
      </c>
      <c r="R23">
        <v>0</v>
      </c>
      <c r="S23" t="str">
        <f>IF(Table1[prior_dna_count]&gt;=1,"Has prior DNA history","No prior DNA history")</f>
        <v>No prior DNA history</v>
      </c>
      <c r="T23" t="s">
        <v>22</v>
      </c>
      <c r="U23" t="str">
        <f t="shared" si="0"/>
        <v>1</v>
      </c>
      <c r="V23" t="str">
        <f>IF(Table1[appointment_status]="Attended","1","0")</f>
        <v>1</v>
      </c>
      <c r="W23" t="str">
        <f>IF(Table1[appointment_status]="Cancelled","1","0")</f>
        <v>0</v>
      </c>
    </row>
    <row r="24" spans="1:23">
      <c r="A24" t="s">
        <v>83</v>
      </c>
      <c r="B24" t="s">
        <v>84</v>
      </c>
      <c r="C24">
        <v>44</v>
      </c>
      <c r="D24" t="str" cm="1">
        <f t="array" ref="D24">_xlfn.IFS(Table1[[#This Row],[age]]&lt;=17,"0-17",C24&lt;=29,"18-29",C24&lt;=44,"30-44",C24&lt;=59,"45-59",C24&lt;=74,"60-74",TRUE,"75+")</f>
        <v>30-44</v>
      </c>
      <c r="E24" t="s">
        <v>29</v>
      </c>
      <c r="F24">
        <v>4</v>
      </c>
      <c r="G24" t="str" cm="1">
        <f t="array" ref="G24">_xlfn.IFS(_xlfn.SINGLE(Table1[imd_decile])&lt;=3,"Most Deprived",F24&lt;=7,"Moderately Deprived",F24&lt;=10,"Least Deprived")</f>
        <v>Moderately Deprived</v>
      </c>
      <c r="H24">
        <v>8.6</v>
      </c>
      <c r="I24" t="s">
        <v>42</v>
      </c>
      <c r="J24" t="s">
        <v>26</v>
      </c>
      <c r="K24" s="1">
        <v>45670</v>
      </c>
      <c r="L24" s="1">
        <v>45681</v>
      </c>
      <c r="M24" s="1" t="str">
        <f>TEXT(Table1[[#This Row],[appointment_date]],"MM/YYYY")</f>
        <v>01/2025</v>
      </c>
      <c r="N24">
        <v>11</v>
      </c>
      <c r="O24" t="str" cm="1">
        <f t="array" ref="O24">_xlfn.IFS(Table1[[#This Row],[lead_time_days]]&lt;=7,"0-7 days",N24&lt;=14,"8-14 days",N24&lt;=30,"15-30 days",N24&lt;=60,"31-60 days",TRUE,"61+ days")</f>
        <v>8-14 days</v>
      </c>
      <c r="P24" t="s">
        <v>52</v>
      </c>
      <c r="Q24" t="s">
        <v>21</v>
      </c>
      <c r="R24">
        <v>0</v>
      </c>
      <c r="S24" t="str">
        <f>IF(Table1[prior_dna_count]&gt;=1,"Has prior DNA history","No prior DNA history")</f>
        <v>No prior DNA history</v>
      </c>
      <c r="T24" t="s">
        <v>22</v>
      </c>
      <c r="U24" t="str">
        <f t="shared" si="0"/>
        <v>1</v>
      </c>
      <c r="V24" t="str">
        <f>IF(Table1[appointment_status]="Attended","1","0")</f>
        <v>1</v>
      </c>
      <c r="W24" t="str">
        <f>IF(Table1[appointment_status]="Cancelled","1","0")</f>
        <v>0</v>
      </c>
    </row>
    <row r="25" spans="1:23">
      <c r="A25" t="s">
        <v>85</v>
      </c>
      <c r="B25" t="s">
        <v>86</v>
      </c>
      <c r="C25">
        <v>56</v>
      </c>
      <c r="D25" t="str" cm="1">
        <f t="array" ref="D25">_xlfn.IFS(Table1[[#This Row],[age]]&lt;=17,"0-17",C25&lt;=29,"18-29",C25&lt;=44,"30-44",C25&lt;=59,"45-59",C25&lt;=74,"60-74",TRUE,"75+")</f>
        <v>45-59</v>
      </c>
      <c r="E25" t="s">
        <v>29</v>
      </c>
      <c r="F25">
        <v>2</v>
      </c>
      <c r="G25" t="str" cm="1">
        <f t="array" ref="G25">_xlfn.IFS(_xlfn.SINGLE(Table1[imd_decile])&lt;=3,"Most Deprived",F25&lt;=7,"Moderately Deprived",F25&lt;=10,"Least Deprived")</f>
        <v>Most Deprived</v>
      </c>
      <c r="H25">
        <v>10.6</v>
      </c>
      <c r="I25" t="s">
        <v>18</v>
      </c>
      <c r="J25" t="s">
        <v>19</v>
      </c>
      <c r="K25" s="1">
        <v>45668</v>
      </c>
      <c r="L25" s="1">
        <v>45682</v>
      </c>
      <c r="M25" s="1" t="str">
        <f>TEXT(Table1[[#This Row],[appointment_date]],"MM/YYYY")</f>
        <v>01/2025</v>
      </c>
      <c r="N25">
        <v>14</v>
      </c>
      <c r="O25" t="str" cm="1">
        <f t="array" ref="O25">_xlfn.IFS(Table1[[#This Row],[lead_time_days]]&lt;=7,"0-7 days",N25&lt;=14,"8-14 days",N25&lt;=30,"15-30 days",N25&lt;=60,"31-60 days",TRUE,"61+ days")</f>
        <v>8-14 days</v>
      </c>
      <c r="P25" t="s">
        <v>55</v>
      </c>
      <c r="Q25" t="s">
        <v>21</v>
      </c>
      <c r="R25">
        <v>0</v>
      </c>
      <c r="S25" t="str">
        <f>IF(Table1[prior_dna_count]&gt;=1,"Has prior DNA history","No prior DNA history")</f>
        <v>No prior DNA history</v>
      </c>
      <c r="T25" t="s">
        <v>39</v>
      </c>
      <c r="U25" t="str">
        <f t="shared" si="0"/>
        <v>1</v>
      </c>
      <c r="V25" t="str">
        <f>IF(Table1[appointment_status]="Attended","1","0")</f>
        <v>0</v>
      </c>
      <c r="W25" t="str">
        <f>IF(Table1[appointment_status]="Cancelled","1","0")</f>
        <v>0</v>
      </c>
    </row>
    <row r="26" spans="1:23">
      <c r="A26" t="s">
        <v>87</v>
      </c>
      <c r="B26" t="s">
        <v>88</v>
      </c>
      <c r="C26">
        <v>33</v>
      </c>
      <c r="D26" t="str" cm="1">
        <f t="array" ref="D26">_xlfn.IFS(Table1[[#This Row],[age]]&lt;=17,"0-17",C26&lt;=29,"18-29",C26&lt;=44,"30-44",C26&lt;=59,"45-59",C26&lt;=74,"60-74",TRUE,"75+")</f>
        <v>30-44</v>
      </c>
      <c r="E26" t="s">
        <v>17</v>
      </c>
      <c r="F26">
        <v>5</v>
      </c>
      <c r="G26" t="str" cm="1">
        <f t="array" ref="G26">_xlfn.IFS(_xlfn.SINGLE(Table1[imd_decile])&lt;=3,"Most Deprived",F26&lt;=7,"Moderately Deprived",F26&lt;=10,"Least Deprived")</f>
        <v>Moderately Deprived</v>
      </c>
      <c r="H26">
        <v>4.5</v>
      </c>
      <c r="I26" t="s">
        <v>25</v>
      </c>
      <c r="J26" t="s">
        <v>19</v>
      </c>
      <c r="K26" s="1">
        <v>45665</v>
      </c>
      <c r="L26" s="1">
        <v>45682</v>
      </c>
      <c r="M26" s="1" t="str">
        <f>TEXT(Table1[[#This Row],[appointment_date]],"MM/YYYY")</f>
        <v>01/2025</v>
      </c>
      <c r="N26">
        <v>17</v>
      </c>
      <c r="O26" t="str" cm="1">
        <f t="array" ref="O26">_xlfn.IFS(Table1[[#This Row],[lead_time_days]]&lt;=7,"0-7 days",N26&lt;=14,"8-14 days",N26&lt;=30,"15-30 days",N26&lt;=60,"31-60 days",TRUE,"61+ days")</f>
        <v>15-30 days</v>
      </c>
      <c r="P26" t="s">
        <v>55</v>
      </c>
      <c r="Q26" t="s">
        <v>21</v>
      </c>
      <c r="R26">
        <v>0</v>
      </c>
      <c r="S26" t="str">
        <f>IF(Table1[prior_dna_count]&gt;=1,"Has prior DNA history","No prior DNA history")</f>
        <v>No prior DNA history</v>
      </c>
      <c r="T26" t="s">
        <v>22</v>
      </c>
      <c r="U26" t="str">
        <f t="shared" si="0"/>
        <v>0</v>
      </c>
      <c r="V26" t="str">
        <f>IF(Table1[appointment_status]="Attended","1","0")</f>
        <v>1</v>
      </c>
      <c r="W26" t="str">
        <f>IF(Table1[appointment_status]="Cancelled","1","0")</f>
        <v>0</v>
      </c>
    </row>
    <row r="27" spans="1:23">
      <c r="A27" t="s">
        <v>89</v>
      </c>
      <c r="B27" t="s">
        <v>90</v>
      </c>
      <c r="C27">
        <v>51</v>
      </c>
      <c r="D27" t="str" cm="1">
        <f t="array" ref="D27">_xlfn.IFS(Table1[[#This Row],[age]]&lt;=17,"0-17",C27&lt;=29,"18-29",C27&lt;=44,"30-44",C27&lt;=59,"45-59",C27&lt;=74,"60-74",TRUE,"75+")</f>
        <v>45-59</v>
      </c>
      <c r="E27" t="s">
        <v>17</v>
      </c>
      <c r="F27">
        <v>4</v>
      </c>
      <c r="G27" t="str" cm="1">
        <f t="array" ref="G27">_xlfn.IFS(_xlfn.SINGLE(Table1[imd_decile])&lt;=3,"Most Deprived",F27&lt;=7,"Moderately Deprived",F27&lt;=10,"Least Deprived")</f>
        <v>Moderately Deprived</v>
      </c>
      <c r="H27">
        <v>7.9</v>
      </c>
      <c r="I27" t="s">
        <v>91</v>
      </c>
      <c r="J27" t="s">
        <v>19</v>
      </c>
      <c r="K27" s="1">
        <v>45665</v>
      </c>
      <c r="L27" s="1">
        <v>45682</v>
      </c>
      <c r="M27" s="1" t="str">
        <f>TEXT(Table1[[#This Row],[appointment_date]],"MM/YYYY")</f>
        <v>01/2025</v>
      </c>
      <c r="N27">
        <v>17</v>
      </c>
      <c r="O27" t="str" cm="1">
        <f t="array" ref="O27">_xlfn.IFS(Table1[[#This Row],[lead_time_days]]&lt;=7,"0-7 days",N27&lt;=14,"8-14 days",N27&lt;=30,"15-30 days",N27&lt;=60,"31-60 days",TRUE,"61+ days")</f>
        <v>15-30 days</v>
      </c>
      <c r="P27" t="s">
        <v>55</v>
      </c>
      <c r="Q27" t="s">
        <v>21</v>
      </c>
      <c r="R27">
        <v>0</v>
      </c>
      <c r="S27" t="str">
        <f>IF(Table1[prior_dna_count]&gt;=1,"Has prior DNA history","No prior DNA history")</f>
        <v>No prior DNA history</v>
      </c>
      <c r="T27" t="s">
        <v>22</v>
      </c>
      <c r="U27" t="str">
        <f t="shared" si="0"/>
        <v>1</v>
      </c>
      <c r="V27" t="str">
        <f>IF(Table1[appointment_status]="Attended","1","0")</f>
        <v>1</v>
      </c>
      <c r="W27" t="str">
        <f>IF(Table1[appointment_status]="Cancelled","1","0")</f>
        <v>0</v>
      </c>
    </row>
    <row r="28" spans="1:23">
      <c r="A28" t="s">
        <v>92</v>
      </c>
      <c r="B28" t="s">
        <v>93</v>
      </c>
      <c r="C28">
        <v>39</v>
      </c>
      <c r="D28" t="str" cm="1">
        <f t="array" ref="D28">_xlfn.IFS(Table1[[#This Row],[age]]&lt;=17,"0-17",C28&lt;=29,"18-29",C28&lt;=44,"30-44",C28&lt;=59,"45-59",C28&lt;=74,"60-74",TRUE,"75+")</f>
        <v>30-44</v>
      </c>
      <c r="E28" t="s">
        <v>29</v>
      </c>
      <c r="F28">
        <v>5</v>
      </c>
      <c r="G28" t="str" cm="1">
        <f t="array" ref="G28">_xlfn.IFS(_xlfn.SINGLE(Table1[imd_decile])&lt;=3,"Most Deprived",F28&lt;=7,"Moderately Deprived",F28&lt;=10,"Least Deprived")</f>
        <v>Moderately Deprived</v>
      </c>
      <c r="H28">
        <v>2.7</v>
      </c>
      <c r="I28" t="s">
        <v>25</v>
      </c>
      <c r="J28" t="s">
        <v>19</v>
      </c>
      <c r="K28" s="1">
        <v>45666</v>
      </c>
      <c r="L28" s="1">
        <v>45682</v>
      </c>
      <c r="M28" s="1" t="str">
        <f>TEXT(Table1[[#This Row],[appointment_date]],"MM/YYYY")</f>
        <v>01/2025</v>
      </c>
      <c r="N28">
        <v>16</v>
      </c>
      <c r="O28" t="str" cm="1">
        <f t="array" ref="O28">_xlfn.IFS(Table1[[#This Row],[lead_time_days]]&lt;=7,"0-7 days",N28&lt;=14,"8-14 days",N28&lt;=30,"15-30 days",N28&lt;=60,"31-60 days",TRUE,"61+ days")</f>
        <v>15-30 days</v>
      </c>
      <c r="P28" t="s">
        <v>55</v>
      </c>
      <c r="Q28" t="s">
        <v>21</v>
      </c>
      <c r="R28">
        <v>0</v>
      </c>
      <c r="S28" t="str">
        <f>IF(Table1[prior_dna_count]&gt;=1,"Has prior DNA history","No prior DNA history")</f>
        <v>No prior DNA history</v>
      </c>
      <c r="T28" t="s">
        <v>46</v>
      </c>
      <c r="U28" t="str">
        <f t="shared" si="0"/>
        <v>1</v>
      </c>
      <c r="V28" t="str">
        <f>IF(Table1[appointment_status]="Attended","1","0")</f>
        <v>0</v>
      </c>
      <c r="W28" t="str">
        <f>IF(Table1[appointment_status]="Cancelled","1","0")</f>
        <v>1</v>
      </c>
    </row>
    <row r="29" spans="1:23">
      <c r="A29" t="s">
        <v>94</v>
      </c>
      <c r="B29" t="s">
        <v>95</v>
      </c>
      <c r="C29">
        <v>51</v>
      </c>
      <c r="D29" t="str" cm="1">
        <f t="array" ref="D29">_xlfn.IFS(Table1[[#This Row],[age]]&lt;=17,"0-17",C29&lt;=29,"18-29",C29&lt;=44,"30-44",C29&lt;=59,"45-59",C29&lt;=74,"60-74",TRUE,"75+")</f>
        <v>45-59</v>
      </c>
      <c r="E29" t="s">
        <v>17</v>
      </c>
      <c r="F29">
        <v>4</v>
      </c>
      <c r="G29" t="str" cm="1">
        <f t="array" ref="G29">_xlfn.IFS(_xlfn.SINGLE(Table1[imd_decile])&lt;=3,"Most Deprived",F29&lt;=7,"Moderately Deprived",F29&lt;=10,"Least Deprived")</f>
        <v>Moderately Deprived</v>
      </c>
      <c r="H29">
        <v>1.5</v>
      </c>
      <c r="I29" t="s">
        <v>91</v>
      </c>
      <c r="J29" t="s">
        <v>26</v>
      </c>
      <c r="K29" s="1">
        <v>45680</v>
      </c>
      <c r="L29" s="1">
        <v>45683</v>
      </c>
      <c r="M29" s="1" t="str">
        <f>TEXT(Table1[[#This Row],[appointment_date]],"MM/YYYY")</f>
        <v>01/2025</v>
      </c>
      <c r="N29">
        <v>3</v>
      </c>
      <c r="O29" t="str" cm="1">
        <f t="array" ref="O29">_xlfn.IFS(Table1[[#This Row],[lead_time_days]]&lt;=7,"0-7 days",N29&lt;=14,"8-14 days",N29&lt;=30,"15-30 days",N29&lt;=60,"31-60 days",TRUE,"61+ days")</f>
        <v>0-7 days</v>
      </c>
      <c r="P29" t="s">
        <v>31</v>
      </c>
      <c r="Q29" t="s">
        <v>21</v>
      </c>
      <c r="R29">
        <v>0</v>
      </c>
      <c r="S29" t="str">
        <f>IF(Table1[prior_dna_count]&gt;=1,"Has prior DNA history","No prior DNA history")</f>
        <v>No prior DNA history</v>
      </c>
      <c r="T29" t="s">
        <v>22</v>
      </c>
      <c r="U29" t="str">
        <f t="shared" si="0"/>
        <v>0</v>
      </c>
      <c r="V29" t="str">
        <f>IF(Table1[appointment_status]="Attended","1","0")</f>
        <v>1</v>
      </c>
      <c r="W29" t="str">
        <f>IF(Table1[appointment_status]="Cancelled","1","0")</f>
        <v>0</v>
      </c>
    </row>
    <row r="30" spans="1:23">
      <c r="A30" t="s">
        <v>96</v>
      </c>
      <c r="B30" t="s">
        <v>97</v>
      </c>
      <c r="C30">
        <v>49</v>
      </c>
      <c r="D30" t="str" cm="1">
        <f t="array" ref="D30">_xlfn.IFS(Table1[[#This Row],[age]]&lt;=17,"0-17",C30&lt;=29,"18-29",C30&lt;=44,"30-44",C30&lt;=59,"45-59",C30&lt;=74,"60-74",TRUE,"75+")</f>
        <v>45-59</v>
      </c>
      <c r="E30" t="s">
        <v>29</v>
      </c>
      <c r="F30">
        <v>2</v>
      </c>
      <c r="G30" t="str" cm="1">
        <f t="array" ref="G30">_xlfn.IFS(_xlfn.SINGLE(Table1[imd_decile])&lt;=3,"Most Deprived",F30&lt;=7,"Moderately Deprived",F30&lt;=10,"Least Deprived")</f>
        <v>Most Deprived</v>
      </c>
      <c r="H30">
        <v>2.5</v>
      </c>
      <c r="I30" t="s">
        <v>91</v>
      </c>
      <c r="J30" t="s">
        <v>26</v>
      </c>
      <c r="K30" s="1">
        <v>45675</v>
      </c>
      <c r="L30" s="1">
        <v>45683</v>
      </c>
      <c r="M30" s="1" t="str">
        <f>TEXT(Table1[[#This Row],[appointment_date]],"MM/YYYY")</f>
        <v>01/2025</v>
      </c>
      <c r="N30">
        <v>8</v>
      </c>
      <c r="O30" t="str" cm="1">
        <f t="array" ref="O30">_xlfn.IFS(Table1[[#This Row],[lead_time_days]]&lt;=7,"0-7 days",N30&lt;=14,"8-14 days",N30&lt;=30,"15-30 days",N30&lt;=60,"31-60 days",TRUE,"61+ days")</f>
        <v>8-14 days</v>
      </c>
      <c r="P30" t="s">
        <v>31</v>
      </c>
      <c r="Q30" t="s">
        <v>21</v>
      </c>
      <c r="R30">
        <v>0</v>
      </c>
      <c r="S30" t="str">
        <f>IF(Table1[prior_dna_count]&gt;=1,"Has prior DNA history","No prior DNA history")</f>
        <v>No prior DNA history</v>
      </c>
      <c r="T30" t="s">
        <v>22</v>
      </c>
      <c r="U30" t="str">
        <f t="shared" si="0"/>
        <v>1</v>
      </c>
      <c r="V30" t="str">
        <f>IF(Table1[appointment_status]="Attended","1","0")</f>
        <v>1</v>
      </c>
      <c r="W30" t="str">
        <f>IF(Table1[appointment_status]="Cancelled","1","0")</f>
        <v>0</v>
      </c>
    </row>
    <row r="31" spans="1:23">
      <c r="A31" t="s">
        <v>98</v>
      </c>
      <c r="B31" t="s">
        <v>99</v>
      </c>
      <c r="C31">
        <v>53</v>
      </c>
      <c r="D31" t="str" cm="1">
        <f t="array" ref="D31">_xlfn.IFS(Table1[[#This Row],[age]]&lt;=17,"0-17",C31&lt;=29,"18-29",C31&lt;=44,"30-44",C31&lt;=59,"45-59",C31&lt;=74,"60-74",TRUE,"75+")</f>
        <v>45-59</v>
      </c>
      <c r="E31" t="s">
        <v>29</v>
      </c>
      <c r="F31">
        <v>3</v>
      </c>
      <c r="G31" t="str" cm="1">
        <f t="array" ref="G31">_xlfn.IFS(_xlfn.SINGLE(Table1[imd_decile])&lt;=3,"Most Deprived",F31&lt;=7,"Moderately Deprived",F31&lt;=10,"Least Deprived")</f>
        <v>Most Deprived</v>
      </c>
      <c r="H31">
        <v>3.4</v>
      </c>
      <c r="I31" t="s">
        <v>58</v>
      </c>
      <c r="J31" t="s">
        <v>26</v>
      </c>
      <c r="K31" s="1">
        <v>45668</v>
      </c>
      <c r="L31" s="1">
        <v>45683</v>
      </c>
      <c r="M31" s="1" t="str">
        <f>TEXT(Table1[[#This Row],[appointment_date]],"MM/YYYY")</f>
        <v>01/2025</v>
      </c>
      <c r="N31">
        <v>15</v>
      </c>
      <c r="O31" t="str" cm="1">
        <f t="array" ref="O31">_xlfn.IFS(Table1[[#This Row],[lead_time_days]]&lt;=7,"0-7 days",N31&lt;=14,"8-14 days",N31&lt;=30,"15-30 days",N31&lt;=60,"31-60 days",TRUE,"61+ days")</f>
        <v>15-30 days</v>
      </c>
      <c r="P31" t="s">
        <v>31</v>
      </c>
      <c r="Q31" t="s">
        <v>21</v>
      </c>
      <c r="R31">
        <v>0</v>
      </c>
      <c r="S31" t="str">
        <f>IF(Table1[prior_dna_count]&gt;=1,"Has prior DNA history","No prior DNA history")</f>
        <v>No prior DNA history</v>
      </c>
      <c r="T31" t="s">
        <v>39</v>
      </c>
      <c r="U31" t="str">
        <f t="shared" si="0"/>
        <v>1</v>
      </c>
      <c r="V31" t="str">
        <f>IF(Table1[appointment_status]="Attended","1","0")</f>
        <v>0</v>
      </c>
      <c r="W31" t="str">
        <f>IF(Table1[appointment_status]="Cancelled","1","0")</f>
        <v>0</v>
      </c>
    </row>
    <row r="32" spans="1:23">
      <c r="A32" t="s">
        <v>100</v>
      </c>
      <c r="B32" t="s">
        <v>101</v>
      </c>
      <c r="C32">
        <v>92</v>
      </c>
      <c r="D32" t="str" cm="1">
        <f t="array" ref="D32">_xlfn.IFS(Table1[[#This Row],[age]]&lt;=17,"0-17",C32&lt;=29,"18-29",C32&lt;=44,"30-44",C32&lt;=59,"45-59",C32&lt;=74,"60-74",TRUE,"75+")</f>
        <v>75+</v>
      </c>
      <c r="E32" t="s">
        <v>29</v>
      </c>
      <c r="F32">
        <v>9</v>
      </c>
      <c r="G32" t="str" cm="1">
        <f t="array" ref="G32">_xlfn.IFS(_xlfn.SINGLE(Table1[imd_decile])&lt;=3,"Most Deprived",F32&lt;=7,"Moderately Deprived",F32&lt;=10,"Least Deprived")</f>
        <v>Least Deprived</v>
      </c>
      <c r="H32">
        <v>3.9</v>
      </c>
      <c r="I32" t="s">
        <v>42</v>
      </c>
      <c r="J32" t="s">
        <v>26</v>
      </c>
      <c r="K32" s="1">
        <v>45665</v>
      </c>
      <c r="L32" s="1">
        <v>45684</v>
      </c>
      <c r="M32" s="1" t="str">
        <f>TEXT(Table1[[#This Row],[appointment_date]],"MM/YYYY")</f>
        <v>01/2025</v>
      </c>
      <c r="N32">
        <v>19</v>
      </c>
      <c r="O32" t="str" cm="1">
        <f t="array" ref="O32">_xlfn.IFS(Table1[[#This Row],[lead_time_days]]&lt;=7,"0-7 days",N32&lt;=14,"8-14 days",N32&lt;=30,"15-30 days",N32&lt;=60,"31-60 days",TRUE,"61+ days")</f>
        <v>15-30 days</v>
      </c>
      <c r="P32" t="s">
        <v>35</v>
      </c>
      <c r="Q32" t="s">
        <v>21</v>
      </c>
      <c r="R32">
        <v>0</v>
      </c>
      <c r="S32" t="str">
        <f>IF(Table1[prior_dna_count]&gt;=1,"Has prior DNA history","No prior DNA history")</f>
        <v>No prior DNA history</v>
      </c>
      <c r="T32" t="s">
        <v>22</v>
      </c>
      <c r="U32" t="str">
        <f t="shared" si="0"/>
        <v>0</v>
      </c>
      <c r="V32" t="str">
        <f>IF(Table1[appointment_status]="Attended","1","0")</f>
        <v>1</v>
      </c>
      <c r="W32" t="str">
        <f>IF(Table1[appointment_status]="Cancelled","1","0")</f>
        <v>0</v>
      </c>
    </row>
    <row r="33" spans="1:23">
      <c r="A33" t="s">
        <v>102</v>
      </c>
      <c r="B33" t="s">
        <v>103</v>
      </c>
      <c r="C33">
        <v>31</v>
      </c>
      <c r="D33" t="str" cm="1">
        <f t="array" ref="D33">_xlfn.IFS(Table1[[#This Row],[age]]&lt;=17,"0-17",C33&lt;=29,"18-29",C33&lt;=44,"30-44",C33&lt;=59,"45-59",C33&lt;=74,"60-74",TRUE,"75+")</f>
        <v>30-44</v>
      </c>
      <c r="E33" t="s">
        <v>29</v>
      </c>
      <c r="F33">
        <v>9</v>
      </c>
      <c r="G33" t="str" cm="1">
        <f t="array" ref="G33">_xlfn.IFS(_xlfn.SINGLE(Table1[imd_decile])&lt;=3,"Most Deprived",F33&lt;=7,"Moderately Deprived",F33&lt;=10,"Least Deprived")</f>
        <v>Least Deprived</v>
      </c>
      <c r="H33">
        <v>6.4</v>
      </c>
      <c r="I33" t="s">
        <v>25</v>
      </c>
      <c r="J33" t="s">
        <v>26</v>
      </c>
      <c r="K33" s="1">
        <v>45674</v>
      </c>
      <c r="L33" s="1">
        <v>45684</v>
      </c>
      <c r="M33" s="1" t="str">
        <f>TEXT(Table1[[#This Row],[appointment_date]],"MM/YYYY")</f>
        <v>01/2025</v>
      </c>
      <c r="N33">
        <v>10</v>
      </c>
      <c r="O33" t="str" cm="1">
        <f t="array" ref="O33">_xlfn.IFS(Table1[[#This Row],[lead_time_days]]&lt;=7,"0-7 days",N33&lt;=14,"8-14 days",N33&lt;=30,"15-30 days",N33&lt;=60,"31-60 days",TRUE,"61+ days")</f>
        <v>8-14 days</v>
      </c>
      <c r="P33" t="s">
        <v>35</v>
      </c>
      <c r="Q33" t="s">
        <v>32</v>
      </c>
      <c r="R33">
        <v>1</v>
      </c>
      <c r="S33" t="str">
        <f>IF(Table1[prior_dna_count]&gt;=1,"Has prior DNA history","No prior DNA history")</f>
        <v>Has prior DNA history</v>
      </c>
      <c r="T33" t="s">
        <v>22</v>
      </c>
      <c r="U33" t="str">
        <f t="shared" si="0"/>
        <v>1</v>
      </c>
      <c r="V33" t="str">
        <f>IF(Table1[appointment_status]="Attended","1","0")</f>
        <v>1</v>
      </c>
      <c r="W33" t="str">
        <f>IF(Table1[appointment_status]="Cancelled","1","0")</f>
        <v>0</v>
      </c>
    </row>
    <row r="34" spans="1:23">
      <c r="A34" t="s">
        <v>104</v>
      </c>
      <c r="B34" t="s">
        <v>105</v>
      </c>
      <c r="C34">
        <v>31</v>
      </c>
      <c r="D34" t="str" cm="1">
        <f t="array" ref="D34">_xlfn.IFS(Table1[[#This Row],[age]]&lt;=17,"0-17",C34&lt;=29,"18-29",C34&lt;=44,"30-44",C34&lt;=59,"45-59",C34&lt;=74,"60-74",TRUE,"75+")</f>
        <v>30-44</v>
      </c>
      <c r="E34" t="s">
        <v>29</v>
      </c>
      <c r="F34">
        <v>1</v>
      </c>
      <c r="G34" t="str" cm="1">
        <f t="array" ref="G34">_xlfn.IFS(_xlfn.SINGLE(Table1[imd_decile])&lt;=3,"Most Deprived",F34&lt;=7,"Moderately Deprived",F34&lt;=10,"Least Deprived")</f>
        <v>Most Deprived</v>
      </c>
      <c r="H34">
        <v>6.8</v>
      </c>
      <c r="I34" t="s">
        <v>38</v>
      </c>
      <c r="J34" t="s">
        <v>19</v>
      </c>
      <c r="K34" s="1">
        <v>45663</v>
      </c>
      <c r="L34" s="1">
        <v>45684</v>
      </c>
      <c r="M34" s="1" t="str">
        <f>TEXT(Table1[[#This Row],[appointment_date]],"MM/YYYY")</f>
        <v>01/2025</v>
      </c>
      <c r="N34">
        <v>21</v>
      </c>
      <c r="O34" t="str" cm="1">
        <f t="array" ref="O34">_xlfn.IFS(Table1[[#This Row],[lead_time_days]]&lt;=7,"0-7 days",N34&lt;=14,"8-14 days",N34&lt;=30,"15-30 days",N34&lt;=60,"31-60 days",TRUE,"61+ days")</f>
        <v>15-30 days</v>
      </c>
      <c r="P34" t="s">
        <v>35</v>
      </c>
      <c r="Q34" t="s">
        <v>21</v>
      </c>
      <c r="R34">
        <v>0</v>
      </c>
      <c r="S34" t="str">
        <f>IF(Table1[prior_dna_count]&gt;=1,"Has prior DNA history","No prior DNA history")</f>
        <v>No prior DNA history</v>
      </c>
      <c r="T34" t="s">
        <v>22</v>
      </c>
      <c r="U34" t="str">
        <f t="shared" si="0"/>
        <v>1</v>
      </c>
      <c r="V34" t="str">
        <f>IF(Table1[appointment_status]="Attended","1","0")</f>
        <v>1</v>
      </c>
      <c r="W34" t="str">
        <f>IF(Table1[appointment_status]="Cancelled","1","0")</f>
        <v>0</v>
      </c>
    </row>
    <row r="35" spans="1:23">
      <c r="A35" t="s">
        <v>106</v>
      </c>
      <c r="B35" t="s">
        <v>107</v>
      </c>
      <c r="C35">
        <v>48</v>
      </c>
      <c r="D35" t="str" cm="1">
        <f t="array" ref="D35">_xlfn.IFS(Table1[[#This Row],[age]]&lt;=17,"0-17",C35&lt;=29,"18-29",C35&lt;=44,"30-44",C35&lt;=59,"45-59",C35&lt;=74,"60-74",TRUE,"75+")</f>
        <v>45-59</v>
      </c>
      <c r="E35" t="s">
        <v>29</v>
      </c>
      <c r="F35">
        <v>2</v>
      </c>
      <c r="G35" t="str" cm="1">
        <f t="array" ref="G35">_xlfn.IFS(_xlfn.SINGLE(Table1[imd_decile])&lt;=3,"Most Deprived",F35&lt;=7,"Moderately Deprived",F35&lt;=10,"Least Deprived")</f>
        <v>Most Deprived</v>
      </c>
      <c r="H35">
        <v>3.2</v>
      </c>
      <c r="I35" t="s">
        <v>30</v>
      </c>
      <c r="J35" t="s">
        <v>19</v>
      </c>
      <c r="K35" s="1">
        <v>45669</v>
      </c>
      <c r="L35" s="1">
        <v>45684</v>
      </c>
      <c r="M35" s="1" t="str">
        <f>TEXT(Table1[[#This Row],[appointment_date]],"MM/YYYY")</f>
        <v>01/2025</v>
      </c>
      <c r="N35">
        <v>15</v>
      </c>
      <c r="O35" t="str" cm="1">
        <f t="array" ref="O35">_xlfn.IFS(Table1[[#This Row],[lead_time_days]]&lt;=7,"0-7 days",N35&lt;=14,"8-14 days",N35&lt;=30,"15-30 days",N35&lt;=60,"31-60 days",TRUE,"61+ days")</f>
        <v>15-30 days</v>
      </c>
      <c r="P35" t="s">
        <v>35</v>
      </c>
      <c r="Q35" t="s">
        <v>21</v>
      </c>
      <c r="R35">
        <v>1</v>
      </c>
      <c r="S35" t="str">
        <f>IF(Table1[prior_dna_count]&gt;=1,"Has prior DNA history","No prior DNA history")</f>
        <v>Has prior DNA history</v>
      </c>
      <c r="T35" t="s">
        <v>39</v>
      </c>
      <c r="U35" t="str">
        <f t="shared" si="0"/>
        <v>1</v>
      </c>
      <c r="V35" t="str">
        <f>IF(Table1[appointment_status]="Attended","1","0")</f>
        <v>0</v>
      </c>
      <c r="W35" t="str">
        <f>IF(Table1[appointment_status]="Cancelled","1","0")</f>
        <v>0</v>
      </c>
    </row>
    <row r="36" spans="1:23">
      <c r="A36" t="s">
        <v>108</v>
      </c>
      <c r="B36" t="s">
        <v>109</v>
      </c>
      <c r="C36">
        <v>52</v>
      </c>
      <c r="D36" t="str" cm="1">
        <f t="array" ref="D36">_xlfn.IFS(Table1[[#This Row],[age]]&lt;=17,"0-17",C36&lt;=29,"18-29",C36&lt;=44,"30-44",C36&lt;=59,"45-59",C36&lt;=74,"60-74",TRUE,"75+")</f>
        <v>45-59</v>
      </c>
      <c r="E36" t="s">
        <v>17</v>
      </c>
      <c r="F36">
        <v>10</v>
      </c>
      <c r="G36" t="str" cm="1">
        <f t="array" ref="G36">_xlfn.IFS(_xlfn.SINGLE(Table1[imd_decile])&lt;=3,"Most Deprived",F36&lt;=7,"Moderately Deprived",F36&lt;=10,"Least Deprived")</f>
        <v>Least Deprived</v>
      </c>
      <c r="H36">
        <v>2.7</v>
      </c>
      <c r="I36" t="s">
        <v>25</v>
      </c>
      <c r="J36" t="s">
        <v>19</v>
      </c>
      <c r="K36" s="1">
        <v>45672</v>
      </c>
      <c r="L36" s="1">
        <v>45684</v>
      </c>
      <c r="M36" s="1" t="str">
        <f>TEXT(Table1[[#This Row],[appointment_date]],"MM/YYYY")</f>
        <v>01/2025</v>
      </c>
      <c r="N36">
        <v>12</v>
      </c>
      <c r="O36" t="str" cm="1">
        <f t="array" ref="O36">_xlfn.IFS(Table1[[#This Row],[lead_time_days]]&lt;=7,"0-7 days",N36&lt;=14,"8-14 days",N36&lt;=30,"15-30 days",N36&lt;=60,"31-60 days",TRUE,"61+ days")</f>
        <v>8-14 days</v>
      </c>
      <c r="P36" t="s">
        <v>35</v>
      </c>
      <c r="Q36" t="s">
        <v>32</v>
      </c>
      <c r="R36">
        <v>0</v>
      </c>
      <c r="S36" t="str">
        <f>IF(Table1[prior_dna_count]&gt;=1,"Has prior DNA history","No prior DNA history")</f>
        <v>No prior DNA history</v>
      </c>
      <c r="T36" t="s">
        <v>39</v>
      </c>
      <c r="U36" t="str">
        <f t="shared" si="0"/>
        <v>0</v>
      </c>
      <c r="V36" t="str">
        <f>IF(Table1[appointment_status]="Attended","1","0")</f>
        <v>0</v>
      </c>
      <c r="W36" t="str">
        <f>IF(Table1[appointment_status]="Cancelled","1","0")</f>
        <v>0</v>
      </c>
    </row>
    <row r="37" spans="1:23">
      <c r="A37" t="s">
        <v>110</v>
      </c>
      <c r="B37" t="s">
        <v>111</v>
      </c>
      <c r="C37">
        <v>43</v>
      </c>
      <c r="D37" t="str" cm="1">
        <f t="array" ref="D37">_xlfn.IFS(Table1[[#This Row],[age]]&lt;=17,"0-17",C37&lt;=29,"18-29",C37&lt;=44,"30-44",C37&lt;=59,"45-59",C37&lt;=74,"60-74",TRUE,"75+")</f>
        <v>30-44</v>
      </c>
      <c r="E37" t="s">
        <v>17</v>
      </c>
      <c r="F37">
        <v>7</v>
      </c>
      <c r="G37" t="str" cm="1">
        <f t="array" ref="G37">_xlfn.IFS(_xlfn.SINGLE(Table1[imd_decile])&lt;=3,"Most Deprived",F37&lt;=7,"Moderately Deprived",F37&lt;=10,"Least Deprived")</f>
        <v>Moderately Deprived</v>
      </c>
      <c r="H37">
        <v>8.3000000000000007</v>
      </c>
      <c r="I37" t="s">
        <v>38</v>
      </c>
      <c r="J37" t="s">
        <v>26</v>
      </c>
      <c r="K37" s="1">
        <v>45679</v>
      </c>
      <c r="L37" s="1">
        <v>45685</v>
      </c>
      <c r="M37" s="1" t="str">
        <f>TEXT(Table1[[#This Row],[appointment_date]],"MM/YYYY")</f>
        <v>01/2025</v>
      </c>
      <c r="N37">
        <v>6</v>
      </c>
      <c r="O37" t="str" cm="1">
        <f t="array" ref="O37">_xlfn.IFS(Table1[[#This Row],[lead_time_days]]&lt;=7,"0-7 days",N37&lt;=14,"8-14 days",N37&lt;=30,"15-30 days",N37&lt;=60,"31-60 days",TRUE,"61+ days")</f>
        <v>0-7 days</v>
      </c>
      <c r="P37" t="s">
        <v>71</v>
      </c>
      <c r="Q37" t="s">
        <v>21</v>
      </c>
      <c r="R37">
        <v>0</v>
      </c>
      <c r="S37" t="str">
        <f>IF(Table1[prior_dna_count]&gt;=1,"Has prior DNA history","No prior DNA history")</f>
        <v>No prior DNA history</v>
      </c>
      <c r="T37" t="s">
        <v>22</v>
      </c>
      <c r="U37" t="str">
        <f t="shared" si="0"/>
        <v>0</v>
      </c>
      <c r="V37" t="str">
        <f>IF(Table1[appointment_status]="Attended","1","0")</f>
        <v>1</v>
      </c>
      <c r="W37" t="str">
        <f>IF(Table1[appointment_status]="Cancelled","1","0")</f>
        <v>0</v>
      </c>
    </row>
    <row r="38" spans="1:23">
      <c r="A38" t="s">
        <v>112</v>
      </c>
      <c r="B38" t="s">
        <v>113</v>
      </c>
      <c r="C38">
        <v>73</v>
      </c>
      <c r="D38" t="str" cm="1">
        <f t="array" ref="D38">_xlfn.IFS(Table1[[#This Row],[age]]&lt;=17,"0-17",C38&lt;=29,"18-29",C38&lt;=44,"30-44",C38&lt;=59,"45-59",C38&lt;=74,"60-74",TRUE,"75+")</f>
        <v>60-74</v>
      </c>
      <c r="E38" t="s">
        <v>29</v>
      </c>
      <c r="F38">
        <v>9</v>
      </c>
      <c r="G38" t="str" cm="1">
        <f t="array" ref="G38">_xlfn.IFS(_xlfn.SINGLE(Table1[imd_decile])&lt;=3,"Most Deprived",F38&lt;=7,"Moderately Deprived",F38&lt;=10,"Least Deprived")</f>
        <v>Least Deprived</v>
      </c>
      <c r="H38">
        <v>3.1</v>
      </c>
      <c r="I38" t="s">
        <v>42</v>
      </c>
      <c r="J38" t="s">
        <v>26</v>
      </c>
      <c r="K38" s="1">
        <v>45681</v>
      </c>
      <c r="L38" s="1">
        <v>45686</v>
      </c>
      <c r="M38" s="1" t="str">
        <f>TEXT(Table1[[#This Row],[appointment_date]],"MM/YYYY")</f>
        <v>01/2025</v>
      </c>
      <c r="N38">
        <v>5</v>
      </c>
      <c r="O38" t="str" cm="1">
        <f t="array" ref="O38">_xlfn.IFS(Table1[[#This Row],[lead_time_days]]&lt;=7,"0-7 days",N38&lt;=14,"8-14 days",N38&lt;=30,"15-30 days",N38&lt;=60,"31-60 days",TRUE,"61+ days")</f>
        <v>0-7 days</v>
      </c>
      <c r="P38" t="s">
        <v>80</v>
      </c>
      <c r="Q38" t="s">
        <v>21</v>
      </c>
      <c r="R38">
        <v>0</v>
      </c>
      <c r="S38" t="str">
        <f>IF(Table1[prior_dna_count]&gt;=1,"Has prior DNA history","No prior DNA history")</f>
        <v>No prior DNA history</v>
      </c>
      <c r="T38" t="s">
        <v>22</v>
      </c>
      <c r="U38" t="str">
        <f t="shared" si="0"/>
        <v>1</v>
      </c>
      <c r="V38" t="str">
        <f>IF(Table1[appointment_status]="Attended","1","0")</f>
        <v>1</v>
      </c>
      <c r="W38" t="str">
        <f>IF(Table1[appointment_status]="Cancelled","1","0")</f>
        <v>0</v>
      </c>
    </row>
    <row r="39" spans="1:23">
      <c r="A39" t="s">
        <v>114</v>
      </c>
      <c r="B39" t="s">
        <v>115</v>
      </c>
      <c r="C39">
        <v>2</v>
      </c>
      <c r="D39" t="str" cm="1">
        <f t="array" ref="D39">_xlfn.IFS(Table1[[#This Row],[age]]&lt;=17,"0-17",C39&lt;=29,"18-29",C39&lt;=44,"30-44",C39&lt;=59,"45-59",C39&lt;=74,"60-74",TRUE,"75+")</f>
        <v>0-17</v>
      </c>
      <c r="E39" t="s">
        <v>17</v>
      </c>
      <c r="F39">
        <v>5</v>
      </c>
      <c r="G39" t="str" cm="1">
        <f t="array" ref="G39">_xlfn.IFS(_xlfn.SINGLE(Table1[imd_decile])&lt;=3,"Most Deprived",F39&lt;=7,"Moderately Deprived",F39&lt;=10,"Least Deprived")</f>
        <v>Moderately Deprived</v>
      </c>
      <c r="H39">
        <v>9.6999999999999993</v>
      </c>
      <c r="I39" t="s">
        <v>45</v>
      </c>
      <c r="J39" t="s">
        <v>26</v>
      </c>
      <c r="K39" s="1">
        <v>45674</v>
      </c>
      <c r="L39" s="1">
        <v>45686</v>
      </c>
      <c r="M39" s="1" t="str">
        <f>TEXT(Table1[[#This Row],[appointment_date]],"MM/YYYY")</f>
        <v>01/2025</v>
      </c>
      <c r="N39">
        <v>12</v>
      </c>
      <c r="O39" t="str" cm="1">
        <f t="array" ref="O39">_xlfn.IFS(Table1[[#This Row],[lead_time_days]]&lt;=7,"0-7 days",N39&lt;=14,"8-14 days",N39&lt;=30,"15-30 days",N39&lt;=60,"31-60 days",TRUE,"61+ days")</f>
        <v>8-14 days</v>
      </c>
      <c r="P39" t="s">
        <v>80</v>
      </c>
      <c r="Q39" t="s">
        <v>21</v>
      </c>
      <c r="R39">
        <v>0</v>
      </c>
      <c r="S39" t="str">
        <f>IF(Table1[prior_dna_count]&gt;=1,"Has prior DNA history","No prior DNA history")</f>
        <v>No prior DNA history</v>
      </c>
      <c r="T39" t="s">
        <v>46</v>
      </c>
      <c r="U39" t="str">
        <f t="shared" si="0"/>
        <v>1</v>
      </c>
      <c r="V39" t="str">
        <f>IF(Table1[appointment_status]="Attended","1","0")</f>
        <v>0</v>
      </c>
      <c r="W39" t="str">
        <f>IF(Table1[appointment_status]="Cancelled","1","0")</f>
        <v>1</v>
      </c>
    </row>
    <row r="40" spans="1:23">
      <c r="A40" t="s">
        <v>116</v>
      </c>
      <c r="B40" t="s">
        <v>117</v>
      </c>
      <c r="C40">
        <v>10</v>
      </c>
      <c r="D40" t="str" cm="1">
        <f t="array" ref="D40">_xlfn.IFS(Table1[[#This Row],[age]]&lt;=17,"0-17",C40&lt;=29,"18-29",C40&lt;=44,"30-44",C40&lt;=59,"45-59",C40&lt;=74,"60-74",TRUE,"75+")</f>
        <v>0-17</v>
      </c>
      <c r="E40" t="s">
        <v>17</v>
      </c>
      <c r="F40">
        <v>8</v>
      </c>
      <c r="G40" t="str" cm="1">
        <f t="array" ref="G40">_xlfn.IFS(_xlfn.SINGLE(Table1[imd_decile])&lt;=3,"Most Deprived",F40&lt;=7,"Moderately Deprived",F40&lt;=10,"Least Deprived")</f>
        <v>Least Deprived</v>
      </c>
      <c r="H40">
        <v>13.2</v>
      </c>
      <c r="I40" t="s">
        <v>58</v>
      </c>
      <c r="J40" t="s">
        <v>26</v>
      </c>
      <c r="K40" s="1">
        <v>45668</v>
      </c>
      <c r="L40" s="1">
        <v>45686</v>
      </c>
      <c r="M40" s="1" t="str">
        <f>TEXT(Table1[[#This Row],[appointment_date]],"MM/YYYY")</f>
        <v>01/2025</v>
      </c>
      <c r="N40">
        <v>18</v>
      </c>
      <c r="O40" t="str" cm="1">
        <f t="array" ref="O40">_xlfn.IFS(Table1[[#This Row],[lead_time_days]]&lt;=7,"0-7 days",N40&lt;=14,"8-14 days",N40&lt;=30,"15-30 days",N40&lt;=60,"31-60 days",TRUE,"61+ days")</f>
        <v>15-30 days</v>
      </c>
      <c r="P40" t="s">
        <v>80</v>
      </c>
      <c r="Q40" t="s">
        <v>21</v>
      </c>
      <c r="R40">
        <v>0</v>
      </c>
      <c r="S40" t="str">
        <f>IF(Table1[prior_dna_count]&gt;=1,"Has prior DNA history","No prior DNA history")</f>
        <v>No prior DNA history</v>
      </c>
      <c r="T40" t="s">
        <v>22</v>
      </c>
      <c r="U40" t="str">
        <f t="shared" si="0"/>
        <v>0</v>
      </c>
      <c r="V40" t="str">
        <f>IF(Table1[appointment_status]="Attended","1","0")</f>
        <v>1</v>
      </c>
      <c r="W40" t="str">
        <f>IF(Table1[appointment_status]="Cancelled","1","0")</f>
        <v>0</v>
      </c>
    </row>
    <row r="41" spans="1:23">
      <c r="A41" t="s">
        <v>118</v>
      </c>
      <c r="B41" t="s">
        <v>119</v>
      </c>
      <c r="C41">
        <v>43</v>
      </c>
      <c r="D41" t="str" cm="1">
        <f t="array" ref="D41">_xlfn.IFS(Table1[[#This Row],[age]]&lt;=17,"0-17",C41&lt;=29,"18-29",C41&lt;=44,"30-44",C41&lt;=59,"45-59",C41&lt;=74,"60-74",TRUE,"75+")</f>
        <v>30-44</v>
      </c>
      <c r="E41" t="s">
        <v>29</v>
      </c>
      <c r="F41">
        <v>9</v>
      </c>
      <c r="G41" t="str" cm="1">
        <f t="array" ref="G41">_xlfn.IFS(_xlfn.SINGLE(Table1[imd_decile])&lt;=3,"Most Deprived",F41&lt;=7,"Moderately Deprived",F41&lt;=10,"Least Deprived")</f>
        <v>Least Deprived</v>
      </c>
      <c r="H41">
        <v>6</v>
      </c>
      <c r="I41" t="s">
        <v>45</v>
      </c>
      <c r="J41" t="s">
        <v>26</v>
      </c>
      <c r="K41" s="1">
        <v>45679</v>
      </c>
      <c r="L41" s="1">
        <v>45686</v>
      </c>
      <c r="M41" s="1" t="str">
        <f>TEXT(Table1[[#This Row],[appointment_date]],"MM/YYYY")</f>
        <v>01/2025</v>
      </c>
      <c r="N41">
        <v>7</v>
      </c>
      <c r="O41" t="str" cm="1">
        <f t="array" ref="O41">_xlfn.IFS(Table1[[#This Row],[lead_time_days]]&lt;=7,"0-7 days",N41&lt;=14,"8-14 days",N41&lt;=30,"15-30 days",N41&lt;=60,"31-60 days",TRUE,"61+ days")</f>
        <v>0-7 days</v>
      </c>
      <c r="P41" t="s">
        <v>80</v>
      </c>
      <c r="Q41" t="s">
        <v>32</v>
      </c>
      <c r="R41">
        <v>0</v>
      </c>
      <c r="S41" t="str">
        <f>IF(Table1[prior_dna_count]&gt;=1,"Has prior DNA history","No prior DNA history")</f>
        <v>No prior DNA history</v>
      </c>
      <c r="T41" t="s">
        <v>22</v>
      </c>
      <c r="U41" t="str">
        <f t="shared" si="0"/>
        <v>1</v>
      </c>
      <c r="V41" t="str">
        <f>IF(Table1[appointment_status]="Attended","1","0")</f>
        <v>1</v>
      </c>
      <c r="W41" t="str">
        <f>IF(Table1[appointment_status]="Cancelled","1","0")</f>
        <v>0</v>
      </c>
    </row>
    <row r="42" spans="1:23">
      <c r="A42" t="s">
        <v>120</v>
      </c>
      <c r="B42" t="s">
        <v>121</v>
      </c>
      <c r="C42">
        <v>75</v>
      </c>
      <c r="D42" t="str" cm="1">
        <f t="array" ref="D42">_xlfn.IFS(Table1[[#This Row],[age]]&lt;=17,"0-17",C42&lt;=29,"18-29",C42&lt;=44,"30-44",C42&lt;=59,"45-59",C42&lt;=74,"60-74",TRUE,"75+")</f>
        <v>75+</v>
      </c>
      <c r="E42" t="s">
        <v>17</v>
      </c>
      <c r="F42">
        <v>5</v>
      </c>
      <c r="G42" t="str" cm="1">
        <f t="array" ref="G42">_xlfn.IFS(_xlfn.SINGLE(Table1[imd_decile])&lt;=3,"Most Deprived",F42&lt;=7,"Moderately Deprived",F42&lt;=10,"Least Deprived")</f>
        <v>Moderately Deprived</v>
      </c>
      <c r="H42">
        <v>5.6</v>
      </c>
      <c r="I42" t="s">
        <v>91</v>
      </c>
      <c r="J42" t="s">
        <v>19</v>
      </c>
      <c r="K42" s="1">
        <v>45664</v>
      </c>
      <c r="L42" s="1">
        <v>45686</v>
      </c>
      <c r="M42" s="1" t="str">
        <f>TEXT(Table1[[#This Row],[appointment_date]],"MM/YYYY")</f>
        <v>01/2025</v>
      </c>
      <c r="N42">
        <v>22</v>
      </c>
      <c r="O42" t="str" cm="1">
        <f t="array" ref="O42">_xlfn.IFS(Table1[[#This Row],[lead_time_days]]&lt;=7,"0-7 days",N42&lt;=14,"8-14 days",N42&lt;=30,"15-30 days",N42&lt;=60,"31-60 days",TRUE,"61+ days")</f>
        <v>15-30 days</v>
      </c>
      <c r="P42" t="s">
        <v>80</v>
      </c>
      <c r="Q42" t="s">
        <v>21</v>
      </c>
      <c r="R42">
        <v>0</v>
      </c>
      <c r="S42" t="str">
        <f>IF(Table1[prior_dna_count]&gt;=1,"Has prior DNA history","No prior DNA history")</f>
        <v>No prior DNA history</v>
      </c>
      <c r="T42" t="s">
        <v>22</v>
      </c>
      <c r="U42" t="str">
        <f t="shared" si="0"/>
        <v>1</v>
      </c>
      <c r="V42" t="str">
        <f>IF(Table1[appointment_status]="Attended","1","0")</f>
        <v>1</v>
      </c>
      <c r="W42" t="str">
        <f>IF(Table1[appointment_status]="Cancelled","1","0")</f>
        <v>0</v>
      </c>
    </row>
    <row r="43" spans="1:23">
      <c r="A43" t="s">
        <v>122</v>
      </c>
      <c r="B43" t="s">
        <v>123</v>
      </c>
      <c r="C43">
        <v>55</v>
      </c>
      <c r="D43" t="str" cm="1">
        <f t="array" ref="D43">_xlfn.IFS(Table1[[#This Row],[age]]&lt;=17,"0-17",C43&lt;=29,"18-29",C43&lt;=44,"30-44",C43&lt;=59,"45-59",C43&lt;=74,"60-74",TRUE,"75+")</f>
        <v>45-59</v>
      </c>
      <c r="E43" t="s">
        <v>17</v>
      </c>
      <c r="F43">
        <v>2</v>
      </c>
      <c r="G43" t="str" cm="1">
        <f t="array" ref="G43">_xlfn.IFS(_xlfn.SINGLE(Table1[imd_decile])&lt;=3,"Most Deprived",F43&lt;=7,"Moderately Deprived",F43&lt;=10,"Least Deprived")</f>
        <v>Most Deprived</v>
      </c>
      <c r="H43">
        <v>4.5999999999999996</v>
      </c>
      <c r="I43" t="s">
        <v>25</v>
      </c>
      <c r="J43" t="s">
        <v>19</v>
      </c>
      <c r="K43" s="1">
        <v>45665</v>
      </c>
      <c r="L43" s="1">
        <v>45687</v>
      </c>
      <c r="M43" s="1" t="str">
        <f>TEXT(Table1[[#This Row],[appointment_date]],"MM/YYYY")</f>
        <v>01/2025</v>
      </c>
      <c r="N43">
        <v>22</v>
      </c>
      <c r="O43" t="str" cm="1">
        <f t="array" ref="O43">_xlfn.IFS(Table1[[#This Row],[lead_time_days]]&lt;=7,"0-7 days",N43&lt;=14,"8-14 days",N43&lt;=30,"15-30 days",N43&lt;=60,"31-60 days",TRUE,"61+ days")</f>
        <v>15-30 days</v>
      </c>
      <c r="P43" t="s">
        <v>20</v>
      </c>
      <c r="Q43" t="s">
        <v>32</v>
      </c>
      <c r="R43">
        <v>1</v>
      </c>
      <c r="S43" t="str">
        <f>IF(Table1[prior_dna_count]&gt;=1,"Has prior DNA history","No prior DNA history")</f>
        <v>Has prior DNA history</v>
      </c>
      <c r="T43" t="s">
        <v>39</v>
      </c>
      <c r="U43" t="str">
        <f t="shared" si="0"/>
        <v>1</v>
      </c>
      <c r="V43" t="str">
        <f>IF(Table1[appointment_status]="Attended","1","0")</f>
        <v>0</v>
      </c>
      <c r="W43" t="str">
        <f>IF(Table1[appointment_status]="Cancelled","1","0")</f>
        <v>0</v>
      </c>
    </row>
    <row r="44" spans="1:23">
      <c r="A44" t="s">
        <v>124</v>
      </c>
      <c r="B44" t="s">
        <v>125</v>
      </c>
      <c r="C44">
        <v>27</v>
      </c>
      <c r="D44" t="str" cm="1">
        <f t="array" ref="D44">_xlfn.IFS(Table1[[#This Row],[age]]&lt;=17,"0-17",C44&lt;=29,"18-29",C44&lt;=44,"30-44",C44&lt;=59,"45-59",C44&lt;=74,"60-74",TRUE,"75+")</f>
        <v>18-29</v>
      </c>
      <c r="E44" t="s">
        <v>17</v>
      </c>
      <c r="F44">
        <v>8</v>
      </c>
      <c r="G44" t="str" cm="1">
        <f t="array" ref="G44">_xlfn.IFS(_xlfn.SINGLE(Table1[imd_decile])&lt;=3,"Most Deprived",F44&lt;=7,"Moderately Deprived",F44&lt;=10,"Least Deprived")</f>
        <v>Least Deprived</v>
      </c>
      <c r="H44">
        <v>3.5</v>
      </c>
      <c r="I44" t="s">
        <v>58</v>
      </c>
      <c r="J44" t="s">
        <v>26</v>
      </c>
      <c r="K44" s="1">
        <v>45684</v>
      </c>
      <c r="L44" s="1">
        <v>45687</v>
      </c>
      <c r="M44" s="1" t="str">
        <f>TEXT(Table1[[#This Row],[appointment_date]],"MM/YYYY")</f>
        <v>01/2025</v>
      </c>
      <c r="N44">
        <v>3</v>
      </c>
      <c r="O44" t="str" cm="1">
        <f t="array" ref="O44">_xlfn.IFS(Table1[[#This Row],[lead_time_days]]&lt;=7,"0-7 days",N44&lt;=14,"8-14 days",N44&lt;=30,"15-30 days",N44&lt;=60,"31-60 days",TRUE,"61+ days")</f>
        <v>0-7 days</v>
      </c>
      <c r="P44" t="s">
        <v>20</v>
      </c>
      <c r="Q44" t="s">
        <v>32</v>
      </c>
      <c r="R44">
        <v>0</v>
      </c>
      <c r="S44" t="str">
        <f>IF(Table1[prior_dna_count]&gt;=1,"Has prior DNA history","No prior DNA history")</f>
        <v>No prior DNA history</v>
      </c>
      <c r="T44" t="s">
        <v>46</v>
      </c>
      <c r="U44" t="str">
        <f t="shared" si="0"/>
        <v>0</v>
      </c>
      <c r="V44" t="str">
        <f>IF(Table1[appointment_status]="Attended","1","0")</f>
        <v>0</v>
      </c>
      <c r="W44" t="str">
        <f>IF(Table1[appointment_status]="Cancelled","1","0")</f>
        <v>1</v>
      </c>
    </row>
    <row r="45" spans="1:23">
      <c r="A45" t="s">
        <v>126</v>
      </c>
      <c r="B45" t="s">
        <v>127</v>
      </c>
      <c r="C45">
        <v>67</v>
      </c>
      <c r="D45" t="str" cm="1">
        <f t="array" ref="D45">_xlfn.IFS(Table1[[#This Row],[age]]&lt;=17,"0-17",C45&lt;=29,"18-29",C45&lt;=44,"30-44",C45&lt;=59,"45-59",C45&lt;=74,"60-74",TRUE,"75+")</f>
        <v>60-74</v>
      </c>
      <c r="E45" t="s">
        <v>17</v>
      </c>
      <c r="F45">
        <v>5</v>
      </c>
      <c r="G45" t="str" cm="1">
        <f t="array" ref="G45">_xlfn.IFS(_xlfn.SINGLE(Table1[imd_decile])&lt;=3,"Most Deprived",F45&lt;=7,"Moderately Deprived",F45&lt;=10,"Least Deprived")</f>
        <v>Moderately Deprived</v>
      </c>
      <c r="H45">
        <v>3</v>
      </c>
      <c r="I45" t="s">
        <v>58</v>
      </c>
      <c r="J45" t="s">
        <v>26</v>
      </c>
      <c r="K45" s="1">
        <v>45678</v>
      </c>
      <c r="L45" s="1">
        <v>45687</v>
      </c>
      <c r="M45" s="1" t="str">
        <f>TEXT(Table1[[#This Row],[appointment_date]],"MM/YYYY")</f>
        <v>01/2025</v>
      </c>
      <c r="N45">
        <v>9</v>
      </c>
      <c r="O45" t="str" cm="1">
        <f t="array" ref="O45">_xlfn.IFS(Table1[[#This Row],[lead_time_days]]&lt;=7,"0-7 days",N45&lt;=14,"8-14 days",N45&lt;=30,"15-30 days",N45&lt;=60,"31-60 days",TRUE,"61+ days")</f>
        <v>8-14 days</v>
      </c>
      <c r="P45" t="s">
        <v>20</v>
      </c>
      <c r="Q45" t="s">
        <v>21</v>
      </c>
      <c r="R45">
        <v>0</v>
      </c>
      <c r="S45" t="str">
        <f>IF(Table1[prior_dna_count]&gt;=1,"Has prior DNA history","No prior DNA history")</f>
        <v>No prior DNA history</v>
      </c>
      <c r="T45" t="s">
        <v>22</v>
      </c>
      <c r="U45" t="str">
        <f t="shared" si="0"/>
        <v>0</v>
      </c>
      <c r="V45" t="str">
        <f>IF(Table1[appointment_status]="Attended","1","0")</f>
        <v>1</v>
      </c>
      <c r="W45" t="str">
        <f>IF(Table1[appointment_status]="Cancelled","1","0")</f>
        <v>0</v>
      </c>
    </row>
    <row r="46" spans="1:23">
      <c r="A46" t="s">
        <v>128</v>
      </c>
      <c r="B46" t="s">
        <v>129</v>
      </c>
      <c r="C46">
        <v>52</v>
      </c>
      <c r="D46" t="str" cm="1">
        <f t="array" ref="D46">_xlfn.IFS(Table1[[#This Row],[age]]&lt;=17,"0-17",C46&lt;=29,"18-29",C46&lt;=44,"30-44",C46&lt;=59,"45-59",C46&lt;=74,"60-74",TRUE,"75+")</f>
        <v>45-59</v>
      </c>
      <c r="E46" t="s">
        <v>29</v>
      </c>
      <c r="F46">
        <v>8</v>
      </c>
      <c r="G46" t="str" cm="1">
        <f t="array" ref="G46">_xlfn.IFS(_xlfn.SINGLE(Table1[imd_decile])&lt;=3,"Most Deprived",F46&lt;=7,"Moderately Deprived",F46&lt;=10,"Least Deprived")</f>
        <v>Least Deprived</v>
      </c>
      <c r="H46">
        <v>6.6</v>
      </c>
      <c r="I46" t="s">
        <v>58</v>
      </c>
      <c r="J46" t="s">
        <v>26</v>
      </c>
      <c r="K46" s="1">
        <v>45678</v>
      </c>
      <c r="L46" s="1">
        <v>45687</v>
      </c>
      <c r="M46" s="1" t="str">
        <f>TEXT(Table1[[#This Row],[appointment_date]],"MM/YYYY")</f>
        <v>01/2025</v>
      </c>
      <c r="N46">
        <v>9</v>
      </c>
      <c r="O46" t="str" cm="1">
        <f t="array" ref="O46">_xlfn.IFS(Table1[[#This Row],[lead_time_days]]&lt;=7,"0-7 days",N46&lt;=14,"8-14 days",N46&lt;=30,"15-30 days",N46&lt;=60,"31-60 days",TRUE,"61+ days")</f>
        <v>8-14 days</v>
      </c>
      <c r="P46" t="s">
        <v>20</v>
      </c>
      <c r="Q46" t="s">
        <v>32</v>
      </c>
      <c r="R46">
        <v>0</v>
      </c>
      <c r="S46" t="str">
        <f>IF(Table1[prior_dna_count]&gt;=1,"Has prior DNA history","No prior DNA history")</f>
        <v>No prior DNA history</v>
      </c>
      <c r="T46" t="s">
        <v>22</v>
      </c>
      <c r="U46" t="str">
        <f t="shared" si="0"/>
        <v>1</v>
      </c>
      <c r="V46" t="str">
        <f>IF(Table1[appointment_status]="Attended","1","0")</f>
        <v>1</v>
      </c>
      <c r="W46" t="str">
        <f>IF(Table1[appointment_status]="Cancelled","1","0")</f>
        <v>0</v>
      </c>
    </row>
    <row r="47" spans="1:23">
      <c r="A47" t="s">
        <v>130</v>
      </c>
      <c r="B47" t="s">
        <v>131</v>
      </c>
      <c r="C47">
        <v>79</v>
      </c>
      <c r="D47" t="str" cm="1">
        <f t="array" ref="D47">_xlfn.IFS(Table1[[#This Row],[age]]&lt;=17,"0-17",C47&lt;=29,"18-29",C47&lt;=44,"30-44",C47&lt;=59,"45-59",C47&lt;=74,"60-74",TRUE,"75+")</f>
        <v>75+</v>
      </c>
      <c r="E47" t="s">
        <v>29</v>
      </c>
      <c r="F47">
        <v>4</v>
      </c>
      <c r="G47" t="str" cm="1">
        <f t="array" ref="G47">_xlfn.IFS(_xlfn.SINGLE(Table1[imd_decile])&lt;=3,"Most Deprived",F47&lt;=7,"Moderately Deprived",F47&lt;=10,"Least Deprived")</f>
        <v>Moderately Deprived</v>
      </c>
      <c r="H47">
        <v>26.6</v>
      </c>
      <c r="I47" t="s">
        <v>49</v>
      </c>
      <c r="J47" t="s">
        <v>19</v>
      </c>
      <c r="K47" s="1">
        <v>45663</v>
      </c>
      <c r="L47" s="1">
        <v>45687</v>
      </c>
      <c r="M47" s="1" t="str">
        <f>TEXT(Table1[[#This Row],[appointment_date]],"MM/YYYY")</f>
        <v>01/2025</v>
      </c>
      <c r="N47">
        <v>24</v>
      </c>
      <c r="O47" t="str" cm="1">
        <f t="array" ref="O47">_xlfn.IFS(Table1[[#This Row],[lead_time_days]]&lt;=7,"0-7 days",N47&lt;=14,"8-14 days",N47&lt;=30,"15-30 days",N47&lt;=60,"31-60 days",TRUE,"61+ days")</f>
        <v>15-30 days</v>
      </c>
      <c r="P47" t="s">
        <v>20</v>
      </c>
      <c r="Q47" t="s">
        <v>21</v>
      </c>
      <c r="R47">
        <v>0</v>
      </c>
      <c r="S47" t="str">
        <f>IF(Table1[prior_dna_count]&gt;=1,"Has prior DNA history","No prior DNA history")</f>
        <v>No prior DNA history</v>
      </c>
      <c r="T47" t="s">
        <v>22</v>
      </c>
      <c r="U47" t="str">
        <f t="shared" si="0"/>
        <v>1</v>
      </c>
      <c r="V47" t="str">
        <f>IF(Table1[appointment_status]="Attended","1","0")</f>
        <v>1</v>
      </c>
      <c r="W47" t="str">
        <f>IF(Table1[appointment_status]="Cancelled","1","0")</f>
        <v>0</v>
      </c>
    </row>
    <row r="48" spans="1:23">
      <c r="A48" t="s">
        <v>132</v>
      </c>
      <c r="B48" t="s">
        <v>133</v>
      </c>
      <c r="C48">
        <v>31</v>
      </c>
      <c r="D48" t="str" cm="1">
        <f t="array" ref="D48">_xlfn.IFS(Table1[[#This Row],[age]]&lt;=17,"0-17",C48&lt;=29,"18-29",C48&lt;=44,"30-44",C48&lt;=59,"45-59",C48&lt;=74,"60-74",TRUE,"75+")</f>
        <v>30-44</v>
      </c>
      <c r="E48" t="s">
        <v>17</v>
      </c>
      <c r="F48">
        <v>7</v>
      </c>
      <c r="G48" t="str" cm="1">
        <f t="array" ref="G48">_xlfn.IFS(_xlfn.SINGLE(Table1[imd_decile])&lt;=3,"Most Deprived",F48&lt;=7,"Moderately Deprived",F48&lt;=10,"Least Deprived")</f>
        <v>Moderately Deprived</v>
      </c>
      <c r="H48">
        <v>4.5999999999999996</v>
      </c>
      <c r="I48" t="s">
        <v>45</v>
      </c>
      <c r="J48" t="s">
        <v>26</v>
      </c>
      <c r="K48" s="1">
        <v>45671</v>
      </c>
      <c r="L48" s="1">
        <v>45687</v>
      </c>
      <c r="M48" s="1" t="str">
        <f>TEXT(Table1[[#This Row],[appointment_date]],"MM/YYYY")</f>
        <v>01/2025</v>
      </c>
      <c r="N48">
        <v>16</v>
      </c>
      <c r="O48" t="str" cm="1">
        <f t="array" ref="O48">_xlfn.IFS(Table1[[#This Row],[lead_time_days]]&lt;=7,"0-7 days",N48&lt;=14,"8-14 days",N48&lt;=30,"15-30 days",N48&lt;=60,"31-60 days",TRUE,"61+ days")</f>
        <v>15-30 days</v>
      </c>
      <c r="P48" t="s">
        <v>20</v>
      </c>
      <c r="Q48" t="s">
        <v>21</v>
      </c>
      <c r="R48">
        <v>0</v>
      </c>
      <c r="S48" t="str">
        <f>IF(Table1[prior_dna_count]&gt;=1,"Has prior DNA history","No prior DNA history")</f>
        <v>No prior DNA history</v>
      </c>
      <c r="T48" t="s">
        <v>22</v>
      </c>
      <c r="U48" t="str">
        <f t="shared" si="0"/>
        <v>1</v>
      </c>
      <c r="V48" t="str">
        <f>IF(Table1[appointment_status]="Attended","1","0")</f>
        <v>1</v>
      </c>
      <c r="W48" t="str">
        <f>IF(Table1[appointment_status]="Cancelled","1","0")</f>
        <v>0</v>
      </c>
    </row>
    <row r="49" spans="1:23">
      <c r="A49" t="s">
        <v>134</v>
      </c>
      <c r="B49" t="s">
        <v>135</v>
      </c>
      <c r="C49">
        <v>25</v>
      </c>
      <c r="D49" t="str" cm="1">
        <f t="array" ref="D49">_xlfn.IFS(Table1[[#This Row],[age]]&lt;=17,"0-17",C49&lt;=29,"18-29",C49&lt;=44,"30-44",C49&lt;=59,"45-59",C49&lt;=74,"60-74",TRUE,"75+")</f>
        <v>18-29</v>
      </c>
      <c r="E49" t="s">
        <v>17</v>
      </c>
      <c r="F49">
        <v>5</v>
      </c>
      <c r="G49" t="str" cm="1">
        <f t="array" ref="G49">_xlfn.IFS(_xlfn.SINGLE(Table1[imd_decile])&lt;=3,"Most Deprived",F49&lt;=7,"Moderately Deprived",F49&lt;=10,"Least Deprived")</f>
        <v>Moderately Deprived</v>
      </c>
      <c r="H49">
        <v>5.0999999999999996</v>
      </c>
      <c r="I49" t="s">
        <v>25</v>
      </c>
      <c r="J49" t="s">
        <v>26</v>
      </c>
      <c r="K49" s="1">
        <v>45682</v>
      </c>
      <c r="L49" s="1">
        <v>45687</v>
      </c>
      <c r="M49" s="1" t="str">
        <f>TEXT(Table1[[#This Row],[appointment_date]],"MM/YYYY")</f>
        <v>01/2025</v>
      </c>
      <c r="N49">
        <v>5</v>
      </c>
      <c r="O49" t="str" cm="1">
        <f t="array" ref="O49">_xlfn.IFS(Table1[[#This Row],[lead_time_days]]&lt;=7,"0-7 days",N49&lt;=14,"8-14 days",N49&lt;=30,"15-30 days",N49&lt;=60,"31-60 days",TRUE,"61+ days")</f>
        <v>0-7 days</v>
      </c>
      <c r="P49" t="s">
        <v>20</v>
      </c>
      <c r="Q49" t="s">
        <v>21</v>
      </c>
      <c r="R49">
        <v>0</v>
      </c>
      <c r="S49" t="str">
        <f>IF(Table1[prior_dna_count]&gt;=1,"Has prior DNA history","No prior DNA history")</f>
        <v>No prior DNA history</v>
      </c>
      <c r="T49" t="s">
        <v>22</v>
      </c>
      <c r="U49" t="str">
        <f t="shared" si="0"/>
        <v>1</v>
      </c>
      <c r="V49" t="str">
        <f>IF(Table1[appointment_status]="Attended","1","0")</f>
        <v>1</v>
      </c>
      <c r="W49" t="str">
        <f>IF(Table1[appointment_status]="Cancelled","1","0")</f>
        <v>0</v>
      </c>
    </row>
    <row r="50" spans="1:23">
      <c r="A50" t="s">
        <v>136</v>
      </c>
      <c r="B50" t="s">
        <v>137</v>
      </c>
      <c r="C50">
        <v>52</v>
      </c>
      <c r="D50" t="str" cm="1">
        <f t="array" ref="D50">_xlfn.IFS(Table1[[#This Row],[age]]&lt;=17,"0-17",C50&lt;=29,"18-29",C50&lt;=44,"30-44",C50&lt;=59,"45-59",C50&lt;=74,"60-74",TRUE,"75+")</f>
        <v>45-59</v>
      </c>
      <c r="E50" t="s">
        <v>29</v>
      </c>
      <c r="F50">
        <v>7</v>
      </c>
      <c r="G50" t="str" cm="1">
        <f t="array" ref="G50">_xlfn.IFS(_xlfn.SINGLE(Table1[imd_decile])&lt;=3,"Most Deprived",F50&lt;=7,"Moderately Deprived",F50&lt;=10,"Least Deprived")</f>
        <v>Moderately Deprived</v>
      </c>
      <c r="H50">
        <v>9.4</v>
      </c>
      <c r="I50" t="s">
        <v>25</v>
      </c>
      <c r="J50" t="s">
        <v>19</v>
      </c>
      <c r="K50" s="1">
        <v>45673</v>
      </c>
      <c r="L50" s="1">
        <v>45688</v>
      </c>
      <c r="M50" s="1" t="str">
        <f>TEXT(Table1[[#This Row],[appointment_date]],"MM/YYYY")</f>
        <v>01/2025</v>
      </c>
      <c r="N50">
        <v>15</v>
      </c>
      <c r="O50" t="str" cm="1">
        <f t="array" ref="O50">_xlfn.IFS(Table1[[#This Row],[lead_time_days]]&lt;=7,"0-7 days",N50&lt;=14,"8-14 days",N50&lt;=30,"15-30 days",N50&lt;=60,"31-60 days",TRUE,"61+ days")</f>
        <v>15-30 days</v>
      </c>
      <c r="P50" t="s">
        <v>52</v>
      </c>
      <c r="Q50" t="s">
        <v>21</v>
      </c>
      <c r="R50">
        <v>0</v>
      </c>
      <c r="S50" t="str">
        <f>IF(Table1[prior_dna_count]&gt;=1,"Has prior DNA history","No prior DNA history")</f>
        <v>No prior DNA history</v>
      </c>
      <c r="T50" t="s">
        <v>22</v>
      </c>
      <c r="U50" t="str">
        <f t="shared" si="0"/>
        <v>1</v>
      </c>
      <c r="V50" t="str">
        <f>IF(Table1[appointment_status]="Attended","1","0")</f>
        <v>1</v>
      </c>
      <c r="W50" t="str">
        <f>IF(Table1[appointment_status]="Cancelled","1","0")</f>
        <v>0</v>
      </c>
    </row>
    <row r="51" spans="1:23">
      <c r="A51" t="s">
        <v>138</v>
      </c>
      <c r="B51" t="s">
        <v>139</v>
      </c>
      <c r="C51">
        <v>39</v>
      </c>
      <c r="D51" t="str" cm="1">
        <f t="array" ref="D51">_xlfn.IFS(Table1[[#This Row],[age]]&lt;=17,"0-17",C51&lt;=29,"18-29",C51&lt;=44,"30-44",C51&lt;=59,"45-59",C51&lt;=74,"60-74",TRUE,"75+")</f>
        <v>30-44</v>
      </c>
      <c r="E51" t="s">
        <v>17</v>
      </c>
      <c r="F51">
        <v>10</v>
      </c>
      <c r="G51" t="str" cm="1">
        <f t="array" ref="G51">_xlfn.IFS(_xlfn.SINGLE(Table1[imd_decile])&lt;=3,"Most Deprived",F51&lt;=7,"Moderately Deprived",F51&lt;=10,"Least Deprived")</f>
        <v>Least Deprived</v>
      </c>
      <c r="H51">
        <v>12.2</v>
      </c>
      <c r="I51" t="s">
        <v>49</v>
      </c>
      <c r="J51" t="s">
        <v>26</v>
      </c>
      <c r="K51" s="1">
        <v>45669</v>
      </c>
      <c r="L51" s="1">
        <v>45688</v>
      </c>
      <c r="M51" s="1" t="str">
        <f>TEXT(Table1[[#This Row],[appointment_date]],"MM/YYYY")</f>
        <v>01/2025</v>
      </c>
      <c r="N51">
        <v>19</v>
      </c>
      <c r="O51" t="str" cm="1">
        <f t="array" ref="O51">_xlfn.IFS(Table1[[#This Row],[lead_time_days]]&lt;=7,"0-7 days",N51&lt;=14,"8-14 days",N51&lt;=30,"15-30 days",N51&lt;=60,"31-60 days",TRUE,"61+ days")</f>
        <v>15-30 days</v>
      </c>
      <c r="P51" t="s">
        <v>52</v>
      </c>
      <c r="Q51" t="s">
        <v>32</v>
      </c>
      <c r="R51">
        <v>0</v>
      </c>
      <c r="S51" t="str">
        <f>IF(Table1[prior_dna_count]&gt;=1,"Has prior DNA history","No prior DNA history")</f>
        <v>No prior DNA history</v>
      </c>
      <c r="T51" t="s">
        <v>22</v>
      </c>
      <c r="U51" t="str">
        <f t="shared" si="0"/>
        <v>1</v>
      </c>
      <c r="V51" t="str">
        <f>IF(Table1[appointment_status]="Attended","1","0")</f>
        <v>1</v>
      </c>
      <c r="W51" t="str">
        <f>IF(Table1[appointment_status]="Cancelled","1","0")</f>
        <v>0</v>
      </c>
    </row>
    <row r="52" spans="1:23">
      <c r="A52" t="s">
        <v>140</v>
      </c>
      <c r="B52" t="s">
        <v>141</v>
      </c>
      <c r="C52">
        <v>53</v>
      </c>
      <c r="D52" t="str" cm="1">
        <f t="array" ref="D52">_xlfn.IFS(Table1[[#This Row],[age]]&lt;=17,"0-17",C52&lt;=29,"18-29",C52&lt;=44,"30-44",C52&lt;=59,"45-59",C52&lt;=74,"60-74",TRUE,"75+")</f>
        <v>45-59</v>
      </c>
      <c r="E52" t="s">
        <v>17</v>
      </c>
      <c r="F52">
        <v>8</v>
      </c>
      <c r="G52" t="str" cm="1">
        <f t="array" ref="G52">_xlfn.IFS(_xlfn.SINGLE(Table1[imd_decile])&lt;=3,"Most Deprived",F52&lt;=7,"Moderately Deprived",F52&lt;=10,"Least Deprived")</f>
        <v>Least Deprived</v>
      </c>
      <c r="H52">
        <v>4.2</v>
      </c>
      <c r="I52" t="s">
        <v>42</v>
      </c>
      <c r="J52" t="s">
        <v>19</v>
      </c>
      <c r="K52" s="1">
        <v>45684</v>
      </c>
      <c r="L52" s="1">
        <v>45688</v>
      </c>
      <c r="M52" s="1" t="str">
        <f>TEXT(Table1[[#This Row],[appointment_date]],"MM/YYYY")</f>
        <v>01/2025</v>
      </c>
      <c r="N52">
        <v>4</v>
      </c>
      <c r="O52" t="str" cm="1">
        <f t="array" ref="O52">_xlfn.IFS(Table1[[#This Row],[lead_time_days]]&lt;=7,"0-7 days",N52&lt;=14,"8-14 days",N52&lt;=30,"15-30 days",N52&lt;=60,"31-60 days",TRUE,"61+ days")</f>
        <v>0-7 days</v>
      </c>
      <c r="P52" t="s">
        <v>52</v>
      </c>
      <c r="Q52" t="s">
        <v>32</v>
      </c>
      <c r="R52">
        <v>0</v>
      </c>
      <c r="S52" t="str">
        <f>IF(Table1[prior_dna_count]&gt;=1,"Has prior DNA history","No prior DNA history")</f>
        <v>No prior DNA history</v>
      </c>
      <c r="T52" t="s">
        <v>22</v>
      </c>
      <c r="U52" t="str">
        <f t="shared" si="0"/>
        <v>1</v>
      </c>
      <c r="V52" t="str">
        <f>IF(Table1[appointment_status]="Attended","1","0")</f>
        <v>1</v>
      </c>
      <c r="W52" t="str">
        <f>IF(Table1[appointment_status]="Cancelled","1","0")</f>
        <v>0</v>
      </c>
    </row>
    <row r="53" spans="1:23">
      <c r="A53" t="s">
        <v>142</v>
      </c>
      <c r="B53" t="s">
        <v>143</v>
      </c>
      <c r="C53">
        <v>63</v>
      </c>
      <c r="D53" t="str" cm="1">
        <f t="array" ref="D53">_xlfn.IFS(Table1[[#This Row],[age]]&lt;=17,"0-17",C53&lt;=29,"18-29",C53&lt;=44,"30-44",C53&lt;=59,"45-59",C53&lt;=74,"60-74",TRUE,"75+")</f>
        <v>60-74</v>
      </c>
      <c r="E53" t="s">
        <v>29</v>
      </c>
      <c r="F53">
        <v>8</v>
      </c>
      <c r="G53" t="str" cm="1">
        <f t="array" ref="G53">_xlfn.IFS(_xlfn.SINGLE(Table1[imd_decile])&lt;=3,"Most Deprived",F53&lt;=7,"Moderately Deprived",F53&lt;=10,"Least Deprived")</f>
        <v>Least Deprived</v>
      </c>
      <c r="H53">
        <v>8.1</v>
      </c>
      <c r="I53" t="s">
        <v>91</v>
      </c>
      <c r="J53" t="s">
        <v>26</v>
      </c>
      <c r="K53" s="1">
        <v>45663</v>
      </c>
      <c r="L53" s="1">
        <v>45689</v>
      </c>
      <c r="M53" s="1" t="str">
        <f>TEXT(Table1[[#This Row],[appointment_date]],"MM/YYYY")</f>
        <v>02/2025</v>
      </c>
      <c r="N53">
        <v>26</v>
      </c>
      <c r="O53" t="str" cm="1">
        <f t="array" ref="O53">_xlfn.IFS(Table1[[#This Row],[lead_time_days]]&lt;=7,"0-7 days",N53&lt;=14,"8-14 days",N53&lt;=30,"15-30 days",N53&lt;=60,"31-60 days",TRUE,"61+ days")</f>
        <v>15-30 days</v>
      </c>
      <c r="P53" t="s">
        <v>55</v>
      </c>
      <c r="Q53" t="s">
        <v>32</v>
      </c>
      <c r="R53">
        <v>0</v>
      </c>
      <c r="S53" t="str">
        <f>IF(Table1[prior_dna_count]&gt;=1,"Has prior DNA history","No prior DNA history")</f>
        <v>No prior DNA history</v>
      </c>
      <c r="T53" t="s">
        <v>22</v>
      </c>
      <c r="U53" t="str">
        <f t="shared" si="0"/>
        <v>1</v>
      </c>
      <c r="V53" t="str">
        <f>IF(Table1[appointment_status]="Attended","1","0")</f>
        <v>1</v>
      </c>
      <c r="W53" t="str">
        <f>IF(Table1[appointment_status]="Cancelled","1","0")</f>
        <v>0</v>
      </c>
    </row>
    <row r="54" spans="1:23">
      <c r="A54" t="s">
        <v>144</v>
      </c>
      <c r="B54" t="s">
        <v>145</v>
      </c>
      <c r="C54">
        <v>39</v>
      </c>
      <c r="D54" t="str" cm="1">
        <f t="array" ref="D54">_xlfn.IFS(Table1[[#This Row],[age]]&lt;=17,"0-17",C54&lt;=29,"18-29",C54&lt;=44,"30-44",C54&lt;=59,"45-59",C54&lt;=74,"60-74",TRUE,"75+")</f>
        <v>30-44</v>
      </c>
      <c r="E54" t="s">
        <v>29</v>
      </c>
      <c r="F54">
        <v>4</v>
      </c>
      <c r="G54" t="str" cm="1">
        <f t="array" ref="G54">_xlfn.IFS(_xlfn.SINGLE(Table1[imd_decile])&lt;=3,"Most Deprived",F54&lt;=7,"Moderately Deprived",F54&lt;=10,"Least Deprived")</f>
        <v>Moderately Deprived</v>
      </c>
      <c r="H54">
        <v>16.399999999999999</v>
      </c>
      <c r="I54" t="s">
        <v>38</v>
      </c>
      <c r="J54" t="s">
        <v>26</v>
      </c>
      <c r="K54" s="1">
        <v>45686</v>
      </c>
      <c r="L54" s="1">
        <v>45689</v>
      </c>
      <c r="M54" s="1" t="str">
        <f>TEXT(Table1[[#This Row],[appointment_date]],"MM/YYYY")</f>
        <v>02/2025</v>
      </c>
      <c r="N54">
        <v>3</v>
      </c>
      <c r="O54" t="str" cm="1">
        <f t="array" ref="O54">_xlfn.IFS(Table1[[#This Row],[lead_time_days]]&lt;=7,"0-7 days",N54&lt;=14,"8-14 days",N54&lt;=30,"15-30 days",N54&lt;=60,"31-60 days",TRUE,"61+ days")</f>
        <v>0-7 days</v>
      </c>
      <c r="P54" t="s">
        <v>55</v>
      </c>
      <c r="Q54" t="s">
        <v>21</v>
      </c>
      <c r="R54">
        <v>0</v>
      </c>
      <c r="S54" t="str">
        <f>IF(Table1[prior_dna_count]&gt;=1,"Has prior DNA history","No prior DNA history")</f>
        <v>No prior DNA history</v>
      </c>
      <c r="T54" t="s">
        <v>22</v>
      </c>
      <c r="U54" t="str">
        <f t="shared" si="0"/>
        <v>1</v>
      </c>
      <c r="V54" t="str">
        <f>IF(Table1[appointment_status]="Attended","1","0")</f>
        <v>1</v>
      </c>
      <c r="W54" t="str">
        <f>IF(Table1[appointment_status]="Cancelled","1","0")</f>
        <v>0</v>
      </c>
    </row>
    <row r="55" spans="1:23">
      <c r="A55" t="s">
        <v>146</v>
      </c>
      <c r="B55" t="s">
        <v>147</v>
      </c>
      <c r="C55">
        <v>41</v>
      </c>
      <c r="D55" t="str" cm="1">
        <f t="array" ref="D55">_xlfn.IFS(Table1[[#This Row],[age]]&lt;=17,"0-17",C55&lt;=29,"18-29",C55&lt;=44,"30-44",C55&lt;=59,"45-59",C55&lt;=74,"60-74",TRUE,"75+")</f>
        <v>30-44</v>
      </c>
      <c r="E55" t="s">
        <v>29</v>
      </c>
      <c r="F55">
        <v>4</v>
      </c>
      <c r="G55" t="str" cm="1">
        <f t="array" ref="G55">_xlfn.IFS(_xlfn.SINGLE(Table1[imd_decile])&lt;=3,"Most Deprived",F55&lt;=7,"Moderately Deprived",F55&lt;=10,"Least Deprived")</f>
        <v>Moderately Deprived</v>
      </c>
      <c r="H55">
        <v>6.2</v>
      </c>
      <c r="I55" t="s">
        <v>91</v>
      </c>
      <c r="J55" t="s">
        <v>26</v>
      </c>
      <c r="K55" s="1">
        <v>45676</v>
      </c>
      <c r="L55" s="1">
        <v>45689</v>
      </c>
      <c r="M55" s="1" t="str">
        <f>TEXT(Table1[[#This Row],[appointment_date]],"MM/YYYY")</f>
        <v>02/2025</v>
      </c>
      <c r="N55">
        <v>13</v>
      </c>
      <c r="O55" t="str" cm="1">
        <f t="array" ref="O55">_xlfn.IFS(Table1[[#This Row],[lead_time_days]]&lt;=7,"0-7 days",N55&lt;=14,"8-14 days",N55&lt;=30,"15-30 days",N55&lt;=60,"31-60 days",TRUE,"61+ days")</f>
        <v>8-14 days</v>
      </c>
      <c r="P55" t="s">
        <v>55</v>
      </c>
      <c r="Q55" t="s">
        <v>32</v>
      </c>
      <c r="R55">
        <v>0</v>
      </c>
      <c r="S55" t="str">
        <f>IF(Table1[prior_dna_count]&gt;=1,"Has prior DNA history","No prior DNA history")</f>
        <v>No prior DNA history</v>
      </c>
      <c r="T55" t="s">
        <v>22</v>
      </c>
      <c r="U55" t="str">
        <f t="shared" si="0"/>
        <v>1</v>
      </c>
      <c r="V55" t="str">
        <f>IF(Table1[appointment_status]="Attended","1","0")</f>
        <v>1</v>
      </c>
      <c r="W55" t="str">
        <f>IF(Table1[appointment_status]="Cancelled","1","0")</f>
        <v>0</v>
      </c>
    </row>
    <row r="56" spans="1:23">
      <c r="A56" t="s">
        <v>148</v>
      </c>
      <c r="B56" t="s">
        <v>149</v>
      </c>
      <c r="C56">
        <v>24</v>
      </c>
      <c r="D56" t="str" cm="1">
        <f t="array" ref="D56">_xlfn.IFS(Table1[[#This Row],[age]]&lt;=17,"0-17",C56&lt;=29,"18-29",C56&lt;=44,"30-44",C56&lt;=59,"45-59",C56&lt;=74,"60-74",TRUE,"75+")</f>
        <v>18-29</v>
      </c>
      <c r="E56" t="s">
        <v>29</v>
      </c>
      <c r="F56">
        <v>7</v>
      </c>
      <c r="G56" t="str" cm="1">
        <f t="array" ref="G56">_xlfn.IFS(_xlfn.SINGLE(Table1[imd_decile])&lt;=3,"Most Deprived",F56&lt;=7,"Moderately Deprived",F56&lt;=10,"Least Deprived")</f>
        <v>Moderately Deprived</v>
      </c>
      <c r="H56">
        <v>15.3</v>
      </c>
      <c r="I56" t="s">
        <v>30</v>
      </c>
      <c r="J56" t="s">
        <v>26</v>
      </c>
      <c r="K56" s="1">
        <v>45682</v>
      </c>
      <c r="L56" s="1">
        <v>45689</v>
      </c>
      <c r="M56" s="1" t="str">
        <f>TEXT(Table1[[#This Row],[appointment_date]],"MM/YYYY")</f>
        <v>02/2025</v>
      </c>
      <c r="N56">
        <v>7</v>
      </c>
      <c r="O56" t="str" cm="1">
        <f t="array" ref="O56">_xlfn.IFS(Table1[[#This Row],[lead_time_days]]&lt;=7,"0-7 days",N56&lt;=14,"8-14 days",N56&lt;=30,"15-30 days",N56&lt;=60,"31-60 days",TRUE,"61+ days")</f>
        <v>0-7 days</v>
      </c>
      <c r="P56" t="s">
        <v>55</v>
      </c>
      <c r="Q56" t="s">
        <v>21</v>
      </c>
      <c r="R56">
        <v>0</v>
      </c>
      <c r="S56" t="str">
        <f>IF(Table1[prior_dna_count]&gt;=1,"Has prior DNA history","No prior DNA history")</f>
        <v>No prior DNA history</v>
      </c>
      <c r="T56" t="s">
        <v>22</v>
      </c>
      <c r="U56" t="str">
        <f t="shared" si="0"/>
        <v>1</v>
      </c>
      <c r="V56" t="str">
        <f>IF(Table1[appointment_status]="Attended","1","0")</f>
        <v>1</v>
      </c>
      <c r="W56" t="str">
        <f>IF(Table1[appointment_status]="Cancelled","1","0")</f>
        <v>0</v>
      </c>
    </row>
    <row r="57" spans="1:23">
      <c r="A57" t="s">
        <v>150</v>
      </c>
      <c r="B57" t="s">
        <v>151</v>
      </c>
      <c r="C57">
        <v>64</v>
      </c>
      <c r="D57" t="str" cm="1">
        <f t="array" ref="D57">_xlfn.IFS(Table1[[#This Row],[age]]&lt;=17,"0-17",C57&lt;=29,"18-29",C57&lt;=44,"30-44",C57&lt;=59,"45-59",C57&lt;=74,"60-74",TRUE,"75+")</f>
        <v>60-74</v>
      </c>
      <c r="E57" t="s">
        <v>29</v>
      </c>
      <c r="F57">
        <v>2</v>
      </c>
      <c r="G57" t="str" cm="1">
        <f t="array" ref="G57">_xlfn.IFS(_xlfn.SINGLE(Table1[imd_decile])&lt;=3,"Most Deprived",F57&lt;=7,"Moderately Deprived",F57&lt;=10,"Least Deprived")</f>
        <v>Most Deprived</v>
      </c>
      <c r="H57">
        <v>6.2</v>
      </c>
      <c r="I57" t="s">
        <v>38</v>
      </c>
      <c r="J57" t="s">
        <v>19</v>
      </c>
      <c r="K57" s="1">
        <v>45672</v>
      </c>
      <c r="L57" s="1">
        <v>45689</v>
      </c>
      <c r="M57" s="1" t="str">
        <f>TEXT(Table1[[#This Row],[appointment_date]],"MM/YYYY")</f>
        <v>02/2025</v>
      </c>
      <c r="N57">
        <v>17</v>
      </c>
      <c r="O57" t="str" cm="1">
        <f t="array" ref="O57">_xlfn.IFS(Table1[[#This Row],[lead_time_days]]&lt;=7,"0-7 days",N57&lt;=14,"8-14 days",N57&lt;=30,"15-30 days",N57&lt;=60,"31-60 days",TRUE,"61+ days")</f>
        <v>15-30 days</v>
      </c>
      <c r="P57" t="s">
        <v>55</v>
      </c>
      <c r="Q57" t="s">
        <v>21</v>
      </c>
      <c r="R57">
        <v>0</v>
      </c>
      <c r="S57" t="str">
        <f>IF(Table1[prior_dna_count]&gt;=1,"Has prior DNA history","No prior DNA history")</f>
        <v>No prior DNA history</v>
      </c>
      <c r="T57" t="s">
        <v>22</v>
      </c>
      <c r="U57" t="str">
        <f t="shared" si="0"/>
        <v>1</v>
      </c>
      <c r="V57" t="str">
        <f>IF(Table1[appointment_status]="Attended","1","0")</f>
        <v>1</v>
      </c>
      <c r="W57" t="str">
        <f>IF(Table1[appointment_status]="Cancelled","1","0")</f>
        <v>0</v>
      </c>
    </row>
    <row r="58" spans="1:23">
      <c r="A58" t="s">
        <v>152</v>
      </c>
      <c r="B58" t="s">
        <v>54</v>
      </c>
      <c r="C58">
        <v>79</v>
      </c>
      <c r="D58" t="str" cm="1">
        <f t="array" ref="D58">_xlfn.IFS(Table1[[#This Row],[age]]&lt;=17,"0-17",C58&lt;=29,"18-29",C58&lt;=44,"30-44",C58&lt;=59,"45-59",C58&lt;=74,"60-74",TRUE,"75+")</f>
        <v>75+</v>
      </c>
      <c r="E58" t="s">
        <v>29</v>
      </c>
      <c r="F58">
        <v>9</v>
      </c>
      <c r="G58" t="str" cm="1">
        <f t="array" ref="G58">_xlfn.IFS(_xlfn.SINGLE(Table1[imd_decile])&lt;=3,"Most Deprived",F58&lt;=7,"Moderately Deprived",F58&lt;=10,"Least Deprived")</f>
        <v>Least Deprived</v>
      </c>
      <c r="H58">
        <v>6.5</v>
      </c>
      <c r="I58" t="s">
        <v>25</v>
      </c>
      <c r="J58" t="s">
        <v>19</v>
      </c>
      <c r="K58" s="1">
        <v>45671</v>
      </c>
      <c r="L58" s="1">
        <v>45689</v>
      </c>
      <c r="M58" s="1" t="str">
        <f>TEXT(Table1[[#This Row],[appointment_date]],"MM/YYYY")</f>
        <v>02/2025</v>
      </c>
      <c r="N58">
        <v>18</v>
      </c>
      <c r="O58" t="str" cm="1">
        <f t="array" ref="O58">_xlfn.IFS(Table1[[#This Row],[lead_time_days]]&lt;=7,"0-7 days",N58&lt;=14,"8-14 days",N58&lt;=30,"15-30 days",N58&lt;=60,"31-60 days",TRUE,"61+ days")</f>
        <v>15-30 days</v>
      </c>
      <c r="P58" t="s">
        <v>55</v>
      </c>
      <c r="Q58" t="s">
        <v>32</v>
      </c>
      <c r="R58">
        <v>0</v>
      </c>
      <c r="S58" t="str">
        <f>IF(Table1[prior_dna_count]&gt;=1,"Has prior DNA history","No prior DNA history")</f>
        <v>No prior DNA history</v>
      </c>
      <c r="T58" t="s">
        <v>22</v>
      </c>
      <c r="U58" t="str">
        <f t="shared" si="0"/>
        <v>1</v>
      </c>
      <c r="V58" t="str">
        <f>IF(Table1[appointment_status]="Attended","1","0")</f>
        <v>1</v>
      </c>
      <c r="W58" t="str">
        <f>IF(Table1[appointment_status]="Cancelled","1","0")</f>
        <v>0</v>
      </c>
    </row>
    <row r="59" spans="1:23">
      <c r="A59" t="s">
        <v>153</v>
      </c>
      <c r="B59" t="s">
        <v>154</v>
      </c>
      <c r="C59">
        <v>59</v>
      </c>
      <c r="D59" t="str" cm="1">
        <f t="array" ref="D59">_xlfn.IFS(Table1[[#This Row],[age]]&lt;=17,"0-17",C59&lt;=29,"18-29",C59&lt;=44,"30-44",C59&lt;=59,"45-59",C59&lt;=74,"60-74",TRUE,"75+")</f>
        <v>45-59</v>
      </c>
      <c r="E59" t="s">
        <v>29</v>
      </c>
      <c r="F59">
        <v>7</v>
      </c>
      <c r="G59" t="str" cm="1">
        <f t="array" ref="G59">_xlfn.IFS(_xlfn.SINGLE(Table1[imd_decile])&lt;=3,"Most Deprived",F59&lt;=7,"Moderately Deprived",F59&lt;=10,"Least Deprived")</f>
        <v>Moderately Deprived</v>
      </c>
      <c r="H59">
        <v>4.5</v>
      </c>
      <c r="I59" t="s">
        <v>155</v>
      </c>
      <c r="J59" t="s">
        <v>19</v>
      </c>
      <c r="K59" s="1">
        <v>45664</v>
      </c>
      <c r="L59" s="1">
        <v>45689</v>
      </c>
      <c r="M59" s="1" t="str">
        <f>TEXT(Table1[[#This Row],[appointment_date]],"MM/YYYY")</f>
        <v>02/2025</v>
      </c>
      <c r="N59">
        <v>25</v>
      </c>
      <c r="O59" t="str" cm="1">
        <f t="array" ref="O59">_xlfn.IFS(Table1[[#This Row],[lead_time_days]]&lt;=7,"0-7 days",N59&lt;=14,"8-14 days",N59&lt;=30,"15-30 days",N59&lt;=60,"31-60 days",TRUE,"61+ days")</f>
        <v>15-30 days</v>
      </c>
      <c r="P59" t="s">
        <v>55</v>
      </c>
      <c r="Q59" t="s">
        <v>21</v>
      </c>
      <c r="R59">
        <v>0</v>
      </c>
      <c r="S59" t="str">
        <f>IF(Table1[prior_dna_count]&gt;=1,"Has prior DNA history","No prior DNA history")</f>
        <v>No prior DNA history</v>
      </c>
      <c r="T59" t="s">
        <v>22</v>
      </c>
      <c r="U59" t="str">
        <f t="shared" si="0"/>
        <v>1</v>
      </c>
      <c r="V59" t="str">
        <f>IF(Table1[appointment_status]="Attended","1","0")</f>
        <v>1</v>
      </c>
      <c r="W59" t="str">
        <f>IF(Table1[appointment_status]="Cancelled","1","0")</f>
        <v>0</v>
      </c>
    </row>
    <row r="60" spans="1:23">
      <c r="A60" t="s">
        <v>156</v>
      </c>
      <c r="B60" t="s">
        <v>157</v>
      </c>
      <c r="C60">
        <v>21</v>
      </c>
      <c r="D60" t="str" cm="1">
        <f t="array" ref="D60">_xlfn.IFS(Table1[[#This Row],[age]]&lt;=17,"0-17",C60&lt;=29,"18-29",C60&lt;=44,"30-44",C60&lt;=59,"45-59",C60&lt;=74,"60-74",TRUE,"75+")</f>
        <v>18-29</v>
      </c>
      <c r="E60" t="s">
        <v>29</v>
      </c>
      <c r="F60">
        <v>9</v>
      </c>
      <c r="G60" t="str" cm="1">
        <f t="array" ref="G60">_xlfn.IFS(_xlfn.SINGLE(Table1[imd_decile])&lt;=3,"Most Deprived",F60&lt;=7,"Moderately Deprived",F60&lt;=10,"Least Deprived")</f>
        <v>Least Deprived</v>
      </c>
      <c r="H60">
        <v>13.3</v>
      </c>
      <c r="I60" t="s">
        <v>25</v>
      </c>
      <c r="J60" t="s">
        <v>26</v>
      </c>
      <c r="K60" s="1">
        <v>45678</v>
      </c>
      <c r="L60" s="1">
        <v>45690</v>
      </c>
      <c r="M60" s="1" t="str">
        <f>TEXT(Table1[[#This Row],[appointment_date]],"MM/YYYY")</f>
        <v>02/2025</v>
      </c>
      <c r="N60">
        <v>12</v>
      </c>
      <c r="O60" t="str" cm="1">
        <f t="array" ref="O60">_xlfn.IFS(Table1[[#This Row],[lead_time_days]]&lt;=7,"0-7 days",N60&lt;=14,"8-14 days",N60&lt;=30,"15-30 days",N60&lt;=60,"31-60 days",TRUE,"61+ days")</f>
        <v>8-14 days</v>
      </c>
      <c r="P60" t="s">
        <v>31</v>
      </c>
      <c r="Q60" t="s">
        <v>21</v>
      </c>
      <c r="R60">
        <v>0</v>
      </c>
      <c r="S60" t="str">
        <f>IF(Table1[prior_dna_count]&gt;=1,"Has prior DNA history","No prior DNA history")</f>
        <v>No prior DNA history</v>
      </c>
      <c r="T60" t="s">
        <v>22</v>
      </c>
      <c r="U60" t="str">
        <f t="shared" si="0"/>
        <v>1</v>
      </c>
      <c r="V60" t="str">
        <f>IF(Table1[appointment_status]="Attended","1","0")</f>
        <v>1</v>
      </c>
      <c r="W60" t="str">
        <f>IF(Table1[appointment_status]="Cancelled","1","0")</f>
        <v>0</v>
      </c>
    </row>
    <row r="61" spans="1:23">
      <c r="A61" t="s">
        <v>158</v>
      </c>
      <c r="B61" t="s">
        <v>159</v>
      </c>
      <c r="C61">
        <v>21</v>
      </c>
      <c r="D61" t="str" cm="1">
        <f t="array" ref="D61">_xlfn.IFS(Table1[[#This Row],[age]]&lt;=17,"0-17",C61&lt;=29,"18-29",C61&lt;=44,"30-44",C61&lt;=59,"45-59",C61&lt;=74,"60-74",TRUE,"75+")</f>
        <v>18-29</v>
      </c>
      <c r="E61" t="s">
        <v>29</v>
      </c>
      <c r="F61">
        <v>1</v>
      </c>
      <c r="G61" t="str" cm="1">
        <f t="array" ref="G61">_xlfn.IFS(_xlfn.SINGLE(Table1[imd_decile])&lt;=3,"Most Deprived",F61&lt;=7,"Moderately Deprived",F61&lt;=10,"Least Deprived")</f>
        <v>Most Deprived</v>
      </c>
      <c r="H61">
        <v>9.1</v>
      </c>
      <c r="I61" t="s">
        <v>25</v>
      </c>
      <c r="J61" t="s">
        <v>19</v>
      </c>
      <c r="K61" s="1">
        <v>45666</v>
      </c>
      <c r="L61" s="1">
        <v>45690</v>
      </c>
      <c r="M61" s="1" t="str">
        <f>TEXT(Table1[[#This Row],[appointment_date]],"MM/YYYY")</f>
        <v>02/2025</v>
      </c>
      <c r="N61">
        <v>24</v>
      </c>
      <c r="O61" t="str" cm="1">
        <f t="array" ref="O61">_xlfn.IFS(Table1[[#This Row],[lead_time_days]]&lt;=7,"0-7 days",N61&lt;=14,"8-14 days",N61&lt;=30,"15-30 days",N61&lt;=60,"31-60 days",TRUE,"61+ days")</f>
        <v>15-30 days</v>
      </c>
      <c r="P61" t="s">
        <v>31</v>
      </c>
      <c r="Q61" t="s">
        <v>32</v>
      </c>
      <c r="R61">
        <v>1</v>
      </c>
      <c r="S61" t="str">
        <f>IF(Table1[prior_dna_count]&gt;=1,"Has prior DNA history","No prior DNA history")</f>
        <v>Has prior DNA history</v>
      </c>
      <c r="T61" t="s">
        <v>22</v>
      </c>
      <c r="U61" t="str">
        <f t="shared" si="0"/>
        <v>1</v>
      </c>
      <c r="V61" t="str">
        <f>IF(Table1[appointment_status]="Attended","1","0")</f>
        <v>1</v>
      </c>
      <c r="W61" t="str">
        <f>IF(Table1[appointment_status]="Cancelled","1","0")</f>
        <v>0</v>
      </c>
    </row>
    <row r="62" spans="1:23">
      <c r="A62" t="s">
        <v>160</v>
      </c>
      <c r="B62" t="s">
        <v>161</v>
      </c>
      <c r="C62">
        <v>55</v>
      </c>
      <c r="D62" t="str" cm="1">
        <f t="array" ref="D62">_xlfn.IFS(Table1[[#This Row],[age]]&lt;=17,"0-17",C62&lt;=29,"18-29",C62&lt;=44,"30-44",C62&lt;=59,"45-59",C62&lt;=74,"60-74",TRUE,"75+")</f>
        <v>45-59</v>
      </c>
      <c r="E62" t="s">
        <v>29</v>
      </c>
      <c r="F62">
        <v>5</v>
      </c>
      <c r="G62" t="str" cm="1">
        <f t="array" ref="G62">_xlfn.IFS(_xlfn.SINGLE(Table1[imd_decile])&lt;=3,"Most Deprived",F62&lt;=7,"Moderately Deprived",F62&lt;=10,"Least Deprived")</f>
        <v>Moderately Deprived</v>
      </c>
      <c r="H62">
        <v>10.1</v>
      </c>
      <c r="I62" t="s">
        <v>30</v>
      </c>
      <c r="J62" t="s">
        <v>19</v>
      </c>
      <c r="K62" s="1">
        <v>45686</v>
      </c>
      <c r="L62" s="1">
        <v>45690</v>
      </c>
      <c r="M62" s="1" t="str">
        <f>TEXT(Table1[[#This Row],[appointment_date]],"MM/YYYY")</f>
        <v>02/2025</v>
      </c>
      <c r="N62">
        <v>4</v>
      </c>
      <c r="O62" t="str" cm="1">
        <f t="array" ref="O62">_xlfn.IFS(Table1[[#This Row],[lead_time_days]]&lt;=7,"0-7 days",N62&lt;=14,"8-14 days",N62&lt;=30,"15-30 days",N62&lt;=60,"31-60 days",TRUE,"61+ days")</f>
        <v>0-7 days</v>
      </c>
      <c r="P62" t="s">
        <v>31</v>
      </c>
      <c r="Q62" t="s">
        <v>21</v>
      </c>
      <c r="R62">
        <v>0</v>
      </c>
      <c r="S62" t="str">
        <f>IF(Table1[prior_dna_count]&gt;=1,"Has prior DNA history","No prior DNA history")</f>
        <v>No prior DNA history</v>
      </c>
      <c r="T62" t="s">
        <v>22</v>
      </c>
      <c r="U62" t="str">
        <f t="shared" si="0"/>
        <v>1</v>
      </c>
      <c r="V62" t="str">
        <f>IF(Table1[appointment_status]="Attended","1","0")</f>
        <v>1</v>
      </c>
      <c r="W62" t="str">
        <f>IF(Table1[appointment_status]="Cancelled","1","0")</f>
        <v>0</v>
      </c>
    </row>
    <row r="63" spans="1:23">
      <c r="A63" t="s">
        <v>162</v>
      </c>
      <c r="B63" t="s">
        <v>163</v>
      </c>
      <c r="C63">
        <v>44</v>
      </c>
      <c r="D63" t="str" cm="1">
        <f t="array" ref="D63">_xlfn.IFS(Table1[[#This Row],[age]]&lt;=17,"0-17",C63&lt;=29,"18-29",C63&lt;=44,"30-44",C63&lt;=59,"45-59",C63&lt;=74,"60-74",TRUE,"75+")</f>
        <v>30-44</v>
      </c>
      <c r="E63" t="s">
        <v>29</v>
      </c>
      <c r="F63">
        <v>8</v>
      </c>
      <c r="G63" t="str" cm="1">
        <f t="array" ref="G63">_xlfn.IFS(_xlfn.SINGLE(Table1[imd_decile])&lt;=3,"Most Deprived",F63&lt;=7,"Moderately Deprived",F63&lt;=10,"Least Deprived")</f>
        <v>Least Deprived</v>
      </c>
      <c r="H63">
        <v>7.4</v>
      </c>
      <c r="I63" t="s">
        <v>18</v>
      </c>
      <c r="J63" t="s">
        <v>19</v>
      </c>
      <c r="K63" s="1">
        <v>45669</v>
      </c>
      <c r="L63" s="1">
        <v>45690</v>
      </c>
      <c r="M63" s="1" t="str">
        <f>TEXT(Table1[[#This Row],[appointment_date]],"MM/YYYY")</f>
        <v>02/2025</v>
      </c>
      <c r="N63">
        <v>21</v>
      </c>
      <c r="O63" t="str" cm="1">
        <f t="array" ref="O63">_xlfn.IFS(Table1[[#This Row],[lead_time_days]]&lt;=7,"0-7 days",N63&lt;=14,"8-14 days",N63&lt;=30,"15-30 days",N63&lt;=60,"31-60 days",TRUE,"61+ days")</f>
        <v>15-30 days</v>
      </c>
      <c r="P63" t="s">
        <v>31</v>
      </c>
      <c r="Q63" t="s">
        <v>32</v>
      </c>
      <c r="R63">
        <v>0</v>
      </c>
      <c r="S63" t="str">
        <f>IF(Table1[prior_dna_count]&gt;=1,"Has prior DNA history","No prior DNA history")</f>
        <v>No prior DNA history</v>
      </c>
      <c r="T63" t="s">
        <v>22</v>
      </c>
      <c r="U63" t="str">
        <f t="shared" si="0"/>
        <v>1</v>
      </c>
      <c r="V63" t="str">
        <f>IF(Table1[appointment_status]="Attended","1","0")</f>
        <v>1</v>
      </c>
      <c r="W63" t="str">
        <f>IF(Table1[appointment_status]="Cancelled","1","0")</f>
        <v>0</v>
      </c>
    </row>
    <row r="64" spans="1:23">
      <c r="A64" t="s">
        <v>164</v>
      </c>
      <c r="B64" t="s">
        <v>165</v>
      </c>
      <c r="C64">
        <v>53</v>
      </c>
      <c r="D64" t="str" cm="1">
        <f t="array" ref="D64">_xlfn.IFS(Table1[[#This Row],[age]]&lt;=17,"0-17",C64&lt;=29,"18-29",C64&lt;=44,"30-44",C64&lt;=59,"45-59",C64&lt;=74,"60-74",TRUE,"75+")</f>
        <v>45-59</v>
      </c>
      <c r="E64" t="s">
        <v>29</v>
      </c>
      <c r="F64">
        <v>4</v>
      </c>
      <c r="G64" t="str" cm="1">
        <f t="array" ref="G64">_xlfn.IFS(_xlfn.SINGLE(Table1[imd_decile])&lt;=3,"Most Deprived",F64&lt;=7,"Moderately Deprived",F64&lt;=10,"Least Deprived")</f>
        <v>Moderately Deprived</v>
      </c>
      <c r="H64">
        <v>8.6999999999999993</v>
      </c>
      <c r="I64" t="s">
        <v>58</v>
      </c>
      <c r="J64" t="s">
        <v>19</v>
      </c>
      <c r="K64" s="1">
        <v>45672</v>
      </c>
      <c r="L64" s="1">
        <v>45690</v>
      </c>
      <c r="M64" s="1" t="str">
        <f>TEXT(Table1[[#This Row],[appointment_date]],"MM/YYYY")</f>
        <v>02/2025</v>
      </c>
      <c r="N64">
        <v>18</v>
      </c>
      <c r="O64" t="str" cm="1">
        <f t="array" ref="O64">_xlfn.IFS(Table1[[#This Row],[lead_time_days]]&lt;=7,"0-7 days",N64&lt;=14,"8-14 days",N64&lt;=30,"15-30 days",N64&lt;=60,"31-60 days",TRUE,"61+ days")</f>
        <v>15-30 days</v>
      </c>
      <c r="P64" t="s">
        <v>31</v>
      </c>
      <c r="Q64" t="s">
        <v>21</v>
      </c>
      <c r="R64">
        <v>1</v>
      </c>
      <c r="S64" t="str">
        <f>IF(Table1[prior_dna_count]&gt;=1,"Has prior DNA history","No prior DNA history")</f>
        <v>Has prior DNA history</v>
      </c>
      <c r="T64" t="s">
        <v>22</v>
      </c>
      <c r="U64" t="str">
        <f t="shared" si="0"/>
        <v>1</v>
      </c>
      <c r="V64" t="str">
        <f>IF(Table1[appointment_status]="Attended","1","0")</f>
        <v>1</v>
      </c>
      <c r="W64" t="str">
        <f>IF(Table1[appointment_status]="Cancelled","1","0")</f>
        <v>0</v>
      </c>
    </row>
    <row r="65" spans="1:23">
      <c r="A65" t="s">
        <v>166</v>
      </c>
      <c r="B65" t="s">
        <v>167</v>
      </c>
      <c r="C65">
        <v>36</v>
      </c>
      <c r="D65" t="str" cm="1">
        <f t="array" ref="D65">_xlfn.IFS(Table1[[#This Row],[age]]&lt;=17,"0-17",C65&lt;=29,"18-29",C65&lt;=44,"30-44",C65&lt;=59,"45-59",C65&lt;=74,"60-74",TRUE,"75+")</f>
        <v>30-44</v>
      </c>
      <c r="E65" t="s">
        <v>17</v>
      </c>
      <c r="F65">
        <v>10</v>
      </c>
      <c r="G65" t="str" cm="1">
        <f t="array" ref="G65">_xlfn.IFS(_xlfn.SINGLE(Table1[imd_decile])&lt;=3,"Most Deprived",F65&lt;=7,"Moderately Deprived",F65&lt;=10,"Least Deprived")</f>
        <v>Least Deprived</v>
      </c>
      <c r="H65">
        <v>4.2</v>
      </c>
      <c r="I65" t="s">
        <v>30</v>
      </c>
      <c r="J65" t="s">
        <v>26</v>
      </c>
      <c r="K65" s="1">
        <v>45682</v>
      </c>
      <c r="L65" s="1">
        <v>45690</v>
      </c>
      <c r="M65" s="1" t="str">
        <f>TEXT(Table1[[#This Row],[appointment_date]],"MM/YYYY")</f>
        <v>02/2025</v>
      </c>
      <c r="N65">
        <v>8</v>
      </c>
      <c r="O65" t="str" cm="1">
        <f t="array" ref="O65">_xlfn.IFS(Table1[[#This Row],[lead_time_days]]&lt;=7,"0-7 days",N65&lt;=14,"8-14 days",N65&lt;=30,"15-30 days",N65&lt;=60,"31-60 days",TRUE,"61+ days")</f>
        <v>8-14 days</v>
      </c>
      <c r="P65" t="s">
        <v>31</v>
      </c>
      <c r="Q65" t="s">
        <v>32</v>
      </c>
      <c r="R65">
        <v>0</v>
      </c>
      <c r="S65" t="str">
        <f>IF(Table1[prior_dna_count]&gt;=1,"Has prior DNA history","No prior DNA history")</f>
        <v>No prior DNA history</v>
      </c>
      <c r="T65" t="s">
        <v>22</v>
      </c>
      <c r="U65" t="str">
        <f t="shared" si="0"/>
        <v>1</v>
      </c>
      <c r="V65" t="str">
        <f>IF(Table1[appointment_status]="Attended","1","0")</f>
        <v>1</v>
      </c>
      <c r="W65" t="str">
        <f>IF(Table1[appointment_status]="Cancelled","1","0")</f>
        <v>0</v>
      </c>
    </row>
    <row r="66" spans="1:23">
      <c r="A66" t="s">
        <v>168</v>
      </c>
      <c r="B66" t="s">
        <v>169</v>
      </c>
      <c r="C66">
        <v>44</v>
      </c>
      <c r="D66" t="str" cm="1">
        <f t="array" ref="D66">_xlfn.IFS(Table1[[#This Row],[age]]&lt;=17,"0-17",C66&lt;=29,"18-29",C66&lt;=44,"30-44",C66&lt;=59,"45-59",C66&lt;=74,"60-74",TRUE,"75+")</f>
        <v>30-44</v>
      </c>
      <c r="E66" t="s">
        <v>17</v>
      </c>
      <c r="F66">
        <v>3</v>
      </c>
      <c r="G66" t="str" cm="1">
        <f t="array" ref="G66">_xlfn.IFS(_xlfn.SINGLE(Table1[imd_decile])&lt;=3,"Most Deprived",F66&lt;=7,"Moderately Deprived",F66&lt;=10,"Least Deprived")</f>
        <v>Most Deprived</v>
      </c>
      <c r="H66">
        <v>6.6</v>
      </c>
      <c r="I66" t="s">
        <v>25</v>
      </c>
      <c r="J66" t="s">
        <v>19</v>
      </c>
      <c r="K66" s="1">
        <v>45666</v>
      </c>
      <c r="L66" s="1">
        <v>45691</v>
      </c>
      <c r="M66" s="1" t="str">
        <f>TEXT(Table1[[#This Row],[appointment_date]],"MM/YYYY")</f>
        <v>02/2025</v>
      </c>
      <c r="N66">
        <v>25</v>
      </c>
      <c r="O66" t="str" cm="1">
        <f t="array" ref="O66">_xlfn.IFS(Table1[[#This Row],[lead_time_days]]&lt;=7,"0-7 days",N66&lt;=14,"8-14 days",N66&lt;=30,"15-30 days",N66&lt;=60,"31-60 days",TRUE,"61+ days")</f>
        <v>15-30 days</v>
      </c>
      <c r="P66" t="s">
        <v>35</v>
      </c>
      <c r="Q66" t="s">
        <v>21</v>
      </c>
      <c r="R66">
        <v>0</v>
      </c>
      <c r="S66" t="str">
        <f>IF(Table1[prior_dna_count]&gt;=1,"Has prior DNA history","No prior DNA history")</f>
        <v>No prior DNA history</v>
      </c>
      <c r="T66" t="s">
        <v>22</v>
      </c>
      <c r="U66" t="str">
        <f t="shared" ref="U66:U129" si="1">V65</f>
        <v>1</v>
      </c>
      <c r="V66" t="str">
        <f>IF(Table1[appointment_status]="Attended","1","0")</f>
        <v>1</v>
      </c>
      <c r="W66" t="str">
        <f>IF(Table1[appointment_status]="Cancelled","1","0")</f>
        <v>0</v>
      </c>
    </row>
    <row r="67" spans="1:23">
      <c r="A67" t="s">
        <v>170</v>
      </c>
      <c r="B67" t="s">
        <v>171</v>
      </c>
      <c r="C67">
        <v>14</v>
      </c>
      <c r="D67" t="str" cm="1">
        <f t="array" ref="D67">_xlfn.IFS(Table1[[#This Row],[age]]&lt;=17,"0-17",C67&lt;=29,"18-29",C67&lt;=44,"30-44",C67&lt;=59,"45-59",C67&lt;=74,"60-74",TRUE,"75+")</f>
        <v>0-17</v>
      </c>
      <c r="E67" t="s">
        <v>29</v>
      </c>
      <c r="F67">
        <v>4</v>
      </c>
      <c r="G67" t="str" cm="1">
        <f t="array" ref="G67">_xlfn.IFS(_xlfn.SINGLE(Table1[imd_decile])&lt;=3,"Most Deprived",F67&lt;=7,"Moderately Deprived",F67&lt;=10,"Least Deprived")</f>
        <v>Moderately Deprived</v>
      </c>
      <c r="H67">
        <v>6.7</v>
      </c>
      <c r="I67" t="s">
        <v>30</v>
      </c>
      <c r="J67" t="s">
        <v>26</v>
      </c>
      <c r="K67" s="1">
        <v>45663</v>
      </c>
      <c r="L67" s="1">
        <v>45691</v>
      </c>
      <c r="M67" s="1" t="str">
        <f>TEXT(Table1[[#This Row],[appointment_date]],"MM/YYYY")</f>
        <v>02/2025</v>
      </c>
      <c r="N67">
        <v>28</v>
      </c>
      <c r="O67" t="str" cm="1">
        <f t="array" ref="O67">_xlfn.IFS(Table1[[#This Row],[lead_time_days]]&lt;=7,"0-7 days",N67&lt;=14,"8-14 days",N67&lt;=30,"15-30 days",N67&lt;=60,"31-60 days",TRUE,"61+ days")</f>
        <v>15-30 days</v>
      </c>
      <c r="P67" t="s">
        <v>35</v>
      </c>
      <c r="Q67" t="s">
        <v>32</v>
      </c>
      <c r="R67">
        <v>0</v>
      </c>
      <c r="S67" t="str">
        <f>IF(Table1[prior_dna_count]&gt;=1,"Has prior DNA history","No prior DNA history")</f>
        <v>No prior DNA history</v>
      </c>
      <c r="T67" t="s">
        <v>22</v>
      </c>
      <c r="U67" t="str">
        <f t="shared" si="1"/>
        <v>1</v>
      </c>
      <c r="V67" t="str">
        <f>IF(Table1[appointment_status]="Attended","1","0")</f>
        <v>1</v>
      </c>
      <c r="W67" t="str">
        <f>IF(Table1[appointment_status]="Cancelled","1","0")</f>
        <v>0</v>
      </c>
    </row>
    <row r="68" spans="1:23">
      <c r="A68" t="s">
        <v>172</v>
      </c>
      <c r="B68" t="s">
        <v>173</v>
      </c>
      <c r="C68">
        <v>40</v>
      </c>
      <c r="D68" t="str" cm="1">
        <f t="array" ref="D68">_xlfn.IFS(Table1[[#This Row],[age]]&lt;=17,"0-17",C68&lt;=29,"18-29",C68&lt;=44,"30-44",C68&lt;=59,"45-59",C68&lt;=74,"60-74",TRUE,"75+")</f>
        <v>30-44</v>
      </c>
      <c r="E68" t="s">
        <v>29</v>
      </c>
      <c r="F68">
        <v>6</v>
      </c>
      <c r="G68" t="str" cm="1">
        <f t="array" ref="G68">_xlfn.IFS(_xlfn.SINGLE(Table1[imd_decile])&lt;=3,"Most Deprived",F68&lt;=7,"Moderately Deprived",F68&lt;=10,"Least Deprived")</f>
        <v>Moderately Deprived</v>
      </c>
      <c r="H68">
        <v>13.9</v>
      </c>
      <c r="I68" t="s">
        <v>42</v>
      </c>
      <c r="J68" t="s">
        <v>26</v>
      </c>
      <c r="K68" s="1">
        <v>45674</v>
      </c>
      <c r="L68" s="1">
        <v>45692</v>
      </c>
      <c r="M68" s="1" t="str">
        <f>TEXT(Table1[[#This Row],[appointment_date]],"MM/YYYY")</f>
        <v>02/2025</v>
      </c>
      <c r="N68">
        <v>18</v>
      </c>
      <c r="O68" t="str" cm="1">
        <f t="array" ref="O68">_xlfn.IFS(Table1[[#This Row],[lead_time_days]]&lt;=7,"0-7 days",N68&lt;=14,"8-14 days",N68&lt;=30,"15-30 days",N68&lt;=60,"31-60 days",TRUE,"61+ days")</f>
        <v>15-30 days</v>
      </c>
      <c r="P68" t="s">
        <v>71</v>
      </c>
      <c r="Q68" t="s">
        <v>32</v>
      </c>
      <c r="R68">
        <v>0</v>
      </c>
      <c r="S68" t="str">
        <f>IF(Table1[prior_dna_count]&gt;=1,"Has prior DNA history","No prior DNA history")</f>
        <v>No prior DNA history</v>
      </c>
      <c r="T68" t="s">
        <v>22</v>
      </c>
      <c r="U68" t="str">
        <f t="shared" si="1"/>
        <v>1</v>
      </c>
      <c r="V68" t="str">
        <f>IF(Table1[appointment_status]="Attended","1","0")</f>
        <v>1</v>
      </c>
      <c r="W68" t="str">
        <f>IF(Table1[appointment_status]="Cancelled","1","0")</f>
        <v>0</v>
      </c>
    </row>
    <row r="69" spans="1:23">
      <c r="A69" t="s">
        <v>174</v>
      </c>
      <c r="B69" t="s">
        <v>175</v>
      </c>
      <c r="C69">
        <v>61</v>
      </c>
      <c r="D69" t="str" cm="1">
        <f t="array" ref="D69">_xlfn.IFS(Table1[[#This Row],[age]]&lt;=17,"0-17",C69&lt;=29,"18-29",C69&lt;=44,"30-44",C69&lt;=59,"45-59",C69&lt;=74,"60-74",TRUE,"75+")</f>
        <v>60-74</v>
      </c>
      <c r="E69" t="s">
        <v>17</v>
      </c>
      <c r="F69">
        <v>5</v>
      </c>
      <c r="G69" t="str" cm="1">
        <f t="array" ref="G69">_xlfn.IFS(_xlfn.SINGLE(Table1[imd_decile])&lt;=3,"Most Deprived",F69&lt;=7,"Moderately Deprived",F69&lt;=10,"Least Deprived")</f>
        <v>Moderately Deprived</v>
      </c>
      <c r="H69">
        <v>11.9</v>
      </c>
      <c r="I69" t="s">
        <v>42</v>
      </c>
      <c r="J69" t="s">
        <v>19</v>
      </c>
      <c r="K69" s="1">
        <v>45676</v>
      </c>
      <c r="L69" s="1">
        <v>45692</v>
      </c>
      <c r="M69" s="1" t="str">
        <f>TEXT(Table1[[#This Row],[appointment_date]],"MM/YYYY")</f>
        <v>02/2025</v>
      </c>
      <c r="N69">
        <v>16</v>
      </c>
      <c r="O69" t="str" cm="1">
        <f t="array" ref="O69">_xlfn.IFS(Table1[[#This Row],[lead_time_days]]&lt;=7,"0-7 days",N69&lt;=14,"8-14 days",N69&lt;=30,"15-30 days",N69&lt;=60,"31-60 days",TRUE,"61+ days")</f>
        <v>15-30 days</v>
      </c>
      <c r="P69" t="s">
        <v>71</v>
      </c>
      <c r="Q69" t="s">
        <v>21</v>
      </c>
      <c r="R69">
        <v>0</v>
      </c>
      <c r="S69" t="str">
        <f>IF(Table1[prior_dna_count]&gt;=1,"Has prior DNA history","No prior DNA history")</f>
        <v>No prior DNA history</v>
      </c>
      <c r="T69" t="s">
        <v>22</v>
      </c>
      <c r="U69" t="str">
        <f t="shared" si="1"/>
        <v>1</v>
      </c>
      <c r="V69" t="str">
        <f>IF(Table1[appointment_status]="Attended","1","0")</f>
        <v>1</v>
      </c>
      <c r="W69" t="str">
        <f>IF(Table1[appointment_status]="Cancelled","1","0")</f>
        <v>0</v>
      </c>
    </row>
    <row r="70" spans="1:23">
      <c r="A70" t="s">
        <v>176</v>
      </c>
      <c r="B70" t="s">
        <v>177</v>
      </c>
      <c r="C70">
        <v>75</v>
      </c>
      <c r="D70" t="str" cm="1">
        <f t="array" ref="D70">_xlfn.IFS(Table1[[#This Row],[age]]&lt;=17,"0-17",C70&lt;=29,"18-29",C70&lt;=44,"30-44",C70&lt;=59,"45-59",C70&lt;=74,"60-74",TRUE,"75+")</f>
        <v>75+</v>
      </c>
      <c r="E70" t="s">
        <v>17</v>
      </c>
      <c r="F70">
        <v>10</v>
      </c>
      <c r="G70" t="str" cm="1">
        <f t="array" ref="G70">_xlfn.IFS(_xlfn.SINGLE(Table1[imd_decile])&lt;=3,"Most Deprived",F70&lt;=7,"Moderately Deprived",F70&lt;=10,"Least Deprived")</f>
        <v>Least Deprived</v>
      </c>
      <c r="H70">
        <v>3.4</v>
      </c>
      <c r="I70" t="s">
        <v>45</v>
      </c>
      <c r="J70" t="s">
        <v>19</v>
      </c>
      <c r="K70" s="1">
        <v>45673</v>
      </c>
      <c r="L70" s="1">
        <v>45692</v>
      </c>
      <c r="M70" s="1" t="str">
        <f>TEXT(Table1[[#This Row],[appointment_date]],"MM/YYYY")</f>
        <v>02/2025</v>
      </c>
      <c r="N70">
        <v>19</v>
      </c>
      <c r="O70" t="str" cm="1">
        <f t="array" ref="O70">_xlfn.IFS(Table1[[#This Row],[lead_time_days]]&lt;=7,"0-7 days",N70&lt;=14,"8-14 days",N70&lt;=30,"15-30 days",N70&lt;=60,"31-60 days",TRUE,"61+ days")</f>
        <v>15-30 days</v>
      </c>
      <c r="P70" t="s">
        <v>71</v>
      </c>
      <c r="Q70" t="s">
        <v>32</v>
      </c>
      <c r="R70">
        <v>0</v>
      </c>
      <c r="S70" t="str">
        <f>IF(Table1[prior_dna_count]&gt;=1,"Has prior DNA history","No prior DNA history")</f>
        <v>No prior DNA history</v>
      </c>
      <c r="T70" t="s">
        <v>22</v>
      </c>
      <c r="U70" t="str">
        <f t="shared" si="1"/>
        <v>1</v>
      </c>
      <c r="V70" t="str">
        <f>IF(Table1[appointment_status]="Attended","1","0")</f>
        <v>1</v>
      </c>
      <c r="W70" t="str">
        <f>IF(Table1[appointment_status]="Cancelled","1","0")</f>
        <v>0</v>
      </c>
    </row>
    <row r="71" spans="1:23">
      <c r="A71" t="s">
        <v>178</v>
      </c>
      <c r="B71" t="s">
        <v>179</v>
      </c>
      <c r="C71">
        <v>72</v>
      </c>
      <c r="D71" t="str" cm="1">
        <f t="array" ref="D71">_xlfn.IFS(Table1[[#This Row],[age]]&lt;=17,"0-17",C71&lt;=29,"18-29",C71&lt;=44,"30-44",C71&lt;=59,"45-59",C71&lt;=74,"60-74",TRUE,"75+")</f>
        <v>60-74</v>
      </c>
      <c r="E71" t="s">
        <v>17</v>
      </c>
      <c r="F71">
        <v>4</v>
      </c>
      <c r="G71" t="str" cm="1">
        <f t="array" ref="G71">_xlfn.IFS(_xlfn.SINGLE(Table1[imd_decile])&lt;=3,"Most Deprived",F71&lt;=7,"Moderately Deprived",F71&lt;=10,"Least Deprived")</f>
        <v>Moderately Deprived</v>
      </c>
      <c r="H71">
        <v>22.9</v>
      </c>
      <c r="I71" t="s">
        <v>30</v>
      </c>
      <c r="J71" t="s">
        <v>26</v>
      </c>
      <c r="K71" s="1">
        <v>45668</v>
      </c>
      <c r="L71" s="1">
        <v>45692</v>
      </c>
      <c r="M71" s="1" t="str">
        <f>TEXT(Table1[[#This Row],[appointment_date]],"MM/YYYY")</f>
        <v>02/2025</v>
      </c>
      <c r="N71">
        <v>24</v>
      </c>
      <c r="O71" t="str" cm="1">
        <f t="array" ref="O71">_xlfn.IFS(Table1[[#This Row],[lead_time_days]]&lt;=7,"0-7 days",N71&lt;=14,"8-14 days",N71&lt;=30,"15-30 days",N71&lt;=60,"31-60 days",TRUE,"61+ days")</f>
        <v>15-30 days</v>
      </c>
      <c r="P71" t="s">
        <v>71</v>
      </c>
      <c r="Q71" t="s">
        <v>21</v>
      </c>
      <c r="R71">
        <v>0</v>
      </c>
      <c r="S71" t="str">
        <f>IF(Table1[prior_dna_count]&gt;=1,"Has prior DNA history","No prior DNA history")</f>
        <v>No prior DNA history</v>
      </c>
      <c r="T71" t="s">
        <v>22</v>
      </c>
      <c r="U71" t="str">
        <f t="shared" si="1"/>
        <v>1</v>
      </c>
      <c r="V71" t="str">
        <f>IF(Table1[appointment_status]="Attended","1","0")</f>
        <v>1</v>
      </c>
      <c r="W71" t="str">
        <f>IF(Table1[appointment_status]="Cancelled","1","0")</f>
        <v>0</v>
      </c>
    </row>
    <row r="72" spans="1:23">
      <c r="A72" t="s">
        <v>180</v>
      </c>
      <c r="B72" t="s">
        <v>181</v>
      </c>
      <c r="C72">
        <v>45</v>
      </c>
      <c r="D72" t="str" cm="1">
        <f t="array" ref="D72">_xlfn.IFS(Table1[[#This Row],[age]]&lt;=17,"0-17",C72&lt;=29,"18-29",C72&lt;=44,"30-44",C72&lt;=59,"45-59",C72&lt;=74,"60-74",TRUE,"75+")</f>
        <v>45-59</v>
      </c>
      <c r="E72" t="s">
        <v>29</v>
      </c>
      <c r="F72">
        <v>3</v>
      </c>
      <c r="G72" t="str" cm="1">
        <f t="array" ref="G72">_xlfn.IFS(_xlfn.SINGLE(Table1[imd_decile])&lt;=3,"Most Deprived",F72&lt;=7,"Moderately Deprived",F72&lt;=10,"Least Deprived")</f>
        <v>Most Deprived</v>
      </c>
      <c r="H72">
        <v>5.0999999999999996</v>
      </c>
      <c r="I72" t="s">
        <v>49</v>
      </c>
      <c r="J72" t="s">
        <v>19</v>
      </c>
      <c r="K72" s="1">
        <v>45674</v>
      </c>
      <c r="L72" s="1">
        <v>45692</v>
      </c>
      <c r="M72" s="1" t="str">
        <f>TEXT(Table1[[#This Row],[appointment_date]],"MM/YYYY")</f>
        <v>02/2025</v>
      </c>
      <c r="N72">
        <v>18</v>
      </c>
      <c r="O72" t="str" cm="1">
        <f t="array" ref="O72">_xlfn.IFS(Table1[[#This Row],[lead_time_days]]&lt;=7,"0-7 days",N72&lt;=14,"8-14 days",N72&lt;=30,"15-30 days",N72&lt;=60,"31-60 days",TRUE,"61+ days")</f>
        <v>15-30 days</v>
      </c>
      <c r="P72" t="s">
        <v>71</v>
      </c>
      <c r="Q72" t="s">
        <v>21</v>
      </c>
      <c r="R72">
        <v>0</v>
      </c>
      <c r="S72" t="str">
        <f>IF(Table1[prior_dna_count]&gt;=1,"Has prior DNA history","No prior DNA history")</f>
        <v>No prior DNA history</v>
      </c>
      <c r="T72" t="s">
        <v>22</v>
      </c>
      <c r="U72" t="str">
        <f t="shared" si="1"/>
        <v>1</v>
      </c>
      <c r="V72" t="str">
        <f>IF(Table1[appointment_status]="Attended","1","0")</f>
        <v>1</v>
      </c>
      <c r="W72" t="str">
        <f>IF(Table1[appointment_status]="Cancelled","1","0")</f>
        <v>0</v>
      </c>
    </row>
    <row r="73" spans="1:23">
      <c r="A73" t="s">
        <v>182</v>
      </c>
      <c r="B73" t="s">
        <v>183</v>
      </c>
      <c r="C73">
        <v>36</v>
      </c>
      <c r="D73" t="str" cm="1">
        <f t="array" ref="D73">_xlfn.IFS(Table1[[#This Row],[age]]&lt;=17,"0-17",C73&lt;=29,"18-29",C73&lt;=44,"30-44",C73&lt;=59,"45-59",C73&lt;=74,"60-74",TRUE,"75+")</f>
        <v>30-44</v>
      </c>
      <c r="E73" t="s">
        <v>17</v>
      </c>
      <c r="F73">
        <v>7</v>
      </c>
      <c r="G73" t="str" cm="1">
        <f t="array" ref="G73">_xlfn.IFS(_xlfn.SINGLE(Table1[imd_decile])&lt;=3,"Most Deprived",F73&lt;=7,"Moderately Deprived",F73&lt;=10,"Least Deprived")</f>
        <v>Moderately Deprived</v>
      </c>
      <c r="H73">
        <v>9.1999999999999993</v>
      </c>
      <c r="I73" t="s">
        <v>49</v>
      </c>
      <c r="J73" t="s">
        <v>26</v>
      </c>
      <c r="K73" s="1">
        <v>45666</v>
      </c>
      <c r="L73" s="1">
        <v>45692</v>
      </c>
      <c r="M73" s="1" t="str">
        <f>TEXT(Table1[[#This Row],[appointment_date]],"MM/YYYY")</f>
        <v>02/2025</v>
      </c>
      <c r="N73">
        <v>26</v>
      </c>
      <c r="O73" t="str" cm="1">
        <f t="array" ref="O73">_xlfn.IFS(Table1[[#This Row],[lead_time_days]]&lt;=7,"0-7 days",N73&lt;=14,"8-14 days",N73&lt;=30,"15-30 days",N73&lt;=60,"31-60 days",TRUE,"61+ days")</f>
        <v>15-30 days</v>
      </c>
      <c r="P73" t="s">
        <v>71</v>
      </c>
      <c r="Q73" t="s">
        <v>21</v>
      </c>
      <c r="R73">
        <v>0</v>
      </c>
      <c r="S73" t="str">
        <f>IF(Table1[prior_dna_count]&gt;=1,"Has prior DNA history","No prior DNA history")</f>
        <v>No prior DNA history</v>
      </c>
      <c r="T73" t="s">
        <v>22</v>
      </c>
      <c r="U73" t="str">
        <f t="shared" si="1"/>
        <v>1</v>
      </c>
      <c r="V73" t="str">
        <f>IF(Table1[appointment_status]="Attended","1","0")</f>
        <v>1</v>
      </c>
      <c r="W73" t="str">
        <f>IF(Table1[appointment_status]="Cancelled","1","0")</f>
        <v>0</v>
      </c>
    </row>
    <row r="74" spans="1:23">
      <c r="A74" t="s">
        <v>184</v>
      </c>
      <c r="B74" t="s">
        <v>185</v>
      </c>
      <c r="C74">
        <v>75</v>
      </c>
      <c r="D74" t="str" cm="1">
        <f t="array" ref="D74">_xlfn.IFS(Table1[[#This Row],[age]]&lt;=17,"0-17",C74&lt;=29,"18-29",C74&lt;=44,"30-44",C74&lt;=59,"45-59",C74&lt;=74,"60-74",TRUE,"75+")</f>
        <v>75+</v>
      </c>
      <c r="E74" t="s">
        <v>17</v>
      </c>
      <c r="F74">
        <v>5</v>
      </c>
      <c r="G74" t="str" cm="1">
        <f t="array" ref="G74">_xlfn.IFS(_xlfn.SINGLE(Table1[imd_decile])&lt;=3,"Most Deprived",F74&lt;=7,"Moderately Deprived",F74&lt;=10,"Least Deprived")</f>
        <v>Moderately Deprived</v>
      </c>
      <c r="H74">
        <v>4</v>
      </c>
      <c r="I74" t="s">
        <v>30</v>
      </c>
      <c r="J74" t="s">
        <v>19</v>
      </c>
      <c r="K74" s="1">
        <v>45666</v>
      </c>
      <c r="L74" s="1">
        <v>45693</v>
      </c>
      <c r="M74" s="1" t="str">
        <f>TEXT(Table1[[#This Row],[appointment_date]],"MM/YYYY")</f>
        <v>02/2025</v>
      </c>
      <c r="N74">
        <v>27</v>
      </c>
      <c r="O74" t="str" cm="1">
        <f t="array" ref="O74">_xlfn.IFS(Table1[[#This Row],[lead_time_days]]&lt;=7,"0-7 days",N74&lt;=14,"8-14 days",N74&lt;=30,"15-30 days",N74&lt;=60,"31-60 days",TRUE,"61+ days")</f>
        <v>15-30 days</v>
      </c>
      <c r="P74" t="s">
        <v>80</v>
      </c>
      <c r="Q74" t="s">
        <v>21</v>
      </c>
      <c r="R74">
        <v>0</v>
      </c>
      <c r="S74" t="str">
        <f>IF(Table1[prior_dna_count]&gt;=1,"Has prior DNA history","No prior DNA history")</f>
        <v>No prior DNA history</v>
      </c>
      <c r="T74" t="s">
        <v>22</v>
      </c>
      <c r="U74" t="str">
        <f t="shared" si="1"/>
        <v>1</v>
      </c>
      <c r="V74" t="str">
        <f>IF(Table1[appointment_status]="Attended","1","0")</f>
        <v>1</v>
      </c>
      <c r="W74" t="str">
        <f>IF(Table1[appointment_status]="Cancelled","1","0")</f>
        <v>0</v>
      </c>
    </row>
    <row r="75" spans="1:23">
      <c r="A75" t="s">
        <v>186</v>
      </c>
      <c r="B75" t="s">
        <v>187</v>
      </c>
      <c r="C75">
        <v>57</v>
      </c>
      <c r="D75" t="str" cm="1">
        <f t="array" ref="D75">_xlfn.IFS(Table1[[#This Row],[age]]&lt;=17,"0-17",C75&lt;=29,"18-29",C75&lt;=44,"30-44",C75&lt;=59,"45-59",C75&lt;=74,"60-74",TRUE,"75+")</f>
        <v>45-59</v>
      </c>
      <c r="E75" t="s">
        <v>29</v>
      </c>
      <c r="F75">
        <v>1</v>
      </c>
      <c r="G75" t="str" cm="1">
        <f t="array" ref="G75">_xlfn.IFS(_xlfn.SINGLE(Table1[imd_decile])&lt;=3,"Most Deprived",F75&lt;=7,"Moderately Deprived",F75&lt;=10,"Least Deprived")</f>
        <v>Most Deprived</v>
      </c>
      <c r="H75">
        <v>5.0999999999999996</v>
      </c>
      <c r="I75" t="s">
        <v>38</v>
      </c>
      <c r="J75" t="s">
        <v>19</v>
      </c>
      <c r="K75" s="1">
        <v>45668</v>
      </c>
      <c r="L75" s="1">
        <v>45693</v>
      </c>
      <c r="M75" s="1" t="str">
        <f>TEXT(Table1[[#This Row],[appointment_date]],"MM/YYYY")</f>
        <v>02/2025</v>
      </c>
      <c r="N75">
        <v>25</v>
      </c>
      <c r="O75" t="str" cm="1">
        <f t="array" ref="O75">_xlfn.IFS(Table1[[#This Row],[lead_time_days]]&lt;=7,"0-7 days",N75&lt;=14,"8-14 days",N75&lt;=30,"15-30 days",N75&lt;=60,"31-60 days",TRUE,"61+ days")</f>
        <v>15-30 days</v>
      </c>
      <c r="P75" t="s">
        <v>80</v>
      </c>
      <c r="Q75" t="s">
        <v>32</v>
      </c>
      <c r="R75">
        <v>0</v>
      </c>
      <c r="S75" t="str">
        <f>IF(Table1[prior_dna_count]&gt;=1,"Has prior DNA history","No prior DNA history")</f>
        <v>No prior DNA history</v>
      </c>
      <c r="T75" t="s">
        <v>39</v>
      </c>
      <c r="U75" t="str">
        <f t="shared" si="1"/>
        <v>1</v>
      </c>
      <c r="V75" t="str">
        <f>IF(Table1[appointment_status]="Attended","1","0")</f>
        <v>0</v>
      </c>
      <c r="W75" t="str">
        <f>IF(Table1[appointment_status]="Cancelled","1","0")</f>
        <v>0</v>
      </c>
    </row>
    <row r="76" spans="1:23">
      <c r="A76" t="s">
        <v>188</v>
      </c>
      <c r="B76" t="s">
        <v>189</v>
      </c>
      <c r="C76">
        <v>62</v>
      </c>
      <c r="D76" t="str" cm="1">
        <f t="array" ref="D76">_xlfn.IFS(Table1[[#This Row],[age]]&lt;=17,"0-17",C76&lt;=29,"18-29",C76&lt;=44,"30-44",C76&lt;=59,"45-59",C76&lt;=74,"60-74",TRUE,"75+")</f>
        <v>60-74</v>
      </c>
      <c r="E76" t="s">
        <v>17</v>
      </c>
      <c r="F76">
        <v>9</v>
      </c>
      <c r="G76" t="str" cm="1">
        <f t="array" ref="G76">_xlfn.IFS(_xlfn.SINGLE(Table1[imd_decile])&lt;=3,"Most Deprived",F76&lt;=7,"Moderately Deprived",F76&lt;=10,"Least Deprived")</f>
        <v>Least Deprived</v>
      </c>
      <c r="H76">
        <v>7.5</v>
      </c>
      <c r="I76" t="s">
        <v>38</v>
      </c>
      <c r="J76" t="s">
        <v>19</v>
      </c>
      <c r="K76" s="1">
        <v>45679</v>
      </c>
      <c r="L76" s="1">
        <v>45694</v>
      </c>
      <c r="M76" s="1" t="str">
        <f>TEXT(Table1[[#This Row],[appointment_date]],"MM/YYYY")</f>
        <v>02/2025</v>
      </c>
      <c r="N76">
        <v>15</v>
      </c>
      <c r="O76" t="str" cm="1">
        <f t="array" ref="O76">_xlfn.IFS(Table1[[#This Row],[lead_time_days]]&lt;=7,"0-7 days",N76&lt;=14,"8-14 days",N76&lt;=30,"15-30 days",N76&lt;=60,"31-60 days",TRUE,"61+ days")</f>
        <v>15-30 days</v>
      </c>
      <c r="P76" t="s">
        <v>20</v>
      </c>
      <c r="Q76" t="s">
        <v>21</v>
      </c>
      <c r="R76">
        <v>0</v>
      </c>
      <c r="S76" t="str">
        <f>IF(Table1[prior_dna_count]&gt;=1,"Has prior DNA history","No prior DNA history")</f>
        <v>No prior DNA history</v>
      </c>
      <c r="T76" t="s">
        <v>22</v>
      </c>
      <c r="U76" t="str">
        <f t="shared" si="1"/>
        <v>0</v>
      </c>
      <c r="V76" t="str">
        <f>IF(Table1[appointment_status]="Attended","1","0")</f>
        <v>1</v>
      </c>
      <c r="W76" t="str">
        <f>IF(Table1[appointment_status]="Cancelled","1","0")</f>
        <v>0</v>
      </c>
    </row>
    <row r="77" spans="1:23">
      <c r="A77" t="s">
        <v>190</v>
      </c>
      <c r="B77" t="s">
        <v>191</v>
      </c>
      <c r="C77">
        <v>9</v>
      </c>
      <c r="D77" t="str" cm="1">
        <f t="array" ref="D77">_xlfn.IFS(Table1[[#This Row],[age]]&lt;=17,"0-17",C77&lt;=29,"18-29",C77&lt;=44,"30-44",C77&lt;=59,"45-59",C77&lt;=74,"60-74",TRUE,"75+")</f>
        <v>0-17</v>
      </c>
      <c r="E77" t="s">
        <v>17</v>
      </c>
      <c r="F77">
        <v>6</v>
      </c>
      <c r="G77" t="str" cm="1">
        <f t="array" ref="G77">_xlfn.IFS(_xlfn.SINGLE(Table1[imd_decile])&lt;=3,"Most Deprived",F77&lt;=7,"Moderately Deprived",F77&lt;=10,"Least Deprived")</f>
        <v>Moderately Deprived</v>
      </c>
      <c r="H77">
        <v>34.1</v>
      </c>
      <c r="I77" t="s">
        <v>42</v>
      </c>
      <c r="J77" t="s">
        <v>19</v>
      </c>
      <c r="K77" s="1">
        <v>45673</v>
      </c>
      <c r="L77" s="1">
        <v>45694</v>
      </c>
      <c r="M77" s="1" t="str">
        <f>TEXT(Table1[[#This Row],[appointment_date]],"MM/YYYY")</f>
        <v>02/2025</v>
      </c>
      <c r="N77">
        <v>21</v>
      </c>
      <c r="O77" t="str" cm="1">
        <f t="array" ref="O77">_xlfn.IFS(Table1[[#This Row],[lead_time_days]]&lt;=7,"0-7 days",N77&lt;=14,"8-14 days",N77&lt;=30,"15-30 days",N77&lt;=60,"31-60 days",TRUE,"61+ days")</f>
        <v>15-30 days</v>
      </c>
      <c r="P77" t="s">
        <v>20</v>
      </c>
      <c r="Q77" t="s">
        <v>21</v>
      </c>
      <c r="R77">
        <v>0</v>
      </c>
      <c r="S77" t="str">
        <f>IF(Table1[prior_dna_count]&gt;=1,"Has prior DNA history","No prior DNA history")</f>
        <v>No prior DNA history</v>
      </c>
      <c r="T77" t="s">
        <v>22</v>
      </c>
      <c r="U77" t="str">
        <f t="shared" si="1"/>
        <v>1</v>
      </c>
      <c r="V77" t="str">
        <f>IF(Table1[appointment_status]="Attended","1","0")</f>
        <v>1</v>
      </c>
      <c r="W77" t="str">
        <f>IF(Table1[appointment_status]="Cancelled","1","0")</f>
        <v>0</v>
      </c>
    </row>
    <row r="78" spans="1:23">
      <c r="A78" t="s">
        <v>192</v>
      </c>
      <c r="B78" t="s">
        <v>193</v>
      </c>
      <c r="C78">
        <v>27</v>
      </c>
      <c r="D78" t="str" cm="1">
        <f t="array" ref="D78">_xlfn.IFS(Table1[[#This Row],[age]]&lt;=17,"0-17",C78&lt;=29,"18-29",C78&lt;=44,"30-44",C78&lt;=59,"45-59",C78&lt;=74,"60-74",TRUE,"75+")</f>
        <v>18-29</v>
      </c>
      <c r="E78" t="s">
        <v>17</v>
      </c>
      <c r="F78">
        <v>9</v>
      </c>
      <c r="G78" t="str" cm="1">
        <f t="array" ref="G78">_xlfn.IFS(_xlfn.SINGLE(Table1[imd_decile])&lt;=3,"Most Deprived",F78&lt;=7,"Moderately Deprived",F78&lt;=10,"Least Deprived")</f>
        <v>Least Deprived</v>
      </c>
      <c r="H78">
        <v>12.5</v>
      </c>
      <c r="I78" t="s">
        <v>91</v>
      </c>
      <c r="J78" t="s">
        <v>26</v>
      </c>
      <c r="K78" s="1">
        <v>45688</v>
      </c>
      <c r="L78" s="1">
        <v>45694</v>
      </c>
      <c r="M78" s="1" t="str">
        <f>TEXT(Table1[[#This Row],[appointment_date]],"MM/YYYY")</f>
        <v>02/2025</v>
      </c>
      <c r="N78">
        <v>6</v>
      </c>
      <c r="O78" t="str" cm="1">
        <f t="array" ref="O78">_xlfn.IFS(Table1[[#This Row],[lead_time_days]]&lt;=7,"0-7 days",N78&lt;=14,"8-14 days",N78&lt;=30,"15-30 days",N78&lt;=60,"31-60 days",TRUE,"61+ days")</f>
        <v>0-7 days</v>
      </c>
      <c r="P78" t="s">
        <v>20</v>
      </c>
      <c r="Q78" t="s">
        <v>21</v>
      </c>
      <c r="R78">
        <v>0</v>
      </c>
      <c r="S78" t="str">
        <f>IF(Table1[prior_dna_count]&gt;=1,"Has prior DNA history","No prior DNA history")</f>
        <v>No prior DNA history</v>
      </c>
      <c r="T78" t="s">
        <v>22</v>
      </c>
      <c r="U78" t="str">
        <f t="shared" si="1"/>
        <v>1</v>
      </c>
      <c r="V78" t="str">
        <f>IF(Table1[appointment_status]="Attended","1","0")</f>
        <v>1</v>
      </c>
      <c r="W78" t="str">
        <f>IF(Table1[appointment_status]="Cancelled","1","0")</f>
        <v>0</v>
      </c>
    </row>
    <row r="79" spans="1:23">
      <c r="A79" t="s">
        <v>194</v>
      </c>
      <c r="B79" t="s">
        <v>195</v>
      </c>
      <c r="C79">
        <v>7</v>
      </c>
      <c r="D79" t="str" cm="1">
        <f t="array" ref="D79">_xlfn.IFS(Table1[[#This Row],[age]]&lt;=17,"0-17",C79&lt;=29,"18-29",C79&lt;=44,"30-44",C79&lt;=59,"45-59",C79&lt;=74,"60-74",TRUE,"75+")</f>
        <v>0-17</v>
      </c>
      <c r="E79" t="s">
        <v>29</v>
      </c>
      <c r="F79">
        <v>10</v>
      </c>
      <c r="G79" t="str" cm="1">
        <f t="array" ref="G79">_xlfn.IFS(_xlfn.SINGLE(Table1[imd_decile])&lt;=3,"Most Deprived",F79&lt;=7,"Moderately Deprived",F79&lt;=10,"Least Deprived")</f>
        <v>Least Deprived</v>
      </c>
      <c r="H79">
        <v>7.8</v>
      </c>
      <c r="I79" t="s">
        <v>18</v>
      </c>
      <c r="J79" t="s">
        <v>19</v>
      </c>
      <c r="K79" s="1">
        <v>45674</v>
      </c>
      <c r="L79" s="1">
        <v>45694</v>
      </c>
      <c r="M79" s="1" t="str">
        <f>TEXT(Table1[[#This Row],[appointment_date]],"MM/YYYY")</f>
        <v>02/2025</v>
      </c>
      <c r="N79">
        <v>20</v>
      </c>
      <c r="O79" t="str" cm="1">
        <f t="array" ref="O79">_xlfn.IFS(Table1[[#This Row],[lead_time_days]]&lt;=7,"0-7 days",N79&lt;=14,"8-14 days",N79&lt;=30,"15-30 days",N79&lt;=60,"31-60 days",TRUE,"61+ days")</f>
        <v>15-30 days</v>
      </c>
      <c r="P79" t="s">
        <v>20</v>
      </c>
      <c r="Q79" t="s">
        <v>21</v>
      </c>
      <c r="R79">
        <v>0</v>
      </c>
      <c r="S79" t="str">
        <f>IF(Table1[prior_dna_count]&gt;=1,"Has prior DNA history","No prior DNA history")</f>
        <v>No prior DNA history</v>
      </c>
      <c r="T79" t="s">
        <v>22</v>
      </c>
      <c r="U79" t="str">
        <f t="shared" si="1"/>
        <v>1</v>
      </c>
      <c r="V79" t="str">
        <f>IF(Table1[appointment_status]="Attended","1","0")</f>
        <v>1</v>
      </c>
      <c r="W79" t="str">
        <f>IF(Table1[appointment_status]="Cancelled","1","0")</f>
        <v>0</v>
      </c>
    </row>
    <row r="80" spans="1:23">
      <c r="A80" t="s">
        <v>196</v>
      </c>
      <c r="B80" t="s">
        <v>197</v>
      </c>
      <c r="C80">
        <v>62</v>
      </c>
      <c r="D80" t="str" cm="1">
        <f t="array" ref="D80">_xlfn.IFS(Table1[[#This Row],[age]]&lt;=17,"0-17",C80&lt;=29,"18-29",C80&lt;=44,"30-44",C80&lt;=59,"45-59",C80&lt;=74,"60-74",TRUE,"75+")</f>
        <v>60-74</v>
      </c>
      <c r="E80" t="s">
        <v>29</v>
      </c>
      <c r="F80">
        <v>2</v>
      </c>
      <c r="G80" t="str" cm="1">
        <f t="array" ref="G80">_xlfn.IFS(_xlfn.SINGLE(Table1[imd_decile])&lt;=3,"Most Deprived",F80&lt;=7,"Moderately Deprived",F80&lt;=10,"Least Deprived")</f>
        <v>Most Deprived</v>
      </c>
      <c r="H80">
        <v>5.3</v>
      </c>
      <c r="I80" t="s">
        <v>45</v>
      </c>
      <c r="J80" t="s">
        <v>19</v>
      </c>
      <c r="K80" s="1">
        <v>45673</v>
      </c>
      <c r="L80" s="1">
        <v>45695</v>
      </c>
      <c r="M80" s="1" t="str">
        <f>TEXT(Table1[[#This Row],[appointment_date]],"MM/YYYY")</f>
        <v>02/2025</v>
      </c>
      <c r="N80">
        <v>22</v>
      </c>
      <c r="O80" t="str" cm="1">
        <f t="array" ref="O80">_xlfn.IFS(Table1[[#This Row],[lead_time_days]]&lt;=7,"0-7 days",N80&lt;=14,"8-14 days",N80&lt;=30,"15-30 days",N80&lt;=60,"31-60 days",TRUE,"61+ days")</f>
        <v>15-30 days</v>
      </c>
      <c r="P80" t="s">
        <v>52</v>
      </c>
      <c r="Q80" t="s">
        <v>21</v>
      </c>
      <c r="R80">
        <v>0</v>
      </c>
      <c r="S80" t="str">
        <f>IF(Table1[prior_dna_count]&gt;=1,"Has prior DNA history","No prior DNA history")</f>
        <v>No prior DNA history</v>
      </c>
      <c r="T80" t="s">
        <v>22</v>
      </c>
      <c r="U80" t="str">
        <f t="shared" si="1"/>
        <v>1</v>
      </c>
      <c r="V80" t="str">
        <f>IF(Table1[appointment_status]="Attended","1","0")</f>
        <v>1</v>
      </c>
      <c r="W80" t="str">
        <f>IF(Table1[appointment_status]="Cancelled","1","0")</f>
        <v>0</v>
      </c>
    </row>
    <row r="81" spans="1:23">
      <c r="A81" t="s">
        <v>198</v>
      </c>
      <c r="B81" t="s">
        <v>199</v>
      </c>
      <c r="C81">
        <v>58</v>
      </c>
      <c r="D81" t="str" cm="1">
        <f t="array" ref="D81">_xlfn.IFS(Table1[[#This Row],[age]]&lt;=17,"0-17",C81&lt;=29,"18-29",C81&lt;=44,"30-44",C81&lt;=59,"45-59",C81&lt;=74,"60-74",TRUE,"75+")</f>
        <v>45-59</v>
      </c>
      <c r="E81" t="s">
        <v>29</v>
      </c>
      <c r="F81">
        <v>1</v>
      </c>
      <c r="G81" t="str" cm="1">
        <f t="array" ref="G81">_xlfn.IFS(_xlfn.SINGLE(Table1[imd_decile])&lt;=3,"Most Deprived",F81&lt;=7,"Moderately Deprived",F81&lt;=10,"Least Deprived")</f>
        <v>Most Deprived</v>
      </c>
      <c r="H81">
        <v>4.9000000000000004</v>
      </c>
      <c r="I81" t="s">
        <v>30</v>
      </c>
      <c r="J81" t="s">
        <v>19</v>
      </c>
      <c r="K81" s="1">
        <v>45673</v>
      </c>
      <c r="L81" s="1">
        <v>45695</v>
      </c>
      <c r="M81" s="1" t="str">
        <f>TEXT(Table1[[#This Row],[appointment_date]],"MM/YYYY")</f>
        <v>02/2025</v>
      </c>
      <c r="N81">
        <v>22</v>
      </c>
      <c r="O81" t="str" cm="1">
        <f t="array" ref="O81">_xlfn.IFS(Table1[[#This Row],[lead_time_days]]&lt;=7,"0-7 days",N81&lt;=14,"8-14 days",N81&lt;=30,"15-30 days",N81&lt;=60,"31-60 days",TRUE,"61+ days")</f>
        <v>15-30 days</v>
      </c>
      <c r="P81" t="s">
        <v>52</v>
      </c>
      <c r="Q81" t="s">
        <v>21</v>
      </c>
      <c r="R81">
        <v>0</v>
      </c>
      <c r="S81" t="str">
        <f>IF(Table1[prior_dna_count]&gt;=1,"Has prior DNA history","No prior DNA history")</f>
        <v>No prior DNA history</v>
      </c>
      <c r="T81" t="s">
        <v>22</v>
      </c>
      <c r="U81" t="str">
        <f t="shared" si="1"/>
        <v>1</v>
      </c>
      <c r="V81" t="str">
        <f>IF(Table1[appointment_status]="Attended","1","0")</f>
        <v>1</v>
      </c>
      <c r="W81" t="str">
        <f>IF(Table1[appointment_status]="Cancelled","1","0")</f>
        <v>0</v>
      </c>
    </row>
    <row r="82" spans="1:23">
      <c r="A82" t="s">
        <v>200</v>
      </c>
      <c r="B82" t="s">
        <v>201</v>
      </c>
      <c r="C82">
        <v>35</v>
      </c>
      <c r="D82" t="str" cm="1">
        <f t="array" ref="D82">_xlfn.IFS(Table1[[#This Row],[age]]&lt;=17,"0-17",C82&lt;=29,"18-29",C82&lt;=44,"30-44",C82&lt;=59,"45-59",C82&lt;=74,"60-74",TRUE,"75+")</f>
        <v>30-44</v>
      </c>
      <c r="E82" t="s">
        <v>17</v>
      </c>
      <c r="F82">
        <v>8</v>
      </c>
      <c r="G82" t="str" cm="1">
        <f t="array" ref="G82">_xlfn.IFS(_xlfn.SINGLE(Table1[imd_decile])&lt;=3,"Most Deprived",F82&lt;=7,"Moderately Deprived",F82&lt;=10,"Least Deprived")</f>
        <v>Least Deprived</v>
      </c>
      <c r="H82">
        <v>15.5</v>
      </c>
      <c r="I82" t="s">
        <v>49</v>
      </c>
      <c r="J82" t="s">
        <v>19</v>
      </c>
      <c r="K82" s="1">
        <v>45684</v>
      </c>
      <c r="L82" s="1">
        <v>45695</v>
      </c>
      <c r="M82" s="1" t="str">
        <f>TEXT(Table1[[#This Row],[appointment_date]],"MM/YYYY")</f>
        <v>02/2025</v>
      </c>
      <c r="N82">
        <v>11</v>
      </c>
      <c r="O82" t="str" cm="1">
        <f t="array" ref="O82">_xlfn.IFS(Table1[[#This Row],[lead_time_days]]&lt;=7,"0-7 days",N82&lt;=14,"8-14 days",N82&lt;=30,"15-30 days",N82&lt;=60,"31-60 days",TRUE,"61+ days")</f>
        <v>8-14 days</v>
      </c>
      <c r="P82" t="s">
        <v>52</v>
      </c>
      <c r="Q82" t="s">
        <v>21</v>
      </c>
      <c r="R82">
        <v>0</v>
      </c>
      <c r="S82" t="str">
        <f>IF(Table1[prior_dna_count]&gt;=1,"Has prior DNA history","No prior DNA history")</f>
        <v>No prior DNA history</v>
      </c>
      <c r="T82" t="s">
        <v>22</v>
      </c>
      <c r="U82" t="str">
        <f t="shared" si="1"/>
        <v>1</v>
      </c>
      <c r="V82" t="str">
        <f>IF(Table1[appointment_status]="Attended","1","0")</f>
        <v>1</v>
      </c>
      <c r="W82" t="str">
        <f>IF(Table1[appointment_status]="Cancelled","1","0")</f>
        <v>0</v>
      </c>
    </row>
    <row r="83" spans="1:23">
      <c r="A83" t="s">
        <v>202</v>
      </c>
      <c r="B83" t="s">
        <v>203</v>
      </c>
      <c r="C83">
        <v>49</v>
      </c>
      <c r="D83" t="str" cm="1">
        <f t="array" ref="D83">_xlfn.IFS(Table1[[#This Row],[age]]&lt;=17,"0-17",C83&lt;=29,"18-29",C83&lt;=44,"30-44",C83&lt;=59,"45-59",C83&lt;=74,"60-74",TRUE,"75+")</f>
        <v>45-59</v>
      </c>
      <c r="E83" t="s">
        <v>17</v>
      </c>
      <c r="F83">
        <v>2</v>
      </c>
      <c r="G83" t="str" cm="1">
        <f t="array" ref="G83">_xlfn.IFS(_xlfn.SINGLE(Table1[imd_decile])&lt;=3,"Most Deprived",F83&lt;=7,"Moderately Deprived",F83&lt;=10,"Least Deprived")</f>
        <v>Most Deprived</v>
      </c>
      <c r="H83">
        <v>22.2</v>
      </c>
      <c r="I83" t="s">
        <v>91</v>
      </c>
      <c r="J83" t="s">
        <v>19</v>
      </c>
      <c r="K83" s="1">
        <v>45667</v>
      </c>
      <c r="L83" s="1">
        <v>45695</v>
      </c>
      <c r="M83" s="1" t="str">
        <f>TEXT(Table1[[#This Row],[appointment_date]],"MM/YYYY")</f>
        <v>02/2025</v>
      </c>
      <c r="N83">
        <v>28</v>
      </c>
      <c r="O83" t="str" cm="1">
        <f t="array" ref="O83">_xlfn.IFS(Table1[[#This Row],[lead_time_days]]&lt;=7,"0-7 days",N83&lt;=14,"8-14 days",N83&lt;=30,"15-30 days",N83&lt;=60,"31-60 days",TRUE,"61+ days")</f>
        <v>15-30 days</v>
      </c>
      <c r="P83" t="s">
        <v>52</v>
      </c>
      <c r="Q83" t="s">
        <v>21</v>
      </c>
      <c r="R83">
        <v>0</v>
      </c>
      <c r="S83" t="str">
        <f>IF(Table1[prior_dna_count]&gt;=1,"Has prior DNA history","No prior DNA history")</f>
        <v>No prior DNA history</v>
      </c>
      <c r="T83" t="s">
        <v>22</v>
      </c>
      <c r="U83" t="str">
        <f t="shared" si="1"/>
        <v>1</v>
      </c>
      <c r="V83" t="str">
        <f>IF(Table1[appointment_status]="Attended","1","0")</f>
        <v>1</v>
      </c>
      <c r="W83" t="str">
        <f>IF(Table1[appointment_status]="Cancelled","1","0")</f>
        <v>0</v>
      </c>
    </row>
    <row r="84" spans="1:23">
      <c r="A84" t="s">
        <v>204</v>
      </c>
      <c r="B84" t="s">
        <v>205</v>
      </c>
      <c r="C84">
        <v>56</v>
      </c>
      <c r="D84" t="str" cm="1">
        <f t="array" ref="D84">_xlfn.IFS(Table1[[#This Row],[age]]&lt;=17,"0-17",C84&lt;=29,"18-29",C84&lt;=44,"30-44",C84&lt;=59,"45-59",C84&lt;=74,"60-74",TRUE,"75+")</f>
        <v>45-59</v>
      </c>
      <c r="E84" t="s">
        <v>29</v>
      </c>
      <c r="F84">
        <v>7</v>
      </c>
      <c r="G84" t="str" cm="1">
        <f t="array" ref="G84">_xlfn.IFS(_xlfn.SINGLE(Table1[imd_decile])&lt;=3,"Most Deprived",F84&lt;=7,"Moderately Deprived",F84&lt;=10,"Least Deprived")</f>
        <v>Moderately Deprived</v>
      </c>
      <c r="H84">
        <v>8.5</v>
      </c>
      <c r="I84" t="s">
        <v>18</v>
      </c>
      <c r="J84" t="s">
        <v>19</v>
      </c>
      <c r="K84" s="1">
        <v>45679</v>
      </c>
      <c r="L84" s="1">
        <v>45696</v>
      </c>
      <c r="M84" s="1" t="str">
        <f>TEXT(Table1[[#This Row],[appointment_date]],"MM/YYYY")</f>
        <v>02/2025</v>
      </c>
      <c r="N84">
        <v>17</v>
      </c>
      <c r="O84" t="str" cm="1">
        <f t="array" ref="O84">_xlfn.IFS(Table1[[#This Row],[lead_time_days]]&lt;=7,"0-7 days",N84&lt;=14,"8-14 days",N84&lt;=30,"15-30 days",N84&lt;=60,"31-60 days",TRUE,"61+ days")</f>
        <v>15-30 days</v>
      </c>
      <c r="P84" t="s">
        <v>55</v>
      </c>
      <c r="Q84" t="s">
        <v>21</v>
      </c>
      <c r="R84">
        <v>0</v>
      </c>
      <c r="S84" t="str">
        <f>IF(Table1[prior_dna_count]&gt;=1,"Has prior DNA history","No prior DNA history")</f>
        <v>No prior DNA history</v>
      </c>
      <c r="T84" t="s">
        <v>22</v>
      </c>
      <c r="U84" t="str">
        <f t="shared" si="1"/>
        <v>1</v>
      </c>
      <c r="V84" t="str">
        <f>IF(Table1[appointment_status]="Attended","1","0")</f>
        <v>1</v>
      </c>
      <c r="W84" t="str">
        <f>IF(Table1[appointment_status]="Cancelled","1","0")</f>
        <v>0</v>
      </c>
    </row>
    <row r="85" spans="1:23">
      <c r="A85" t="s">
        <v>206</v>
      </c>
      <c r="B85" t="s">
        <v>207</v>
      </c>
      <c r="C85">
        <v>31</v>
      </c>
      <c r="D85" t="str" cm="1">
        <f t="array" ref="D85">_xlfn.IFS(Table1[[#This Row],[age]]&lt;=17,"0-17",C85&lt;=29,"18-29",C85&lt;=44,"30-44",C85&lt;=59,"45-59",C85&lt;=74,"60-74",TRUE,"75+")</f>
        <v>30-44</v>
      </c>
      <c r="E85" t="s">
        <v>17</v>
      </c>
      <c r="F85">
        <v>5</v>
      </c>
      <c r="G85" t="str" cm="1">
        <f t="array" ref="G85">_xlfn.IFS(_xlfn.SINGLE(Table1[imd_decile])&lt;=3,"Most Deprived",F85&lt;=7,"Moderately Deprived",F85&lt;=10,"Least Deprived")</f>
        <v>Moderately Deprived</v>
      </c>
      <c r="H85">
        <v>7.5</v>
      </c>
      <c r="I85" t="s">
        <v>42</v>
      </c>
      <c r="J85" t="s">
        <v>26</v>
      </c>
      <c r="K85" s="1">
        <v>45693</v>
      </c>
      <c r="L85" s="1">
        <v>45696</v>
      </c>
      <c r="M85" s="1" t="str">
        <f>TEXT(Table1[[#This Row],[appointment_date]],"MM/YYYY")</f>
        <v>02/2025</v>
      </c>
      <c r="N85">
        <v>3</v>
      </c>
      <c r="O85" t="str" cm="1">
        <f t="array" ref="O85">_xlfn.IFS(Table1[[#This Row],[lead_time_days]]&lt;=7,"0-7 days",N85&lt;=14,"8-14 days",N85&lt;=30,"15-30 days",N85&lt;=60,"31-60 days",TRUE,"61+ days")</f>
        <v>0-7 days</v>
      </c>
      <c r="P85" t="s">
        <v>55</v>
      </c>
      <c r="Q85" t="s">
        <v>21</v>
      </c>
      <c r="R85">
        <v>0</v>
      </c>
      <c r="S85" t="str">
        <f>IF(Table1[prior_dna_count]&gt;=1,"Has prior DNA history","No prior DNA history")</f>
        <v>No prior DNA history</v>
      </c>
      <c r="T85" t="s">
        <v>22</v>
      </c>
      <c r="U85" t="str">
        <f t="shared" si="1"/>
        <v>1</v>
      </c>
      <c r="V85" t="str">
        <f>IF(Table1[appointment_status]="Attended","1","0")</f>
        <v>1</v>
      </c>
      <c r="W85" t="str">
        <f>IF(Table1[appointment_status]="Cancelled","1","0")</f>
        <v>0</v>
      </c>
    </row>
    <row r="86" spans="1:23">
      <c r="A86" t="s">
        <v>208</v>
      </c>
      <c r="B86" t="s">
        <v>209</v>
      </c>
      <c r="C86">
        <v>76</v>
      </c>
      <c r="D86" t="str" cm="1">
        <f t="array" ref="D86">_xlfn.IFS(Table1[[#This Row],[age]]&lt;=17,"0-17",C86&lt;=29,"18-29",C86&lt;=44,"30-44",C86&lt;=59,"45-59",C86&lt;=74,"60-74",TRUE,"75+")</f>
        <v>75+</v>
      </c>
      <c r="E86" t="s">
        <v>17</v>
      </c>
      <c r="F86">
        <v>5</v>
      </c>
      <c r="G86" t="str" cm="1">
        <f t="array" ref="G86">_xlfn.IFS(_xlfn.SINGLE(Table1[imd_decile])&lt;=3,"Most Deprived",F86&lt;=7,"Moderately Deprived",F86&lt;=10,"Least Deprived")</f>
        <v>Moderately Deprived</v>
      </c>
      <c r="H86">
        <v>5.5</v>
      </c>
      <c r="I86" t="s">
        <v>18</v>
      </c>
      <c r="J86" t="s">
        <v>19</v>
      </c>
      <c r="K86" s="1">
        <v>45676</v>
      </c>
      <c r="L86" s="1">
        <v>45696</v>
      </c>
      <c r="M86" s="1" t="str">
        <f>TEXT(Table1[[#This Row],[appointment_date]],"MM/YYYY")</f>
        <v>02/2025</v>
      </c>
      <c r="N86">
        <v>20</v>
      </c>
      <c r="O86" t="str" cm="1">
        <f t="array" ref="O86">_xlfn.IFS(Table1[[#This Row],[lead_time_days]]&lt;=7,"0-7 days",N86&lt;=14,"8-14 days",N86&lt;=30,"15-30 days",N86&lt;=60,"31-60 days",TRUE,"61+ days")</f>
        <v>15-30 days</v>
      </c>
      <c r="P86" t="s">
        <v>55</v>
      </c>
      <c r="Q86" t="s">
        <v>21</v>
      </c>
      <c r="R86">
        <v>0</v>
      </c>
      <c r="S86" t="str">
        <f>IF(Table1[prior_dna_count]&gt;=1,"Has prior DNA history","No prior DNA history")</f>
        <v>No prior DNA history</v>
      </c>
      <c r="T86" t="s">
        <v>22</v>
      </c>
      <c r="U86" t="str">
        <f t="shared" si="1"/>
        <v>1</v>
      </c>
      <c r="V86" t="str">
        <f>IF(Table1[appointment_status]="Attended","1","0")</f>
        <v>1</v>
      </c>
      <c r="W86" t="str">
        <f>IF(Table1[appointment_status]="Cancelled","1","0")</f>
        <v>0</v>
      </c>
    </row>
    <row r="87" spans="1:23">
      <c r="A87" t="s">
        <v>210</v>
      </c>
      <c r="B87" t="s">
        <v>211</v>
      </c>
      <c r="C87">
        <v>51</v>
      </c>
      <c r="D87" t="str" cm="1">
        <f t="array" ref="D87">_xlfn.IFS(Table1[[#This Row],[age]]&lt;=17,"0-17",C87&lt;=29,"18-29",C87&lt;=44,"30-44",C87&lt;=59,"45-59",C87&lt;=74,"60-74",TRUE,"75+")</f>
        <v>45-59</v>
      </c>
      <c r="E87" t="s">
        <v>29</v>
      </c>
      <c r="F87">
        <v>3</v>
      </c>
      <c r="G87" t="str" cm="1">
        <f t="array" ref="G87">_xlfn.IFS(_xlfn.SINGLE(Table1[imd_decile])&lt;=3,"Most Deprived",F87&lt;=7,"Moderately Deprived",F87&lt;=10,"Least Deprived")</f>
        <v>Most Deprived</v>
      </c>
      <c r="H87">
        <v>4.9000000000000004</v>
      </c>
      <c r="I87" t="s">
        <v>155</v>
      </c>
      <c r="J87" t="s">
        <v>19</v>
      </c>
      <c r="K87" s="1">
        <v>45667</v>
      </c>
      <c r="L87" s="1">
        <v>45696</v>
      </c>
      <c r="M87" s="1" t="str">
        <f>TEXT(Table1[[#This Row],[appointment_date]],"MM/YYYY")</f>
        <v>02/2025</v>
      </c>
      <c r="N87">
        <v>29</v>
      </c>
      <c r="O87" t="str" cm="1">
        <f t="array" ref="O87">_xlfn.IFS(Table1[[#This Row],[lead_time_days]]&lt;=7,"0-7 days",N87&lt;=14,"8-14 days",N87&lt;=30,"15-30 days",N87&lt;=60,"31-60 days",TRUE,"61+ days")</f>
        <v>15-30 days</v>
      </c>
      <c r="P87" t="s">
        <v>55</v>
      </c>
      <c r="Q87" t="s">
        <v>32</v>
      </c>
      <c r="R87">
        <v>1</v>
      </c>
      <c r="S87" t="str">
        <f>IF(Table1[prior_dna_count]&gt;=1,"Has prior DNA history","No prior DNA history")</f>
        <v>Has prior DNA history</v>
      </c>
      <c r="T87" t="s">
        <v>39</v>
      </c>
      <c r="U87" t="str">
        <f t="shared" si="1"/>
        <v>1</v>
      </c>
      <c r="V87" t="str">
        <f>IF(Table1[appointment_status]="Attended","1","0")</f>
        <v>0</v>
      </c>
      <c r="W87" t="str">
        <f>IF(Table1[appointment_status]="Cancelled","1","0")</f>
        <v>0</v>
      </c>
    </row>
    <row r="88" spans="1:23">
      <c r="A88" t="s">
        <v>212</v>
      </c>
      <c r="B88" t="s">
        <v>213</v>
      </c>
      <c r="C88">
        <v>52</v>
      </c>
      <c r="D88" t="str" cm="1">
        <f t="array" ref="D88">_xlfn.IFS(Table1[[#This Row],[age]]&lt;=17,"0-17",C88&lt;=29,"18-29",C88&lt;=44,"30-44",C88&lt;=59,"45-59",C88&lt;=74,"60-74",TRUE,"75+")</f>
        <v>45-59</v>
      </c>
      <c r="E88" t="s">
        <v>17</v>
      </c>
      <c r="F88">
        <v>8</v>
      </c>
      <c r="G88" t="str" cm="1">
        <f t="array" ref="G88">_xlfn.IFS(_xlfn.SINGLE(Table1[imd_decile])&lt;=3,"Most Deprived",F88&lt;=7,"Moderately Deprived",F88&lt;=10,"Least Deprived")</f>
        <v>Least Deprived</v>
      </c>
      <c r="H88">
        <v>3.2</v>
      </c>
      <c r="I88" t="s">
        <v>30</v>
      </c>
      <c r="J88" t="s">
        <v>19</v>
      </c>
      <c r="K88" s="1">
        <v>45667</v>
      </c>
      <c r="L88" s="1">
        <v>45697</v>
      </c>
      <c r="M88" s="1" t="str">
        <f>TEXT(Table1[[#This Row],[appointment_date]],"MM/YYYY")</f>
        <v>02/2025</v>
      </c>
      <c r="N88">
        <v>30</v>
      </c>
      <c r="O88" t="str" cm="1">
        <f t="array" ref="O88">_xlfn.IFS(Table1[[#This Row],[lead_time_days]]&lt;=7,"0-7 days",N88&lt;=14,"8-14 days",N88&lt;=30,"15-30 days",N88&lt;=60,"31-60 days",TRUE,"61+ days")</f>
        <v>15-30 days</v>
      </c>
      <c r="P88" t="s">
        <v>31</v>
      </c>
      <c r="Q88" t="s">
        <v>32</v>
      </c>
      <c r="R88">
        <v>0</v>
      </c>
      <c r="S88" t="str">
        <f>IF(Table1[prior_dna_count]&gt;=1,"Has prior DNA history","No prior DNA history")</f>
        <v>No prior DNA history</v>
      </c>
      <c r="T88" t="s">
        <v>46</v>
      </c>
      <c r="U88" t="str">
        <f t="shared" si="1"/>
        <v>0</v>
      </c>
      <c r="V88" t="str">
        <f>IF(Table1[appointment_status]="Attended","1","0")</f>
        <v>0</v>
      </c>
      <c r="W88" t="str">
        <f>IF(Table1[appointment_status]="Cancelled","1","0")</f>
        <v>1</v>
      </c>
    </row>
    <row r="89" spans="1:23">
      <c r="A89" t="s">
        <v>214</v>
      </c>
      <c r="B89" t="s">
        <v>215</v>
      </c>
      <c r="C89">
        <v>72</v>
      </c>
      <c r="D89" t="str" cm="1">
        <f t="array" ref="D89">_xlfn.IFS(Table1[[#This Row],[age]]&lt;=17,"0-17",C89&lt;=29,"18-29",C89&lt;=44,"30-44",C89&lt;=59,"45-59",C89&lt;=74,"60-74",TRUE,"75+")</f>
        <v>60-74</v>
      </c>
      <c r="E89" t="s">
        <v>29</v>
      </c>
      <c r="F89">
        <v>3</v>
      </c>
      <c r="G89" t="str" cm="1">
        <f t="array" ref="G89">_xlfn.IFS(_xlfn.SINGLE(Table1[imd_decile])&lt;=3,"Most Deprived",F89&lt;=7,"Moderately Deprived",F89&lt;=10,"Least Deprived")</f>
        <v>Most Deprived</v>
      </c>
      <c r="H89">
        <v>7</v>
      </c>
      <c r="I89" t="s">
        <v>42</v>
      </c>
      <c r="J89" t="s">
        <v>26</v>
      </c>
      <c r="K89" s="1">
        <v>45691</v>
      </c>
      <c r="L89" s="1">
        <v>45697</v>
      </c>
      <c r="M89" s="1" t="str">
        <f>TEXT(Table1[[#This Row],[appointment_date]],"MM/YYYY")</f>
        <v>02/2025</v>
      </c>
      <c r="N89">
        <v>6</v>
      </c>
      <c r="O89" t="str" cm="1">
        <f t="array" ref="O89">_xlfn.IFS(Table1[[#This Row],[lead_time_days]]&lt;=7,"0-7 days",N89&lt;=14,"8-14 days",N89&lt;=30,"15-30 days",N89&lt;=60,"31-60 days",TRUE,"61+ days")</f>
        <v>0-7 days</v>
      </c>
      <c r="P89" t="s">
        <v>31</v>
      </c>
      <c r="Q89" t="s">
        <v>32</v>
      </c>
      <c r="R89">
        <v>0</v>
      </c>
      <c r="S89" t="str">
        <f>IF(Table1[prior_dna_count]&gt;=1,"Has prior DNA history","No prior DNA history")</f>
        <v>No prior DNA history</v>
      </c>
      <c r="T89" t="s">
        <v>39</v>
      </c>
      <c r="U89" t="str">
        <f t="shared" si="1"/>
        <v>0</v>
      </c>
      <c r="V89" t="str">
        <f>IF(Table1[appointment_status]="Attended","1","0")</f>
        <v>0</v>
      </c>
      <c r="W89" t="str">
        <f>IF(Table1[appointment_status]="Cancelled","1","0")</f>
        <v>0</v>
      </c>
    </row>
    <row r="90" spans="1:23">
      <c r="A90" t="s">
        <v>216</v>
      </c>
      <c r="B90" t="s">
        <v>217</v>
      </c>
      <c r="C90">
        <v>52</v>
      </c>
      <c r="D90" t="str" cm="1">
        <f t="array" ref="D90">_xlfn.IFS(Table1[[#This Row],[age]]&lt;=17,"0-17",C90&lt;=29,"18-29",C90&lt;=44,"30-44",C90&lt;=59,"45-59",C90&lt;=74,"60-74",TRUE,"75+")</f>
        <v>45-59</v>
      </c>
      <c r="E90" t="s">
        <v>17</v>
      </c>
      <c r="F90">
        <v>1</v>
      </c>
      <c r="G90" t="str" cm="1">
        <f t="array" ref="G90">_xlfn.IFS(_xlfn.SINGLE(Table1[imd_decile])&lt;=3,"Most Deprived",F90&lt;=7,"Moderately Deprived",F90&lt;=10,"Least Deprived")</f>
        <v>Most Deprived</v>
      </c>
      <c r="H90">
        <v>2.5</v>
      </c>
      <c r="I90" t="s">
        <v>30</v>
      </c>
      <c r="J90" t="s">
        <v>19</v>
      </c>
      <c r="K90" s="1">
        <v>45664</v>
      </c>
      <c r="L90" s="1">
        <v>45697</v>
      </c>
      <c r="M90" s="1" t="str">
        <f>TEXT(Table1[[#This Row],[appointment_date]],"MM/YYYY")</f>
        <v>02/2025</v>
      </c>
      <c r="N90">
        <v>33</v>
      </c>
      <c r="O90" t="str" cm="1">
        <f t="array" ref="O90">_xlfn.IFS(Table1[[#This Row],[lead_time_days]]&lt;=7,"0-7 days",N90&lt;=14,"8-14 days",N90&lt;=30,"15-30 days",N90&lt;=60,"31-60 days",TRUE,"61+ days")</f>
        <v>31-60 days</v>
      </c>
      <c r="P90" t="s">
        <v>31</v>
      </c>
      <c r="Q90" t="s">
        <v>32</v>
      </c>
      <c r="R90">
        <v>0</v>
      </c>
      <c r="S90" t="str">
        <f>IF(Table1[prior_dna_count]&gt;=1,"Has prior DNA history","No prior DNA history")</f>
        <v>No prior DNA history</v>
      </c>
      <c r="T90" t="s">
        <v>22</v>
      </c>
      <c r="U90" t="str">
        <f t="shared" si="1"/>
        <v>0</v>
      </c>
      <c r="V90" t="str">
        <f>IF(Table1[appointment_status]="Attended","1","0")</f>
        <v>1</v>
      </c>
      <c r="W90" t="str">
        <f>IF(Table1[appointment_status]="Cancelled","1","0")</f>
        <v>0</v>
      </c>
    </row>
    <row r="91" spans="1:23">
      <c r="A91" t="s">
        <v>218</v>
      </c>
      <c r="B91" t="s">
        <v>219</v>
      </c>
      <c r="C91">
        <v>53</v>
      </c>
      <c r="D91" t="str" cm="1">
        <f t="array" ref="D91">_xlfn.IFS(Table1[[#This Row],[age]]&lt;=17,"0-17",C91&lt;=29,"18-29",C91&lt;=44,"30-44",C91&lt;=59,"45-59",C91&lt;=74,"60-74",TRUE,"75+")</f>
        <v>45-59</v>
      </c>
      <c r="E91" t="s">
        <v>29</v>
      </c>
      <c r="F91">
        <v>6</v>
      </c>
      <c r="G91" t="str" cm="1">
        <f t="array" ref="G91">_xlfn.IFS(_xlfn.SINGLE(Table1[imd_decile])&lt;=3,"Most Deprived",F91&lt;=7,"Moderately Deprived",F91&lt;=10,"Least Deprived")</f>
        <v>Moderately Deprived</v>
      </c>
      <c r="H91">
        <v>4.3</v>
      </c>
      <c r="I91" t="s">
        <v>25</v>
      </c>
      <c r="J91" t="s">
        <v>26</v>
      </c>
      <c r="K91" s="1">
        <v>45691</v>
      </c>
      <c r="L91" s="1">
        <v>45697</v>
      </c>
      <c r="M91" s="1" t="str">
        <f>TEXT(Table1[[#This Row],[appointment_date]],"MM/YYYY")</f>
        <v>02/2025</v>
      </c>
      <c r="N91">
        <v>6</v>
      </c>
      <c r="O91" t="str" cm="1">
        <f t="array" ref="O91">_xlfn.IFS(Table1[[#This Row],[lead_time_days]]&lt;=7,"0-7 days",N91&lt;=14,"8-14 days",N91&lt;=30,"15-30 days",N91&lt;=60,"31-60 days",TRUE,"61+ days")</f>
        <v>0-7 days</v>
      </c>
      <c r="P91" t="s">
        <v>31</v>
      </c>
      <c r="Q91" t="s">
        <v>32</v>
      </c>
      <c r="R91">
        <v>0</v>
      </c>
      <c r="S91" t="str">
        <f>IF(Table1[prior_dna_count]&gt;=1,"Has prior DNA history","No prior DNA history")</f>
        <v>No prior DNA history</v>
      </c>
      <c r="T91" t="s">
        <v>22</v>
      </c>
      <c r="U91" t="str">
        <f t="shared" si="1"/>
        <v>1</v>
      </c>
      <c r="V91" t="str">
        <f>IF(Table1[appointment_status]="Attended","1","0")</f>
        <v>1</v>
      </c>
      <c r="W91" t="str">
        <f>IF(Table1[appointment_status]="Cancelled","1","0")</f>
        <v>0</v>
      </c>
    </row>
    <row r="92" spans="1:23">
      <c r="A92" t="s">
        <v>220</v>
      </c>
      <c r="B92" t="s">
        <v>221</v>
      </c>
      <c r="C92">
        <v>70</v>
      </c>
      <c r="D92" t="str" cm="1">
        <f t="array" ref="D92">_xlfn.IFS(Table1[[#This Row],[age]]&lt;=17,"0-17",C92&lt;=29,"18-29",C92&lt;=44,"30-44",C92&lt;=59,"45-59",C92&lt;=74,"60-74",TRUE,"75+")</f>
        <v>60-74</v>
      </c>
      <c r="E92" t="s">
        <v>29</v>
      </c>
      <c r="F92">
        <v>9</v>
      </c>
      <c r="G92" t="str" cm="1">
        <f t="array" ref="G92">_xlfn.IFS(_xlfn.SINGLE(Table1[imd_decile])&lt;=3,"Most Deprived",F92&lt;=7,"Moderately Deprived",F92&lt;=10,"Least Deprived")</f>
        <v>Least Deprived</v>
      </c>
      <c r="H92">
        <v>11.6</v>
      </c>
      <c r="I92" t="s">
        <v>38</v>
      </c>
      <c r="J92" t="s">
        <v>26</v>
      </c>
      <c r="K92" s="1">
        <v>45683</v>
      </c>
      <c r="L92" s="1">
        <v>45697</v>
      </c>
      <c r="M92" s="1" t="str">
        <f>TEXT(Table1[[#This Row],[appointment_date]],"MM/YYYY")</f>
        <v>02/2025</v>
      </c>
      <c r="N92">
        <v>14</v>
      </c>
      <c r="O92" t="str" cm="1">
        <f t="array" ref="O92">_xlfn.IFS(Table1[[#This Row],[lead_time_days]]&lt;=7,"0-7 days",N92&lt;=14,"8-14 days",N92&lt;=30,"15-30 days",N92&lt;=60,"31-60 days",TRUE,"61+ days")</f>
        <v>8-14 days</v>
      </c>
      <c r="P92" t="s">
        <v>31</v>
      </c>
      <c r="Q92" t="s">
        <v>21</v>
      </c>
      <c r="R92">
        <v>0</v>
      </c>
      <c r="S92" t="str">
        <f>IF(Table1[prior_dna_count]&gt;=1,"Has prior DNA history","No prior DNA history")</f>
        <v>No prior DNA history</v>
      </c>
      <c r="T92" t="s">
        <v>22</v>
      </c>
      <c r="U92" t="str">
        <f t="shared" si="1"/>
        <v>1</v>
      </c>
      <c r="V92" t="str">
        <f>IF(Table1[appointment_status]="Attended","1","0")</f>
        <v>1</v>
      </c>
      <c r="W92" t="str">
        <f>IF(Table1[appointment_status]="Cancelled","1","0")</f>
        <v>0</v>
      </c>
    </row>
    <row r="93" spans="1:23">
      <c r="A93" t="s">
        <v>222</v>
      </c>
      <c r="B93" t="s">
        <v>223</v>
      </c>
      <c r="C93">
        <v>5</v>
      </c>
      <c r="D93" t="str" cm="1">
        <f t="array" ref="D93">_xlfn.IFS(Table1[[#This Row],[age]]&lt;=17,"0-17",C93&lt;=29,"18-29",C93&lt;=44,"30-44",C93&lt;=59,"45-59",C93&lt;=74,"60-74",TRUE,"75+")</f>
        <v>0-17</v>
      </c>
      <c r="E93" t="s">
        <v>17</v>
      </c>
      <c r="F93">
        <v>3</v>
      </c>
      <c r="G93" t="str" cm="1">
        <f t="array" ref="G93">_xlfn.IFS(_xlfn.SINGLE(Table1[imd_decile])&lt;=3,"Most Deprived",F93&lt;=7,"Moderately Deprived",F93&lt;=10,"Least Deprived")</f>
        <v>Most Deprived</v>
      </c>
      <c r="H93">
        <v>24.7</v>
      </c>
      <c r="I93" t="s">
        <v>25</v>
      </c>
      <c r="J93" t="s">
        <v>19</v>
      </c>
      <c r="K93" s="1">
        <v>45670</v>
      </c>
      <c r="L93" s="1">
        <v>45698</v>
      </c>
      <c r="M93" s="1" t="str">
        <f>TEXT(Table1[[#This Row],[appointment_date]],"MM/YYYY")</f>
        <v>02/2025</v>
      </c>
      <c r="N93">
        <v>28</v>
      </c>
      <c r="O93" t="str" cm="1">
        <f t="array" ref="O93">_xlfn.IFS(Table1[[#This Row],[lead_time_days]]&lt;=7,"0-7 days",N93&lt;=14,"8-14 days",N93&lt;=30,"15-30 days",N93&lt;=60,"31-60 days",TRUE,"61+ days")</f>
        <v>15-30 days</v>
      </c>
      <c r="P93" t="s">
        <v>35</v>
      </c>
      <c r="Q93" t="s">
        <v>32</v>
      </c>
      <c r="R93">
        <v>0</v>
      </c>
      <c r="S93" t="str">
        <f>IF(Table1[prior_dna_count]&gt;=1,"Has prior DNA history","No prior DNA history")</f>
        <v>No prior DNA history</v>
      </c>
      <c r="T93" t="s">
        <v>22</v>
      </c>
      <c r="U93" t="str">
        <f t="shared" si="1"/>
        <v>1</v>
      </c>
      <c r="V93" t="str">
        <f>IF(Table1[appointment_status]="Attended","1","0")</f>
        <v>1</v>
      </c>
      <c r="W93" t="str">
        <f>IF(Table1[appointment_status]="Cancelled","1","0")</f>
        <v>0</v>
      </c>
    </row>
    <row r="94" spans="1:23">
      <c r="A94" t="s">
        <v>224</v>
      </c>
      <c r="B94" t="s">
        <v>225</v>
      </c>
      <c r="C94">
        <v>53</v>
      </c>
      <c r="D94" t="str" cm="1">
        <f t="array" ref="D94">_xlfn.IFS(Table1[[#This Row],[age]]&lt;=17,"0-17",C94&lt;=29,"18-29",C94&lt;=44,"30-44",C94&lt;=59,"45-59",C94&lt;=74,"60-74",TRUE,"75+")</f>
        <v>45-59</v>
      </c>
      <c r="E94" t="s">
        <v>17</v>
      </c>
      <c r="F94">
        <v>1</v>
      </c>
      <c r="G94" t="str" cm="1">
        <f t="array" ref="G94">_xlfn.IFS(_xlfn.SINGLE(Table1[imd_decile])&lt;=3,"Most Deprived",F94&lt;=7,"Moderately Deprived",F94&lt;=10,"Least Deprived")</f>
        <v>Most Deprived</v>
      </c>
      <c r="H94">
        <v>5.0999999999999996</v>
      </c>
      <c r="I94" t="s">
        <v>91</v>
      </c>
      <c r="J94" t="s">
        <v>26</v>
      </c>
      <c r="K94" s="1">
        <v>45680</v>
      </c>
      <c r="L94" s="1">
        <v>45698</v>
      </c>
      <c r="M94" s="1" t="str">
        <f>TEXT(Table1[[#This Row],[appointment_date]],"MM/YYYY")</f>
        <v>02/2025</v>
      </c>
      <c r="N94">
        <v>18</v>
      </c>
      <c r="O94" t="str" cm="1">
        <f t="array" ref="O94">_xlfn.IFS(Table1[[#This Row],[lead_time_days]]&lt;=7,"0-7 days",N94&lt;=14,"8-14 days",N94&lt;=30,"15-30 days",N94&lt;=60,"31-60 days",TRUE,"61+ days")</f>
        <v>15-30 days</v>
      </c>
      <c r="P94" t="s">
        <v>35</v>
      </c>
      <c r="Q94" t="s">
        <v>21</v>
      </c>
      <c r="R94">
        <v>0</v>
      </c>
      <c r="S94" t="str">
        <f>IF(Table1[prior_dna_count]&gt;=1,"Has prior DNA history","No prior DNA history")</f>
        <v>No prior DNA history</v>
      </c>
      <c r="T94" t="s">
        <v>39</v>
      </c>
      <c r="U94" t="str">
        <f t="shared" si="1"/>
        <v>1</v>
      </c>
      <c r="V94" t="str">
        <f>IF(Table1[appointment_status]="Attended","1","0")</f>
        <v>0</v>
      </c>
      <c r="W94" t="str">
        <f>IF(Table1[appointment_status]="Cancelled","1","0")</f>
        <v>0</v>
      </c>
    </row>
    <row r="95" spans="1:23">
      <c r="A95" t="s">
        <v>226</v>
      </c>
      <c r="B95" t="s">
        <v>227</v>
      </c>
      <c r="C95">
        <v>54</v>
      </c>
      <c r="D95" t="str" cm="1">
        <f t="array" ref="D95">_xlfn.IFS(Table1[[#This Row],[age]]&lt;=17,"0-17",C95&lt;=29,"18-29",C95&lt;=44,"30-44",C95&lt;=59,"45-59",C95&lt;=74,"60-74",TRUE,"75+")</f>
        <v>45-59</v>
      </c>
      <c r="E95" t="s">
        <v>29</v>
      </c>
      <c r="F95">
        <v>4</v>
      </c>
      <c r="G95" t="str" cm="1">
        <f t="array" ref="G95">_xlfn.IFS(_xlfn.SINGLE(Table1[imd_decile])&lt;=3,"Most Deprived",F95&lt;=7,"Moderately Deprived",F95&lt;=10,"Least Deprived")</f>
        <v>Moderately Deprived</v>
      </c>
      <c r="H95">
        <v>2.7</v>
      </c>
      <c r="I95" t="s">
        <v>45</v>
      </c>
      <c r="J95" t="s">
        <v>19</v>
      </c>
      <c r="K95" s="1">
        <v>45689</v>
      </c>
      <c r="L95" s="1">
        <v>45698</v>
      </c>
      <c r="M95" s="1" t="str">
        <f>TEXT(Table1[[#This Row],[appointment_date]],"MM/YYYY")</f>
        <v>02/2025</v>
      </c>
      <c r="N95">
        <v>9</v>
      </c>
      <c r="O95" t="str" cm="1">
        <f t="array" ref="O95">_xlfn.IFS(Table1[[#This Row],[lead_time_days]]&lt;=7,"0-7 days",N95&lt;=14,"8-14 days",N95&lt;=30,"15-30 days",N95&lt;=60,"31-60 days",TRUE,"61+ days")</f>
        <v>8-14 days</v>
      </c>
      <c r="P95" t="s">
        <v>35</v>
      </c>
      <c r="Q95" t="s">
        <v>21</v>
      </c>
      <c r="R95">
        <v>0</v>
      </c>
      <c r="S95" t="str">
        <f>IF(Table1[prior_dna_count]&gt;=1,"Has prior DNA history","No prior DNA history")</f>
        <v>No prior DNA history</v>
      </c>
      <c r="T95" t="s">
        <v>22</v>
      </c>
      <c r="U95" t="str">
        <f t="shared" si="1"/>
        <v>0</v>
      </c>
      <c r="V95" t="str">
        <f>IF(Table1[appointment_status]="Attended","1","0")</f>
        <v>1</v>
      </c>
      <c r="W95" t="str">
        <f>IF(Table1[appointment_status]="Cancelled","1","0")</f>
        <v>0</v>
      </c>
    </row>
    <row r="96" spans="1:23">
      <c r="A96" t="s">
        <v>228</v>
      </c>
      <c r="B96" t="s">
        <v>229</v>
      </c>
      <c r="C96">
        <v>52</v>
      </c>
      <c r="D96" t="str" cm="1">
        <f t="array" ref="D96">_xlfn.IFS(Table1[[#This Row],[age]]&lt;=17,"0-17",C96&lt;=29,"18-29",C96&lt;=44,"30-44",C96&lt;=59,"45-59",C96&lt;=74,"60-74",TRUE,"75+")</f>
        <v>45-59</v>
      </c>
      <c r="E96" t="s">
        <v>29</v>
      </c>
      <c r="F96">
        <v>5</v>
      </c>
      <c r="G96" t="str" cm="1">
        <f t="array" ref="G96">_xlfn.IFS(_xlfn.SINGLE(Table1[imd_decile])&lt;=3,"Most Deprived",F96&lt;=7,"Moderately Deprived",F96&lt;=10,"Least Deprived")</f>
        <v>Moderately Deprived</v>
      </c>
      <c r="H96">
        <v>7.2</v>
      </c>
      <c r="I96" t="s">
        <v>25</v>
      </c>
      <c r="J96" t="s">
        <v>26</v>
      </c>
      <c r="K96" s="1">
        <v>45693</v>
      </c>
      <c r="L96" s="1">
        <v>45698</v>
      </c>
      <c r="M96" s="1" t="str">
        <f>TEXT(Table1[[#This Row],[appointment_date]],"MM/YYYY")</f>
        <v>02/2025</v>
      </c>
      <c r="N96">
        <v>5</v>
      </c>
      <c r="O96" t="str" cm="1">
        <f t="array" ref="O96">_xlfn.IFS(Table1[[#This Row],[lead_time_days]]&lt;=7,"0-7 days",N96&lt;=14,"8-14 days",N96&lt;=30,"15-30 days",N96&lt;=60,"31-60 days",TRUE,"61+ days")</f>
        <v>0-7 days</v>
      </c>
      <c r="P96" t="s">
        <v>35</v>
      </c>
      <c r="Q96" t="s">
        <v>21</v>
      </c>
      <c r="R96">
        <v>0</v>
      </c>
      <c r="S96" t="str">
        <f>IF(Table1[prior_dna_count]&gt;=1,"Has prior DNA history","No prior DNA history")</f>
        <v>No prior DNA history</v>
      </c>
      <c r="T96" t="s">
        <v>22</v>
      </c>
      <c r="U96" t="str">
        <f t="shared" si="1"/>
        <v>1</v>
      </c>
      <c r="V96" t="str">
        <f>IF(Table1[appointment_status]="Attended","1","0")</f>
        <v>1</v>
      </c>
      <c r="W96" t="str">
        <f>IF(Table1[appointment_status]="Cancelled","1","0")</f>
        <v>0</v>
      </c>
    </row>
    <row r="97" spans="1:23">
      <c r="A97" t="s">
        <v>230</v>
      </c>
      <c r="B97" t="s">
        <v>231</v>
      </c>
      <c r="C97">
        <v>58</v>
      </c>
      <c r="D97" t="str" cm="1">
        <f t="array" ref="D97">_xlfn.IFS(Table1[[#This Row],[age]]&lt;=17,"0-17",C97&lt;=29,"18-29",C97&lt;=44,"30-44",C97&lt;=59,"45-59",C97&lt;=74,"60-74",TRUE,"75+")</f>
        <v>45-59</v>
      </c>
      <c r="E97" t="s">
        <v>17</v>
      </c>
      <c r="F97">
        <v>8</v>
      </c>
      <c r="G97" t="str" cm="1">
        <f t="array" ref="G97">_xlfn.IFS(_xlfn.SINGLE(Table1[imd_decile])&lt;=3,"Most Deprived",F97&lt;=7,"Moderately Deprived",F97&lt;=10,"Least Deprived")</f>
        <v>Least Deprived</v>
      </c>
      <c r="H97">
        <v>12.5</v>
      </c>
      <c r="I97" t="s">
        <v>18</v>
      </c>
      <c r="J97" t="s">
        <v>19</v>
      </c>
      <c r="K97" s="1">
        <v>45667</v>
      </c>
      <c r="L97" s="1">
        <v>45698</v>
      </c>
      <c r="M97" s="1" t="str">
        <f>TEXT(Table1[[#This Row],[appointment_date]],"MM/YYYY")</f>
        <v>02/2025</v>
      </c>
      <c r="N97">
        <v>31</v>
      </c>
      <c r="O97" t="str" cm="1">
        <f t="array" ref="O97">_xlfn.IFS(Table1[[#This Row],[lead_time_days]]&lt;=7,"0-7 days",N97&lt;=14,"8-14 days",N97&lt;=30,"15-30 days",N97&lt;=60,"31-60 days",TRUE,"61+ days")</f>
        <v>31-60 days</v>
      </c>
      <c r="P97" t="s">
        <v>35</v>
      </c>
      <c r="Q97" t="s">
        <v>21</v>
      </c>
      <c r="R97">
        <v>0</v>
      </c>
      <c r="S97" t="str">
        <f>IF(Table1[prior_dna_count]&gt;=1,"Has prior DNA history","No prior DNA history")</f>
        <v>No prior DNA history</v>
      </c>
      <c r="T97" t="s">
        <v>22</v>
      </c>
      <c r="U97" t="str">
        <f t="shared" si="1"/>
        <v>1</v>
      </c>
      <c r="V97" t="str">
        <f>IF(Table1[appointment_status]="Attended","1","0")</f>
        <v>1</v>
      </c>
      <c r="W97" t="str">
        <f>IF(Table1[appointment_status]="Cancelled","1","0")</f>
        <v>0</v>
      </c>
    </row>
    <row r="98" spans="1:23">
      <c r="A98" t="s">
        <v>232</v>
      </c>
      <c r="B98" t="s">
        <v>233</v>
      </c>
      <c r="C98">
        <v>13</v>
      </c>
      <c r="D98" t="str" cm="1">
        <f t="array" ref="D98">_xlfn.IFS(Table1[[#This Row],[age]]&lt;=17,"0-17",C98&lt;=29,"18-29",C98&lt;=44,"30-44",C98&lt;=59,"45-59",C98&lt;=74,"60-74",TRUE,"75+")</f>
        <v>0-17</v>
      </c>
      <c r="E98" t="s">
        <v>29</v>
      </c>
      <c r="F98">
        <v>10</v>
      </c>
      <c r="G98" t="str" cm="1">
        <f t="array" ref="G98">_xlfn.IFS(_xlfn.SINGLE(Table1[imd_decile])&lt;=3,"Most Deprived",F98&lt;=7,"Moderately Deprived",F98&lt;=10,"Least Deprived")</f>
        <v>Least Deprived</v>
      </c>
      <c r="H98">
        <v>4.7</v>
      </c>
      <c r="I98" t="s">
        <v>58</v>
      </c>
      <c r="J98" t="s">
        <v>26</v>
      </c>
      <c r="K98" s="1">
        <v>45691</v>
      </c>
      <c r="L98" s="1">
        <v>45699</v>
      </c>
      <c r="M98" s="1" t="str">
        <f>TEXT(Table1[[#This Row],[appointment_date]],"MM/YYYY")</f>
        <v>02/2025</v>
      </c>
      <c r="N98">
        <v>8</v>
      </c>
      <c r="O98" t="str" cm="1">
        <f t="array" ref="O98">_xlfn.IFS(Table1[[#This Row],[lead_time_days]]&lt;=7,"0-7 days",N98&lt;=14,"8-14 days",N98&lt;=30,"15-30 days",N98&lt;=60,"31-60 days",TRUE,"61+ days")</f>
        <v>8-14 days</v>
      </c>
      <c r="P98" t="s">
        <v>71</v>
      </c>
      <c r="Q98" t="s">
        <v>21</v>
      </c>
      <c r="R98">
        <v>0</v>
      </c>
      <c r="S98" t="str">
        <f>IF(Table1[prior_dna_count]&gt;=1,"Has prior DNA history","No prior DNA history")</f>
        <v>No prior DNA history</v>
      </c>
      <c r="T98" t="s">
        <v>22</v>
      </c>
      <c r="U98" t="str">
        <f t="shared" si="1"/>
        <v>1</v>
      </c>
      <c r="V98" t="str">
        <f>IF(Table1[appointment_status]="Attended","1","0")</f>
        <v>1</v>
      </c>
      <c r="W98" t="str">
        <f>IF(Table1[appointment_status]="Cancelled","1","0")</f>
        <v>0</v>
      </c>
    </row>
    <row r="99" spans="1:23">
      <c r="A99" t="s">
        <v>234</v>
      </c>
      <c r="B99" t="s">
        <v>235</v>
      </c>
      <c r="C99">
        <v>39</v>
      </c>
      <c r="D99" t="str" cm="1">
        <f t="array" ref="D99">_xlfn.IFS(Table1[[#This Row],[age]]&lt;=17,"0-17",C99&lt;=29,"18-29",C99&lt;=44,"30-44",C99&lt;=59,"45-59",C99&lt;=74,"60-74",TRUE,"75+")</f>
        <v>30-44</v>
      </c>
      <c r="E99" t="s">
        <v>17</v>
      </c>
      <c r="F99">
        <v>2</v>
      </c>
      <c r="G99" t="str" cm="1">
        <f t="array" ref="G99">_xlfn.IFS(_xlfn.SINGLE(Table1[imd_decile])&lt;=3,"Most Deprived",F99&lt;=7,"Moderately Deprived",F99&lt;=10,"Least Deprived")</f>
        <v>Most Deprived</v>
      </c>
      <c r="H99">
        <v>9.1999999999999993</v>
      </c>
      <c r="I99" t="s">
        <v>45</v>
      </c>
      <c r="J99" t="s">
        <v>26</v>
      </c>
      <c r="K99" s="1">
        <v>45685</v>
      </c>
      <c r="L99" s="1">
        <v>45699</v>
      </c>
      <c r="M99" s="1" t="str">
        <f>TEXT(Table1[[#This Row],[appointment_date]],"MM/YYYY")</f>
        <v>02/2025</v>
      </c>
      <c r="N99">
        <v>14</v>
      </c>
      <c r="O99" t="str" cm="1">
        <f t="array" ref="O99">_xlfn.IFS(Table1[[#This Row],[lead_time_days]]&lt;=7,"0-7 days",N99&lt;=14,"8-14 days",N99&lt;=30,"15-30 days",N99&lt;=60,"31-60 days",TRUE,"61+ days")</f>
        <v>8-14 days</v>
      </c>
      <c r="P99" t="s">
        <v>71</v>
      </c>
      <c r="Q99" t="s">
        <v>32</v>
      </c>
      <c r="R99">
        <v>0</v>
      </c>
      <c r="S99" t="str">
        <f>IF(Table1[prior_dna_count]&gt;=1,"Has prior DNA history","No prior DNA history")</f>
        <v>No prior DNA history</v>
      </c>
      <c r="T99" t="s">
        <v>22</v>
      </c>
      <c r="U99" t="str">
        <f t="shared" si="1"/>
        <v>1</v>
      </c>
      <c r="V99" t="str">
        <f>IF(Table1[appointment_status]="Attended","1","0")</f>
        <v>1</v>
      </c>
      <c r="W99" t="str">
        <f>IF(Table1[appointment_status]="Cancelled","1","0")</f>
        <v>0</v>
      </c>
    </row>
    <row r="100" spans="1:23">
      <c r="A100" t="s">
        <v>236</v>
      </c>
      <c r="B100" t="s">
        <v>237</v>
      </c>
      <c r="C100">
        <v>55</v>
      </c>
      <c r="D100" t="str" cm="1">
        <f t="array" ref="D100">_xlfn.IFS(Table1[[#This Row],[age]]&lt;=17,"0-17",C100&lt;=29,"18-29",C100&lt;=44,"30-44",C100&lt;=59,"45-59",C100&lt;=74,"60-74",TRUE,"75+")</f>
        <v>45-59</v>
      </c>
      <c r="E100" t="s">
        <v>17</v>
      </c>
      <c r="F100">
        <v>6</v>
      </c>
      <c r="G100" t="str" cm="1">
        <f t="array" ref="G100">_xlfn.IFS(_xlfn.SINGLE(Table1[imd_decile])&lt;=3,"Most Deprived",F100&lt;=7,"Moderately Deprived",F100&lt;=10,"Least Deprived")</f>
        <v>Moderately Deprived</v>
      </c>
      <c r="H100">
        <v>14.5</v>
      </c>
      <c r="I100" t="s">
        <v>25</v>
      </c>
      <c r="J100" t="s">
        <v>19</v>
      </c>
      <c r="K100" s="1">
        <v>45678</v>
      </c>
      <c r="L100" s="1">
        <v>45699</v>
      </c>
      <c r="M100" s="1" t="str">
        <f>TEXT(Table1[[#This Row],[appointment_date]],"MM/YYYY")</f>
        <v>02/2025</v>
      </c>
      <c r="N100">
        <v>21</v>
      </c>
      <c r="O100" t="str" cm="1">
        <f t="array" ref="O100">_xlfn.IFS(Table1[[#This Row],[lead_time_days]]&lt;=7,"0-7 days",N100&lt;=14,"8-14 days",N100&lt;=30,"15-30 days",N100&lt;=60,"31-60 days",TRUE,"61+ days")</f>
        <v>15-30 days</v>
      </c>
      <c r="P100" t="s">
        <v>71</v>
      </c>
      <c r="Q100" t="s">
        <v>21</v>
      </c>
      <c r="R100">
        <v>0</v>
      </c>
      <c r="S100" t="str">
        <f>IF(Table1[prior_dna_count]&gt;=1,"Has prior DNA history","No prior DNA history")</f>
        <v>No prior DNA history</v>
      </c>
      <c r="T100" t="s">
        <v>22</v>
      </c>
      <c r="U100" t="str">
        <f t="shared" si="1"/>
        <v>1</v>
      </c>
      <c r="V100" t="str">
        <f>IF(Table1[appointment_status]="Attended","1","0")</f>
        <v>1</v>
      </c>
      <c r="W100" t="str">
        <f>IF(Table1[appointment_status]="Cancelled","1","0")</f>
        <v>0</v>
      </c>
    </row>
    <row r="101" spans="1:23">
      <c r="A101" t="s">
        <v>238</v>
      </c>
      <c r="B101" t="s">
        <v>239</v>
      </c>
      <c r="C101">
        <v>69</v>
      </c>
      <c r="D101" t="str" cm="1">
        <f t="array" ref="D101">_xlfn.IFS(Table1[[#This Row],[age]]&lt;=17,"0-17",C101&lt;=29,"18-29",C101&lt;=44,"30-44",C101&lt;=59,"45-59",C101&lt;=74,"60-74",TRUE,"75+")</f>
        <v>60-74</v>
      </c>
      <c r="E101" t="s">
        <v>29</v>
      </c>
      <c r="F101">
        <v>1</v>
      </c>
      <c r="G101" t="str" cm="1">
        <f t="array" ref="G101">_xlfn.IFS(_xlfn.SINGLE(Table1[imd_decile])&lt;=3,"Most Deprived",F101&lt;=7,"Moderately Deprived",F101&lt;=10,"Least Deprived")</f>
        <v>Most Deprived</v>
      </c>
      <c r="H101">
        <v>28.5</v>
      </c>
      <c r="I101" t="s">
        <v>49</v>
      </c>
      <c r="J101" t="s">
        <v>26</v>
      </c>
      <c r="K101" s="1">
        <v>45688</v>
      </c>
      <c r="L101" s="1">
        <v>45699</v>
      </c>
      <c r="M101" s="1" t="str">
        <f>TEXT(Table1[[#This Row],[appointment_date]],"MM/YYYY")</f>
        <v>02/2025</v>
      </c>
      <c r="N101">
        <v>11</v>
      </c>
      <c r="O101" t="str" cm="1">
        <f t="array" ref="O101">_xlfn.IFS(Table1[[#This Row],[lead_time_days]]&lt;=7,"0-7 days",N101&lt;=14,"8-14 days",N101&lt;=30,"15-30 days",N101&lt;=60,"31-60 days",TRUE,"61+ days")</f>
        <v>8-14 days</v>
      </c>
      <c r="P101" t="s">
        <v>71</v>
      </c>
      <c r="Q101" t="s">
        <v>21</v>
      </c>
      <c r="R101">
        <v>0</v>
      </c>
      <c r="S101" t="str">
        <f>IF(Table1[prior_dna_count]&gt;=1,"Has prior DNA history","No prior DNA history")</f>
        <v>No prior DNA history</v>
      </c>
      <c r="T101" t="s">
        <v>22</v>
      </c>
      <c r="U101" t="str">
        <f t="shared" si="1"/>
        <v>1</v>
      </c>
      <c r="V101" t="str">
        <f>IF(Table1[appointment_status]="Attended","1","0")</f>
        <v>1</v>
      </c>
      <c r="W101" t="str">
        <f>IF(Table1[appointment_status]="Cancelled","1","0")</f>
        <v>0</v>
      </c>
    </row>
    <row r="102" spans="1:23">
      <c r="A102" t="s">
        <v>240</v>
      </c>
      <c r="B102" t="s">
        <v>241</v>
      </c>
      <c r="C102">
        <v>41</v>
      </c>
      <c r="D102" t="str" cm="1">
        <f t="array" ref="D102">_xlfn.IFS(Table1[[#This Row],[age]]&lt;=17,"0-17",C102&lt;=29,"18-29",C102&lt;=44,"30-44",C102&lt;=59,"45-59",C102&lt;=74,"60-74",TRUE,"75+")</f>
        <v>30-44</v>
      </c>
      <c r="E102" t="s">
        <v>29</v>
      </c>
      <c r="F102">
        <v>5</v>
      </c>
      <c r="G102" t="str" cm="1">
        <f t="array" ref="G102">_xlfn.IFS(_xlfn.SINGLE(Table1[imd_decile])&lt;=3,"Most Deprived",F102&lt;=7,"Moderately Deprived",F102&lt;=10,"Least Deprived")</f>
        <v>Moderately Deprived</v>
      </c>
      <c r="H102">
        <v>20</v>
      </c>
      <c r="I102" t="s">
        <v>25</v>
      </c>
      <c r="J102" t="s">
        <v>19</v>
      </c>
      <c r="K102" s="1">
        <v>45670</v>
      </c>
      <c r="L102" s="1">
        <v>45699</v>
      </c>
      <c r="M102" s="1" t="str">
        <f>TEXT(Table1[[#This Row],[appointment_date]],"MM/YYYY")</f>
        <v>02/2025</v>
      </c>
      <c r="N102">
        <v>29</v>
      </c>
      <c r="O102" t="str" cm="1">
        <f t="array" ref="O102">_xlfn.IFS(Table1[[#This Row],[lead_time_days]]&lt;=7,"0-7 days",N102&lt;=14,"8-14 days",N102&lt;=30,"15-30 days",N102&lt;=60,"31-60 days",TRUE,"61+ days")</f>
        <v>15-30 days</v>
      </c>
      <c r="P102" t="s">
        <v>71</v>
      </c>
      <c r="Q102" t="s">
        <v>32</v>
      </c>
      <c r="R102">
        <v>0</v>
      </c>
      <c r="S102" t="str">
        <f>IF(Table1[prior_dna_count]&gt;=1,"Has prior DNA history","No prior DNA history")</f>
        <v>No prior DNA history</v>
      </c>
      <c r="T102" t="s">
        <v>22</v>
      </c>
      <c r="U102" t="str">
        <f t="shared" si="1"/>
        <v>1</v>
      </c>
      <c r="V102" t="str">
        <f>IF(Table1[appointment_status]="Attended","1","0")</f>
        <v>1</v>
      </c>
      <c r="W102" t="str">
        <f>IF(Table1[appointment_status]="Cancelled","1","0")</f>
        <v>0</v>
      </c>
    </row>
    <row r="103" spans="1:23">
      <c r="A103" t="s">
        <v>242</v>
      </c>
      <c r="B103" t="s">
        <v>243</v>
      </c>
      <c r="C103">
        <v>66</v>
      </c>
      <c r="D103" t="str" cm="1">
        <f t="array" ref="D103">_xlfn.IFS(Table1[[#This Row],[age]]&lt;=17,"0-17",C103&lt;=29,"18-29",C103&lt;=44,"30-44",C103&lt;=59,"45-59",C103&lt;=74,"60-74",TRUE,"75+")</f>
        <v>60-74</v>
      </c>
      <c r="E103" t="s">
        <v>29</v>
      </c>
      <c r="F103">
        <v>1</v>
      </c>
      <c r="G103" t="str" cm="1">
        <f t="array" ref="G103">_xlfn.IFS(_xlfn.SINGLE(Table1[imd_decile])&lt;=3,"Most Deprived",F103&lt;=7,"Moderately Deprived",F103&lt;=10,"Least Deprived")</f>
        <v>Most Deprived</v>
      </c>
      <c r="H103">
        <v>5.7</v>
      </c>
      <c r="I103" t="s">
        <v>25</v>
      </c>
      <c r="J103" t="s">
        <v>26</v>
      </c>
      <c r="K103" s="1">
        <v>45695</v>
      </c>
      <c r="L103" s="1">
        <v>45700</v>
      </c>
      <c r="M103" s="1" t="str">
        <f>TEXT(Table1[[#This Row],[appointment_date]],"MM/YYYY")</f>
        <v>02/2025</v>
      </c>
      <c r="N103">
        <v>5</v>
      </c>
      <c r="O103" t="str" cm="1">
        <f t="array" ref="O103">_xlfn.IFS(Table1[[#This Row],[lead_time_days]]&lt;=7,"0-7 days",N103&lt;=14,"8-14 days",N103&lt;=30,"15-30 days",N103&lt;=60,"31-60 days",TRUE,"61+ days")</f>
        <v>0-7 days</v>
      </c>
      <c r="P103" t="s">
        <v>80</v>
      </c>
      <c r="Q103" t="s">
        <v>32</v>
      </c>
      <c r="R103">
        <v>0</v>
      </c>
      <c r="S103" t="str">
        <f>IF(Table1[prior_dna_count]&gt;=1,"Has prior DNA history","No prior DNA history")</f>
        <v>No prior DNA history</v>
      </c>
      <c r="T103" t="s">
        <v>22</v>
      </c>
      <c r="U103" t="str">
        <f t="shared" si="1"/>
        <v>1</v>
      </c>
      <c r="V103" t="str">
        <f>IF(Table1[appointment_status]="Attended","1","0")</f>
        <v>1</v>
      </c>
      <c r="W103" t="str">
        <f>IF(Table1[appointment_status]="Cancelled","1","0")</f>
        <v>0</v>
      </c>
    </row>
    <row r="104" spans="1:23">
      <c r="A104" t="s">
        <v>244</v>
      </c>
      <c r="B104" t="s">
        <v>245</v>
      </c>
      <c r="C104">
        <v>33</v>
      </c>
      <c r="D104" t="str" cm="1">
        <f t="array" ref="D104">_xlfn.IFS(Table1[[#This Row],[age]]&lt;=17,"0-17",C104&lt;=29,"18-29",C104&lt;=44,"30-44",C104&lt;=59,"45-59",C104&lt;=74,"60-74",TRUE,"75+")</f>
        <v>30-44</v>
      </c>
      <c r="E104" t="s">
        <v>17</v>
      </c>
      <c r="F104">
        <v>10</v>
      </c>
      <c r="G104" t="str" cm="1">
        <f t="array" ref="G104">_xlfn.IFS(_xlfn.SINGLE(Table1[imd_decile])&lt;=3,"Most Deprived",F104&lt;=7,"Moderately Deprived",F104&lt;=10,"Least Deprived")</f>
        <v>Least Deprived</v>
      </c>
      <c r="H104">
        <v>11.6</v>
      </c>
      <c r="I104" t="s">
        <v>91</v>
      </c>
      <c r="J104" t="s">
        <v>19</v>
      </c>
      <c r="K104" s="1">
        <v>45683</v>
      </c>
      <c r="L104" s="1">
        <v>45700</v>
      </c>
      <c r="M104" s="1" t="str">
        <f>TEXT(Table1[[#This Row],[appointment_date]],"MM/YYYY")</f>
        <v>02/2025</v>
      </c>
      <c r="N104">
        <v>17</v>
      </c>
      <c r="O104" t="str" cm="1">
        <f t="array" ref="O104">_xlfn.IFS(Table1[[#This Row],[lead_time_days]]&lt;=7,"0-7 days",N104&lt;=14,"8-14 days",N104&lt;=30,"15-30 days",N104&lt;=60,"31-60 days",TRUE,"61+ days")</f>
        <v>15-30 days</v>
      </c>
      <c r="P104" t="s">
        <v>80</v>
      </c>
      <c r="Q104" t="s">
        <v>21</v>
      </c>
      <c r="R104">
        <v>0</v>
      </c>
      <c r="S104" t="str">
        <f>IF(Table1[prior_dna_count]&gt;=1,"Has prior DNA history","No prior DNA history")</f>
        <v>No prior DNA history</v>
      </c>
      <c r="T104" t="s">
        <v>22</v>
      </c>
      <c r="U104" t="str">
        <f t="shared" si="1"/>
        <v>1</v>
      </c>
      <c r="V104" t="str">
        <f>IF(Table1[appointment_status]="Attended","1","0")</f>
        <v>1</v>
      </c>
      <c r="W104" t="str">
        <f>IF(Table1[appointment_status]="Cancelled","1","0")</f>
        <v>0</v>
      </c>
    </row>
    <row r="105" spans="1:23">
      <c r="A105" t="s">
        <v>246</v>
      </c>
      <c r="B105" t="s">
        <v>247</v>
      </c>
      <c r="C105">
        <v>23</v>
      </c>
      <c r="D105" t="str" cm="1">
        <f t="array" ref="D105">_xlfn.IFS(Table1[[#This Row],[age]]&lt;=17,"0-17",C105&lt;=29,"18-29",C105&lt;=44,"30-44",C105&lt;=59,"45-59",C105&lt;=74,"60-74",TRUE,"75+")</f>
        <v>18-29</v>
      </c>
      <c r="E105" t="s">
        <v>29</v>
      </c>
      <c r="F105">
        <v>10</v>
      </c>
      <c r="G105" t="str" cm="1">
        <f t="array" ref="G105">_xlfn.IFS(_xlfn.SINGLE(Table1[imd_decile])&lt;=3,"Most Deprived",F105&lt;=7,"Moderately Deprived",F105&lt;=10,"Least Deprived")</f>
        <v>Least Deprived</v>
      </c>
      <c r="H105">
        <v>3</v>
      </c>
      <c r="I105" t="s">
        <v>25</v>
      </c>
      <c r="J105" t="s">
        <v>26</v>
      </c>
      <c r="K105" s="1">
        <v>45686</v>
      </c>
      <c r="L105" s="1">
        <v>45700</v>
      </c>
      <c r="M105" s="1" t="str">
        <f>TEXT(Table1[[#This Row],[appointment_date]],"MM/YYYY")</f>
        <v>02/2025</v>
      </c>
      <c r="N105">
        <v>14</v>
      </c>
      <c r="O105" t="str" cm="1">
        <f t="array" ref="O105">_xlfn.IFS(Table1[[#This Row],[lead_time_days]]&lt;=7,"0-7 days",N105&lt;=14,"8-14 days",N105&lt;=30,"15-30 days",N105&lt;=60,"31-60 days",TRUE,"61+ days")</f>
        <v>8-14 days</v>
      </c>
      <c r="P105" t="s">
        <v>80</v>
      </c>
      <c r="Q105" t="s">
        <v>21</v>
      </c>
      <c r="R105">
        <v>0</v>
      </c>
      <c r="S105" t="str">
        <f>IF(Table1[prior_dna_count]&gt;=1,"Has prior DNA history","No prior DNA history")</f>
        <v>No prior DNA history</v>
      </c>
      <c r="T105" t="s">
        <v>46</v>
      </c>
      <c r="U105" t="str">
        <f t="shared" si="1"/>
        <v>1</v>
      </c>
      <c r="V105" t="str">
        <f>IF(Table1[appointment_status]="Attended","1","0")</f>
        <v>0</v>
      </c>
      <c r="W105" t="str">
        <f>IF(Table1[appointment_status]="Cancelled","1","0")</f>
        <v>1</v>
      </c>
    </row>
    <row r="106" spans="1:23">
      <c r="A106" t="s">
        <v>248</v>
      </c>
      <c r="B106" t="s">
        <v>249</v>
      </c>
      <c r="C106">
        <v>20</v>
      </c>
      <c r="D106" t="str" cm="1">
        <f t="array" ref="D106">_xlfn.IFS(Table1[[#This Row],[age]]&lt;=17,"0-17",C106&lt;=29,"18-29",C106&lt;=44,"30-44",C106&lt;=59,"45-59",C106&lt;=74,"60-74",TRUE,"75+")</f>
        <v>18-29</v>
      </c>
      <c r="E106" t="s">
        <v>17</v>
      </c>
      <c r="F106">
        <v>5</v>
      </c>
      <c r="G106" t="str" cm="1">
        <f t="array" ref="G106">_xlfn.IFS(_xlfn.SINGLE(Table1[imd_decile])&lt;=3,"Most Deprived",F106&lt;=7,"Moderately Deprived",F106&lt;=10,"Least Deprived")</f>
        <v>Moderately Deprived</v>
      </c>
      <c r="H106">
        <v>3.9</v>
      </c>
      <c r="I106" t="s">
        <v>38</v>
      </c>
      <c r="J106" t="s">
        <v>19</v>
      </c>
      <c r="K106" s="1">
        <v>45665</v>
      </c>
      <c r="L106" s="1">
        <v>45700</v>
      </c>
      <c r="M106" s="1" t="str">
        <f>TEXT(Table1[[#This Row],[appointment_date]],"MM/YYYY")</f>
        <v>02/2025</v>
      </c>
      <c r="N106">
        <v>35</v>
      </c>
      <c r="O106" t="str" cm="1">
        <f t="array" ref="O106">_xlfn.IFS(Table1[[#This Row],[lead_time_days]]&lt;=7,"0-7 days",N106&lt;=14,"8-14 days",N106&lt;=30,"15-30 days",N106&lt;=60,"31-60 days",TRUE,"61+ days")</f>
        <v>31-60 days</v>
      </c>
      <c r="P106" t="s">
        <v>80</v>
      </c>
      <c r="Q106" t="s">
        <v>21</v>
      </c>
      <c r="R106">
        <v>0</v>
      </c>
      <c r="S106" t="str">
        <f>IF(Table1[prior_dna_count]&gt;=1,"Has prior DNA history","No prior DNA history")</f>
        <v>No prior DNA history</v>
      </c>
      <c r="T106" t="s">
        <v>22</v>
      </c>
      <c r="U106" t="str">
        <f t="shared" si="1"/>
        <v>0</v>
      </c>
      <c r="V106" t="str">
        <f>IF(Table1[appointment_status]="Attended","1","0")</f>
        <v>1</v>
      </c>
      <c r="W106" t="str">
        <f>IF(Table1[appointment_status]="Cancelled","1","0")</f>
        <v>0</v>
      </c>
    </row>
    <row r="107" spans="1:23">
      <c r="A107" t="s">
        <v>250</v>
      </c>
      <c r="B107" t="s">
        <v>251</v>
      </c>
      <c r="C107">
        <v>56</v>
      </c>
      <c r="D107" t="str" cm="1">
        <f t="array" ref="D107">_xlfn.IFS(Table1[[#This Row],[age]]&lt;=17,"0-17",C107&lt;=29,"18-29",C107&lt;=44,"30-44",C107&lt;=59,"45-59",C107&lt;=74,"60-74",TRUE,"75+")</f>
        <v>45-59</v>
      </c>
      <c r="E107" t="s">
        <v>17</v>
      </c>
      <c r="F107">
        <v>2</v>
      </c>
      <c r="G107" t="str" cm="1">
        <f t="array" ref="G107">_xlfn.IFS(_xlfn.SINGLE(Table1[imd_decile])&lt;=3,"Most Deprived",F107&lt;=7,"Moderately Deprived",F107&lt;=10,"Least Deprived")</f>
        <v>Most Deprived</v>
      </c>
      <c r="H107">
        <v>11.3</v>
      </c>
      <c r="I107" t="s">
        <v>25</v>
      </c>
      <c r="J107" t="s">
        <v>26</v>
      </c>
      <c r="K107" s="1">
        <v>45667</v>
      </c>
      <c r="L107" s="1">
        <v>45700</v>
      </c>
      <c r="M107" s="1" t="str">
        <f>TEXT(Table1[[#This Row],[appointment_date]],"MM/YYYY")</f>
        <v>02/2025</v>
      </c>
      <c r="N107">
        <v>33</v>
      </c>
      <c r="O107" t="str" cm="1">
        <f t="array" ref="O107">_xlfn.IFS(Table1[[#This Row],[lead_time_days]]&lt;=7,"0-7 days",N107&lt;=14,"8-14 days",N107&lt;=30,"15-30 days",N107&lt;=60,"31-60 days",TRUE,"61+ days")</f>
        <v>31-60 days</v>
      </c>
      <c r="P107" t="s">
        <v>80</v>
      </c>
      <c r="Q107" t="s">
        <v>21</v>
      </c>
      <c r="R107">
        <v>0</v>
      </c>
      <c r="S107" t="str">
        <f>IF(Table1[prior_dna_count]&gt;=1,"Has prior DNA history","No prior DNA history")</f>
        <v>No prior DNA history</v>
      </c>
      <c r="T107" t="s">
        <v>39</v>
      </c>
      <c r="U107" t="str">
        <f t="shared" si="1"/>
        <v>1</v>
      </c>
      <c r="V107" t="str">
        <f>IF(Table1[appointment_status]="Attended","1","0")</f>
        <v>0</v>
      </c>
      <c r="W107" t="str">
        <f>IF(Table1[appointment_status]="Cancelled","1","0")</f>
        <v>0</v>
      </c>
    </row>
    <row r="108" spans="1:23">
      <c r="A108" t="s">
        <v>252</v>
      </c>
      <c r="B108" t="s">
        <v>253</v>
      </c>
      <c r="C108">
        <v>31</v>
      </c>
      <c r="D108" t="str" cm="1">
        <f t="array" ref="D108">_xlfn.IFS(Table1[[#This Row],[age]]&lt;=17,"0-17",C108&lt;=29,"18-29",C108&lt;=44,"30-44",C108&lt;=59,"45-59",C108&lt;=74,"60-74",TRUE,"75+")</f>
        <v>30-44</v>
      </c>
      <c r="E108" t="s">
        <v>17</v>
      </c>
      <c r="F108">
        <v>6</v>
      </c>
      <c r="G108" t="str" cm="1">
        <f t="array" ref="G108">_xlfn.IFS(_xlfn.SINGLE(Table1[imd_decile])&lt;=3,"Most Deprived",F108&lt;=7,"Moderately Deprived",F108&lt;=10,"Least Deprived")</f>
        <v>Moderately Deprived</v>
      </c>
      <c r="H108">
        <v>6.9</v>
      </c>
      <c r="I108" t="s">
        <v>45</v>
      </c>
      <c r="J108" t="s">
        <v>26</v>
      </c>
      <c r="K108" s="1">
        <v>45689</v>
      </c>
      <c r="L108" s="1">
        <v>45700</v>
      </c>
      <c r="M108" s="1" t="str">
        <f>TEXT(Table1[[#This Row],[appointment_date]],"MM/YYYY")</f>
        <v>02/2025</v>
      </c>
      <c r="N108">
        <v>11</v>
      </c>
      <c r="O108" t="str" cm="1">
        <f t="array" ref="O108">_xlfn.IFS(Table1[[#This Row],[lead_time_days]]&lt;=7,"0-7 days",N108&lt;=14,"8-14 days",N108&lt;=30,"15-30 days",N108&lt;=60,"31-60 days",TRUE,"61+ days")</f>
        <v>8-14 days</v>
      </c>
      <c r="P108" t="s">
        <v>80</v>
      </c>
      <c r="Q108" t="s">
        <v>21</v>
      </c>
      <c r="R108">
        <v>0</v>
      </c>
      <c r="S108" t="str">
        <f>IF(Table1[prior_dna_count]&gt;=1,"Has prior DNA history","No prior DNA history")</f>
        <v>No prior DNA history</v>
      </c>
      <c r="T108" t="s">
        <v>22</v>
      </c>
      <c r="U108" t="str">
        <f t="shared" si="1"/>
        <v>0</v>
      </c>
      <c r="V108" t="str">
        <f>IF(Table1[appointment_status]="Attended","1","0")</f>
        <v>1</v>
      </c>
      <c r="W108" t="str">
        <f>IF(Table1[appointment_status]="Cancelled","1","0")</f>
        <v>0</v>
      </c>
    </row>
    <row r="109" spans="1:23">
      <c r="A109" t="s">
        <v>254</v>
      </c>
      <c r="B109" t="s">
        <v>255</v>
      </c>
      <c r="C109">
        <v>50</v>
      </c>
      <c r="D109" t="str" cm="1">
        <f t="array" ref="D109">_xlfn.IFS(Table1[[#This Row],[age]]&lt;=17,"0-17",C109&lt;=29,"18-29",C109&lt;=44,"30-44",C109&lt;=59,"45-59",C109&lt;=74,"60-74",TRUE,"75+")</f>
        <v>45-59</v>
      </c>
      <c r="E109" t="s">
        <v>17</v>
      </c>
      <c r="F109">
        <v>7</v>
      </c>
      <c r="G109" t="str" cm="1">
        <f t="array" ref="G109">_xlfn.IFS(_xlfn.SINGLE(Table1[imd_decile])&lt;=3,"Most Deprived",F109&lt;=7,"Moderately Deprived",F109&lt;=10,"Least Deprived")</f>
        <v>Moderately Deprived</v>
      </c>
      <c r="H109">
        <v>5.5</v>
      </c>
      <c r="I109" t="s">
        <v>42</v>
      </c>
      <c r="J109" t="s">
        <v>26</v>
      </c>
      <c r="K109" s="1">
        <v>45679</v>
      </c>
      <c r="L109" s="1">
        <v>45700</v>
      </c>
      <c r="M109" s="1" t="str">
        <f>TEXT(Table1[[#This Row],[appointment_date]],"MM/YYYY")</f>
        <v>02/2025</v>
      </c>
      <c r="N109">
        <v>21</v>
      </c>
      <c r="O109" t="str" cm="1">
        <f t="array" ref="O109">_xlfn.IFS(Table1[[#This Row],[lead_time_days]]&lt;=7,"0-7 days",N109&lt;=14,"8-14 days",N109&lt;=30,"15-30 days",N109&lt;=60,"31-60 days",TRUE,"61+ days")</f>
        <v>15-30 days</v>
      </c>
      <c r="P109" t="s">
        <v>80</v>
      </c>
      <c r="Q109" t="s">
        <v>21</v>
      </c>
      <c r="R109">
        <v>0</v>
      </c>
      <c r="S109" t="str">
        <f>IF(Table1[prior_dna_count]&gt;=1,"Has prior DNA history","No prior DNA history")</f>
        <v>No prior DNA history</v>
      </c>
      <c r="T109" t="s">
        <v>22</v>
      </c>
      <c r="U109" t="str">
        <f t="shared" si="1"/>
        <v>1</v>
      </c>
      <c r="V109" t="str">
        <f>IF(Table1[appointment_status]="Attended","1","0")</f>
        <v>1</v>
      </c>
      <c r="W109" t="str">
        <f>IF(Table1[appointment_status]="Cancelled","1","0")</f>
        <v>0</v>
      </c>
    </row>
    <row r="110" spans="1:23">
      <c r="A110" t="s">
        <v>256</v>
      </c>
      <c r="B110" t="s">
        <v>257</v>
      </c>
      <c r="C110">
        <v>34</v>
      </c>
      <c r="D110" t="str" cm="1">
        <f t="array" ref="D110">_xlfn.IFS(Table1[[#This Row],[age]]&lt;=17,"0-17",C110&lt;=29,"18-29",C110&lt;=44,"30-44",C110&lt;=59,"45-59",C110&lt;=74,"60-74",TRUE,"75+")</f>
        <v>30-44</v>
      </c>
      <c r="E110" t="s">
        <v>29</v>
      </c>
      <c r="F110">
        <v>6</v>
      </c>
      <c r="G110" t="str" cm="1">
        <f t="array" ref="G110">_xlfn.IFS(_xlfn.SINGLE(Table1[imd_decile])&lt;=3,"Most Deprived",F110&lt;=7,"Moderately Deprived",F110&lt;=10,"Least Deprived")</f>
        <v>Moderately Deprived</v>
      </c>
      <c r="H110">
        <v>5.9</v>
      </c>
      <c r="I110" t="s">
        <v>42</v>
      </c>
      <c r="J110" t="s">
        <v>26</v>
      </c>
      <c r="K110" s="1">
        <v>45676</v>
      </c>
      <c r="L110" s="1">
        <v>45701</v>
      </c>
      <c r="M110" s="1" t="str">
        <f>TEXT(Table1[[#This Row],[appointment_date]],"MM/YYYY")</f>
        <v>02/2025</v>
      </c>
      <c r="N110">
        <v>25</v>
      </c>
      <c r="O110" t="str" cm="1">
        <f t="array" ref="O110">_xlfn.IFS(Table1[[#This Row],[lead_time_days]]&lt;=7,"0-7 days",N110&lt;=14,"8-14 days",N110&lt;=30,"15-30 days",N110&lt;=60,"31-60 days",TRUE,"61+ days")</f>
        <v>15-30 days</v>
      </c>
      <c r="P110" t="s">
        <v>20</v>
      </c>
      <c r="Q110" t="s">
        <v>21</v>
      </c>
      <c r="R110">
        <v>0</v>
      </c>
      <c r="S110" t="str">
        <f>IF(Table1[prior_dna_count]&gt;=1,"Has prior DNA history","No prior DNA history")</f>
        <v>No prior DNA history</v>
      </c>
      <c r="T110" t="s">
        <v>22</v>
      </c>
      <c r="U110" t="str">
        <f t="shared" si="1"/>
        <v>1</v>
      </c>
      <c r="V110" t="str">
        <f>IF(Table1[appointment_status]="Attended","1","0")</f>
        <v>1</v>
      </c>
      <c r="W110" t="str">
        <f>IF(Table1[appointment_status]="Cancelled","1","0")</f>
        <v>0</v>
      </c>
    </row>
    <row r="111" spans="1:23">
      <c r="A111" t="s">
        <v>258</v>
      </c>
      <c r="B111" t="s">
        <v>259</v>
      </c>
      <c r="C111">
        <v>53</v>
      </c>
      <c r="D111" t="str" cm="1">
        <f t="array" ref="D111">_xlfn.IFS(Table1[[#This Row],[age]]&lt;=17,"0-17",C111&lt;=29,"18-29",C111&lt;=44,"30-44",C111&lt;=59,"45-59",C111&lt;=74,"60-74",TRUE,"75+")</f>
        <v>45-59</v>
      </c>
      <c r="E111" t="s">
        <v>29</v>
      </c>
      <c r="F111">
        <v>3</v>
      </c>
      <c r="G111" t="str" cm="1">
        <f t="array" ref="G111">_xlfn.IFS(_xlfn.SINGLE(Table1[imd_decile])&lt;=3,"Most Deprived",F111&lt;=7,"Moderately Deprived",F111&lt;=10,"Least Deprived")</f>
        <v>Most Deprived</v>
      </c>
      <c r="H111">
        <v>4.5999999999999996</v>
      </c>
      <c r="I111" t="s">
        <v>18</v>
      </c>
      <c r="J111" t="s">
        <v>26</v>
      </c>
      <c r="K111" s="1">
        <v>45689</v>
      </c>
      <c r="L111" s="1">
        <v>45701</v>
      </c>
      <c r="M111" s="1" t="str">
        <f>TEXT(Table1[[#This Row],[appointment_date]],"MM/YYYY")</f>
        <v>02/2025</v>
      </c>
      <c r="N111">
        <v>12</v>
      </c>
      <c r="O111" t="str" cm="1">
        <f t="array" ref="O111">_xlfn.IFS(Table1[[#This Row],[lead_time_days]]&lt;=7,"0-7 days",N111&lt;=14,"8-14 days",N111&lt;=30,"15-30 days",N111&lt;=60,"31-60 days",TRUE,"61+ days")</f>
        <v>8-14 days</v>
      </c>
      <c r="P111" t="s">
        <v>20</v>
      </c>
      <c r="Q111" t="s">
        <v>21</v>
      </c>
      <c r="R111">
        <v>0</v>
      </c>
      <c r="S111" t="str">
        <f>IF(Table1[prior_dna_count]&gt;=1,"Has prior DNA history","No prior DNA history")</f>
        <v>No prior DNA history</v>
      </c>
      <c r="T111" t="s">
        <v>22</v>
      </c>
      <c r="U111" t="str">
        <f t="shared" si="1"/>
        <v>1</v>
      </c>
      <c r="V111" t="str">
        <f>IF(Table1[appointment_status]="Attended","1","0")</f>
        <v>1</v>
      </c>
      <c r="W111" t="str">
        <f>IF(Table1[appointment_status]="Cancelled","1","0")</f>
        <v>0</v>
      </c>
    </row>
    <row r="112" spans="1:23">
      <c r="A112" t="s">
        <v>260</v>
      </c>
      <c r="B112" t="s">
        <v>261</v>
      </c>
      <c r="C112">
        <v>43</v>
      </c>
      <c r="D112" t="str" cm="1">
        <f t="array" ref="D112">_xlfn.IFS(Table1[[#This Row],[age]]&lt;=17,"0-17",C112&lt;=29,"18-29",C112&lt;=44,"30-44",C112&lt;=59,"45-59",C112&lt;=74,"60-74",TRUE,"75+")</f>
        <v>30-44</v>
      </c>
      <c r="E112" t="s">
        <v>17</v>
      </c>
      <c r="F112">
        <v>3</v>
      </c>
      <c r="G112" t="str" cm="1">
        <f t="array" ref="G112">_xlfn.IFS(_xlfn.SINGLE(Table1[imd_decile])&lt;=3,"Most Deprived",F112&lt;=7,"Moderately Deprived",F112&lt;=10,"Least Deprived")</f>
        <v>Most Deprived</v>
      </c>
      <c r="H112">
        <v>2.7</v>
      </c>
      <c r="I112" t="s">
        <v>45</v>
      </c>
      <c r="J112" t="s">
        <v>19</v>
      </c>
      <c r="K112" s="1">
        <v>45691</v>
      </c>
      <c r="L112" s="1">
        <v>45701</v>
      </c>
      <c r="M112" s="1" t="str">
        <f>TEXT(Table1[[#This Row],[appointment_date]],"MM/YYYY")</f>
        <v>02/2025</v>
      </c>
      <c r="N112">
        <v>10</v>
      </c>
      <c r="O112" t="str" cm="1">
        <f t="array" ref="O112">_xlfn.IFS(Table1[[#This Row],[lead_time_days]]&lt;=7,"0-7 days",N112&lt;=14,"8-14 days",N112&lt;=30,"15-30 days",N112&lt;=60,"31-60 days",TRUE,"61+ days")</f>
        <v>8-14 days</v>
      </c>
      <c r="P112" t="s">
        <v>20</v>
      </c>
      <c r="Q112" t="s">
        <v>21</v>
      </c>
      <c r="R112">
        <v>0</v>
      </c>
      <c r="S112" t="str">
        <f>IF(Table1[prior_dna_count]&gt;=1,"Has prior DNA history","No prior DNA history")</f>
        <v>No prior DNA history</v>
      </c>
      <c r="T112" t="s">
        <v>22</v>
      </c>
      <c r="U112" t="str">
        <f t="shared" si="1"/>
        <v>1</v>
      </c>
      <c r="V112" t="str">
        <f>IF(Table1[appointment_status]="Attended","1","0")</f>
        <v>1</v>
      </c>
      <c r="W112" t="str">
        <f>IF(Table1[appointment_status]="Cancelled","1","0")</f>
        <v>0</v>
      </c>
    </row>
    <row r="113" spans="1:23">
      <c r="A113" t="s">
        <v>262</v>
      </c>
      <c r="B113" t="s">
        <v>263</v>
      </c>
      <c r="C113">
        <v>93</v>
      </c>
      <c r="D113" t="str" cm="1">
        <f t="array" ref="D113">_xlfn.IFS(Table1[[#This Row],[age]]&lt;=17,"0-17",C113&lt;=29,"18-29",C113&lt;=44,"30-44",C113&lt;=59,"45-59",C113&lt;=74,"60-74",TRUE,"75+")</f>
        <v>75+</v>
      </c>
      <c r="E113" t="s">
        <v>17</v>
      </c>
      <c r="F113">
        <v>6</v>
      </c>
      <c r="G113" t="str" cm="1">
        <f t="array" ref="G113">_xlfn.IFS(_xlfn.SINGLE(Table1[imd_decile])&lt;=3,"Most Deprived",F113&lt;=7,"Moderately Deprived",F113&lt;=10,"Least Deprived")</f>
        <v>Moderately Deprived</v>
      </c>
      <c r="H113">
        <v>16.7</v>
      </c>
      <c r="I113" t="s">
        <v>155</v>
      </c>
      <c r="J113" t="s">
        <v>19</v>
      </c>
      <c r="K113" s="1">
        <v>45689</v>
      </c>
      <c r="L113" s="1">
        <v>45701</v>
      </c>
      <c r="M113" s="1" t="str">
        <f>TEXT(Table1[[#This Row],[appointment_date]],"MM/YYYY")</f>
        <v>02/2025</v>
      </c>
      <c r="N113">
        <v>12</v>
      </c>
      <c r="O113" t="str" cm="1">
        <f t="array" ref="O113">_xlfn.IFS(Table1[[#This Row],[lead_time_days]]&lt;=7,"0-7 days",N113&lt;=14,"8-14 days",N113&lt;=30,"15-30 days",N113&lt;=60,"31-60 days",TRUE,"61+ days")</f>
        <v>8-14 days</v>
      </c>
      <c r="P113" t="s">
        <v>20</v>
      </c>
      <c r="Q113" t="s">
        <v>32</v>
      </c>
      <c r="R113">
        <v>0</v>
      </c>
      <c r="S113" t="str">
        <f>IF(Table1[prior_dna_count]&gt;=1,"Has prior DNA history","No prior DNA history")</f>
        <v>No prior DNA history</v>
      </c>
      <c r="T113" t="s">
        <v>22</v>
      </c>
      <c r="U113" t="str">
        <f t="shared" si="1"/>
        <v>1</v>
      </c>
      <c r="V113" t="str">
        <f>IF(Table1[appointment_status]="Attended","1","0")</f>
        <v>1</v>
      </c>
      <c r="W113" t="str">
        <f>IF(Table1[appointment_status]="Cancelled","1","0")</f>
        <v>0</v>
      </c>
    </row>
    <row r="114" spans="1:23">
      <c r="A114" t="s">
        <v>264</v>
      </c>
      <c r="B114" t="s">
        <v>265</v>
      </c>
      <c r="C114">
        <v>69</v>
      </c>
      <c r="D114" t="str" cm="1">
        <f t="array" ref="D114">_xlfn.IFS(Table1[[#This Row],[age]]&lt;=17,"0-17",C114&lt;=29,"18-29",C114&lt;=44,"30-44",C114&lt;=59,"45-59",C114&lt;=74,"60-74",TRUE,"75+")</f>
        <v>60-74</v>
      </c>
      <c r="E114" t="s">
        <v>29</v>
      </c>
      <c r="F114">
        <v>7</v>
      </c>
      <c r="G114" t="str" cm="1">
        <f t="array" ref="G114">_xlfn.IFS(_xlfn.SINGLE(Table1[imd_decile])&lt;=3,"Most Deprived",F114&lt;=7,"Moderately Deprived",F114&lt;=10,"Least Deprived")</f>
        <v>Moderately Deprived</v>
      </c>
      <c r="H114">
        <v>10.8</v>
      </c>
      <c r="I114" t="s">
        <v>49</v>
      </c>
      <c r="J114" t="s">
        <v>19</v>
      </c>
      <c r="K114" s="1">
        <v>45685</v>
      </c>
      <c r="L114" s="1">
        <v>45701</v>
      </c>
      <c r="M114" s="1" t="str">
        <f>TEXT(Table1[[#This Row],[appointment_date]],"MM/YYYY")</f>
        <v>02/2025</v>
      </c>
      <c r="N114">
        <v>16</v>
      </c>
      <c r="O114" t="str" cm="1">
        <f t="array" ref="O114">_xlfn.IFS(Table1[[#This Row],[lead_time_days]]&lt;=7,"0-7 days",N114&lt;=14,"8-14 days",N114&lt;=30,"15-30 days",N114&lt;=60,"31-60 days",TRUE,"61+ days")</f>
        <v>15-30 days</v>
      </c>
      <c r="P114" t="s">
        <v>20</v>
      </c>
      <c r="Q114" t="s">
        <v>21</v>
      </c>
      <c r="R114">
        <v>0</v>
      </c>
      <c r="S114" t="str">
        <f>IF(Table1[prior_dna_count]&gt;=1,"Has prior DNA history","No prior DNA history")</f>
        <v>No prior DNA history</v>
      </c>
      <c r="T114" t="s">
        <v>22</v>
      </c>
      <c r="U114" t="str">
        <f t="shared" si="1"/>
        <v>1</v>
      </c>
      <c r="V114" t="str">
        <f>IF(Table1[appointment_status]="Attended","1","0")</f>
        <v>1</v>
      </c>
      <c r="W114" t="str">
        <f>IF(Table1[appointment_status]="Cancelled","1","0")</f>
        <v>0</v>
      </c>
    </row>
    <row r="115" spans="1:23">
      <c r="A115" t="s">
        <v>266</v>
      </c>
      <c r="B115" t="s">
        <v>129</v>
      </c>
      <c r="C115">
        <v>52</v>
      </c>
      <c r="D115" t="str" cm="1">
        <f t="array" ref="D115">_xlfn.IFS(Table1[[#This Row],[age]]&lt;=17,"0-17",C115&lt;=29,"18-29",C115&lt;=44,"30-44",C115&lt;=59,"45-59",C115&lt;=74,"60-74",TRUE,"75+")</f>
        <v>45-59</v>
      </c>
      <c r="E115" t="s">
        <v>29</v>
      </c>
      <c r="F115">
        <v>8</v>
      </c>
      <c r="G115" t="str" cm="1">
        <f t="array" ref="G115">_xlfn.IFS(_xlfn.SINGLE(Table1[imd_decile])&lt;=3,"Most Deprived",F115&lt;=7,"Moderately Deprived",F115&lt;=10,"Least Deprived")</f>
        <v>Least Deprived</v>
      </c>
      <c r="H115">
        <v>6.6</v>
      </c>
      <c r="I115" t="s">
        <v>25</v>
      </c>
      <c r="J115" t="s">
        <v>19</v>
      </c>
      <c r="K115" s="1">
        <v>45682</v>
      </c>
      <c r="L115" s="1">
        <v>45702</v>
      </c>
      <c r="M115" s="1" t="str">
        <f>TEXT(Table1[[#This Row],[appointment_date]],"MM/YYYY")</f>
        <v>02/2025</v>
      </c>
      <c r="N115">
        <v>20</v>
      </c>
      <c r="O115" t="str" cm="1">
        <f t="array" ref="O115">_xlfn.IFS(Table1[[#This Row],[lead_time_days]]&lt;=7,"0-7 days",N115&lt;=14,"8-14 days",N115&lt;=30,"15-30 days",N115&lt;=60,"31-60 days",TRUE,"61+ days")</f>
        <v>15-30 days</v>
      </c>
      <c r="P115" t="s">
        <v>52</v>
      </c>
      <c r="Q115" t="s">
        <v>32</v>
      </c>
      <c r="R115">
        <v>0</v>
      </c>
      <c r="S115" t="str">
        <f>IF(Table1[prior_dna_count]&gt;=1,"Has prior DNA history","No prior DNA history")</f>
        <v>No prior DNA history</v>
      </c>
      <c r="T115" t="s">
        <v>22</v>
      </c>
      <c r="U115" t="str">
        <f t="shared" si="1"/>
        <v>1</v>
      </c>
      <c r="V115" t="str">
        <f>IF(Table1[appointment_status]="Attended","1","0")</f>
        <v>1</v>
      </c>
      <c r="W115" t="str">
        <f>IF(Table1[appointment_status]="Cancelled","1","0")</f>
        <v>0</v>
      </c>
    </row>
    <row r="116" spans="1:23">
      <c r="A116" t="s">
        <v>267</v>
      </c>
      <c r="B116" t="s">
        <v>268</v>
      </c>
      <c r="C116">
        <v>18</v>
      </c>
      <c r="D116" t="str" cm="1">
        <f t="array" ref="D116">_xlfn.IFS(Table1[[#This Row],[age]]&lt;=17,"0-17",C116&lt;=29,"18-29",C116&lt;=44,"30-44",C116&lt;=59,"45-59",C116&lt;=74,"60-74",TRUE,"75+")</f>
        <v>18-29</v>
      </c>
      <c r="E116" t="s">
        <v>29</v>
      </c>
      <c r="F116">
        <v>4</v>
      </c>
      <c r="G116" t="str" cm="1">
        <f t="array" ref="G116">_xlfn.IFS(_xlfn.SINGLE(Table1[imd_decile])&lt;=3,"Most Deprived",F116&lt;=7,"Moderately Deprived",F116&lt;=10,"Least Deprived")</f>
        <v>Moderately Deprived</v>
      </c>
      <c r="H116">
        <v>14.5</v>
      </c>
      <c r="I116" t="s">
        <v>155</v>
      </c>
      <c r="J116" t="s">
        <v>19</v>
      </c>
      <c r="K116" s="1">
        <v>45671</v>
      </c>
      <c r="L116" s="1">
        <v>45702</v>
      </c>
      <c r="M116" s="1" t="str">
        <f>TEXT(Table1[[#This Row],[appointment_date]],"MM/YYYY")</f>
        <v>02/2025</v>
      </c>
      <c r="N116">
        <v>31</v>
      </c>
      <c r="O116" t="str" cm="1">
        <f t="array" ref="O116">_xlfn.IFS(Table1[[#This Row],[lead_time_days]]&lt;=7,"0-7 days",N116&lt;=14,"8-14 days",N116&lt;=30,"15-30 days",N116&lt;=60,"31-60 days",TRUE,"61+ days")</f>
        <v>31-60 days</v>
      </c>
      <c r="P116" t="s">
        <v>52</v>
      </c>
      <c r="Q116" t="s">
        <v>21</v>
      </c>
      <c r="R116">
        <v>0</v>
      </c>
      <c r="S116" t="str">
        <f>IF(Table1[prior_dna_count]&gt;=1,"Has prior DNA history","No prior DNA history")</f>
        <v>No prior DNA history</v>
      </c>
      <c r="T116" t="s">
        <v>22</v>
      </c>
      <c r="U116" t="str">
        <f t="shared" si="1"/>
        <v>1</v>
      </c>
      <c r="V116" t="str">
        <f>IF(Table1[appointment_status]="Attended","1","0")</f>
        <v>1</v>
      </c>
      <c r="W116" t="str">
        <f>IF(Table1[appointment_status]="Cancelled","1","0")</f>
        <v>0</v>
      </c>
    </row>
    <row r="117" spans="1:23">
      <c r="A117" t="s">
        <v>269</v>
      </c>
      <c r="B117" t="s">
        <v>270</v>
      </c>
      <c r="C117">
        <v>18</v>
      </c>
      <c r="D117" t="str" cm="1">
        <f t="array" ref="D117">_xlfn.IFS(Table1[[#This Row],[age]]&lt;=17,"0-17",C117&lt;=29,"18-29",C117&lt;=44,"30-44",C117&lt;=59,"45-59",C117&lt;=74,"60-74",TRUE,"75+")</f>
        <v>18-29</v>
      </c>
      <c r="E117" t="s">
        <v>17</v>
      </c>
      <c r="F117">
        <v>9</v>
      </c>
      <c r="G117" t="str" cm="1">
        <f t="array" ref="G117">_xlfn.IFS(_xlfn.SINGLE(Table1[imd_decile])&lt;=3,"Most Deprived",F117&lt;=7,"Moderately Deprived",F117&lt;=10,"Least Deprived")</f>
        <v>Least Deprived</v>
      </c>
      <c r="H117">
        <v>5.3</v>
      </c>
      <c r="I117" t="s">
        <v>91</v>
      </c>
      <c r="J117" t="s">
        <v>26</v>
      </c>
      <c r="K117" s="1">
        <v>45696</v>
      </c>
      <c r="L117" s="1">
        <v>45702</v>
      </c>
      <c r="M117" s="1" t="str">
        <f>TEXT(Table1[[#This Row],[appointment_date]],"MM/YYYY")</f>
        <v>02/2025</v>
      </c>
      <c r="N117">
        <v>6</v>
      </c>
      <c r="O117" t="str" cm="1">
        <f t="array" ref="O117">_xlfn.IFS(Table1[[#This Row],[lead_time_days]]&lt;=7,"0-7 days",N117&lt;=14,"8-14 days",N117&lt;=30,"15-30 days",N117&lt;=60,"31-60 days",TRUE,"61+ days")</f>
        <v>0-7 days</v>
      </c>
      <c r="P117" t="s">
        <v>52</v>
      </c>
      <c r="Q117" t="s">
        <v>21</v>
      </c>
      <c r="R117">
        <v>0</v>
      </c>
      <c r="S117" t="str">
        <f>IF(Table1[prior_dna_count]&gt;=1,"Has prior DNA history","No prior DNA history")</f>
        <v>No prior DNA history</v>
      </c>
      <c r="T117" t="s">
        <v>22</v>
      </c>
      <c r="U117" t="str">
        <f t="shared" si="1"/>
        <v>1</v>
      </c>
      <c r="V117" t="str">
        <f>IF(Table1[appointment_status]="Attended","1","0")</f>
        <v>1</v>
      </c>
      <c r="W117" t="str">
        <f>IF(Table1[appointment_status]="Cancelled","1","0")</f>
        <v>0</v>
      </c>
    </row>
    <row r="118" spans="1:23">
      <c r="A118" t="s">
        <v>271</v>
      </c>
      <c r="B118" t="s">
        <v>272</v>
      </c>
      <c r="C118">
        <v>34</v>
      </c>
      <c r="D118" t="str" cm="1">
        <f t="array" ref="D118">_xlfn.IFS(Table1[[#This Row],[age]]&lt;=17,"0-17",C118&lt;=29,"18-29",C118&lt;=44,"30-44",C118&lt;=59,"45-59",C118&lt;=74,"60-74",TRUE,"75+")</f>
        <v>30-44</v>
      </c>
      <c r="E118" t="s">
        <v>17</v>
      </c>
      <c r="F118">
        <v>4</v>
      </c>
      <c r="G118" t="str" cm="1">
        <f t="array" ref="G118">_xlfn.IFS(_xlfn.SINGLE(Table1[imd_decile])&lt;=3,"Most Deprived",F118&lt;=7,"Moderately Deprived",F118&lt;=10,"Least Deprived")</f>
        <v>Moderately Deprived</v>
      </c>
      <c r="H118">
        <v>22.6</v>
      </c>
      <c r="I118" t="s">
        <v>18</v>
      </c>
      <c r="J118" t="s">
        <v>19</v>
      </c>
      <c r="K118" s="1">
        <v>45678</v>
      </c>
      <c r="L118" s="1">
        <v>45703</v>
      </c>
      <c r="M118" s="1" t="str">
        <f>TEXT(Table1[[#This Row],[appointment_date]],"MM/YYYY")</f>
        <v>02/2025</v>
      </c>
      <c r="N118">
        <v>25</v>
      </c>
      <c r="O118" t="str" cm="1">
        <f t="array" ref="O118">_xlfn.IFS(Table1[[#This Row],[lead_time_days]]&lt;=7,"0-7 days",N118&lt;=14,"8-14 days",N118&lt;=30,"15-30 days",N118&lt;=60,"31-60 days",TRUE,"61+ days")</f>
        <v>15-30 days</v>
      </c>
      <c r="P118" t="s">
        <v>55</v>
      </c>
      <c r="Q118" t="s">
        <v>21</v>
      </c>
      <c r="R118">
        <v>0</v>
      </c>
      <c r="S118" t="str">
        <f>IF(Table1[prior_dna_count]&gt;=1,"Has prior DNA history","No prior DNA history")</f>
        <v>No prior DNA history</v>
      </c>
      <c r="T118" t="s">
        <v>22</v>
      </c>
      <c r="U118" t="str">
        <f t="shared" si="1"/>
        <v>1</v>
      </c>
      <c r="V118" t="str">
        <f>IF(Table1[appointment_status]="Attended","1","0")</f>
        <v>1</v>
      </c>
      <c r="W118" t="str">
        <f>IF(Table1[appointment_status]="Cancelled","1","0")</f>
        <v>0</v>
      </c>
    </row>
    <row r="119" spans="1:23">
      <c r="A119" t="s">
        <v>273</v>
      </c>
      <c r="B119" t="s">
        <v>274</v>
      </c>
      <c r="C119">
        <v>32</v>
      </c>
      <c r="D119" t="str" cm="1">
        <f t="array" ref="D119">_xlfn.IFS(Table1[[#This Row],[age]]&lt;=17,"0-17",C119&lt;=29,"18-29",C119&lt;=44,"30-44",C119&lt;=59,"45-59",C119&lt;=74,"60-74",TRUE,"75+")</f>
        <v>30-44</v>
      </c>
      <c r="E119" t="s">
        <v>17</v>
      </c>
      <c r="F119">
        <v>5</v>
      </c>
      <c r="G119" t="str" cm="1">
        <f t="array" ref="G119">_xlfn.IFS(_xlfn.SINGLE(Table1[imd_decile])&lt;=3,"Most Deprived",F119&lt;=7,"Moderately Deprived",F119&lt;=10,"Least Deprived")</f>
        <v>Moderately Deprived</v>
      </c>
      <c r="H119">
        <v>5.5</v>
      </c>
      <c r="I119" t="s">
        <v>45</v>
      </c>
      <c r="J119" t="s">
        <v>19</v>
      </c>
      <c r="K119" s="1">
        <v>45691</v>
      </c>
      <c r="L119" s="1">
        <v>45703</v>
      </c>
      <c r="M119" s="1" t="str">
        <f>TEXT(Table1[[#This Row],[appointment_date]],"MM/YYYY")</f>
        <v>02/2025</v>
      </c>
      <c r="N119">
        <v>12</v>
      </c>
      <c r="O119" t="str" cm="1">
        <f t="array" ref="O119">_xlfn.IFS(Table1[[#This Row],[lead_time_days]]&lt;=7,"0-7 days",N119&lt;=14,"8-14 days",N119&lt;=30,"15-30 days",N119&lt;=60,"31-60 days",TRUE,"61+ days")</f>
        <v>8-14 days</v>
      </c>
      <c r="P119" t="s">
        <v>55</v>
      </c>
      <c r="Q119" t="s">
        <v>21</v>
      </c>
      <c r="R119">
        <v>0</v>
      </c>
      <c r="S119" t="str">
        <f>IF(Table1[prior_dna_count]&gt;=1,"Has prior DNA history","No prior DNA history")</f>
        <v>No prior DNA history</v>
      </c>
      <c r="T119" t="s">
        <v>22</v>
      </c>
      <c r="U119" t="str">
        <f t="shared" si="1"/>
        <v>1</v>
      </c>
      <c r="V119" t="str">
        <f>IF(Table1[appointment_status]="Attended","1","0")</f>
        <v>1</v>
      </c>
      <c r="W119" t="str">
        <f>IF(Table1[appointment_status]="Cancelled","1","0")</f>
        <v>0</v>
      </c>
    </row>
    <row r="120" spans="1:23">
      <c r="A120" t="s">
        <v>275</v>
      </c>
      <c r="B120" t="s">
        <v>276</v>
      </c>
      <c r="C120">
        <v>44</v>
      </c>
      <c r="D120" t="str" cm="1">
        <f t="array" ref="D120">_xlfn.IFS(Table1[[#This Row],[age]]&lt;=17,"0-17",C120&lt;=29,"18-29",C120&lt;=44,"30-44",C120&lt;=59,"45-59",C120&lt;=74,"60-74",TRUE,"75+")</f>
        <v>30-44</v>
      </c>
      <c r="E120" t="s">
        <v>29</v>
      </c>
      <c r="F120">
        <v>4</v>
      </c>
      <c r="G120" t="str" cm="1">
        <f t="array" ref="G120">_xlfn.IFS(_xlfn.SINGLE(Table1[imd_decile])&lt;=3,"Most Deprived",F120&lt;=7,"Moderately Deprived",F120&lt;=10,"Least Deprived")</f>
        <v>Moderately Deprived</v>
      </c>
      <c r="H120">
        <v>7.1</v>
      </c>
      <c r="I120" t="s">
        <v>49</v>
      </c>
      <c r="J120" t="s">
        <v>19</v>
      </c>
      <c r="K120" s="1">
        <v>45695</v>
      </c>
      <c r="L120" s="1">
        <v>45703</v>
      </c>
      <c r="M120" s="1" t="str">
        <f>TEXT(Table1[[#This Row],[appointment_date]],"MM/YYYY")</f>
        <v>02/2025</v>
      </c>
      <c r="N120">
        <v>8</v>
      </c>
      <c r="O120" t="str" cm="1">
        <f t="array" ref="O120">_xlfn.IFS(Table1[[#This Row],[lead_time_days]]&lt;=7,"0-7 days",N120&lt;=14,"8-14 days",N120&lt;=30,"15-30 days",N120&lt;=60,"31-60 days",TRUE,"61+ days")</f>
        <v>8-14 days</v>
      </c>
      <c r="P120" t="s">
        <v>55</v>
      </c>
      <c r="Q120" t="s">
        <v>32</v>
      </c>
      <c r="R120">
        <v>0</v>
      </c>
      <c r="S120" t="str">
        <f>IF(Table1[prior_dna_count]&gt;=1,"Has prior DNA history","No prior DNA history")</f>
        <v>No prior DNA history</v>
      </c>
      <c r="T120" t="s">
        <v>22</v>
      </c>
      <c r="U120" t="str">
        <f t="shared" si="1"/>
        <v>1</v>
      </c>
      <c r="V120" t="str">
        <f>IF(Table1[appointment_status]="Attended","1","0")</f>
        <v>1</v>
      </c>
      <c r="W120" t="str">
        <f>IF(Table1[appointment_status]="Cancelled","1","0")</f>
        <v>0</v>
      </c>
    </row>
    <row r="121" spans="1:23">
      <c r="A121" t="s">
        <v>277</v>
      </c>
      <c r="B121" t="s">
        <v>278</v>
      </c>
      <c r="C121">
        <v>77</v>
      </c>
      <c r="D121" t="str" cm="1">
        <f t="array" ref="D121">_xlfn.IFS(Table1[[#This Row],[age]]&lt;=17,"0-17",C121&lt;=29,"18-29",C121&lt;=44,"30-44",C121&lt;=59,"45-59",C121&lt;=74,"60-74",TRUE,"75+")</f>
        <v>75+</v>
      </c>
      <c r="E121" t="s">
        <v>17</v>
      </c>
      <c r="F121">
        <v>1</v>
      </c>
      <c r="G121" t="str" cm="1">
        <f t="array" ref="G121">_xlfn.IFS(_xlfn.SINGLE(Table1[imd_decile])&lt;=3,"Most Deprived",F121&lt;=7,"Moderately Deprived",F121&lt;=10,"Least Deprived")</f>
        <v>Most Deprived</v>
      </c>
      <c r="H121">
        <v>6.9</v>
      </c>
      <c r="I121" t="s">
        <v>25</v>
      </c>
      <c r="J121" t="s">
        <v>26</v>
      </c>
      <c r="K121" s="1">
        <v>45682</v>
      </c>
      <c r="L121" s="1">
        <v>45703</v>
      </c>
      <c r="M121" s="1" t="str">
        <f>TEXT(Table1[[#This Row],[appointment_date]],"MM/YYYY")</f>
        <v>02/2025</v>
      </c>
      <c r="N121">
        <v>21</v>
      </c>
      <c r="O121" t="str" cm="1">
        <f t="array" ref="O121">_xlfn.IFS(Table1[[#This Row],[lead_time_days]]&lt;=7,"0-7 days",N121&lt;=14,"8-14 days",N121&lt;=30,"15-30 days",N121&lt;=60,"31-60 days",TRUE,"61+ days")</f>
        <v>15-30 days</v>
      </c>
      <c r="P121" t="s">
        <v>55</v>
      </c>
      <c r="Q121" t="s">
        <v>21</v>
      </c>
      <c r="R121">
        <v>0</v>
      </c>
      <c r="S121" t="str">
        <f>IF(Table1[prior_dna_count]&gt;=1,"Has prior DNA history","No prior DNA history")</f>
        <v>No prior DNA history</v>
      </c>
      <c r="T121" t="s">
        <v>22</v>
      </c>
      <c r="U121" t="str">
        <f t="shared" si="1"/>
        <v>1</v>
      </c>
      <c r="V121" t="str">
        <f>IF(Table1[appointment_status]="Attended","1","0")</f>
        <v>1</v>
      </c>
      <c r="W121" t="str">
        <f>IF(Table1[appointment_status]="Cancelled","1","0")</f>
        <v>0</v>
      </c>
    </row>
    <row r="122" spans="1:23">
      <c r="A122" t="s">
        <v>279</v>
      </c>
      <c r="B122" t="s">
        <v>280</v>
      </c>
      <c r="C122">
        <v>66</v>
      </c>
      <c r="D122" t="str" cm="1">
        <f t="array" ref="D122">_xlfn.IFS(Table1[[#This Row],[age]]&lt;=17,"0-17",C122&lt;=29,"18-29",C122&lt;=44,"30-44",C122&lt;=59,"45-59",C122&lt;=74,"60-74",TRUE,"75+")</f>
        <v>60-74</v>
      </c>
      <c r="E122" t="s">
        <v>29</v>
      </c>
      <c r="F122">
        <v>3</v>
      </c>
      <c r="G122" t="str" cm="1">
        <f t="array" ref="G122">_xlfn.IFS(_xlfn.SINGLE(Table1[imd_decile])&lt;=3,"Most Deprived",F122&lt;=7,"Moderately Deprived",F122&lt;=10,"Least Deprived")</f>
        <v>Most Deprived</v>
      </c>
      <c r="H122">
        <v>10.1</v>
      </c>
      <c r="I122" t="s">
        <v>38</v>
      </c>
      <c r="J122" t="s">
        <v>19</v>
      </c>
      <c r="K122" s="1">
        <v>45670</v>
      </c>
      <c r="L122" s="1">
        <v>45703</v>
      </c>
      <c r="M122" s="1" t="str">
        <f>TEXT(Table1[[#This Row],[appointment_date]],"MM/YYYY")</f>
        <v>02/2025</v>
      </c>
      <c r="N122">
        <v>33</v>
      </c>
      <c r="O122" t="str" cm="1">
        <f t="array" ref="O122">_xlfn.IFS(Table1[[#This Row],[lead_time_days]]&lt;=7,"0-7 days",N122&lt;=14,"8-14 days",N122&lt;=30,"15-30 days",N122&lt;=60,"31-60 days",TRUE,"61+ days")</f>
        <v>31-60 days</v>
      </c>
      <c r="P122" t="s">
        <v>55</v>
      </c>
      <c r="Q122" t="s">
        <v>21</v>
      </c>
      <c r="R122">
        <v>0</v>
      </c>
      <c r="S122" t="str">
        <f>IF(Table1[prior_dna_count]&gt;=1,"Has prior DNA history","No prior DNA history")</f>
        <v>No prior DNA history</v>
      </c>
      <c r="T122" t="s">
        <v>22</v>
      </c>
      <c r="U122" t="str">
        <f t="shared" si="1"/>
        <v>1</v>
      </c>
      <c r="V122" t="str">
        <f>IF(Table1[appointment_status]="Attended","1","0")</f>
        <v>1</v>
      </c>
      <c r="W122" t="str">
        <f>IF(Table1[appointment_status]="Cancelled","1","0")</f>
        <v>0</v>
      </c>
    </row>
    <row r="123" spans="1:23">
      <c r="A123" t="s">
        <v>281</v>
      </c>
      <c r="B123" t="s">
        <v>282</v>
      </c>
      <c r="C123">
        <v>52</v>
      </c>
      <c r="D123" t="str" cm="1">
        <f t="array" ref="D123">_xlfn.IFS(Table1[[#This Row],[age]]&lt;=17,"0-17",C123&lt;=29,"18-29",C123&lt;=44,"30-44",C123&lt;=59,"45-59",C123&lt;=74,"60-74",TRUE,"75+")</f>
        <v>45-59</v>
      </c>
      <c r="E123" t="s">
        <v>29</v>
      </c>
      <c r="F123">
        <v>7</v>
      </c>
      <c r="G123" t="str" cm="1">
        <f t="array" ref="G123">_xlfn.IFS(_xlfn.SINGLE(Table1[imd_decile])&lt;=3,"Most Deprived",F123&lt;=7,"Moderately Deprived",F123&lt;=10,"Least Deprived")</f>
        <v>Moderately Deprived</v>
      </c>
      <c r="H123">
        <v>12.1</v>
      </c>
      <c r="I123" t="s">
        <v>91</v>
      </c>
      <c r="J123" t="s">
        <v>19</v>
      </c>
      <c r="K123" s="1">
        <v>45674</v>
      </c>
      <c r="L123" s="1">
        <v>45703</v>
      </c>
      <c r="M123" s="1" t="str">
        <f>TEXT(Table1[[#This Row],[appointment_date]],"MM/YYYY")</f>
        <v>02/2025</v>
      </c>
      <c r="N123">
        <v>29</v>
      </c>
      <c r="O123" t="str" cm="1">
        <f t="array" ref="O123">_xlfn.IFS(Table1[[#This Row],[lead_time_days]]&lt;=7,"0-7 days",N123&lt;=14,"8-14 days",N123&lt;=30,"15-30 days",N123&lt;=60,"31-60 days",TRUE,"61+ days")</f>
        <v>15-30 days</v>
      </c>
      <c r="P123" t="s">
        <v>55</v>
      </c>
      <c r="Q123" t="s">
        <v>32</v>
      </c>
      <c r="R123">
        <v>0</v>
      </c>
      <c r="S123" t="str">
        <f>IF(Table1[prior_dna_count]&gt;=1,"Has prior DNA history","No prior DNA history")</f>
        <v>No prior DNA history</v>
      </c>
      <c r="T123" t="s">
        <v>46</v>
      </c>
      <c r="U123" t="str">
        <f t="shared" si="1"/>
        <v>1</v>
      </c>
      <c r="V123" t="str">
        <f>IF(Table1[appointment_status]="Attended","1","0")</f>
        <v>0</v>
      </c>
      <c r="W123" t="str">
        <f>IF(Table1[appointment_status]="Cancelled","1","0")</f>
        <v>1</v>
      </c>
    </row>
    <row r="124" spans="1:23">
      <c r="A124" t="s">
        <v>283</v>
      </c>
      <c r="B124" t="s">
        <v>284</v>
      </c>
      <c r="C124">
        <v>59</v>
      </c>
      <c r="D124" t="str" cm="1">
        <f t="array" ref="D124">_xlfn.IFS(Table1[[#This Row],[age]]&lt;=17,"0-17",C124&lt;=29,"18-29",C124&lt;=44,"30-44",C124&lt;=59,"45-59",C124&lt;=74,"60-74",TRUE,"75+")</f>
        <v>45-59</v>
      </c>
      <c r="E124" t="s">
        <v>17</v>
      </c>
      <c r="F124">
        <v>8</v>
      </c>
      <c r="G124" t="str" cm="1">
        <f t="array" ref="G124">_xlfn.IFS(_xlfn.SINGLE(Table1[imd_decile])&lt;=3,"Most Deprived",F124&lt;=7,"Moderately Deprived",F124&lt;=10,"Least Deprived")</f>
        <v>Least Deprived</v>
      </c>
      <c r="H124">
        <v>7.2</v>
      </c>
      <c r="I124" t="s">
        <v>38</v>
      </c>
      <c r="J124" t="s">
        <v>26</v>
      </c>
      <c r="K124" s="1">
        <v>45696</v>
      </c>
      <c r="L124" s="1">
        <v>45703</v>
      </c>
      <c r="M124" s="1" t="str">
        <f>TEXT(Table1[[#This Row],[appointment_date]],"MM/YYYY")</f>
        <v>02/2025</v>
      </c>
      <c r="N124">
        <v>7</v>
      </c>
      <c r="O124" t="str" cm="1">
        <f t="array" ref="O124">_xlfn.IFS(Table1[[#This Row],[lead_time_days]]&lt;=7,"0-7 days",N124&lt;=14,"8-14 days",N124&lt;=30,"15-30 days",N124&lt;=60,"31-60 days",TRUE,"61+ days")</f>
        <v>0-7 days</v>
      </c>
      <c r="P124" t="s">
        <v>55</v>
      </c>
      <c r="Q124" t="s">
        <v>21</v>
      </c>
      <c r="R124">
        <v>0</v>
      </c>
      <c r="S124" t="str">
        <f>IF(Table1[prior_dna_count]&gt;=1,"Has prior DNA history","No prior DNA history")</f>
        <v>No prior DNA history</v>
      </c>
      <c r="T124" t="s">
        <v>39</v>
      </c>
      <c r="U124" t="str">
        <f t="shared" si="1"/>
        <v>0</v>
      </c>
      <c r="V124" t="str">
        <f>IF(Table1[appointment_status]="Attended","1","0")</f>
        <v>0</v>
      </c>
      <c r="W124" t="str">
        <f>IF(Table1[appointment_status]="Cancelled","1","0")</f>
        <v>0</v>
      </c>
    </row>
    <row r="125" spans="1:23">
      <c r="A125" t="s">
        <v>285</v>
      </c>
      <c r="B125" t="s">
        <v>286</v>
      </c>
      <c r="C125">
        <v>46</v>
      </c>
      <c r="D125" t="str" cm="1">
        <f t="array" ref="D125">_xlfn.IFS(Table1[[#This Row],[age]]&lt;=17,"0-17",C125&lt;=29,"18-29",C125&lt;=44,"30-44",C125&lt;=59,"45-59",C125&lt;=74,"60-74",TRUE,"75+")</f>
        <v>45-59</v>
      </c>
      <c r="E125" t="s">
        <v>17</v>
      </c>
      <c r="F125">
        <v>7</v>
      </c>
      <c r="G125" t="str" cm="1">
        <f t="array" ref="G125">_xlfn.IFS(_xlfn.SINGLE(Table1[imd_decile])&lt;=3,"Most Deprived",F125&lt;=7,"Moderately Deprived",F125&lt;=10,"Least Deprived")</f>
        <v>Moderately Deprived</v>
      </c>
      <c r="H125">
        <v>10.4</v>
      </c>
      <c r="I125" t="s">
        <v>45</v>
      </c>
      <c r="J125" t="s">
        <v>26</v>
      </c>
      <c r="K125" s="1">
        <v>45698</v>
      </c>
      <c r="L125" s="1">
        <v>45703</v>
      </c>
      <c r="M125" s="1" t="str">
        <f>TEXT(Table1[[#This Row],[appointment_date]],"MM/YYYY")</f>
        <v>02/2025</v>
      </c>
      <c r="N125">
        <v>5</v>
      </c>
      <c r="O125" t="str" cm="1">
        <f t="array" ref="O125">_xlfn.IFS(Table1[[#This Row],[lead_time_days]]&lt;=7,"0-7 days",N125&lt;=14,"8-14 days",N125&lt;=30,"15-30 days",N125&lt;=60,"31-60 days",TRUE,"61+ days")</f>
        <v>0-7 days</v>
      </c>
      <c r="P125" t="s">
        <v>55</v>
      </c>
      <c r="Q125" t="s">
        <v>21</v>
      </c>
      <c r="R125">
        <v>0</v>
      </c>
      <c r="S125" t="str">
        <f>IF(Table1[prior_dna_count]&gt;=1,"Has prior DNA history","No prior DNA history")</f>
        <v>No prior DNA history</v>
      </c>
      <c r="T125" t="s">
        <v>22</v>
      </c>
      <c r="U125" t="str">
        <f t="shared" si="1"/>
        <v>0</v>
      </c>
      <c r="V125" t="str">
        <f>IF(Table1[appointment_status]="Attended","1","0")</f>
        <v>1</v>
      </c>
      <c r="W125" t="str">
        <f>IF(Table1[appointment_status]="Cancelled","1","0")</f>
        <v>0</v>
      </c>
    </row>
    <row r="126" spans="1:23">
      <c r="A126" t="s">
        <v>287</v>
      </c>
      <c r="B126" t="s">
        <v>288</v>
      </c>
      <c r="C126">
        <v>55</v>
      </c>
      <c r="D126" t="str" cm="1">
        <f t="array" ref="D126">_xlfn.IFS(Table1[[#This Row],[age]]&lt;=17,"0-17",C126&lt;=29,"18-29",C126&lt;=44,"30-44",C126&lt;=59,"45-59",C126&lt;=74,"60-74",TRUE,"75+")</f>
        <v>45-59</v>
      </c>
      <c r="E126" t="s">
        <v>29</v>
      </c>
      <c r="F126">
        <v>4</v>
      </c>
      <c r="G126" t="str" cm="1">
        <f t="array" ref="G126">_xlfn.IFS(_xlfn.SINGLE(Table1[imd_decile])&lt;=3,"Most Deprived",F126&lt;=7,"Moderately Deprived",F126&lt;=10,"Least Deprived")</f>
        <v>Moderately Deprived</v>
      </c>
      <c r="H126">
        <v>2.2000000000000002</v>
      </c>
      <c r="I126" t="s">
        <v>25</v>
      </c>
      <c r="J126" t="s">
        <v>26</v>
      </c>
      <c r="K126" s="1">
        <v>45698</v>
      </c>
      <c r="L126" s="1">
        <v>45703</v>
      </c>
      <c r="M126" s="1" t="str">
        <f>TEXT(Table1[[#This Row],[appointment_date]],"MM/YYYY")</f>
        <v>02/2025</v>
      </c>
      <c r="N126">
        <v>5</v>
      </c>
      <c r="O126" t="str" cm="1">
        <f t="array" ref="O126">_xlfn.IFS(Table1[[#This Row],[lead_time_days]]&lt;=7,"0-7 days",N126&lt;=14,"8-14 days",N126&lt;=30,"15-30 days",N126&lt;=60,"31-60 days",TRUE,"61+ days")</f>
        <v>0-7 days</v>
      </c>
      <c r="P126" t="s">
        <v>55</v>
      </c>
      <c r="Q126" t="s">
        <v>21</v>
      </c>
      <c r="R126">
        <v>0</v>
      </c>
      <c r="S126" t="str">
        <f>IF(Table1[prior_dna_count]&gt;=1,"Has prior DNA history","No prior DNA history")</f>
        <v>No prior DNA history</v>
      </c>
      <c r="T126" t="s">
        <v>22</v>
      </c>
      <c r="U126" t="str">
        <f t="shared" si="1"/>
        <v>1</v>
      </c>
      <c r="V126" t="str">
        <f>IF(Table1[appointment_status]="Attended","1","0")</f>
        <v>1</v>
      </c>
      <c r="W126" t="str">
        <f>IF(Table1[appointment_status]="Cancelled","1","0")</f>
        <v>0</v>
      </c>
    </row>
    <row r="127" spans="1:23">
      <c r="A127" t="s">
        <v>289</v>
      </c>
      <c r="B127" t="s">
        <v>290</v>
      </c>
      <c r="C127">
        <v>56</v>
      </c>
      <c r="D127" t="str" cm="1">
        <f t="array" ref="D127">_xlfn.IFS(Table1[[#This Row],[age]]&lt;=17,"0-17",C127&lt;=29,"18-29",C127&lt;=44,"30-44",C127&lt;=59,"45-59",C127&lt;=74,"60-74",TRUE,"75+")</f>
        <v>45-59</v>
      </c>
      <c r="E127" t="s">
        <v>17</v>
      </c>
      <c r="F127">
        <v>9</v>
      </c>
      <c r="G127" t="str" cm="1">
        <f t="array" ref="G127">_xlfn.IFS(_xlfn.SINGLE(Table1[imd_decile])&lt;=3,"Most Deprived",F127&lt;=7,"Moderately Deprived",F127&lt;=10,"Least Deprived")</f>
        <v>Least Deprived</v>
      </c>
      <c r="H127">
        <v>2.2999999999999998</v>
      </c>
      <c r="I127" t="s">
        <v>45</v>
      </c>
      <c r="J127" t="s">
        <v>26</v>
      </c>
      <c r="K127" s="1">
        <v>45696</v>
      </c>
      <c r="L127" s="1">
        <v>45704</v>
      </c>
      <c r="M127" s="1" t="str">
        <f>TEXT(Table1[[#This Row],[appointment_date]],"MM/YYYY")</f>
        <v>02/2025</v>
      </c>
      <c r="N127">
        <v>8</v>
      </c>
      <c r="O127" t="str" cm="1">
        <f t="array" ref="O127">_xlfn.IFS(Table1[[#This Row],[lead_time_days]]&lt;=7,"0-7 days",N127&lt;=14,"8-14 days",N127&lt;=30,"15-30 days",N127&lt;=60,"31-60 days",TRUE,"61+ days")</f>
        <v>8-14 days</v>
      </c>
      <c r="P127" t="s">
        <v>31</v>
      </c>
      <c r="Q127" t="s">
        <v>21</v>
      </c>
      <c r="R127">
        <v>0</v>
      </c>
      <c r="S127" t="str">
        <f>IF(Table1[prior_dna_count]&gt;=1,"Has prior DNA history","No prior DNA history")</f>
        <v>No prior DNA history</v>
      </c>
      <c r="T127" t="s">
        <v>22</v>
      </c>
      <c r="U127" t="str">
        <f t="shared" si="1"/>
        <v>1</v>
      </c>
      <c r="V127" t="str">
        <f>IF(Table1[appointment_status]="Attended","1","0")</f>
        <v>1</v>
      </c>
      <c r="W127" t="str">
        <f>IF(Table1[appointment_status]="Cancelled","1","0")</f>
        <v>0</v>
      </c>
    </row>
    <row r="128" spans="1:23">
      <c r="A128" t="s">
        <v>291</v>
      </c>
      <c r="B128" t="s">
        <v>292</v>
      </c>
      <c r="C128">
        <v>56</v>
      </c>
      <c r="D128" t="str" cm="1">
        <f t="array" ref="D128">_xlfn.IFS(Table1[[#This Row],[age]]&lt;=17,"0-17",C128&lt;=29,"18-29",C128&lt;=44,"30-44",C128&lt;=59,"45-59",C128&lt;=74,"60-74",TRUE,"75+")</f>
        <v>45-59</v>
      </c>
      <c r="E128" t="s">
        <v>29</v>
      </c>
      <c r="F128">
        <v>1</v>
      </c>
      <c r="G128" t="str" cm="1">
        <f t="array" ref="G128">_xlfn.IFS(_xlfn.SINGLE(Table1[imd_decile])&lt;=3,"Most Deprived",F128&lt;=7,"Moderately Deprived",F128&lt;=10,"Least Deprived")</f>
        <v>Most Deprived</v>
      </c>
      <c r="H128">
        <v>17.100000000000001</v>
      </c>
      <c r="I128" t="s">
        <v>155</v>
      </c>
      <c r="J128" t="s">
        <v>26</v>
      </c>
      <c r="K128" s="1">
        <v>45676</v>
      </c>
      <c r="L128" s="1">
        <v>45704</v>
      </c>
      <c r="M128" s="1" t="str">
        <f>TEXT(Table1[[#This Row],[appointment_date]],"MM/YYYY")</f>
        <v>02/2025</v>
      </c>
      <c r="N128">
        <v>28</v>
      </c>
      <c r="O128" t="str" cm="1">
        <f t="array" ref="O128">_xlfn.IFS(Table1[[#This Row],[lead_time_days]]&lt;=7,"0-7 days",N128&lt;=14,"8-14 days",N128&lt;=30,"15-30 days",N128&lt;=60,"31-60 days",TRUE,"61+ days")</f>
        <v>15-30 days</v>
      </c>
      <c r="P128" t="s">
        <v>31</v>
      </c>
      <c r="Q128" t="s">
        <v>32</v>
      </c>
      <c r="R128">
        <v>0</v>
      </c>
      <c r="S128" t="str">
        <f>IF(Table1[prior_dna_count]&gt;=1,"Has prior DNA history","No prior DNA history")</f>
        <v>No prior DNA history</v>
      </c>
      <c r="T128" t="s">
        <v>22</v>
      </c>
      <c r="U128" t="str">
        <f t="shared" si="1"/>
        <v>1</v>
      </c>
      <c r="V128" t="str">
        <f>IF(Table1[appointment_status]="Attended","1","0")</f>
        <v>1</v>
      </c>
      <c r="W128" t="str">
        <f>IF(Table1[appointment_status]="Cancelled","1","0")</f>
        <v>0</v>
      </c>
    </row>
    <row r="129" spans="1:23">
      <c r="A129" t="s">
        <v>293</v>
      </c>
      <c r="B129" t="s">
        <v>294</v>
      </c>
      <c r="C129">
        <v>83</v>
      </c>
      <c r="D129" t="str" cm="1">
        <f t="array" ref="D129">_xlfn.IFS(Table1[[#This Row],[age]]&lt;=17,"0-17",C129&lt;=29,"18-29",C129&lt;=44,"30-44",C129&lt;=59,"45-59",C129&lt;=74,"60-74",TRUE,"75+")</f>
        <v>75+</v>
      </c>
      <c r="E129" t="s">
        <v>17</v>
      </c>
      <c r="F129">
        <v>4</v>
      </c>
      <c r="G129" t="str" cm="1">
        <f t="array" ref="G129">_xlfn.IFS(_xlfn.SINGLE(Table1[imd_decile])&lt;=3,"Most Deprived",F129&lt;=7,"Moderately Deprived",F129&lt;=10,"Least Deprived")</f>
        <v>Moderately Deprived</v>
      </c>
      <c r="H129">
        <v>7</v>
      </c>
      <c r="I129" t="s">
        <v>42</v>
      </c>
      <c r="J129" t="s">
        <v>26</v>
      </c>
      <c r="K129" s="1">
        <v>45681</v>
      </c>
      <c r="L129" s="1">
        <v>45704</v>
      </c>
      <c r="M129" s="1" t="str">
        <f>TEXT(Table1[[#This Row],[appointment_date]],"MM/YYYY")</f>
        <v>02/2025</v>
      </c>
      <c r="N129">
        <v>23</v>
      </c>
      <c r="O129" t="str" cm="1">
        <f t="array" ref="O129">_xlfn.IFS(Table1[[#This Row],[lead_time_days]]&lt;=7,"0-7 days",N129&lt;=14,"8-14 days",N129&lt;=30,"15-30 days",N129&lt;=60,"31-60 days",TRUE,"61+ days")</f>
        <v>15-30 days</v>
      </c>
      <c r="P129" t="s">
        <v>31</v>
      </c>
      <c r="Q129" t="s">
        <v>32</v>
      </c>
      <c r="R129">
        <v>0</v>
      </c>
      <c r="S129" t="str">
        <f>IF(Table1[prior_dna_count]&gt;=1,"Has prior DNA history","No prior DNA history")</f>
        <v>No prior DNA history</v>
      </c>
      <c r="T129" t="s">
        <v>22</v>
      </c>
      <c r="U129" t="str">
        <f t="shared" si="1"/>
        <v>1</v>
      </c>
      <c r="V129" t="str">
        <f>IF(Table1[appointment_status]="Attended","1","0")</f>
        <v>1</v>
      </c>
      <c r="W129" t="str">
        <f>IF(Table1[appointment_status]="Cancelled","1","0")</f>
        <v>0</v>
      </c>
    </row>
    <row r="130" spans="1:23">
      <c r="A130" t="s">
        <v>295</v>
      </c>
      <c r="B130" t="s">
        <v>296</v>
      </c>
      <c r="C130">
        <v>36</v>
      </c>
      <c r="D130" t="str" cm="1">
        <f t="array" ref="D130">_xlfn.IFS(Table1[[#This Row],[age]]&lt;=17,"0-17",C130&lt;=29,"18-29",C130&lt;=44,"30-44",C130&lt;=59,"45-59",C130&lt;=74,"60-74",TRUE,"75+")</f>
        <v>30-44</v>
      </c>
      <c r="E130" t="s">
        <v>17</v>
      </c>
      <c r="F130">
        <v>6</v>
      </c>
      <c r="G130" t="str" cm="1">
        <f t="array" ref="G130">_xlfn.IFS(_xlfn.SINGLE(Table1[imd_decile])&lt;=3,"Most Deprived",F130&lt;=7,"Moderately Deprived",F130&lt;=10,"Least Deprived")</f>
        <v>Moderately Deprived</v>
      </c>
      <c r="H130">
        <v>8.9</v>
      </c>
      <c r="I130" t="s">
        <v>42</v>
      </c>
      <c r="J130" t="s">
        <v>19</v>
      </c>
      <c r="K130" s="1">
        <v>45691</v>
      </c>
      <c r="L130" s="1">
        <v>45704</v>
      </c>
      <c r="M130" s="1" t="str">
        <f>TEXT(Table1[[#This Row],[appointment_date]],"MM/YYYY")</f>
        <v>02/2025</v>
      </c>
      <c r="N130">
        <v>13</v>
      </c>
      <c r="O130" t="str" cm="1">
        <f t="array" ref="O130">_xlfn.IFS(Table1[[#This Row],[lead_time_days]]&lt;=7,"0-7 days",N130&lt;=14,"8-14 days",N130&lt;=30,"15-30 days",N130&lt;=60,"31-60 days",TRUE,"61+ days")</f>
        <v>8-14 days</v>
      </c>
      <c r="P130" t="s">
        <v>31</v>
      </c>
      <c r="Q130" t="s">
        <v>32</v>
      </c>
      <c r="R130">
        <v>0</v>
      </c>
      <c r="S130" t="str">
        <f>IF(Table1[prior_dna_count]&gt;=1,"Has prior DNA history","No prior DNA history")</f>
        <v>No prior DNA history</v>
      </c>
      <c r="T130" t="s">
        <v>22</v>
      </c>
      <c r="U130" t="str">
        <f t="shared" ref="U130:U193" si="2">V129</f>
        <v>1</v>
      </c>
      <c r="V130" t="str">
        <f>IF(Table1[appointment_status]="Attended","1","0")</f>
        <v>1</v>
      </c>
      <c r="W130" t="str">
        <f>IF(Table1[appointment_status]="Cancelled","1","0")</f>
        <v>0</v>
      </c>
    </row>
    <row r="131" spans="1:23">
      <c r="A131" t="s">
        <v>297</v>
      </c>
      <c r="B131" t="s">
        <v>298</v>
      </c>
      <c r="C131">
        <v>29</v>
      </c>
      <c r="D131" t="str" cm="1">
        <f t="array" ref="D131">_xlfn.IFS(Table1[[#This Row],[age]]&lt;=17,"0-17",C131&lt;=29,"18-29",C131&lt;=44,"30-44",C131&lt;=59,"45-59",C131&lt;=74,"60-74",TRUE,"75+")</f>
        <v>18-29</v>
      </c>
      <c r="E131" t="s">
        <v>17</v>
      </c>
      <c r="F131">
        <v>1</v>
      </c>
      <c r="G131" t="str" cm="1">
        <f t="array" ref="G131">_xlfn.IFS(_xlfn.SINGLE(Table1[imd_decile])&lt;=3,"Most Deprived",F131&lt;=7,"Moderately Deprived",F131&lt;=10,"Least Deprived")</f>
        <v>Most Deprived</v>
      </c>
      <c r="H131">
        <v>5.9</v>
      </c>
      <c r="I131" t="s">
        <v>58</v>
      </c>
      <c r="J131" t="s">
        <v>26</v>
      </c>
      <c r="K131" s="1">
        <v>45674</v>
      </c>
      <c r="L131" s="1">
        <v>45704</v>
      </c>
      <c r="M131" s="1" t="str">
        <f>TEXT(Table1[[#This Row],[appointment_date]],"MM/YYYY")</f>
        <v>02/2025</v>
      </c>
      <c r="N131">
        <v>30</v>
      </c>
      <c r="O131" t="str" cm="1">
        <f t="array" ref="O131">_xlfn.IFS(Table1[[#This Row],[lead_time_days]]&lt;=7,"0-7 days",N131&lt;=14,"8-14 days",N131&lt;=30,"15-30 days",N131&lt;=60,"31-60 days",TRUE,"61+ days")</f>
        <v>15-30 days</v>
      </c>
      <c r="P131" t="s">
        <v>31</v>
      </c>
      <c r="Q131" t="s">
        <v>21</v>
      </c>
      <c r="R131">
        <v>0</v>
      </c>
      <c r="S131" t="str">
        <f>IF(Table1[prior_dna_count]&gt;=1,"Has prior DNA history","No prior DNA history")</f>
        <v>No prior DNA history</v>
      </c>
      <c r="T131" t="s">
        <v>39</v>
      </c>
      <c r="U131" t="str">
        <f t="shared" si="2"/>
        <v>1</v>
      </c>
      <c r="V131" t="str">
        <f>IF(Table1[appointment_status]="Attended","1","0")</f>
        <v>0</v>
      </c>
      <c r="W131" t="str">
        <f>IF(Table1[appointment_status]="Cancelled","1","0")</f>
        <v>0</v>
      </c>
    </row>
    <row r="132" spans="1:23">
      <c r="A132" t="s">
        <v>299</v>
      </c>
      <c r="B132" t="s">
        <v>300</v>
      </c>
      <c r="C132">
        <v>26</v>
      </c>
      <c r="D132" t="str" cm="1">
        <f t="array" ref="D132">_xlfn.IFS(Table1[[#This Row],[age]]&lt;=17,"0-17",C132&lt;=29,"18-29",C132&lt;=44,"30-44",C132&lt;=59,"45-59",C132&lt;=74,"60-74",TRUE,"75+")</f>
        <v>18-29</v>
      </c>
      <c r="E132" t="s">
        <v>17</v>
      </c>
      <c r="F132">
        <v>3</v>
      </c>
      <c r="G132" t="str" cm="1">
        <f t="array" ref="G132">_xlfn.IFS(_xlfn.SINGLE(Table1[imd_decile])&lt;=3,"Most Deprived",F132&lt;=7,"Moderately Deprived",F132&lt;=10,"Least Deprived")</f>
        <v>Most Deprived</v>
      </c>
      <c r="H132">
        <v>11.1</v>
      </c>
      <c r="I132" t="s">
        <v>18</v>
      </c>
      <c r="J132" t="s">
        <v>19</v>
      </c>
      <c r="K132" s="1">
        <v>45674</v>
      </c>
      <c r="L132" s="1">
        <v>45705</v>
      </c>
      <c r="M132" s="1" t="str">
        <f>TEXT(Table1[[#This Row],[appointment_date]],"MM/YYYY")</f>
        <v>02/2025</v>
      </c>
      <c r="N132">
        <v>31</v>
      </c>
      <c r="O132" t="str" cm="1">
        <f t="array" ref="O132">_xlfn.IFS(Table1[[#This Row],[lead_time_days]]&lt;=7,"0-7 days",N132&lt;=14,"8-14 days",N132&lt;=30,"15-30 days",N132&lt;=60,"31-60 days",TRUE,"61+ days")</f>
        <v>31-60 days</v>
      </c>
      <c r="P132" t="s">
        <v>35</v>
      </c>
      <c r="Q132" t="s">
        <v>32</v>
      </c>
      <c r="R132">
        <v>0</v>
      </c>
      <c r="S132" t="str">
        <f>IF(Table1[prior_dna_count]&gt;=1,"Has prior DNA history","No prior DNA history")</f>
        <v>No prior DNA history</v>
      </c>
      <c r="T132" t="s">
        <v>22</v>
      </c>
      <c r="U132" t="str">
        <f t="shared" si="2"/>
        <v>0</v>
      </c>
      <c r="V132" t="str">
        <f>IF(Table1[appointment_status]="Attended","1","0")</f>
        <v>1</v>
      </c>
      <c r="W132" t="str">
        <f>IF(Table1[appointment_status]="Cancelled","1","0")</f>
        <v>0</v>
      </c>
    </row>
    <row r="133" spans="1:23">
      <c r="A133" t="s">
        <v>301</v>
      </c>
      <c r="B133" t="s">
        <v>302</v>
      </c>
      <c r="C133">
        <v>39</v>
      </c>
      <c r="D133" t="str" cm="1">
        <f t="array" ref="D133">_xlfn.IFS(Table1[[#This Row],[age]]&lt;=17,"0-17",C133&lt;=29,"18-29",C133&lt;=44,"30-44",C133&lt;=59,"45-59",C133&lt;=74,"60-74",TRUE,"75+")</f>
        <v>30-44</v>
      </c>
      <c r="E133" t="s">
        <v>29</v>
      </c>
      <c r="F133">
        <v>2</v>
      </c>
      <c r="G133" t="str" cm="1">
        <f t="array" ref="G133">_xlfn.IFS(_xlfn.SINGLE(Table1[imd_decile])&lt;=3,"Most Deprived",F133&lt;=7,"Moderately Deprived",F133&lt;=10,"Least Deprived")</f>
        <v>Most Deprived</v>
      </c>
      <c r="H133">
        <v>8.6999999999999993</v>
      </c>
      <c r="I133" t="s">
        <v>49</v>
      </c>
      <c r="J133" t="s">
        <v>19</v>
      </c>
      <c r="K133" s="1">
        <v>45695</v>
      </c>
      <c r="L133" s="1">
        <v>45705</v>
      </c>
      <c r="M133" s="1" t="str">
        <f>TEXT(Table1[[#This Row],[appointment_date]],"MM/YYYY")</f>
        <v>02/2025</v>
      </c>
      <c r="N133">
        <v>10</v>
      </c>
      <c r="O133" t="str" cm="1">
        <f t="array" ref="O133">_xlfn.IFS(Table1[[#This Row],[lead_time_days]]&lt;=7,"0-7 days",N133&lt;=14,"8-14 days",N133&lt;=30,"15-30 days",N133&lt;=60,"31-60 days",TRUE,"61+ days")</f>
        <v>8-14 days</v>
      </c>
      <c r="P133" t="s">
        <v>35</v>
      </c>
      <c r="Q133" t="s">
        <v>21</v>
      </c>
      <c r="R133">
        <v>0</v>
      </c>
      <c r="S133" t="str">
        <f>IF(Table1[prior_dna_count]&gt;=1,"Has prior DNA history","No prior DNA history")</f>
        <v>No prior DNA history</v>
      </c>
      <c r="T133" t="s">
        <v>22</v>
      </c>
      <c r="U133" t="str">
        <f t="shared" si="2"/>
        <v>1</v>
      </c>
      <c r="V133" t="str">
        <f>IF(Table1[appointment_status]="Attended","1","0")</f>
        <v>1</v>
      </c>
      <c r="W133" t="str">
        <f>IF(Table1[appointment_status]="Cancelled","1","0")</f>
        <v>0</v>
      </c>
    </row>
    <row r="134" spans="1:23">
      <c r="A134" t="s">
        <v>303</v>
      </c>
      <c r="B134" t="s">
        <v>304</v>
      </c>
      <c r="C134">
        <v>68</v>
      </c>
      <c r="D134" t="str" cm="1">
        <f t="array" ref="D134">_xlfn.IFS(Table1[[#This Row],[age]]&lt;=17,"0-17",C134&lt;=29,"18-29",C134&lt;=44,"30-44",C134&lt;=59,"45-59",C134&lt;=74,"60-74",TRUE,"75+")</f>
        <v>60-74</v>
      </c>
      <c r="E134" t="s">
        <v>17</v>
      </c>
      <c r="F134">
        <v>6</v>
      </c>
      <c r="G134" t="str" cm="1">
        <f t="array" ref="G134">_xlfn.IFS(_xlfn.SINGLE(Table1[imd_decile])&lt;=3,"Most Deprived",F134&lt;=7,"Moderately Deprived",F134&lt;=10,"Least Deprived")</f>
        <v>Moderately Deprived</v>
      </c>
      <c r="H134">
        <v>14.4</v>
      </c>
      <c r="I134" t="s">
        <v>18</v>
      </c>
      <c r="J134" t="s">
        <v>26</v>
      </c>
      <c r="K134" s="1">
        <v>45697</v>
      </c>
      <c r="L134" s="1">
        <v>45705</v>
      </c>
      <c r="M134" s="1" t="str">
        <f>TEXT(Table1[[#This Row],[appointment_date]],"MM/YYYY")</f>
        <v>02/2025</v>
      </c>
      <c r="N134">
        <v>8</v>
      </c>
      <c r="O134" t="str" cm="1">
        <f t="array" ref="O134">_xlfn.IFS(Table1[[#This Row],[lead_time_days]]&lt;=7,"0-7 days",N134&lt;=14,"8-14 days",N134&lt;=30,"15-30 days",N134&lt;=60,"31-60 days",TRUE,"61+ days")</f>
        <v>8-14 days</v>
      </c>
      <c r="P134" t="s">
        <v>35</v>
      </c>
      <c r="Q134" t="s">
        <v>21</v>
      </c>
      <c r="R134">
        <v>0</v>
      </c>
      <c r="S134" t="str">
        <f>IF(Table1[prior_dna_count]&gt;=1,"Has prior DNA history","No prior DNA history")</f>
        <v>No prior DNA history</v>
      </c>
      <c r="T134" t="s">
        <v>22</v>
      </c>
      <c r="U134" t="str">
        <f t="shared" si="2"/>
        <v>1</v>
      </c>
      <c r="V134" t="str">
        <f>IF(Table1[appointment_status]="Attended","1","0")</f>
        <v>1</v>
      </c>
      <c r="W134" t="str">
        <f>IF(Table1[appointment_status]="Cancelled","1","0")</f>
        <v>0</v>
      </c>
    </row>
    <row r="135" spans="1:23">
      <c r="A135" t="s">
        <v>305</v>
      </c>
      <c r="B135" t="s">
        <v>306</v>
      </c>
      <c r="C135">
        <v>73</v>
      </c>
      <c r="D135" t="str" cm="1">
        <f t="array" ref="D135">_xlfn.IFS(Table1[[#This Row],[age]]&lt;=17,"0-17",C135&lt;=29,"18-29",C135&lt;=44,"30-44",C135&lt;=59,"45-59",C135&lt;=74,"60-74",TRUE,"75+")</f>
        <v>60-74</v>
      </c>
      <c r="E135" t="s">
        <v>29</v>
      </c>
      <c r="F135">
        <v>9</v>
      </c>
      <c r="G135" t="str" cm="1">
        <f t="array" ref="G135">_xlfn.IFS(_xlfn.SINGLE(Table1[imd_decile])&lt;=3,"Most Deprived",F135&lt;=7,"Moderately Deprived",F135&lt;=10,"Least Deprived")</f>
        <v>Least Deprived</v>
      </c>
      <c r="H135">
        <v>11.5</v>
      </c>
      <c r="I135" t="s">
        <v>45</v>
      </c>
      <c r="J135" t="s">
        <v>19</v>
      </c>
      <c r="K135" s="1">
        <v>45689</v>
      </c>
      <c r="L135" s="1">
        <v>45705</v>
      </c>
      <c r="M135" s="1" t="str">
        <f>TEXT(Table1[[#This Row],[appointment_date]],"MM/YYYY")</f>
        <v>02/2025</v>
      </c>
      <c r="N135">
        <v>16</v>
      </c>
      <c r="O135" t="str" cm="1">
        <f t="array" ref="O135">_xlfn.IFS(Table1[[#This Row],[lead_time_days]]&lt;=7,"0-7 days",N135&lt;=14,"8-14 days",N135&lt;=30,"15-30 days",N135&lt;=60,"31-60 days",TRUE,"61+ days")</f>
        <v>15-30 days</v>
      </c>
      <c r="P135" t="s">
        <v>35</v>
      </c>
      <c r="Q135" t="s">
        <v>21</v>
      </c>
      <c r="R135">
        <v>0</v>
      </c>
      <c r="S135" t="str">
        <f>IF(Table1[prior_dna_count]&gt;=1,"Has prior DNA history","No prior DNA history")</f>
        <v>No prior DNA history</v>
      </c>
      <c r="T135" t="s">
        <v>22</v>
      </c>
      <c r="U135" t="str">
        <f t="shared" si="2"/>
        <v>1</v>
      </c>
      <c r="V135" t="str">
        <f>IF(Table1[appointment_status]="Attended","1","0")</f>
        <v>1</v>
      </c>
      <c r="W135" t="str">
        <f>IF(Table1[appointment_status]="Cancelled","1","0")</f>
        <v>0</v>
      </c>
    </row>
    <row r="136" spans="1:23">
      <c r="A136" t="s">
        <v>307</v>
      </c>
      <c r="B136" t="s">
        <v>308</v>
      </c>
      <c r="C136">
        <v>70</v>
      </c>
      <c r="D136" t="str" cm="1">
        <f t="array" ref="D136">_xlfn.IFS(Table1[[#This Row],[age]]&lt;=17,"0-17",C136&lt;=29,"18-29",C136&lt;=44,"30-44",C136&lt;=59,"45-59",C136&lt;=74,"60-74",TRUE,"75+")</f>
        <v>60-74</v>
      </c>
      <c r="E136" t="s">
        <v>29</v>
      </c>
      <c r="F136">
        <v>7</v>
      </c>
      <c r="G136" t="str" cm="1">
        <f t="array" ref="G136">_xlfn.IFS(_xlfn.SINGLE(Table1[imd_decile])&lt;=3,"Most Deprived",F136&lt;=7,"Moderately Deprived",F136&lt;=10,"Least Deprived")</f>
        <v>Moderately Deprived</v>
      </c>
      <c r="H136">
        <v>2.7</v>
      </c>
      <c r="I136" t="s">
        <v>91</v>
      </c>
      <c r="J136" t="s">
        <v>19</v>
      </c>
      <c r="K136" s="1">
        <v>45664</v>
      </c>
      <c r="L136" s="1">
        <v>45705</v>
      </c>
      <c r="M136" s="1" t="str">
        <f>TEXT(Table1[[#This Row],[appointment_date]],"MM/YYYY")</f>
        <v>02/2025</v>
      </c>
      <c r="N136">
        <v>41</v>
      </c>
      <c r="O136" t="str" cm="1">
        <f t="array" ref="O136">_xlfn.IFS(Table1[[#This Row],[lead_time_days]]&lt;=7,"0-7 days",N136&lt;=14,"8-14 days",N136&lt;=30,"15-30 days",N136&lt;=60,"31-60 days",TRUE,"61+ days")</f>
        <v>31-60 days</v>
      </c>
      <c r="P136" t="s">
        <v>35</v>
      </c>
      <c r="Q136" t="s">
        <v>21</v>
      </c>
      <c r="R136">
        <v>0</v>
      </c>
      <c r="S136" t="str">
        <f>IF(Table1[prior_dna_count]&gt;=1,"Has prior DNA history","No prior DNA history")</f>
        <v>No prior DNA history</v>
      </c>
      <c r="T136" t="s">
        <v>46</v>
      </c>
      <c r="U136" t="str">
        <f t="shared" si="2"/>
        <v>1</v>
      </c>
      <c r="V136" t="str">
        <f>IF(Table1[appointment_status]="Attended","1","0")</f>
        <v>0</v>
      </c>
      <c r="W136" t="str">
        <f>IF(Table1[appointment_status]="Cancelled","1","0")</f>
        <v>1</v>
      </c>
    </row>
    <row r="137" spans="1:23">
      <c r="A137" t="s">
        <v>309</v>
      </c>
      <c r="B137" t="s">
        <v>310</v>
      </c>
      <c r="C137">
        <v>49</v>
      </c>
      <c r="D137" t="str" cm="1">
        <f t="array" ref="D137">_xlfn.IFS(Table1[[#This Row],[age]]&lt;=17,"0-17",C137&lt;=29,"18-29",C137&lt;=44,"30-44",C137&lt;=59,"45-59",C137&lt;=74,"60-74",TRUE,"75+")</f>
        <v>45-59</v>
      </c>
      <c r="E137" t="s">
        <v>29</v>
      </c>
      <c r="F137">
        <v>4</v>
      </c>
      <c r="G137" t="str" cm="1">
        <f t="array" ref="G137">_xlfn.IFS(_xlfn.SINGLE(Table1[imd_decile])&lt;=3,"Most Deprived",F137&lt;=7,"Moderately Deprived",F137&lt;=10,"Least Deprived")</f>
        <v>Moderately Deprived</v>
      </c>
      <c r="H137">
        <v>7.7</v>
      </c>
      <c r="I137" t="s">
        <v>42</v>
      </c>
      <c r="J137" t="s">
        <v>19</v>
      </c>
      <c r="K137" s="1">
        <v>45698</v>
      </c>
      <c r="L137" s="1">
        <v>45705</v>
      </c>
      <c r="M137" s="1" t="str">
        <f>TEXT(Table1[[#This Row],[appointment_date]],"MM/YYYY")</f>
        <v>02/2025</v>
      </c>
      <c r="N137">
        <v>7</v>
      </c>
      <c r="O137" t="str" cm="1">
        <f t="array" ref="O137">_xlfn.IFS(Table1[[#This Row],[lead_time_days]]&lt;=7,"0-7 days",N137&lt;=14,"8-14 days",N137&lt;=30,"15-30 days",N137&lt;=60,"31-60 days",TRUE,"61+ days")</f>
        <v>0-7 days</v>
      </c>
      <c r="P137" t="s">
        <v>35</v>
      </c>
      <c r="Q137" t="s">
        <v>32</v>
      </c>
      <c r="R137">
        <v>0</v>
      </c>
      <c r="S137" t="str">
        <f>IF(Table1[prior_dna_count]&gt;=1,"Has prior DNA history","No prior DNA history")</f>
        <v>No prior DNA history</v>
      </c>
      <c r="T137" t="s">
        <v>22</v>
      </c>
      <c r="U137" t="str">
        <f t="shared" si="2"/>
        <v>0</v>
      </c>
      <c r="V137" t="str">
        <f>IF(Table1[appointment_status]="Attended","1","0")</f>
        <v>1</v>
      </c>
      <c r="W137" t="str">
        <f>IF(Table1[appointment_status]="Cancelled","1","0")</f>
        <v>0</v>
      </c>
    </row>
    <row r="138" spans="1:23">
      <c r="A138" t="s">
        <v>311</v>
      </c>
      <c r="B138" t="s">
        <v>312</v>
      </c>
      <c r="C138">
        <v>33</v>
      </c>
      <c r="D138" t="str" cm="1">
        <f t="array" ref="D138">_xlfn.IFS(Table1[[#This Row],[age]]&lt;=17,"0-17",C138&lt;=29,"18-29",C138&lt;=44,"30-44",C138&lt;=59,"45-59",C138&lt;=74,"60-74",TRUE,"75+")</f>
        <v>30-44</v>
      </c>
      <c r="E138" t="s">
        <v>17</v>
      </c>
      <c r="F138">
        <v>5</v>
      </c>
      <c r="G138" t="str" cm="1">
        <f t="array" ref="G138">_xlfn.IFS(_xlfn.SINGLE(Table1[imd_decile])&lt;=3,"Most Deprived",F138&lt;=7,"Moderately Deprived",F138&lt;=10,"Least Deprived")</f>
        <v>Moderately Deprived</v>
      </c>
      <c r="H138">
        <v>1.9</v>
      </c>
      <c r="I138" t="s">
        <v>42</v>
      </c>
      <c r="J138" t="s">
        <v>19</v>
      </c>
      <c r="K138" s="1">
        <v>45697</v>
      </c>
      <c r="L138" s="1">
        <v>45706</v>
      </c>
      <c r="M138" s="1" t="str">
        <f>TEXT(Table1[[#This Row],[appointment_date]],"MM/YYYY")</f>
        <v>02/2025</v>
      </c>
      <c r="N138">
        <v>9</v>
      </c>
      <c r="O138" t="str" cm="1">
        <f t="array" ref="O138">_xlfn.IFS(Table1[[#This Row],[lead_time_days]]&lt;=7,"0-7 days",N138&lt;=14,"8-14 days",N138&lt;=30,"15-30 days",N138&lt;=60,"31-60 days",TRUE,"61+ days")</f>
        <v>8-14 days</v>
      </c>
      <c r="P138" t="s">
        <v>71</v>
      </c>
      <c r="Q138" t="s">
        <v>21</v>
      </c>
      <c r="R138">
        <v>0</v>
      </c>
      <c r="S138" t="str">
        <f>IF(Table1[prior_dna_count]&gt;=1,"Has prior DNA history","No prior DNA history")</f>
        <v>No prior DNA history</v>
      </c>
      <c r="T138" t="s">
        <v>22</v>
      </c>
      <c r="U138" t="str">
        <f t="shared" si="2"/>
        <v>1</v>
      </c>
      <c r="V138" t="str">
        <f>IF(Table1[appointment_status]="Attended","1","0")</f>
        <v>1</v>
      </c>
      <c r="W138" t="str">
        <f>IF(Table1[appointment_status]="Cancelled","1","0")</f>
        <v>0</v>
      </c>
    </row>
    <row r="139" spans="1:23">
      <c r="A139" t="s">
        <v>313</v>
      </c>
      <c r="B139" t="s">
        <v>314</v>
      </c>
      <c r="C139">
        <v>56</v>
      </c>
      <c r="D139" t="str" cm="1">
        <f t="array" ref="D139">_xlfn.IFS(Table1[[#This Row],[age]]&lt;=17,"0-17",C139&lt;=29,"18-29",C139&lt;=44,"30-44",C139&lt;=59,"45-59",C139&lt;=74,"60-74",TRUE,"75+")</f>
        <v>45-59</v>
      </c>
      <c r="E139" t="s">
        <v>17</v>
      </c>
      <c r="F139">
        <v>8</v>
      </c>
      <c r="G139" t="str" cm="1">
        <f t="array" ref="G139">_xlfn.IFS(_xlfn.SINGLE(Table1[imd_decile])&lt;=3,"Most Deprived",F139&lt;=7,"Moderately Deprived",F139&lt;=10,"Least Deprived")</f>
        <v>Least Deprived</v>
      </c>
      <c r="H139">
        <v>3.9</v>
      </c>
      <c r="I139" t="s">
        <v>58</v>
      </c>
      <c r="J139" t="s">
        <v>26</v>
      </c>
      <c r="K139" s="1">
        <v>45665</v>
      </c>
      <c r="L139" s="1">
        <v>45706</v>
      </c>
      <c r="M139" s="1" t="str">
        <f>TEXT(Table1[[#This Row],[appointment_date]],"MM/YYYY")</f>
        <v>02/2025</v>
      </c>
      <c r="N139">
        <v>41</v>
      </c>
      <c r="O139" t="str" cm="1">
        <f t="array" ref="O139">_xlfn.IFS(Table1[[#This Row],[lead_time_days]]&lt;=7,"0-7 days",N139&lt;=14,"8-14 days",N139&lt;=30,"15-30 days",N139&lt;=60,"31-60 days",TRUE,"61+ days")</f>
        <v>31-60 days</v>
      </c>
      <c r="P139" t="s">
        <v>71</v>
      </c>
      <c r="Q139" t="s">
        <v>32</v>
      </c>
      <c r="R139">
        <v>0</v>
      </c>
      <c r="S139" t="str">
        <f>IF(Table1[prior_dna_count]&gt;=1,"Has prior DNA history","No prior DNA history")</f>
        <v>No prior DNA history</v>
      </c>
      <c r="T139" t="s">
        <v>22</v>
      </c>
      <c r="U139" t="str">
        <f t="shared" si="2"/>
        <v>1</v>
      </c>
      <c r="V139" t="str">
        <f>IF(Table1[appointment_status]="Attended","1","0")</f>
        <v>1</v>
      </c>
      <c r="W139" t="str">
        <f>IF(Table1[appointment_status]="Cancelled","1","0")</f>
        <v>0</v>
      </c>
    </row>
    <row r="140" spans="1:23">
      <c r="A140" t="s">
        <v>315</v>
      </c>
      <c r="B140" t="s">
        <v>316</v>
      </c>
      <c r="C140">
        <v>73</v>
      </c>
      <c r="D140" t="str" cm="1">
        <f t="array" ref="D140">_xlfn.IFS(Table1[[#This Row],[age]]&lt;=17,"0-17",C140&lt;=29,"18-29",C140&lt;=44,"30-44",C140&lt;=59,"45-59",C140&lt;=74,"60-74",TRUE,"75+")</f>
        <v>60-74</v>
      </c>
      <c r="E140" t="s">
        <v>17</v>
      </c>
      <c r="F140">
        <v>9</v>
      </c>
      <c r="G140" t="str" cm="1">
        <f t="array" ref="G140">_xlfn.IFS(_xlfn.SINGLE(Table1[imd_decile])&lt;=3,"Most Deprived",F140&lt;=7,"Moderately Deprived",F140&lt;=10,"Least Deprived")</f>
        <v>Least Deprived</v>
      </c>
      <c r="H140">
        <v>7.8</v>
      </c>
      <c r="I140" t="s">
        <v>91</v>
      </c>
      <c r="J140" t="s">
        <v>19</v>
      </c>
      <c r="K140" s="1">
        <v>45678</v>
      </c>
      <c r="L140" s="1">
        <v>45706</v>
      </c>
      <c r="M140" s="1" t="str">
        <f>TEXT(Table1[[#This Row],[appointment_date]],"MM/YYYY")</f>
        <v>02/2025</v>
      </c>
      <c r="N140">
        <v>28</v>
      </c>
      <c r="O140" t="str" cm="1">
        <f t="array" ref="O140">_xlfn.IFS(Table1[[#This Row],[lead_time_days]]&lt;=7,"0-7 days",N140&lt;=14,"8-14 days",N140&lt;=30,"15-30 days",N140&lt;=60,"31-60 days",TRUE,"61+ days")</f>
        <v>15-30 days</v>
      </c>
      <c r="P140" t="s">
        <v>71</v>
      </c>
      <c r="Q140" t="s">
        <v>21</v>
      </c>
      <c r="R140">
        <v>0</v>
      </c>
      <c r="S140" t="str">
        <f>IF(Table1[prior_dna_count]&gt;=1,"Has prior DNA history","No prior DNA history")</f>
        <v>No prior DNA history</v>
      </c>
      <c r="T140" t="s">
        <v>46</v>
      </c>
      <c r="U140" t="str">
        <f t="shared" si="2"/>
        <v>1</v>
      </c>
      <c r="V140" t="str">
        <f>IF(Table1[appointment_status]="Attended","1","0")</f>
        <v>0</v>
      </c>
      <c r="W140" t="str">
        <f>IF(Table1[appointment_status]="Cancelled","1","0")</f>
        <v>1</v>
      </c>
    </row>
    <row r="141" spans="1:23">
      <c r="A141" t="s">
        <v>317</v>
      </c>
      <c r="B141" t="s">
        <v>318</v>
      </c>
      <c r="C141">
        <v>55</v>
      </c>
      <c r="D141" t="str" cm="1">
        <f t="array" ref="D141">_xlfn.IFS(Table1[[#This Row],[age]]&lt;=17,"0-17",C141&lt;=29,"18-29",C141&lt;=44,"30-44",C141&lt;=59,"45-59",C141&lt;=74,"60-74",TRUE,"75+")</f>
        <v>45-59</v>
      </c>
      <c r="E141" t="s">
        <v>29</v>
      </c>
      <c r="F141">
        <v>3</v>
      </c>
      <c r="G141" t="str" cm="1">
        <f t="array" ref="G141">_xlfn.IFS(_xlfn.SINGLE(Table1[imd_decile])&lt;=3,"Most Deprived",F141&lt;=7,"Moderately Deprived",F141&lt;=10,"Least Deprived")</f>
        <v>Most Deprived</v>
      </c>
      <c r="H141">
        <v>11.9</v>
      </c>
      <c r="I141" t="s">
        <v>91</v>
      </c>
      <c r="J141" t="s">
        <v>26</v>
      </c>
      <c r="K141" s="1">
        <v>45692</v>
      </c>
      <c r="L141" s="1">
        <v>45706</v>
      </c>
      <c r="M141" s="1" t="str">
        <f>TEXT(Table1[[#This Row],[appointment_date]],"MM/YYYY")</f>
        <v>02/2025</v>
      </c>
      <c r="N141">
        <v>14</v>
      </c>
      <c r="O141" t="str" cm="1">
        <f t="array" ref="O141">_xlfn.IFS(Table1[[#This Row],[lead_time_days]]&lt;=7,"0-7 days",N141&lt;=14,"8-14 days",N141&lt;=30,"15-30 days",N141&lt;=60,"31-60 days",TRUE,"61+ days")</f>
        <v>8-14 days</v>
      </c>
      <c r="P141" t="s">
        <v>71</v>
      </c>
      <c r="Q141" t="s">
        <v>32</v>
      </c>
      <c r="R141">
        <v>1</v>
      </c>
      <c r="S141" t="str">
        <f>IF(Table1[prior_dna_count]&gt;=1,"Has prior DNA history","No prior DNA history")</f>
        <v>Has prior DNA history</v>
      </c>
      <c r="T141" t="s">
        <v>39</v>
      </c>
      <c r="U141" t="str">
        <f t="shared" si="2"/>
        <v>0</v>
      </c>
      <c r="V141" t="str">
        <f>IF(Table1[appointment_status]="Attended","1","0")</f>
        <v>0</v>
      </c>
      <c r="W141" t="str">
        <f>IF(Table1[appointment_status]="Cancelled","1","0")</f>
        <v>0</v>
      </c>
    </row>
    <row r="142" spans="1:23">
      <c r="A142" t="s">
        <v>319</v>
      </c>
      <c r="B142" t="s">
        <v>320</v>
      </c>
      <c r="C142">
        <v>30</v>
      </c>
      <c r="D142" t="str" cm="1">
        <f t="array" ref="D142">_xlfn.IFS(Table1[[#This Row],[age]]&lt;=17,"0-17",C142&lt;=29,"18-29",C142&lt;=44,"30-44",C142&lt;=59,"45-59",C142&lt;=74,"60-74",TRUE,"75+")</f>
        <v>30-44</v>
      </c>
      <c r="E142" t="s">
        <v>29</v>
      </c>
      <c r="F142">
        <v>5</v>
      </c>
      <c r="G142" t="str" cm="1">
        <f t="array" ref="G142">_xlfn.IFS(_xlfn.SINGLE(Table1[imd_decile])&lt;=3,"Most Deprived",F142&lt;=7,"Moderately Deprived",F142&lt;=10,"Least Deprived")</f>
        <v>Moderately Deprived</v>
      </c>
      <c r="H142">
        <v>6.9</v>
      </c>
      <c r="I142" t="s">
        <v>58</v>
      </c>
      <c r="J142" t="s">
        <v>19</v>
      </c>
      <c r="K142" s="1">
        <v>45693</v>
      </c>
      <c r="L142" s="1">
        <v>45706</v>
      </c>
      <c r="M142" s="1" t="str">
        <f>TEXT(Table1[[#This Row],[appointment_date]],"MM/YYYY")</f>
        <v>02/2025</v>
      </c>
      <c r="N142">
        <v>13</v>
      </c>
      <c r="O142" t="str" cm="1">
        <f t="array" ref="O142">_xlfn.IFS(Table1[[#This Row],[lead_time_days]]&lt;=7,"0-7 days",N142&lt;=14,"8-14 days",N142&lt;=30,"15-30 days",N142&lt;=60,"31-60 days",TRUE,"61+ days")</f>
        <v>8-14 days</v>
      </c>
      <c r="P142" t="s">
        <v>71</v>
      </c>
      <c r="Q142" t="s">
        <v>32</v>
      </c>
      <c r="R142">
        <v>0</v>
      </c>
      <c r="S142" t="str">
        <f>IF(Table1[prior_dna_count]&gt;=1,"Has prior DNA history","No prior DNA history")</f>
        <v>No prior DNA history</v>
      </c>
      <c r="T142" t="s">
        <v>22</v>
      </c>
      <c r="U142" t="str">
        <f t="shared" si="2"/>
        <v>0</v>
      </c>
      <c r="V142" t="str">
        <f>IF(Table1[appointment_status]="Attended","1","0")</f>
        <v>1</v>
      </c>
      <c r="W142" t="str">
        <f>IF(Table1[appointment_status]="Cancelled","1","0")</f>
        <v>0</v>
      </c>
    </row>
    <row r="143" spans="1:23">
      <c r="A143" t="s">
        <v>321</v>
      </c>
      <c r="B143" t="s">
        <v>322</v>
      </c>
      <c r="C143">
        <v>44</v>
      </c>
      <c r="D143" t="str" cm="1">
        <f t="array" ref="D143">_xlfn.IFS(Table1[[#This Row],[age]]&lt;=17,"0-17",C143&lt;=29,"18-29",C143&lt;=44,"30-44",C143&lt;=59,"45-59",C143&lt;=74,"60-74",TRUE,"75+")</f>
        <v>30-44</v>
      </c>
      <c r="E143" t="s">
        <v>17</v>
      </c>
      <c r="F143">
        <v>5</v>
      </c>
      <c r="G143" t="str" cm="1">
        <f t="array" ref="G143">_xlfn.IFS(_xlfn.SINGLE(Table1[imd_decile])&lt;=3,"Most Deprived",F143&lt;=7,"Moderately Deprived",F143&lt;=10,"Least Deprived")</f>
        <v>Moderately Deprived</v>
      </c>
      <c r="H143">
        <v>20.8</v>
      </c>
      <c r="I143" t="s">
        <v>42</v>
      </c>
      <c r="J143" t="s">
        <v>26</v>
      </c>
      <c r="K143" s="1">
        <v>45677</v>
      </c>
      <c r="L143" s="1">
        <v>45707</v>
      </c>
      <c r="M143" s="1" t="str">
        <f>TEXT(Table1[[#This Row],[appointment_date]],"MM/YYYY")</f>
        <v>02/2025</v>
      </c>
      <c r="N143">
        <v>30</v>
      </c>
      <c r="O143" t="str" cm="1">
        <f t="array" ref="O143">_xlfn.IFS(Table1[[#This Row],[lead_time_days]]&lt;=7,"0-7 days",N143&lt;=14,"8-14 days",N143&lt;=30,"15-30 days",N143&lt;=60,"31-60 days",TRUE,"61+ days")</f>
        <v>15-30 days</v>
      </c>
      <c r="P143" t="s">
        <v>80</v>
      </c>
      <c r="Q143" t="s">
        <v>32</v>
      </c>
      <c r="R143">
        <v>0</v>
      </c>
      <c r="S143" t="str">
        <f>IF(Table1[prior_dna_count]&gt;=1,"Has prior DNA history","No prior DNA history")</f>
        <v>No prior DNA history</v>
      </c>
      <c r="T143" t="s">
        <v>39</v>
      </c>
      <c r="U143" t="str">
        <f t="shared" si="2"/>
        <v>1</v>
      </c>
      <c r="V143" t="str">
        <f>IF(Table1[appointment_status]="Attended","1","0")</f>
        <v>0</v>
      </c>
      <c r="W143" t="str">
        <f>IF(Table1[appointment_status]="Cancelled","1","0")</f>
        <v>0</v>
      </c>
    </row>
    <row r="144" spans="1:23">
      <c r="A144" t="s">
        <v>323</v>
      </c>
      <c r="B144" t="s">
        <v>324</v>
      </c>
      <c r="C144">
        <v>51</v>
      </c>
      <c r="D144" t="str" cm="1">
        <f t="array" ref="D144">_xlfn.IFS(Table1[[#This Row],[age]]&lt;=17,"0-17",C144&lt;=29,"18-29",C144&lt;=44,"30-44",C144&lt;=59,"45-59",C144&lt;=74,"60-74",TRUE,"75+")</f>
        <v>45-59</v>
      </c>
      <c r="E144" t="s">
        <v>29</v>
      </c>
      <c r="F144">
        <v>4</v>
      </c>
      <c r="G144" t="str" cm="1">
        <f t="array" ref="G144">_xlfn.IFS(_xlfn.SINGLE(Table1[imd_decile])&lt;=3,"Most Deprived",F144&lt;=7,"Moderately Deprived",F144&lt;=10,"Least Deprived")</f>
        <v>Moderately Deprived</v>
      </c>
      <c r="H144">
        <v>5.9</v>
      </c>
      <c r="I144" t="s">
        <v>42</v>
      </c>
      <c r="J144" t="s">
        <v>26</v>
      </c>
      <c r="K144" s="1">
        <v>45698</v>
      </c>
      <c r="L144" s="1">
        <v>45707</v>
      </c>
      <c r="M144" s="1" t="str">
        <f>TEXT(Table1[[#This Row],[appointment_date]],"MM/YYYY")</f>
        <v>02/2025</v>
      </c>
      <c r="N144">
        <v>9</v>
      </c>
      <c r="O144" t="str" cm="1">
        <f t="array" ref="O144">_xlfn.IFS(Table1[[#This Row],[lead_time_days]]&lt;=7,"0-7 days",N144&lt;=14,"8-14 days",N144&lt;=30,"15-30 days",N144&lt;=60,"31-60 days",TRUE,"61+ days")</f>
        <v>8-14 days</v>
      </c>
      <c r="P144" t="s">
        <v>80</v>
      </c>
      <c r="Q144" t="s">
        <v>21</v>
      </c>
      <c r="R144">
        <v>0</v>
      </c>
      <c r="S144" t="str">
        <f>IF(Table1[prior_dna_count]&gt;=1,"Has prior DNA history","No prior DNA history")</f>
        <v>No prior DNA history</v>
      </c>
      <c r="T144" t="s">
        <v>22</v>
      </c>
      <c r="U144" t="str">
        <f t="shared" si="2"/>
        <v>0</v>
      </c>
      <c r="V144" t="str">
        <f>IF(Table1[appointment_status]="Attended","1","0")</f>
        <v>1</v>
      </c>
      <c r="W144" t="str">
        <f>IF(Table1[appointment_status]="Cancelled","1","0")</f>
        <v>0</v>
      </c>
    </row>
    <row r="145" spans="1:23">
      <c r="A145" t="s">
        <v>325</v>
      </c>
      <c r="B145" t="s">
        <v>48</v>
      </c>
      <c r="C145">
        <v>52</v>
      </c>
      <c r="D145" t="str" cm="1">
        <f t="array" ref="D145">_xlfn.IFS(Table1[[#This Row],[age]]&lt;=17,"0-17",C145&lt;=29,"18-29",C145&lt;=44,"30-44",C145&lt;=59,"45-59",C145&lt;=74,"60-74",TRUE,"75+")</f>
        <v>45-59</v>
      </c>
      <c r="E145" t="s">
        <v>17</v>
      </c>
      <c r="F145">
        <v>4</v>
      </c>
      <c r="G145" t="str" cm="1">
        <f t="array" ref="G145">_xlfn.IFS(_xlfn.SINGLE(Table1[imd_decile])&lt;=3,"Most Deprived",F145&lt;=7,"Moderately Deprived",F145&lt;=10,"Least Deprived")</f>
        <v>Moderately Deprived</v>
      </c>
      <c r="H145">
        <v>6.3</v>
      </c>
      <c r="I145" t="s">
        <v>58</v>
      </c>
      <c r="J145" t="s">
        <v>19</v>
      </c>
      <c r="K145" s="1">
        <v>45703</v>
      </c>
      <c r="L145" s="1">
        <v>45707</v>
      </c>
      <c r="M145" s="1" t="str">
        <f>TEXT(Table1[[#This Row],[appointment_date]],"MM/YYYY")</f>
        <v>02/2025</v>
      </c>
      <c r="N145">
        <v>4</v>
      </c>
      <c r="O145" t="str" cm="1">
        <f t="array" ref="O145">_xlfn.IFS(Table1[[#This Row],[lead_time_days]]&lt;=7,"0-7 days",N145&lt;=14,"8-14 days",N145&lt;=30,"15-30 days",N145&lt;=60,"31-60 days",TRUE,"61+ days")</f>
        <v>0-7 days</v>
      </c>
      <c r="P145" t="s">
        <v>80</v>
      </c>
      <c r="Q145" t="s">
        <v>21</v>
      </c>
      <c r="R145">
        <v>0</v>
      </c>
      <c r="S145" t="str">
        <f>IF(Table1[prior_dna_count]&gt;=1,"Has prior DNA history","No prior DNA history")</f>
        <v>No prior DNA history</v>
      </c>
      <c r="T145" t="s">
        <v>22</v>
      </c>
      <c r="U145" t="str">
        <f t="shared" si="2"/>
        <v>1</v>
      </c>
      <c r="V145" t="str">
        <f>IF(Table1[appointment_status]="Attended","1","0")</f>
        <v>1</v>
      </c>
      <c r="W145" t="str">
        <f>IF(Table1[appointment_status]="Cancelled","1","0")</f>
        <v>0</v>
      </c>
    </row>
    <row r="146" spans="1:23">
      <c r="A146" t="s">
        <v>326</v>
      </c>
      <c r="B146" t="s">
        <v>327</v>
      </c>
      <c r="C146">
        <v>54</v>
      </c>
      <c r="D146" t="str" cm="1">
        <f t="array" ref="D146">_xlfn.IFS(Table1[[#This Row],[age]]&lt;=17,"0-17",C146&lt;=29,"18-29",C146&lt;=44,"30-44",C146&lt;=59,"45-59",C146&lt;=74,"60-74",TRUE,"75+")</f>
        <v>45-59</v>
      </c>
      <c r="E146" t="s">
        <v>29</v>
      </c>
      <c r="F146">
        <v>7</v>
      </c>
      <c r="G146" t="str" cm="1">
        <f t="array" ref="G146">_xlfn.IFS(_xlfn.SINGLE(Table1[imd_decile])&lt;=3,"Most Deprived",F146&lt;=7,"Moderately Deprived",F146&lt;=10,"Least Deprived")</f>
        <v>Moderately Deprived</v>
      </c>
      <c r="H146">
        <v>0.9</v>
      </c>
      <c r="I146" t="s">
        <v>25</v>
      </c>
      <c r="J146" t="s">
        <v>19</v>
      </c>
      <c r="K146" s="1">
        <v>45663</v>
      </c>
      <c r="L146" s="1">
        <v>45707</v>
      </c>
      <c r="M146" s="1" t="str">
        <f>TEXT(Table1[[#This Row],[appointment_date]],"MM/YYYY")</f>
        <v>02/2025</v>
      </c>
      <c r="N146">
        <v>44</v>
      </c>
      <c r="O146" t="str" cm="1">
        <f t="array" ref="O146">_xlfn.IFS(Table1[[#This Row],[lead_time_days]]&lt;=7,"0-7 days",N146&lt;=14,"8-14 days",N146&lt;=30,"15-30 days",N146&lt;=60,"31-60 days",TRUE,"61+ days")</f>
        <v>31-60 days</v>
      </c>
      <c r="P146" t="s">
        <v>80</v>
      </c>
      <c r="Q146" t="s">
        <v>21</v>
      </c>
      <c r="R146">
        <v>0</v>
      </c>
      <c r="S146" t="str">
        <f>IF(Table1[prior_dna_count]&gt;=1,"Has prior DNA history","No prior DNA history")</f>
        <v>No prior DNA history</v>
      </c>
      <c r="T146" t="s">
        <v>22</v>
      </c>
      <c r="U146" t="str">
        <f t="shared" si="2"/>
        <v>1</v>
      </c>
      <c r="V146" t="str">
        <f>IF(Table1[appointment_status]="Attended","1","0")</f>
        <v>1</v>
      </c>
      <c r="W146" t="str">
        <f>IF(Table1[appointment_status]="Cancelled","1","0")</f>
        <v>0</v>
      </c>
    </row>
    <row r="147" spans="1:23">
      <c r="A147" t="s">
        <v>328</v>
      </c>
      <c r="B147" t="s">
        <v>329</v>
      </c>
      <c r="C147">
        <v>64</v>
      </c>
      <c r="D147" t="str" cm="1">
        <f t="array" ref="D147">_xlfn.IFS(Table1[[#This Row],[age]]&lt;=17,"0-17",C147&lt;=29,"18-29",C147&lt;=44,"30-44",C147&lt;=59,"45-59",C147&lt;=74,"60-74",TRUE,"75+")</f>
        <v>60-74</v>
      </c>
      <c r="E147" t="s">
        <v>17</v>
      </c>
      <c r="F147">
        <v>7</v>
      </c>
      <c r="G147" t="str" cm="1">
        <f t="array" ref="G147">_xlfn.IFS(_xlfn.SINGLE(Table1[imd_decile])&lt;=3,"Most Deprived",F147&lt;=7,"Moderately Deprived",F147&lt;=10,"Least Deprived")</f>
        <v>Moderately Deprived</v>
      </c>
      <c r="H147">
        <v>8.8000000000000007</v>
      </c>
      <c r="I147" t="s">
        <v>49</v>
      </c>
      <c r="J147" t="s">
        <v>26</v>
      </c>
      <c r="K147" s="1">
        <v>45690</v>
      </c>
      <c r="L147" s="1">
        <v>45707</v>
      </c>
      <c r="M147" s="1" t="str">
        <f>TEXT(Table1[[#This Row],[appointment_date]],"MM/YYYY")</f>
        <v>02/2025</v>
      </c>
      <c r="N147">
        <v>17</v>
      </c>
      <c r="O147" t="str" cm="1">
        <f t="array" ref="O147">_xlfn.IFS(Table1[[#This Row],[lead_time_days]]&lt;=7,"0-7 days",N147&lt;=14,"8-14 days",N147&lt;=30,"15-30 days",N147&lt;=60,"31-60 days",TRUE,"61+ days")</f>
        <v>15-30 days</v>
      </c>
      <c r="P147" t="s">
        <v>80</v>
      </c>
      <c r="Q147" t="s">
        <v>21</v>
      </c>
      <c r="R147">
        <v>0</v>
      </c>
      <c r="S147" t="str">
        <f>IF(Table1[prior_dna_count]&gt;=1,"Has prior DNA history","No prior DNA history")</f>
        <v>No prior DNA history</v>
      </c>
      <c r="T147" t="s">
        <v>22</v>
      </c>
      <c r="U147" t="str">
        <f t="shared" si="2"/>
        <v>1</v>
      </c>
      <c r="V147" t="str">
        <f>IF(Table1[appointment_status]="Attended","1","0")</f>
        <v>1</v>
      </c>
      <c r="W147" t="str">
        <f>IF(Table1[appointment_status]="Cancelled","1","0")</f>
        <v>0</v>
      </c>
    </row>
    <row r="148" spans="1:23">
      <c r="A148" t="s">
        <v>330</v>
      </c>
      <c r="B148" t="s">
        <v>331</v>
      </c>
      <c r="C148">
        <v>48</v>
      </c>
      <c r="D148" t="str" cm="1">
        <f t="array" ref="D148">_xlfn.IFS(Table1[[#This Row],[age]]&lt;=17,"0-17",C148&lt;=29,"18-29",C148&lt;=44,"30-44",C148&lt;=59,"45-59",C148&lt;=74,"60-74",TRUE,"75+")</f>
        <v>45-59</v>
      </c>
      <c r="E148" t="s">
        <v>17</v>
      </c>
      <c r="F148">
        <v>3</v>
      </c>
      <c r="G148" t="str" cm="1">
        <f t="array" ref="G148">_xlfn.IFS(_xlfn.SINGLE(Table1[imd_decile])&lt;=3,"Most Deprived",F148&lt;=7,"Moderately Deprived",F148&lt;=10,"Least Deprived")</f>
        <v>Most Deprived</v>
      </c>
      <c r="H148">
        <v>3.7</v>
      </c>
      <c r="I148" t="s">
        <v>58</v>
      </c>
      <c r="J148" t="s">
        <v>19</v>
      </c>
      <c r="K148" s="1">
        <v>45682</v>
      </c>
      <c r="L148" s="1">
        <v>45708</v>
      </c>
      <c r="M148" s="1" t="str">
        <f>TEXT(Table1[[#This Row],[appointment_date]],"MM/YYYY")</f>
        <v>02/2025</v>
      </c>
      <c r="N148">
        <v>26</v>
      </c>
      <c r="O148" t="str" cm="1">
        <f t="array" ref="O148">_xlfn.IFS(Table1[[#This Row],[lead_time_days]]&lt;=7,"0-7 days",N148&lt;=14,"8-14 days",N148&lt;=30,"15-30 days",N148&lt;=60,"31-60 days",TRUE,"61+ days")</f>
        <v>15-30 days</v>
      </c>
      <c r="P148" t="s">
        <v>20</v>
      </c>
      <c r="Q148" t="s">
        <v>32</v>
      </c>
      <c r="R148">
        <v>0</v>
      </c>
      <c r="S148" t="str">
        <f>IF(Table1[prior_dna_count]&gt;=1,"Has prior DNA history","No prior DNA history")</f>
        <v>No prior DNA history</v>
      </c>
      <c r="T148" t="s">
        <v>22</v>
      </c>
      <c r="U148" t="str">
        <f t="shared" si="2"/>
        <v>1</v>
      </c>
      <c r="V148" t="str">
        <f>IF(Table1[appointment_status]="Attended","1","0")</f>
        <v>1</v>
      </c>
      <c r="W148" t="str">
        <f>IF(Table1[appointment_status]="Cancelled","1","0")</f>
        <v>0</v>
      </c>
    </row>
    <row r="149" spans="1:23">
      <c r="A149" t="s">
        <v>332</v>
      </c>
      <c r="B149" t="s">
        <v>333</v>
      </c>
      <c r="C149">
        <v>41</v>
      </c>
      <c r="D149" t="str" cm="1">
        <f t="array" ref="D149">_xlfn.IFS(Table1[[#This Row],[age]]&lt;=17,"0-17",C149&lt;=29,"18-29",C149&lt;=44,"30-44",C149&lt;=59,"45-59",C149&lt;=74,"60-74",TRUE,"75+")</f>
        <v>30-44</v>
      </c>
      <c r="E149" t="s">
        <v>29</v>
      </c>
      <c r="F149">
        <v>2</v>
      </c>
      <c r="G149" t="str" cm="1">
        <f t="array" ref="G149">_xlfn.IFS(_xlfn.SINGLE(Table1[imd_decile])&lt;=3,"Most Deprived",F149&lt;=7,"Moderately Deprived",F149&lt;=10,"Least Deprived")</f>
        <v>Most Deprived</v>
      </c>
      <c r="H149">
        <v>8.9</v>
      </c>
      <c r="I149" t="s">
        <v>45</v>
      </c>
      <c r="J149" t="s">
        <v>26</v>
      </c>
      <c r="K149" s="1">
        <v>45694</v>
      </c>
      <c r="L149" s="1">
        <v>45708</v>
      </c>
      <c r="M149" s="1" t="str">
        <f>TEXT(Table1[[#This Row],[appointment_date]],"MM/YYYY")</f>
        <v>02/2025</v>
      </c>
      <c r="N149">
        <v>14</v>
      </c>
      <c r="O149" t="str" cm="1">
        <f t="array" ref="O149">_xlfn.IFS(Table1[[#This Row],[lead_time_days]]&lt;=7,"0-7 days",N149&lt;=14,"8-14 days",N149&lt;=30,"15-30 days",N149&lt;=60,"31-60 days",TRUE,"61+ days")</f>
        <v>8-14 days</v>
      </c>
      <c r="P149" t="s">
        <v>20</v>
      </c>
      <c r="Q149" t="s">
        <v>21</v>
      </c>
      <c r="R149">
        <v>1</v>
      </c>
      <c r="S149" t="str">
        <f>IF(Table1[prior_dna_count]&gt;=1,"Has prior DNA history","No prior DNA history")</f>
        <v>Has prior DNA history</v>
      </c>
      <c r="T149" t="s">
        <v>22</v>
      </c>
      <c r="U149" t="str">
        <f t="shared" si="2"/>
        <v>1</v>
      </c>
      <c r="V149" t="str">
        <f>IF(Table1[appointment_status]="Attended","1","0")</f>
        <v>1</v>
      </c>
      <c r="W149" t="str">
        <f>IF(Table1[appointment_status]="Cancelled","1","0")</f>
        <v>0</v>
      </c>
    </row>
    <row r="150" spans="1:23">
      <c r="A150" t="s">
        <v>334</v>
      </c>
      <c r="B150" t="s">
        <v>335</v>
      </c>
      <c r="C150">
        <v>61</v>
      </c>
      <c r="D150" t="str" cm="1">
        <f t="array" ref="D150">_xlfn.IFS(Table1[[#This Row],[age]]&lt;=17,"0-17",C150&lt;=29,"18-29",C150&lt;=44,"30-44",C150&lt;=59,"45-59",C150&lt;=74,"60-74",TRUE,"75+")</f>
        <v>60-74</v>
      </c>
      <c r="E150" t="s">
        <v>17</v>
      </c>
      <c r="F150">
        <v>6</v>
      </c>
      <c r="G150" t="str" cm="1">
        <f t="array" ref="G150">_xlfn.IFS(_xlfn.SINGLE(Table1[imd_decile])&lt;=3,"Most Deprived",F150&lt;=7,"Moderately Deprived",F150&lt;=10,"Least Deprived")</f>
        <v>Moderately Deprived</v>
      </c>
      <c r="H150">
        <v>9.6</v>
      </c>
      <c r="I150" t="s">
        <v>91</v>
      </c>
      <c r="J150" t="s">
        <v>26</v>
      </c>
      <c r="K150" s="1">
        <v>45683</v>
      </c>
      <c r="L150" s="1">
        <v>45708</v>
      </c>
      <c r="M150" s="1" t="str">
        <f>TEXT(Table1[[#This Row],[appointment_date]],"MM/YYYY")</f>
        <v>02/2025</v>
      </c>
      <c r="N150">
        <v>25</v>
      </c>
      <c r="O150" t="str" cm="1">
        <f t="array" ref="O150">_xlfn.IFS(Table1[[#This Row],[lead_time_days]]&lt;=7,"0-7 days",N150&lt;=14,"8-14 days",N150&lt;=30,"15-30 days",N150&lt;=60,"31-60 days",TRUE,"61+ days")</f>
        <v>15-30 days</v>
      </c>
      <c r="P150" t="s">
        <v>20</v>
      </c>
      <c r="Q150" t="s">
        <v>21</v>
      </c>
      <c r="R150">
        <v>0</v>
      </c>
      <c r="S150" t="str">
        <f>IF(Table1[prior_dna_count]&gt;=1,"Has prior DNA history","No prior DNA history")</f>
        <v>No prior DNA history</v>
      </c>
      <c r="T150" t="s">
        <v>22</v>
      </c>
      <c r="U150" t="str">
        <f t="shared" si="2"/>
        <v>1</v>
      </c>
      <c r="V150" t="str">
        <f>IF(Table1[appointment_status]="Attended","1","0")</f>
        <v>1</v>
      </c>
      <c r="W150" t="str">
        <f>IF(Table1[appointment_status]="Cancelled","1","0")</f>
        <v>0</v>
      </c>
    </row>
    <row r="151" spans="1:23">
      <c r="A151" t="s">
        <v>336</v>
      </c>
      <c r="B151" t="s">
        <v>337</v>
      </c>
      <c r="C151">
        <v>67</v>
      </c>
      <c r="D151" t="str" cm="1">
        <f t="array" ref="D151">_xlfn.IFS(Table1[[#This Row],[age]]&lt;=17,"0-17",C151&lt;=29,"18-29",C151&lt;=44,"30-44",C151&lt;=59,"45-59",C151&lt;=74,"60-74",TRUE,"75+")</f>
        <v>60-74</v>
      </c>
      <c r="E151" t="s">
        <v>17</v>
      </c>
      <c r="F151">
        <v>5</v>
      </c>
      <c r="G151" t="str" cm="1">
        <f t="array" ref="G151">_xlfn.IFS(_xlfn.SINGLE(Table1[imd_decile])&lt;=3,"Most Deprived",F151&lt;=7,"Moderately Deprived",F151&lt;=10,"Least Deprived")</f>
        <v>Moderately Deprived</v>
      </c>
      <c r="H151">
        <v>8</v>
      </c>
      <c r="I151" t="s">
        <v>42</v>
      </c>
      <c r="J151" t="s">
        <v>19</v>
      </c>
      <c r="K151" s="1">
        <v>45675</v>
      </c>
      <c r="L151" s="1">
        <v>45708</v>
      </c>
      <c r="M151" s="1" t="str">
        <f>TEXT(Table1[[#This Row],[appointment_date]],"MM/YYYY")</f>
        <v>02/2025</v>
      </c>
      <c r="N151">
        <v>33</v>
      </c>
      <c r="O151" t="str" cm="1">
        <f t="array" ref="O151">_xlfn.IFS(Table1[[#This Row],[lead_time_days]]&lt;=7,"0-7 days",N151&lt;=14,"8-14 days",N151&lt;=30,"15-30 days",N151&lt;=60,"31-60 days",TRUE,"61+ days")</f>
        <v>31-60 days</v>
      </c>
      <c r="P151" t="s">
        <v>20</v>
      </c>
      <c r="Q151" t="s">
        <v>21</v>
      </c>
      <c r="R151">
        <v>0</v>
      </c>
      <c r="S151" t="str">
        <f>IF(Table1[prior_dna_count]&gt;=1,"Has prior DNA history","No prior DNA history")</f>
        <v>No prior DNA history</v>
      </c>
      <c r="T151" t="s">
        <v>22</v>
      </c>
      <c r="U151" t="str">
        <f t="shared" si="2"/>
        <v>1</v>
      </c>
      <c r="V151" t="str">
        <f>IF(Table1[appointment_status]="Attended","1","0")</f>
        <v>1</v>
      </c>
      <c r="W151" t="str">
        <f>IF(Table1[appointment_status]="Cancelled","1","0")</f>
        <v>0</v>
      </c>
    </row>
    <row r="152" spans="1:23">
      <c r="A152" t="s">
        <v>338</v>
      </c>
      <c r="B152" t="s">
        <v>339</v>
      </c>
      <c r="C152">
        <v>42</v>
      </c>
      <c r="D152" t="str" cm="1">
        <f t="array" ref="D152">_xlfn.IFS(Table1[[#This Row],[age]]&lt;=17,"0-17",C152&lt;=29,"18-29",C152&lt;=44,"30-44",C152&lt;=59,"45-59",C152&lt;=74,"60-74",TRUE,"75+")</f>
        <v>30-44</v>
      </c>
      <c r="E152" t="s">
        <v>17</v>
      </c>
      <c r="F152">
        <v>9</v>
      </c>
      <c r="G152" t="str" cm="1">
        <f t="array" ref="G152">_xlfn.IFS(_xlfn.SINGLE(Table1[imd_decile])&lt;=3,"Most Deprived",F152&lt;=7,"Moderately Deprived",F152&lt;=10,"Least Deprived")</f>
        <v>Least Deprived</v>
      </c>
      <c r="H152">
        <v>4</v>
      </c>
      <c r="I152" t="s">
        <v>30</v>
      </c>
      <c r="J152" t="s">
        <v>26</v>
      </c>
      <c r="K152" s="1">
        <v>45701</v>
      </c>
      <c r="L152" s="1">
        <v>45708</v>
      </c>
      <c r="M152" s="1" t="str">
        <f>TEXT(Table1[[#This Row],[appointment_date]],"MM/YYYY")</f>
        <v>02/2025</v>
      </c>
      <c r="N152">
        <v>7</v>
      </c>
      <c r="O152" t="str" cm="1">
        <f t="array" ref="O152">_xlfn.IFS(Table1[[#This Row],[lead_time_days]]&lt;=7,"0-7 days",N152&lt;=14,"8-14 days",N152&lt;=30,"15-30 days",N152&lt;=60,"31-60 days",TRUE,"61+ days")</f>
        <v>0-7 days</v>
      </c>
      <c r="P152" t="s">
        <v>20</v>
      </c>
      <c r="Q152" t="s">
        <v>21</v>
      </c>
      <c r="R152">
        <v>0</v>
      </c>
      <c r="S152" t="str">
        <f>IF(Table1[prior_dna_count]&gt;=1,"Has prior DNA history","No prior DNA history")</f>
        <v>No prior DNA history</v>
      </c>
      <c r="T152" t="s">
        <v>46</v>
      </c>
      <c r="U152" t="str">
        <f t="shared" si="2"/>
        <v>1</v>
      </c>
      <c r="V152" t="str">
        <f>IF(Table1[appointment_status]="Attended","1","0")</f>
        <v>0</v>
      </c>
      <c r="W152" t="str">
        <f>IF(Table1[appointment_status]="Cancelled","1","0")</f>
        <v>1</v>
      </c>
    </row>
    <row r="153" spans="1:23">
      <c r="A153" t="s">
        <v>340</v>
      </c>
      <c r="B153" t="s">
        <v>341</v>
      </c>
      <c r="C153">
        <v>17</v>
      </c>
      <c r="D153" t="str" cm="1">
        <f t="array" ref="D153">_xlfn.IFS(Table1[[#This Row],[age]]&lt;=17,"0-17",C153&lt;=29,"18-29",C153&lt;=44,"30-44",C153&lt;=59,"45-59",C153&lt;=74,"60-74",TRUE,"75+")</f>
        <v>0-17</v>
      </c>
      <c r="E153" t="s">
        <v>29</v>
      </c>
      <c r="F153">
        <v>5</v>
      </c>
      <c r="G153" t="str" cm="1">
        <f t="array" ref="G153">_xlfn.IFS(_xlfn.SINGLE(Table1[imd_decile])&lt;=3,"Most Deprived",F153&lt;=7,"Moderately Deprived",F153&lt;=10,"Least Deprived")</f>
        <v>Moderately Deprived</v>
      </c>
      <c r="H153">
        <v>2.6</v>
      </c>
      <c r="I153" t="s">
        <v>18</v>
      </c>
      <c r="J153" t="s">
        <v>26</v>
      </c>
      <c r="K153" s="1">
        <v>45706</v>
      </c>
      <c r="L153" s="1">
        <v>45708</v>
      </c>
      <c r="M153" s="1" t="str">
        <f>TEXT(Table1[[#This Row],[appointment_date]],"MM/YYYY")</f>
        <v>02/2025</v>
      </c>
      <c r="N153">
        <v>2</v>
      </c>
      <c r="O153" t="str" cm="1">
        <f t="array" ref="O153">_xlfn.IFS(Table1[[#This Row],[lead_time_days]]&lt;=7,"0-7 days",N153&lt;=14,"8-14 days",N153&lt;=30,"15-30 days",N153&lt;=60,"31-60 days",TRUE,"61+ days")</f>
        <v>0-7 days</v>
      </c>
      <c r="P153" t="s">
        <v>20</v>
      </c>
      <c r="Q153" t="s">
        <v>21</v>
      </c>
      <c r="R153">
        <v>0</v>
      </c>
      <c r="S153" t="str">
        <f>IF(Table1[prior_dna_count]&gt;=1,"Has prior DNA history","No prior DNA history")</f>
        <v>No prior DNA history</v>
      </c>
      <c r="T153" t="s">
        <v>22</v>
      </c>
      <c r="U153" t="str">
        <f t="shared" si="2"/>
        <v>0</v>
      </c>
      <c r="V153" t="str">
        <f>IF(Table1[appointment_status]="Attended","1","0")</f>
        <v>1</v>
      </c>
      <c r="W153" t="str">
        <f>IF(Table1[appointment_status]="Cancelled","1","0")</f>
        <v>0</v>
      </c>
    </row>
    <row r="154" spans="1:23">
      <c r="A154" t="s">
        <v>342</v>
      </c>
      <c r="B154" t="s">
        <v>343</v>
      </c>
      <c r="C154">
        <v>45</v>
      </c>
      <c r="D154" t="str" cm="1">
        <f t="array" ref="D154">_xlfn.IFS(Table1[[#This Row],[age]]&lt;=17,"0-17",C154&lt;=29,"18-29",C154&lt;=44,"30-44",C154&lt;=59,"45-59",C154&lt;=74,"60-74",TRUE,"75+")</f>
        <v>45-59</v>
      </c>
      <c r="E154" t="s">
        <v>29</v>
      </c>
      <c r="F154">
        <v>3</v>
      </c>
      <c r="G154" t="str" cm="1">
        <f t="array" ref="G154">_xlfn.IFS(_xlfn.SINGLE(Table1[imd_decile])&lt;=3,"Most Deprived",F154&lt;=7,"Moderately Deprived",F154&lt;=10,"Least Deprived")</f>
        <v>Most Deprived</v>
      </c>
      <c r="H154">
        <v>20.5</v>
      </c>
      <c r="I154" t="s">
        <v>49</v>
      </c>
      <c r="J154" t="s">
        <v>19</v>
      </c>
      <c r="K154" s="1">
        <v>45681</v>
      </c>
      <c r="L154" s="1">
        <v>45708</v>
      </c>
      <c r="M154" s="1" t="str">
        <f>TEXT(Table1[[#This Row],[appointment_date]],"MM/YYYY")</f>
        <v>02/2025</v>
      </c>
      <c r="N154">
        <v>27</v>
      </c>
      <c r="O154" t="str" cm="1">
        <f t="array" ref="O154">_xlfn.IFS(Table1[[#This Row],[lead_time_days]]&lt;=7,"0-7 days",N154&lt;=14,"8-14 days",N154&lt;=30,"15-30 days",N154&lt;=60,"31-60 days",TRUE,"61+ days")</f>
        <v>15-30 days</v>
      </c>
      <c r="P154" t="s">
        <v>20</v>
      </c>
      <c r="Q154" t="s">
        <v>32</v>
      </c>
      <c r="R154">
        <v>0</v>
      </c>
      <c r="S154" t="str">
        <f>IF(Table1[prior_dna_count]&gt;=1,"Has prior DNA history","No prior DNA history")</f>
        <v>No prior DNA history</v>
      </c>
      <c r="T154" t="s">
        <v>22</v>
      </c>
      <c r="U154" t="str">
        <f t="shared" si="2"/>
        <v>1</v>
      </c>
      <c r="V154" t="str">
        <f>IF(Table1[appointment_status]="Attended","1","0")</f>
        <v>1</v>
      </c>
      <c r="W154" t="str">
        <f>IF(Table1[appointment_status]="Cancelled","1","0")</f>
        <v>0</v>
      </c>
    </row>
    <row r="155" spans="1:23">
      <c r="A155" t="s">
        <v>344</v>
      </c>
      <c r="B155" t="s">
        <v>345</v>
      </c>
      <c r="C155">
        <v>37</v>
      </c>
      <c r="D155" t="str" cm="1">
        <f t="array" ref="D155">_xlfn.IFS(Table1[[#This Row],[age]]&lt;=17,"0-17",C155&lt;=29,"18-29",C155&lt;=44,"30-44",C155&lt;=59,"45-59",C155&lt;=74,"60-74",TRUE,"75+")</f>
        <v>30-44</v>
      </c>
      <c r="E155" t="s">
        <v>29</v>
      </c>
      <c r="F155">
        <v>8</v>
      </c>
      <c r="G155" t="str" cm="1">
        <f t="array" ref="G155">_xlfn.IFS(_xlfn.SINGLE(Table1[imd_decile])&lt;=3,"Most Deprived",F155&lt;=7,"Moderately Deprived",F155&lt;=10,"Least Deprived")</f>
        <v>Least Deprived</v>
      </c>
      <c r="H155">
        <v>10</v>
      </c>
      <c r="I155" t="s">
        <v>91</v>
      </c>
      <c r="J155" t="s">
        <v>19</v>
      </c>
      <c r="K155" s="1">
        <v>45669</v>
      </c>
      <c r="L155" s="1">
        <v>45708</v>
      </c>
      <c r="M155" s="1" t="str">
        <f>TEXT(Table1[[#This Row],[appointment_date]],"MM/YYYY")</f>
        <v>02/2025</v>
      </c>
      <c r="N155">
        <v>39</v>
      </c>
      <c r="O155" t="str" cm="1">
        <f t="array" ref="O155">_xlfn.IFS(Table1[[#This Row],[lead_time_days]]&lt;=7,"0-7 days",N155&lt;=14,"8-14 days",N155&lt;=30,"15-30 days",N155&lt;=60,"31-60 days",TRUE,"61+ days")</f>
        <v>31-60 days</v>
      </c>
      <c r="P155" t="s">
        <v>20</v>
      </c>
      <c r="Q155" t="s">
        <v>21</v>
      </c>
      <c r="R155">
        <v>0</v>
      </c>
      <c r="S155" t="str">
        <f>IF(Table1[prior_dna_count]&gt;=1,"Has prior DNA history","No prior DNA history")</f>
        <v>No prior DNA history</v>
      </c>
      <c r="T155" t="s">
        <v>46</v>
      </c>
      <c r="U155" t="str">
        <f t="shared" si="2"/>
        <v>1</v>
      </c>
      <c r="V155" t="str">
        <f>IF(Table1[appointment_status]="Attended","1","0")</f>
        <v>0</v>
      </c>
      <c r="W155" t="str">
        <f>IF(Table1[appointment_status]="Cancelled","1","0")</f>
        <v>1</v>
      </c>
    </row>
    <row r="156" spans="1:23">
      <c r="A156" t="s">
        <v>346</v>
      </c>
      <c r="B156" t="s">
        <v>207</v>
      </c>
      <c r="C156">
        <v>31</v>
      </c>
      <c r="D156" t="str" cm="1">
        <f t="array" ref="D156">_xlfn.IFS(Table1[[#This Row],[age]]&lt;=17,"0-17",C156&lt;=29,"18-29",C156&lt;=44,"30-44",C156&lt;=59,"45-59",C156&lt;=74,"60-74",TRUE,"75+")</f>
        <v>30-44</v>
      </c>
      <c r="E156" t="s">
        <v>17</v>
      </c>
      <c r="F156">
        <v>5</v>
      </c>
      <c r="G156" t="str" cm="1">
        <f t="array" ref="G156">_xlfn.IFS(_xlfn.SINGLE(Table1[imd_decile])&lt;=3,"Most Deprived",F156&lt;=7,"Moderately Deprived",F156&lt;=10,"Least Deprived")</f>
        <v>Moderately Deprived</v>
      </c>
      <c r="H156">
        <v>7.5</v>
      </c>
      <c r="I156" t="s">
        <v>42</v>
      </c>
      <c r="J156" t="s">
        <v>19</v>
      </c>
      <c r="K156" s="1">
        <v>45668</v>
      </c>
      <c r="L156" s="1">
        <v>45708</v>
      </c>
      <c r="M156" s="1" t="str">
        <f>TEXT(Table1[[#This Row],[appointment_date]],"MM/YYYY")</f>
        <v>02/2025</v>
      </c>
      <c r="N156">
        <v>40</v>
      </c>
      <c r="O156" t="str" cm="1">
        <f t="array" ref="O156">_xlfn.IFS(Table1[[#This Row],[lead_time_days]]&lt;=7,"0-7 days",N156&lt;=14,"8-14 days",N156&lt;=30,"15-30 days",N156&lt;=60,"31-60 days",TRUE,"61+ days")</f>
        <v>31-60 days</v>
      </c>
      <c r="P156" t="s">
        <v>20</v>
      </c>
      <c r="Q156" t="s">
        <v>21</v>
      </c>
      <c r="R156">
        <v>0</v>
      </c>
      <c r="S156" t="str">
        <f>IF(Table1[prior_dna_count]&gt;=1,"Has prior DNA history","No prior DNA history")</f>
        <v>No prior DNA history</v>
      </c>
      <c r="T156" t="s">
        <v>22</v>
      </c>
      <c r="U156" t="str">
        <f t="shared" si="2"/>
        <v>0</v>
      </c>
      <c r="V156" t="str">
        <f>IF(Table1[appointment_status]="Attended","1","0")</f>
        <v>1</v>
      </c>
      <c r="W156" t="str">
        <f>IF(Table1[appointment_status]="Cancelled","1","0")</f>
        <v>0</v>
      </c>
    </row>
    <row r="157" spans="1:23">
      <c r="A157" t="s">
        <v>347</v>
      </c>
      <c r="B157" t="s">
        <v>348</v>
      </c>
      <c r="C157">
        <v>43</v>
      </c>
      <c r="D157" t="str" cm="1">
        <f t="array" ref="D157">_xlfn.IFS(Table1[[#This Row],[age]]&lt;=17,"0-17",C157&lt;=29,"18-29",C157&lt;=44,"30-44",C157&lt;=59,"45-59",C157&lt;=74,"60-74",TRUE,"75+")</f>
        <v>30-44</v>
      </c>
      <c r="E157" t="s">
        <v>29</v>
      </c>
      <c r="F157">
        <v>2</v>
      </c>
      <c r="G157" t="str" cm="1">
        <f t="array" ref="G157">_xlfn.IFS(_xlfn.SINGLE(Table1[imd_decile])&lt;=3,"Most Deprived",F157&lt;=7,"Moderately Deprived",F157&lt;=10,"Least Deprived")</f>
        <v>Most Deprived</v>
      </c>
      <c r="H157">
        <v>2.6</v>
      </c>
      <c r="I157" t="s">
        <v>45</v>
      </c>
      <c r="J157" t="s">
        <v>19</v>
      </c>
      <c r="K157" s="1">
        <v>45686</v>
      </c>
      <c r="L157" s="1">
        <v>45709</v>
      </c>
      <c r="M157" s="1" t="str">
        <f>TEXT(Table1[[#This Row],[appointment_date]],"MM/YYYY")</f>
        <v>02/2025</v>
      </c>
      <c r="N157">
        <v>23</v>
      </c>
      <c r="O157" t="str" cm="1">
        <f t="array" ref="O157">_xlfn.IFS(Table1[[#This Row],[lead_time_days]]&lt;=7,"0-7 days",N157&lt;=14,"8-14 days",N157&lt;=30,"15-30 days",N157&lt;=60,"31-60 days",TRUE,"61+ days")</f>
        <v>15-30 days</v>
      </c>
      <c r="P157" t="s">
        <v>52</v>
      </c>
      <c r="Q157" t="s">
        <v>32</v>
      </c>
      <c r="R157">
        <v>0</v>
      </c>
      <c r="S157" t="str">
        <f>IF(Table1[prior_dna_count]&gt;=1,"Has prior DNA history","No prior DNA history")</f>
        <v>No prior DNA history</v>
      </c>
      <c r="T157" t="s">
        <v>22</v>
      </c>
      <c r="U157" t="str">
        <f t="shared" si="2"/>
        <v>1</v>
      </c>
      <c r="V157" t="str">
        <f>IF(Table1[appointment_status]="Attended","1","0")</f>
        <v>1</v>
      </c>
      <c r="W157" t="str">
        <f>IF(Table1[appointment_status]="Cancelled","1","0")</f>
        <v>0</v>
      </c>
    </row>
    <row r="158" spans="1:23">
      <c r="A158" t="s">
        <v>349</v>
      </c>
      <c r="B158" t="s">
        <v>350</v>
      </c>
      <c r="C158">
        <v>59</v>
      </c>
      <c r="D158" t="str" cm="1">
        <f t="array" ref="D158">_xlfn.IFS(Table1[[#This Row],[age]]&lt;=17,"0-17",C158&lt;=29,"18-29",C158&lt;=44,"30-44",C158&lt;=59,"45-59",C158&lt;=74,"60-74",TRUE,"75+")</f>
        <v>45-59</v>
      </c>
      <c r="E158" t="s">
        <v>29</v>
      </c>
      <c r="F158">
        <v>9</v>
      </c>
      <c r="G158" t="str" cm="1">
        <f t="array" ref="G158">_xlfn.IFS(_xlfn.SINGLE(Table1[imd_decile])&lt;=3,"Most Deprived",F158&lt;=7,"Moderately Deprived",F158&lt;=10,"Least Deprived")</f>
        <v>Least Deprived</v>
      </c>
      <c r="H158">
        <v>8.9</v>
      </c>
      <c r="I158" t="s">
        <v>91</v>
      </c>
      <c r="J158" t="s">
        <v>26</v>
      </c>
      <c r="K158" s="1">
        <v>45676</v>
      </c>
      <c r="L158" s="1">
        <v>45709</v>
      </c>
      <c r="M158" s="1" t="str">
        <f>TEXT(Table1[[#This Row],[appointment_date]],"MM/YYYY")</f>
        <v>02/2025</v>
      </c>
      <c r="N158">
        <v>33</v>
      </c>
      <c r="O158" t="str" cm="1">
        <f t="array" ref="O158">_xlfn.IFS(Table1[[#This Row],[lead_time_days]]&lt;=7,"0-7 days",N158&lt;=14,"8-14 days",N158&lt;=30,"15-30 days",N158&lt;=60,"31-60 days",TRUE,"61+ days")</f>
        <v>31-60 days</v>
      </c>
      <c r="P158" t="s">
        <v>52</v>
      </c>
      <c r="Q158" t="s">
        <v>21</v>
      </c>
      <c r="R158">
        <v>0</v>
      </c>
      <c r="S158" t="str">
        <f>IF(Table1[prior_dna_count]&gt;=1,"Has prior DNA history","No prior DNA history")</f>
        <v>No prior DNA history</v>
      </c>
      <c r="T158" t="s">
        <v>22</v>
      </c>
      <c r="U158" t="str">
        <f t="shared" si="2"/>
        <v>1</v>
      </c>
      <c r="V158" t="str">
        <f>IF(Table1[appointment_status]="Attended","1","0")</f>
        <v>1</v>
      </c>
      <c r="W158" t="str">
        <f>IF(Table1[appointment_status]="Cancelled","1","0")</f>
        <v>0</v>
      </c>
    </row>
    <row r="159" spans="1:23">
      <c r="A159" t="s">
        <v>351</v>
      </c>
      <c r="B159" t="s">
        <v>352</v>
      </c>
      <c r="C159">
        <v>56</v>
      </c>
      <c r="D159" t="str" cm="1">
        <f t="array" ref="D159">_xlfn.IFS(Table1[[#This Row],[age]]&lt;=17,"0-17",C159&lt;=29,"18-29",C159&lt;=44,"30-44",C159&lt;=59,"45-59",C159&lt;=74,"60-74",TRUE,"75+")</f>
        <v>45-59</v>
      </c>
      <c r="E159" t="s">
        <v>29</v>
      </c>
      <c r="F159">
        <v>3</v>
      </c>
      <c r="G159" t="str" cm="1">
        <f t="array" ref="G159">_xlfn.IFS(_xlfn.SINGLE(Table1[imd_decile])&lt;=3,"Most Deprived",F159&lt;=7,"Moderately Deprived",F159&lt;=10,"Least Deprived")</f>
        <v>Most Deprived</v>
      </c>
      <c r="H159">
        <v>6.7</v>
      </c>
      <c r="I159" t="s">
        <v>42</v>
      </c>
      <c r="J159" t="s">
        <v>26</v>
      </c>
      <c r="K159" s="1">
        <v>45697</v>
      </c>
      <c r="L159" s="1">
        <v>45709</v>
      </c>
      <c r="M159" s="1" t="str">
        <f>TEXT(Table1[[#This Row],[appointment_date]],"MM/YYYY")</f>
        <v>02/2025</v>
      </c>
      <c r="N159">
        <v>12</v>
      </c>
      <c r="O159" t="str" cm="1">
        <f t="array" ref="O159">_xlfn.IFS(Table1[[#This Row],[lead_time_days]]&lt;=7,"0-7 days",N159&lt;=14,"8-14 days",N159&lt;=30,"15-30 days",N159&lt;=60,"31-60 days",TRUE,"61+ days")</f>
        <v>8-14 days</v>
      </c>
      <c r="P159" t="s">
        <v>52</v>
      </c>
      <c r="Q159" t="s">
        <v>21</v>
      </c>
      <c r="R159">
        <v>1</v>
      </c>
      <c r="S159" t="str">
        <f>IF(Table1[prior_dna_count]&gt;=1,"Has prior DNA history","No prior DNA history")</f>
        <v>Has prior DNA history</v>
      </c>
      <c r="T159" t="s">
        <v>22</v>
      </c>
      <c r="U159" t="str">
        <f t="shared" si="2"/>
        <v>1</v>
      </c>
      <c r="V159" t="str">
        <f>IF(Table1[appointment_status]="Attended","1","0")</f>
        <v>1</v>
      </c>
      <c r="W159" t="str">
        <f>IF(Table1[appointment_status]="Cancelled","1","0")</f>
        <v>0</v>
      </c>
    </row>
    <row r="160" spans="1:23">
      <c r="A160" t="s">
        <v>353</v>
      </c>
      <c r="B160" t="s">
        <v>354</v>
      </c>
      <c r="C160">
        <v>28</v>
      </c>
      <c r="D160" t="str" cm="1">
        <f t="array" ref="D160">_xlfn.IFS(Table1[[#This Row],[age]]&lt;=17,"0-17",C160&lt;=29,"18-29",C160&lt;=44,"30-44",C160&lt;=59,"45-59",C160&lt;=74,"60-74",TRUE,"75+")</f>
        <v>18-29</v>
      </c>
      <c r="E160" t="s">
        <v>17</v>
      </c>
      <c r="F160">
        <v>4</v>
      </c>
      <c r="G160" t="str" cm="1">
        <f t="array" ref="G160">_xlfn.IFS(_xlfn.SINGLE(Table1[imd_decile])&lt;=3,"Most Deprived",F160&lt;=7,"Moderately Deprived",F160&lt;=10,"Least Deprived")</f>
        <v>Moderately Deprived</v>
      </c>
      <c r="H160">
        <v>16.5</v>
      </c>
      <c r="I160" t="s">
        <v>91</v>
      </c>
      <c r="J160" t="s">
        <v>19</v>
      </c>
      <c r="K160" s="1">
        <v>45696</v>
      </c>
      <c r="L160" s="1">
        <v>45709</v>
      </c>
      <c r="M160" s="1" t="str">
        <f>TEXT(Table1[[#This Row],[appointment_date]],"MM/YYYY")</f>
        <v>02/2025</v>
      </c>
      <c r="N160">
        <v>13</v>
      </c>
      <c r="O160" t="str" cm="1">
        <f t="array" ref="O160">_xlfn.IFS(Table1[[#This Row],[lead_time_days]]&lt;=7,"0-7 days",N160&lt;=14,"8-14 days",N160&lt;=30,"15-30 days",N160&lt;=60,"31-60 days",TRUE,"61+ days")</f>
        <v>8-14 days</v>
      </c>
      <c r="P160" t="s">
        <v>52</v>
      </c>
      <c r="Q160" t="s">
        <v>21</v>
      </c>
      <c r="R160">
        <v>0</v>
      </c>
      <c r="S160" t="str">
        <f>IF(Table1[prior_dna_count]&gt;=1,"Has prior DNA history","No prior DNA history")</f>
        <v>No prior DNA history</v>
      </c>
      <c r="T160" t="s">
        <v>22</v>
      </c>
      <c r="U160" t="str">
        <f t="shared" si="2"/>
        <v>1</v>
      </c>
      <c r="V160" t="str">
        <f>IF(Table1[appointment_status]="Attended","1","0")</f>
        <v>1</v>
      </c>
      <c r="W160" t="str">
        <f>IF(Table1[appointment_status]="Cancelled","1","0")</f>
        <v>0</v>
      </c>
    </row>
    <row r="161" spans="1:23">
      <c r="A161" t="s">
        <v>355</v>
      </c>
      <c r="B161" t="s">
        <v>137</v>
      </c>
      <c r="C161">
        <v>52</v>
      </c>
      <c r="D161" t="str" cm="1">
        <f t="array" ref="D161">_xlfn.IFS(Table1[[#This Row],[age]]&lt;=17,"0-17",C161&lt;=29,"18-29",C161&lt;=44,"30-44",C161&lt;=59,"45-59",C161&lt;=74,"60-74",TRUE,"75+")</f>
        <v>45-59</v>
      </c>
      <c r="E161" t="s">
        <v>29</v>
      </c>
      <c r="F161">
        <v>7</v>
      </c>
      <c r="G161" t="str" cm="1">
        <f t="array" ref="G161">_xlfn.IFS(_xlfn.SINGLE(Table1[imd_decile])&lt;=3,"Most Deprived",F161&lt;=7,"Moderately Deprived",F161&lt;=10,"Least Deprived")</f>
        <v>Moderately Deprived</v>
      </c>
      <c r="H161">
        <v>9.4</v>
      </c>
      <c r="I161" t="s">
        <v>45</v>
      </c>
      <c r="J161" t="s">
        <v>19</v>
      </c>
      <c r="K161" s="1">
        <v>45698</v>
      </c>
      <c r="L161" s="1">
        <v>45710</v>
      </c>
      <c r="M161" s="1" t="str">
        <f>TEXT(Table1[[#This Row],[appointment_date]],"MM/YYYY")</f>
        <v>02/2025</v>
      </c>
      <c r="N161">
        <v>12</v>
      </c>
      <c r="O161" t="str" cm="1">
        <f t="array" ref="O161">_xlfn.IFS(Table1[[#This Row],[lead_time_days]]&lt;=7,"0-7 days",N161&lt;=14,"8-14 days",N161&lt;=30,"15-30 days",N161&lt;=60,"31-60 days",TRUE,"61+ days")</f>
        <v>8-14 days</v>
      </c>
      <c r="P161" t="s">
        <v>55</v>
      </c>
      <c r="Q161" t="s">
        <v>21</v>
      </c>
      <c r="R161">
        <v>0</v>
      </c>
      <c r="S161" t="str">
        <f>IF(Table1[prior_dna_count]&gt;=1,"Has prior DNA history","No prior DNA history")</f>
        <v>No prior DNA history</v>
      </c>
      <c r="T161" t="s">
        <v>22</v>
      </c>
      <c r="U161" t="str">
        <f t="shared" si="2"/>
        <v>1</v>
      </c>
      <c r="V161" t="str">
        <f>IF(Table1[appointment_status]="Attended","1","0")</f>
        <v>1</v>
      </c>
      <c r="W161" t="str">
        <f>IF(Table1[appointment_status]="Cancelled","1","0")</f>
        <v>0</v>
      </c>
    </row>
    <row r="162" spans="1:23">
      <c r="A162" t="s">
        <v>356</v>
      </c>
      <c r="B162" t="s">
        <v>357</v>
      </c>
      <c r="C162">
        <v>62</v>
      </c>
      <c r="D162" t="str" cm="1">
        <f t="array" ref="D162">_xlfn.IFS(Table1[[#This Row],[age]]&lt;=17,"0-17",C162&lt;=29,"18-29",C162&lt;=44,"30-44",C162&lt;=59,"45-59",C162&lt;=74,"60-74",TRUE,"75+")</f>
        <v>60-74</v>
      </c>
      <c r="E162" t="s">
        <v>29</v>
      </c>
      <c r="F162">
        <v>2</v>
      </c>
      <c r="G162" t="str" cm="1">
        <f t="array" ref="G162">_xlfn.IFS(_xlfn.SINGLE(Table1[imd_decile])&lt;=3,"Most Deprived",F162&lt;=7,"Moderately Deprived",F162&lt;=10,"Least Deprived")</f>
        <v>Most Deprived</v>
      </c>
      <c r="H162">
        <v>11.7</v>
      </c>
      <c r="I162" t="s">
        <v>58</v>
      </c>
      <c r="J162" t="s">
        <v>19</v>
      </c>
      <c r="K162" s="1">
        <v>45672</v>
      </c>
      <c r="L162" s="1">
        <v>45710</v>
      </c>
      <c r="M162" s="1" t="str">
        <f>TEXT(Table1[[#This Row],[appointment_date]],"MM/YYYY")</f>
        <v>02/2025</v>
      </c>
      <c r="N162">
        <v>38</v>
      </c>
      <c r="O162" t="str" cm="1">
        <f t="array" ref="O162">_xlfn.IFS(Table1[[#This Row],[lead_time_days]]&lt;=7,"0-7 days",N162&lt;=14,"8-14 days",N162&lt;=30,"15-30 days",N162&lt;=60,"31-60 days",TRUE,"61+ days")</f>
        <v>31-60 days</v>
      </c>
      <c r="P162" t="s">
        <v>55</v>
      </c>
      <c r="Q162" t="s">
        <v>32</v>
      </c>
      <c r="R162">
        <v>0</v>
      </c>
      <c r="S162" t="str">
        <f>IF(Table1[prior_dna_count]&gt;=1,"Has prior DNA history","No prior DNA history")</f>
        <v>No prior DNA history</v>
      </c>
      <c r="T162" t="s">
        <v>22</v>
      </c>
      <c r="U162" t="str">
        <f t="shared" si="2"/>
        <v>1</v>
      </c>
      <c r="V162" t="str">
        <f>IF(Table1[appointment_status]="Attended","1","0")</f>
        <v>1</v>
      </c>
      <c r="W162" t="str">
        <f>IF(Table1[appointment_status]="Cancelled","1","0")</f>
        <v>0</v>
      </c>
    </row>
    <row r="163" spans="1:23">
      <c r="A163" t="s">
        <v>358</v>
      </c>
      <c r="B163" t="s">
        <v>359</v>
      </c>
      <c r="C163">
        <v>45</v>
      </c>
      <c r="D163" t="str" cm="1">
        <f t="array" ref="D163">_xlfn.IFS(Table1[[#This Row],[age]]&lt;=17,"0-17",C163&lt;=29,"18-29",C163&lt;=44,"30-44",C163&lt;=59,"45-59",C163&lt;=74,"60-74",TRUE,"75+")</f>
        <v>45-59</v>
      </c>
      <c r="E163" t="s">
        <v>17</v>
      </c>
      <c r="F163">
        <v>3</v>
      </c>
      <c r="G163" t="str" cm="1">
        <f t="array" ref="G163">_xlfn.IFS(_xlfn.SINGLE(Table1[imd_decile])&lt;=3,"Most Deprived",F163&lt;=7,"Moderately Deprived",F163&lt;=10,"Least Deprived")</f>
        <v>Most Deprived</v>
      </c>
      <c r="H163">
        <v>5</v>
      </c>
      <c r="I163" t="s">
        <v>42</v>
      </c>
      <c r="J163" t="s">
        <v>26</v>
      </c>
      <c r="K163" s="1">
        <v>45701</v>
      </c>
      <c r="L163" s="1">
        <v>45710</v>
      </c>
      <c r="M163" s="1" t="str">
        <f>TEXT(Table1[[#This Row],[appointment_date]],"MM/YYYY")</f>
        <v>02/2025</v>
      </c>
      <c r="N163">
        <v>9</v>
      </c>
      <c r="O163" t="str" cm="1">
        <f t="array" ref="O163">_xlfn.IFS(Table1[[#This Row],[lead_time_days]]&lt;=7,"0-7 days",N163&lt;=14,"8-14 days",N163&lt;=30,"15-30 days",N163&lt;=60,"31-60 days",TRUE,"61+ days")</f>
        <v>8-14 days</v>
      </c>
      <c r="P163" t="s">
        <v>55</v>
      </c>
      <c r="Q163" t="s">
        <v>21</v>
      </c>
      <c r="R163">
        <v>0</v>
      </c>
      <c r="S163" t="str">
        <f>IF(Table1[prior_dna_count]&gt;=1,"Has prior DNA history","No prior DNA history")</f>
        <v>No prior DNA history</v>
      </c>
      <c r="T163" t="s">
        <v>22</v>
      </c>
      <c r="U163" t="str">
        <f t="shared" si="2"/>
        <v>1</v>
      </c>
      <c r="V163" t="str">
        <f>IF(Table1[appointment_status]="Attended","1","0")</f>
        <v>1</v>
      </c>
      <c r="W163" t="str">
        <f>IF(Table1[appointment_status]="Cancelled","1","0")</f>
        <v>0</v>
      </c>
    </row>
    <row r="164" spans="1:23">
      <c r="A164" t="s">
        <v>360</v>
      </c>
      <c r="B164" t="s">
        <v>361</v>
      </c>
      <c r="C164">
        <v>69</v>
      </c>
      <c r="D164" t="str" cm="1">
        <f t="array" ref="D164">_xlfn.IFS(Table1[[#This Row],[age]]&lt;=17,"0-17",C164&lt;=29,"18-29",C164&lt;=44,"30-44",C164&lt;=59,"45-59",C164&lt;=74,"60-74",TRUE,"75+")</f>
        <v>60-74</v>
      </c>
      <c r="E164" t="s">
        <v>17</v>
      </c>
      <c r="F164">
        <v>4</v>
      </c>
      <c r="G164" t="str" cm="1">
        <f t="array" ref="G164">_xlfn.IFS(_xlfn.SINGLE(Table1[imd_decile])&lt;=3,"Most Deprived",F164&lt;=7,"Moderately Deprived",F164&lt;=10,"Least Deprived")</f>
        <v>Moderately Deprived</v>
      </c>
      <c r="H164">
        <v>25.1</v>
      </c>
      <c r="I164" t="s">
        <v>30</v>
      </c>
      <c r="J164" t="s">
        <v>26</v>
      </c>
      <c r="K164" s="1">
        <v>45700</v>
      </c>
      <c r="L164" s="1">
        <v>45710</v>
      </c>
      <c r="M164" s="1" t="str">
        <f>TEXT(Table1[[#This Row],[appointment_date]],"MM/YYYY")</f>
        <v>02/2025</v>
      </c>
      <c r="N164">
        <v>10</v>
      </c>
      <c r="O164" t="str" cm="1">
        <f t="array" ref="O164">_xlfn.IFS(Table1[[#This Row],[lead_time_days]]&lt;=7,"0-7 days",N164&lt;=14,"8-14 days",N164&lt;=30,"15-30 days",N164&lt;=60,"31-60 days",TRUE,"61+ days")</f>
        <v>8-14 days</v>
      </c>
      <c r="P164" t="s">
        <v>55</v>
      </c>
      <c r="Q164" t="s">
        <v>21</v>
      </c>
      <c r="R164">
        <v>0</v>
      </c>
      <c r="S164" t="str">
        <f>IF(Table1[prior_dna_count]&gt;=1,"Has prior DNA history","No prior DNA history")</f>
        <v>No prior DNA history</v>
      </c>
      <c r="T164" t="s">
        <v>22</v>
      </c>
      <c r="U164" t="str">
        <f t="shared" si="2"/>
        <v>1</v>
      </c>
      <c r="V164" t="str">
        <f>IF(Table1[appointment_status]="Attended","1","0")</f>
        <v>1</v>
      </c>
      <c r="W164" t="str">
        <f>IF(Table1[appointment_status]="Cancelled","1","0")</f>
        <v>0</v>
      </c>
    </row>
    <row r="165" spans="1:23">
      <c r="A165" t="s">
        <v>362</v>
      </c>
      <c r="B165" t="s">
        <v>363</v>
      </c>
      <c r="C165">
        <v>54</v>
      </c>
      <c r="D165" t="str" cm="1">
        <f t="array" ref="D165">_xlfn.IFS(Table1[[#This Row],[age]]&lt;=17,"0-17",C165&lt;=29,"18-29",C165&lt;=44,"30-44",C165&lt;=59,"45-59",C165&lt;=74,"60-74",TRUE,"75+")</f>
        <v>45-59</v>
      </c>
      <c r="E165" t="s">
        <v>29</v>
      </c>
      <c r="F165">
        <v>8</v>
      </c>
      <c r="G165" t="str" cm="1">
        <f t="array" ref="G165">_xlfn.IFS(_xlfn.SINGLE(Table1[imd_decile])&lt;=3,"Most Deprived",F165&lt;=7,"Moderately Deprived",F165&lt;=10,"Least Deprived")</f>
        <v>Least Deprived</v>
      </c>
      <c r="H165">
        <v>1.1000000000000001</v>
      </c>
      <c r="I165" t="s">
        <v>42</v>
      </c>
      <c r="J165" t="s">
        <v>19</v>
      </c>
      <c r="K165" s="1">
        <v>45687</v>
      </c>
      <c r="L165" s="1">
        <v>45710</v>
      </c>
      <c r="M165" s="1" t="str">
        <f>TEXT(Table1[[#This Row],[appointment_date]],"MM/YYYY")</f>
        <v>02/2025</v>
      </c>
      <c r="N165">
        <v>23</v>
      </c>
      <c r="O165" t="str" cm="1">
        <f t="array" ref="O165">_xlfn.IFS(Table1[[#This Row],[lead_time_days]]&lt;=7,"0-7 days",N165&lt;=14,"8-14 days",N165&lt;=30,"15-30 days",N165&lt;=60,"31-60 days",TRUE,"61+ days")</f>
        <v>15-30 days</v>
      </c>
      <c r="P165" t="s">
        <v>55</v>
      </c>
      <c r="Q165" t="s">
        <v>21</v>
      </c>
      <c r="R165">
        <v>0</v>
      </c>
      <c r="S165" t="str">
        <f>IF(Table1[prior_dna_count]&gt;=1,"Has prior DNA history","No prior DNA history")</f>
        <v>No prior DNA history</v>
      </c>
      <c r="T165" t="s">
        <v>22</v>
      </c>
      <c r="U165" t="str">
        <f t="shared" si="2"/>
        <v>1</v>
      </c>
      <c r="V165" t="str">
        <f>IF(Table1[appointment_status]="Attended","1","0")</f>
        <v>1</v>
      </c>
      <c r="W165" t="str">
        <f>IF(Table1[appointment_status]="Cancelled","1","0")</f>
        <v>0</v>
      </c>
    </row>
    <row r="166" spans="1:23">
      <c r="A166" t="s">
        <v>364</v>
      </c>
      <c r="B166" t="s">
        <v>365</v>
      </c>
      <c r="C166">
        <v>42</v>
      </c>
      <c r="D166" t="str" cm="1">
        <f t="array" ref="D166">_xlfn.IFS(Table1[[#This Row],[age]]&lt;=17,"0-17",C166&lt;=29,"18-29",C166&lt;=44,"30-44",C166&lt;=59,"45-59",C166&lt;=74,"60-74",TRUE,"75+")</f>
        <v>30-44</v>
      </c>
      <c r="E166" t="s">
        <v>29</v>
      </c>
      <c r="F166">
        <v>2</v>
      </c>
      <c r="G166" t="str" cm="1">
        <f t="array" ref="G166">_xlfn.IFS(_xlfn.SINGLE(Table1[imd_decile])&lt;=3,"Most Deprived",F166&lt;=7,"Moderately Deprived",F166&lt;=10,"Least Deprived")</f>
        <v>Most Deprived</v>
      </c>
      <c r="H166">
        <v>16.600000000000001</v>
      </c>
      <c r="I166" t="s">
        <v>18</v>
      </c>
      <c r="J166" t="s">
        <v>26</v>
      </c>
      <c r="K166" s="1">
        <v>45664</v>
      </c>
      <c r="L166" s="1">
        <v>45711</v>
      </c>
      <c r="M166" s="1" t="str">
        <f>TEXT(Table1[[#This Row],[appointment_date]],"MM/YYYY")</f>
        <v>02/2025</v>
      </c>
      <c r="N166">
        <v>47</v>
      </c>
      <c r="O166" t="str" cm="1">
        <f t="array" ref="O166">_xlfn.IFS(Table1[[#This Row],[lead_time_days]]&lt;=7,"0-7 days",N166&lt;=14,"8-14 days",N166&lt;=30,"15-30 days",N166&lt;=60,"31-60 days",TRUE,"61+ days")</f>
        <v>31-60 days</v>
      </c>
      <c r="P166" t="s">
        <v>31</v>
      </c>
      <c r="Q166" t="s">
        <v>32</v>
      </c>
      <c r="R166">
        <v>0</v>
      </c>
      <c r="S166" t="str">
        <f>IF(Table1[prior_dna_count]&gt;=1,"Has prior DNA history","No prior DNA history")</f>
        <v>No prior DNA history</v>
      </c>
      <c r="T166" t="s">
        <v>39</v>
      </c>
      <c r="U166" t="str">
        <f t="shared" si="2"/>
        <v>1</v>
      </c>
      <c r="V166" t="str">
        <f>IF(Table1[appointment_status]="Attended","1","0")</f>
        <v>0</v>
      </c>
      <c r="W166" t="str">
        <f>IF(Table1[appointment_status]="Cancelled","1","0")</f>
        <v>0</v>
      </c>
    </row>
    <row r="167" spans="1:23">
      <c r="A167" t="s">
        <v>366</v>
      </c>
      <c r="B167" t="s">
        <v>367</v>
      </c>
      <c r="C167">
        <v>4</v>
      </c>
      <c r="D167" t="str" cm="1">
        <f t="array" ref="D167">_xlfn.IFS(Table1[[#This Row],[age]]&lt;=17,"0-17",C167&lt;=29,"18-29",C167&lt;=44,"30-44",C167&lt;=59,"45-59",C167&lt;=74,"60-74",TRUE,"75+")</f>
        <v>0-17</v>
      </c>
      <c r="E167" t="s">
        <v>29</v>
      </c>
      <c r="F167">
        <v>3</v>
      </c>
      <c r="G167" t="str" cm="1">
        <f t="array" ref="G167">_xlfn.IFS(_xlfn.SINGLE(Table1[imd_decile])&lt;=3,"Most Deprived",F167&lt;=7,"Moderately Deprived",F167&lt;=10,"Least Deprived")</f>
        <v>Most Deprived</v>
      </c>
      <c r="H167">
        <v>5.2</v>
      </c>
      <c r="I167" t="s">
        <v>155</v>
      </c>
      <c r="J167" t="s">
        <v>26</v>
      </c>
      <c r="K167" s="1">
        <v>45682</v>
      </c>
      <c r="L167" s="1">
        <v>45711</v>
      </c>
      <c r="M167" s="1" t="str">
        <f>TEXT(Table1[[#This Row],[appointment_date]],"MM/YYYY")</f>
        <v>02/2025</v>
      </c>
      <c r="N167">
        <v>29</v>
      </c>
      <c r="O167" t="str" cm="1">
        <f t="array" ref="O167">_xlfn.IFS(Table1[[#This Row],[lead_time_days]]&lt;=7,"0-7 days",N167&lt;=14,"8-14 days",N167&lt;=30,"15-30 days",N167&lt;=60,"31-60 days",TRUE,"61+ days")</f>
        <v>15-30 days</v>
      </c>
      <c r="P167" t="s">
        <v>31</v>
      </c>
      <c r="Q167" t="s">
        <v>21</v>
      </c>
      <c r="R167">
        <v>0</v>
      </c>
      <c r="S167" t="str">
        <f>IF(Table1[prior_dna_count]&gt;=1,"Has prior DNA history","No prior DNA history")</f>
        <v>No prior DNA history</v>
      </c>
      <c r="T167" t="s">
        <v>39</v>
      </c>
      <c r="U167" t="str">
        <f t="shared" si="2"/>
        <v>0</v>
      </c>
      <c r="V167" t="str">
        <f>IF(Table1[appointment_status]="Attended","1","0")</f>
        <v>0</v>
      </c>
      <c r="W167" t="str">
        <f>IF(Table1[appointment_status]="Cancelled","1","0")</f>
        <v>0</v>
      </c>
    </row>
    <row r="168" spans="1:23">
      <c r="A168" t="s">
        <v>368</v>
      </c>
      <c r="B168" t="s">
        <v>369</v>
      </c>
      <c r="C168">
        <v>16</v>
      </c>
      <c r="D168" t="str" cm="1">
        <f t="array" ref="D168">_xlfn.IFS(Table1[[#This Row],[age]]&lt;=17,"0-17",C168&lt;=29,"18-29",C168&lt;=44,"30-44",C168&lt;=59,"45-59",C168&lt;=74,"60-74",TRUE,"75+")</f>
        <v>0-17</v>
      </c>
      <c r="E168" t="s">
        <v>29</v>
      </c>
      <c r="F168">
        <v>3</v>
      </c>
      <c r="G168" t="str" cm="1">
        <f t="array" ref="G168">_xlfn.IFS(_xlfn.SINGLE(Table1[imd_decile])&lt;=3,"Most Deprived",F168&lt;=7,"Moderately Deprived",F168&lt;=10,"Least Deprived")</f>
        <v>Most Deprived</v>
      </c>
      <c r="H168">
        <v>1.6</v>
      </c>
      <c r="I168" t="s">
        <v>25</v>
      </c>
      <c r="J168" t="s">
        <v>26</v>
      </c>
      <c r="K168" s="1">
        <v>45696</v>
      </c>
      <c r="L168" s="1">
        <v>45711</v>
      </c>
      <c r="M168" s="1" t="str">
        <f>TEXT(Table1[[#This Row],[appointment_date]],"MM/YYYY")</f>
        <v>02/2025</v>
      </c>
      <c r="N168">
        <v>15</v>
      </c>
      <c r="O168" t="str" cm="1">
        <f t="array" ref="O168">_xlfn.IFS(Table1[[#This Row],[lead_time_days]]&lt;=7,"0-7 days",N168&lt;=14,"8-14 days",N168&lt;=30,"15-30 days",N168&lt;=60,"31-60 days",TRUE,"61+ days")</f>
        <v>15-30 days</v>
      </c>
      <c r="P168" t="s">
        <v>31</v>
      </c>
      <c r="Q168" t="s">
        <v>21</v>
      </c>
      <c r="R168">
        <v>0</v>
      </c>
      <c r="S168" t="str">
        <f>IF(Table1[prior_dna_count]&gt;=1,"Has prior DNA history","No prior DNA history")</f>
        <v>No prior DNA history</v>
      </c>
      <c r="T168" t="s">
        <v>22</v>
      </c>
      <c r="U168" t="str">
        <f t="shared" si="2"/>
        <v>0</v>
      </c>
      <c r="V168" t="str">
        <f>IF(Table1[appointment_status]="Attended","1","0")</f>
        <v>1</v>
      </c>
      <c r="W168" t="str">
        <f>IF(Table1[appointment_status]="Cancelled","1","0")</f>
        <v>0</v>
      </c>
    </row>
    <row r="169" spans="1:23">
      <c r="A169" t="s">
        <v>370</v>
      </c>
      <c r="B169" t="s">
        <v>371</v>
      </c>
      <c r="C169">
        <v>51</v>
      </c>
      <c r="D169" t="str" cm="1">
        <f t="array" ref="D169">_xlfn.IFS(Table1[[#This Row],[age]]&lt;=17,"0-17",C169&lt;=29,"18-29",C169&lt;=44,"30-44",C169&lt;=59,"45-59",C169&lt;=74,"60-74",TRUE,"75+")</f>
        <v>45-59</v>
      </c>
      <c r="E169" t="s">
        <v>29</v>
      </c>
      <c r="F169">
        <v>9</v>
      </c>
      <c r="G169" t="str" cm="1">
        <f t="array" ref="G169">_xlfn.IFS(_xlfn.SINGLE(Table1[imd_decile])&lt;=3,"Most Deprived",F169&lt;=7,"Moderately Deprived",F169&lt;=10,"Least Deprived")</f>
        <v>Least Deprived</v>
      </c>
      <c r="H169">
        <v>9.6999999999999993</v>
      </c>
      <c r="I169" t="s">
        <v>42</v>
      </c>
      <c r="J169" t="s">
        <v>26</v>
      </c>
      <c r="K169" s="1">
        <v>45693</v>
      </c>
      <c r="L169" s="1">
        <v>45711</v>
      </c>
      <c r="M169" s="1" t="str">
        <f>TEXT(Table1[[#This Row],[appointment_date]],"MM/YYYY")</f>
        <v>02/2025</v>
      </c>
      <c r="N169">
        <v>18</v>
      </c>
      <c r="O169" t="str" cm="1">
        <f t="array" ref="O169">_xlfn.IFS(Table1[[#This Row],[lead_time_days]]&lt;=7,"0-7 days",N169&lt;=14,"8-14 days",N169&lt;=30,"15-30 days",N169&lt;=60,"31-60 days",TRUE,"61+ days")</f>
        <v>15-30 days</v>
      </c>
      <c r="P169" t="s">
        <v>31</v>
      </c>
      <c r="Q169" t="s">
        <v>32</v>
      </c>
      <c r="R169">
        <v>0</v>
      </c>
      <c r="S169" t="str">
        <f>IF(Table1[prior_dna_count]&gt;=1,"Has prior DNA history","No prior DNA history")</f>
        <v>No prior DNA history</v>
      </c>
      <c r="T169" t="s">
        <v>22</v>
      </c>
      <c r="U169" t="str">
        <f t="shared" si="2"/>
        <v>1</v>
      </c>
      <c r="V169" t="str">
        <f>IF(Table1[appointment_status]="Attended","1","0")</f>
        <v>1</v>
      </c>
      <c r="W169" t="str">
        <f>IF(Table1[appointment_status]="Cancelled","1","0")</f>
        <v>0</v>
      </c>
    </row>
    <row r="170" spans="1:23">
      <c r="A170" t="s">
        <v>372</v>
      </c>
      <c r="B170" t="s">
        <v>373</v>
      </c>
      <c r="C170">
        <v>15</v>
      </c>
      <c r="D170" t="str" cm="1">
        <f t="array" ref="D170">_xlfn.IFS(Table1[[#This Row],[age]]&lt;=17,"0-17",C170&lt;=29,"18-29",C170&lt;=44,"30-44",C170&lt;=59,"45-59",C170&lt;=74,"60-74",TRUE,"75+")</f>
        <v>0-17</v>
      </c>
      <c r="E170" t="s">
        <v>29</v>
      </c>
      <c r="F170">
        <v>9</v>
      </c>
      <c r="G170" t="str" cm="1">
        <f t="array" ref="G170">_xlfn.IFS(_xlfn.SINGLE(Table1[imd_decile])&lt;=3,"Most Deprived",F170&lt;=7,"Moderately Deprived",F170&lt;=10,"Least Deprived")</f>
        <v>Least Deprived</v>
      </c>
      <c r="H170">
        <v>2.4</v>
      </c>
      <c r="I170" t="s">
        <v>18</v>
      </c>
      <c r="J170" t="s">
        <v>26</v>
      </c>
      <c r="K170" s="1">
        <v>45699</v>
      </c>
      <c r="L170" s="1">
        <v>45711</v>
      </c>
      <c r="M170" s="1" t="str">
        <f>TEXT(Table1[[#This Row],[appointment_date]],"MM/YYYY")</f>
        <v>02/2025</v>
      </c>
      <c r="N170">
        <v>12</v>
      </c>
      <c r="O170" t="str" cm="1">
        <f t="array" ref="O170">_xlfn.IFS(Table1[[#This Row],[lead_time_days]]&lt;=7,"0-7 days",N170&lt;=14,"8-14 days",N170&lt;=30,"15-30 days",N170&lt;=60,"31-60 days",TRUE,"61+ days")</f>
        <v>8-14 days</v>
      </c>
      <c r="P170" t="s">
        <v>31</v>
      </c>
      <c r="Q170" t="s">
        <v>21</v>
      </c>
      <c r="R170">
        <v>0</v>
      </c>
      <c r="S170" t="str">
        <f>IF(Table1[prior_dna_count]&gt;=1,"Has prior DNA history","No prior DNA history")</f>
        <v>No prior DNA history</v>
      </c>
      <c r="T170" t="s">
        <v>22</v>
      </c>
      <c r="U170" t="str">
        <f t="shared" si="2"/>
        <v>1</v>
      </c>
      <c r="V170" t="str">
        <f>IF(Table1[appointment_status]="Attended","1","0")</f>
        <v>1</v>
      </c>
      <c r="W170" t="str">
        <f>IF(Table1[appointment_status]="Cancelled","1","0")</f>
        <v>0</v>
      </c>
    </row>
    <row r="171" spans="1:23">
      <c r="A171" t="s">
        <v>374</v>
      </c>
      <c r="B171" t="s">
        <v>375</v>
      </c>
      <c r="C171">
        <v>30</v>
      </c>
      <c r="D171" t="str" cm="1">
        <f t="array" ref="D171">_xlfn.IFS(Table1[[#This Row],[age]]&lt;=17,"0-17",C171&lt;=29,"18-29",C171&lt;=44,"30-44",C171&lt;=59,"45-59",C171&lt;=74,"60-74",TRUE,"75+")</f>
        <v>30-44</v>
      </c>
      <c r="E171" t="s">
        <v>29</v>
      </c>
      <c r="F171">
        <v>8</v>
      </c>
      <c r="G171" t="str" cm="1">
        <f t="array" ref="G171">_xlfn.IFS(_xlfn.SINGLE(Table1[imd_decile])&lt;=3,"Most Deprived",F171&lt;=7,"Moderately Deprived",F171&lt;=10,"Least Deprived")</f>
        <v>Least Deprived</v>
      </c>
      <c r="H171">
        <v>3.2</v>
      </c>
      <c r="I171" t="s">
        <v>49</v>
      </c>
      <c r="J171" t="s">
        <v>26</v>
      </c>
      <c r="K171" s="1">
        <v>45699</v>
      </c>
      <c r="L171" s="1">
        <v>45711</v>
      </c>
      <c r="M171" s="1" t="str">
        <f>TEXT(Table1[[#This Row],[appointment_date]],"MM/YYYY")</f>
        <v>02/2025</v>
      </c>
      <c r="N171">
        <v>12</v>
      </c>
      <c r="O171" t="str" cm="1">
        <f t="array" ref="O171">_xlfn.IFS(Table1[[#This Row],[lead_time_days]]&lt;=7,"0-7 days",N171&lt;=14,"8-14 days",N171&lt;=30,"15-30 days",N171&lt;=60,"31-60 days",TRUE,"61+ days")</f>
        <v>8-14 days</v>
      </c>
      <c r="P171" t="s">
        <v>31</v>
      </c>
      <c r="Q171" t="s">
        <v>32</v>
      </c>
      <c r="R171">
        <v>0</v>
      </c>
      <c r="S171" t="str">
        <f>IF(Table1[prior_dna_count]&gt;=1,"Has prior DNA history","No prior DNA history")</f>
        <v>No prior DNA history</v>
      </c>
      <c r="T171" t="s">
        <v>39</v>
      </c>
      <c r="U171" t="str">
        <f t="shared" si="2"/>
        <v>1</v>
      </c>
      <c r="V171" t="str">
        <f>IF(Table1[appointment_status]="Attended","1","0")</f>
        <v>0</v>
      </c>
      <c r="W171" t="str">
        <f>IF(Table1[appointment_status]="Cancelled","1","0")</f>
        <v>0</v>
      </c>
    </row>
    <row r="172" spans="1:23">
      <c r="A172" t="s">
        <v>376</v>
      </c>
      <c r="B172" t="s">
        <v>377</v>
      </c>
      <c r="C172">
        <v>56</v>
      </c>
      <c r="D172" t="str" cm="1">
        <f t="array" ref="D172">_xlfn.IFS(Table1[[#This Row],[age]]&lt;=17,"0-17",C172&lt;=29,"18-29",C172&lt;=44,"30-44",C172&lt;=59,"45-59",C172&lt;=74,"60-74",TRUE,"75+")</f>
        <v>45-59</v>
      </c>
      <c r="E172" t="s">
        <v>29</v>
      </c>
      <c r="F172">
        <v>9</v>
      </c>
      <c r="G172" t="str" cm="1">
        <f t="array" ref="G172">_xlfn.IFS(_xlfn.SINGLE(Table1[imd_decile])&lt;=3,"Most Deprived",F172&lt;=7,"Moderately Deprived",F172&lt;=10,"Least Deprived")</f>
        <v>Least Deprived</v>
      </c>
      <c r="H172">
        <v>3.3</v>
      </c>
      <c r="I172" t="s">
        <v>18</v>
      </c>
      <c r="J172" t="s">
        <v>19</v>
      </c>
      <c r="K172" s="1">
        <v>45680</v>
      </c>
      <c r="L172" s="1">
        <v>45711</v>
      </c>
      <c r="M172" s="1" t="str">
        <f>TEXT(Table1[[#This Row],[appointment_date]],"MM/YYYY")</f>
        <v>02/2025</v>
      </c>
      <c r="N172">
        <v>31</v>
      </c>
      <c r="O172" t="str" cm="1">
        <f t="array" ref="O172">_xlfn.IFS(Table1[[#This Row],[lead_time_days]]&lt;=7,"0-7 days",N172&lt;=14,"8-14 days",N172&lt;=30,"15-30 days",N172&lt;=60,"31-60 days",TRUE,"61+ days")</f>
        <v>31-60 days</v>
      </c>
      <c r="P172" t="s">
        <v>31</v>
      </c>
      <c r="Q172" t="s">
        <v>32</v>
      </c>
      <c r="R172">
        <v>1</v>
      </c>
      <c r="S172" t="str">
        <f>IF(Table1[prior_dna_count]&gt;=1,"Has prior DNA history","No prior DNA history")</f>
        <v>Has prior DNA history</v>
      </c>
      <c r="T172" t="s">
        <v>39</v>
      </c>
      <c r="U172" t="str">
        <f t="shared" si="2"/>
        <v>0</v>
      </c>
      <c r="V172" t="str">
        <f>IF(Table1[appointment_status]="Attended","1","0")</f>
        <v>0</v>
      </c>
      <c r="W172" t="str">
        <f>IF(Table1[appointment_status]="Cancelled","1","0")</f>
        <v>0</v>
      </c>
    </row>
    <row r="173" spans="1:23">
      <c r="A173" t="s">
        <v>378</v>
      </c>
      <c r="B173" t="s">
        <v>379</v>
      </c>
      <c r="C173">
        <v>44</v>
      </c>
      <c r="D173" t="str" cm="1">
        <f t="array" ref="D173">_xlfn.IFS(Table1[[#This Row],[age]]&lt;=17,"0-17",C173&lt;=29,"18-29",C173&lt;=44,"30-44",C173&lt;=59,"45-59",C173&lt;=74,"60-74",TRUE,"75+")</f>
        <v>30-44</v>
      </c>
      <c r="E173" t="s">
        <v>29</v>
      </c>
      <c r="F173">
        <v>6</v>
      </c>
      <c r="G173" t="str" cm="1">
        <f t="array" ref="G173">_xlfn.IFS(_xlfn.SINGLE(Table1[imd_decile])&lt;=3,"Most Deprived",F173&lt;=7,"Moderately Deprived",F173&lt;=10,"Least Deprived")</f>
        <v>Moderately Deprived</v>
      </c>
      <c r="H173">
        <v>4.2</v>
      </c>
      <c r="I173" t="s">
        <v>155</v>
      </c>
      <c r="J173" t="s">
        <v>19</v>
      </c>
      <c r="K173" s="1">
        <v>45702</v>
      </c>
      <c r="L173" s="1">
        <v>45711</v>
      </c>
      <c r="M173" s="1" t="str">
        <f>TEXT(Table1[[#This Row],[appointment_date]],"MM/YYYY")</f>
        <v>02/2025</v>
      </c>
      <c r="N173">
        <v>9</v>
      </c>
      <c r="O173" t="str" cm="1">
        <f t="array" ref="O173">_xlfn.IFS(Table1[[#This Row],[lead_time_days]]&lt;=7,"0-7 days",N173&lt;=14,"8-14 days",N173&lt;=30,"15-30 days",N173&lt;=60,"31-60 days",TRUE,"61+ days")</f>
        <v>8-14 days</v>
      </c>
      <c r="P173" t="s">
        <v>31</v>
      </c>
      <c r="Q173" t="s">
        <v>21</v>
      </c>
      <c r="R173">
        <v>0</v>
      </c>
      <c r="S173" t="str">
        <f>IF(Table1[prior_dna_count]&gt;=1,"Has prior DNA history","No prior DNA history")</f>
        <v>No prior DNA history</v>
      </c>
      <c r="T173" t="s">
        <v>22</v>
      </c>
      <c r="U173" t="str">
        <f t="shared" si="2"/>
        <v>0</v>
      </c>
      <c r="V173" t="str">
        <f>IF(Table1[appointment_status]="Attended","1","0")</f>
        <v>1</v>
      </c>
      <c r="W173" t="str">
        <f>IF(Table1[appointment_status]="Cancelled","1","0")</f>
        <v>0</v>
      </c>
    </row>
    <row r="174" spans="1:23">
      <c r="A174" t="s">
        <v>380</v>
      </c>
      <c r="B174" t="s">
        <v>381</v>
      </c>
      <c r="C174">
        <v>44</v>
      </c>
      <c r="D174" t="str" cm="1">
        <f t="array" ref="D174">_xlfn.IFS(Table1[[#This Row],[age]]&lt;=17,"0-17",C174&lt;=29,"18-29",C174&lt;=44,"30-44",C174&lt;=59,"45-59",C174&lt;=74,"60-74",TRUE,"75+")</f>
        <v>30-44</v>
      </c>
      <c r="E174" t="s">
        <v>29</v>
      </c>
      <c r="F174">
        <v>9</v>
      </c>
      <c r="G174" t="str" cm="1">
        <f t="array" ref="G174">_xlfn.IFS(_xlfn.SINGLE(Table1[imd_decile])&lt;=3,"Most Deprived",F174&lt;=7,"Moderately Deprived",F174&lt;=10,"Least Deprived")</f>
        <v>Least Deprived</v>
      </c>
      <c r="H174">
        <v>5.5</v>
      </c>
      <c r="I174" t="s">
        <v>42</v>
      </c>
      <c r="J174" t="s">
        <v>19</v>
      </c>
      <c r="K174" s="1">
        <v>45675</v>
      </c>
      <c r="L174" s="1">
        <v>45711</v>
      </c>
      <c r="M174" s="1" t="str">
        <f>TEXT(Table1[[#This Row],[appointment_date]],"MM/YYYY")</f>
        <v>02/2025</v>
      </c>
      <c r="N174">
        <v>36</v>
      </c>
      <c r="O174" t="str" cm="1">
        <f t="array" ref="O174">_xlfn.IFS(Table1[[#This Row],[lead_time_days]]&lt;=7,"0-7 days",N174&lt;=14,"8-14 days",N174&lt;=30,"15-30 days",N174&lt;=60,"31-60 days",TRUE,"61+ days")</f>
        <v>31-60 days</v>
      </c>
      <c r="P174" t="s">
        <v>31</v>
      </c>
      <c r="Q174" t="s">
        <v>21</v>
      </c>
      <c r="R174">
        <v>0</v>
      </c>
      <c r="S174" t="str">
        <f>IF(Table1[prior_dna_count]&gt;=1,"Has prior DNA history","No prior DNA history")</f>
        <v>No prior DNA history</v>
      </c>
      <c r="T174" t="s">
        <v>22</v>
      </c>
      <c r="U174" t="str">
        <f t="shared" si="2"/>
        <v>1</v>
      </c>
      <c r="V174" t="str">
        <f>IF(Table1[appointment_status]="Attended","1","0")</f>
        <v>1</v>
      </c>
      <c r="W174" t="str">
        <f>IF(Table1[appointment_status]="Cancelled","1","0")</f>
        <v>0</v>
      </c>
    </row>
    <row r="175" spans="1:23">
      <c r="A175" t="s">
        <v>382</v>
      </c>
      <c r="B175" t="s">
        <v>383</v>
      </c>
      <c r="C175">
        <v>66</v>
      </c>
      <c r="D175" t="str" cm="1">
        <f t="array" ref="D175">_xlfn.IFS(Table1[[#This Row],[age]]&lt;=17,"0-17",C175&lt;=29,"18-29",C175&lt;=44,"30-44",C175&lt;=59,"45-59",C175&lt;=74,"60-74",TRUE,"75+")</f>
        <v>60-74</v>
      </c>
      <c r="E175" t="s">
        <v>17</v>
      </c>
      <c r="F175">
        <v>4</v>
      </c>
      <c r="G175" t="str" cm="1">
        <f t="array" ref="G175">_xlfn.IFS(_xlfn.SINGLE(Table1[imd_decile])&lt;=3,"Most Deprived",F175&lt;=7,"Moderately Deprived",F175&lt;=10,"Least Deprived")</f>
        <v>Moderately Deprived</v>
      </c>
      <c r="H175">
        <v>5.8</v>
      </c>
      <c r="I175" t="s">
        <v>25</v>
      </c>
      <c r="J175" t="s">
        <v>26</v>
      </c>
      <c r="K175" s="1">
        <v>45701</v>
      </c>
      <c r="L175" s="1">
        <v>45711</v>
      </c>
      <c r="M175" s="1" t="str">
        <f>TEXT(Table1[[#This Row],[appointment_date]],"MM/YYYY")</f>
        <v>02/2025</v>
      </c>
      <c r="N175">
        <v>10</v>
      </c>
      <c r="O175" t="str" cm="1">
        <f t="array" ref="O175">_xlfn.IFS(Table1[[#This Row],[lead_time_days]]&lt;=7,"0-7 days",N175&lt;=14,"8-14 days",N175&lt;=30,"15-30 days",N175&lt;=60,"31-60 days",TRUE,"61+ days")</f>
        <v>8-14 days</v>
      </c>
      <c r="P175" t="s">
        <v>31</v>
      </c>
      <c r="Q175" t="s">
        <v>32</v>
      </c>
      <c r="R175">
        <v>0</v>
      </c>
      <c r="S175" t="str">
        <f>IF(Table1[prior_dna_count]&gt;=1,"Has prior DNA history","No prior DNA history")</f>
        <v>No prior DNA history</v>
      </c>
      <c r="T175" t="s">
        <v>22</v>
      </c>
      <c r="U175" t="str">
        <f t="shared" si="2"/>
        <v>1</v>
      </c>
      <c r="V175" t="str">
        <f>IF(Table1[appointment_status]="Attended","1","0")</f>
        <v>1</v>
      </c>
      <c r="W175" t="str">
        <f>IF(Table1[appointment_status]="Cancelled","1","0")</f>
        <v>0</v>
      </c>
    </row>
    <row r="176" spans="1:23">
      <c r="A176" t="s">
        <v>384</v>
      </c>
      <c r="B176" t="s">
        <v>385</v>
      </c>
      <c r="C176">
        <v>47</v>
      </c>
      <c r="D176" t="str" cm="1">
        <f t="array" ref="D176">_xlfn.IFS(Table1[[#This Row],[age]]&lt;=17,"0-17",C176&lt;=29,"18-29",C176&lt;=44,"30-44",C176&lt;=59,"45-59",C176&lt;=74,"60-74",TRUE,"75+")</f>
        <v>45-59</v>
      </c>
      <c r="E176" t="s">
        <v>29</v>
      </c>
      <c r="F176">
        <v>8</v>
      </c>
      <c r="G176" t="str" cm="1">
        <f t="array" ref="G176">_xlfn.IFS(_xlfn.SINGLE(Table1[imd_decile])&lt;=3,"Most Deprived",F176&lt;=7,"Moderately Deprived",F176&lt;=10,"Least Deprived")</f>
        <v>Least Deprived</v>
      </c>
      <c r="H176">
        <v>11.6</v>
      </c>
      <c r="I176" t="s">
        <v>58</v>
      </c>
      <c r="J176" t="s">
        <v>19</v>
      </c>
      <c r="K176" s="1">
        <v>45677</v>
      </c>
      <c r="L176" s="1">
        <v>45711</v>
      </c>
      <c r="M176" s="1" t="str">
        <f>TEXT(Table1[[#This Row],[appointment_date]],"MM/YYYY")</f>
        <v>02/2025</v>
      </c>
      <c r="N176">
        <v>34</v>
      </c>
      <c r="O176" t="str" cm="1">
        <f t="array" ref="O176">_xlfn.IFS(Table1[[#This Row],[lead_time_days]]&lt;=7,"0-7 days",N176&lt;=14,"8-14 days",N176&lt;=30,"15-30 days",N176&lt;=60,"31-60 days",TRUE,"61+ days")</f>
        <v>31-60 days</v>
      </c>
      <c r="P176" t="s">
        <v>31</v>
      </c>
      <c r="Q176" t="s">
        <v>21</v>
      </c>
      <c r="R176">
        <v>0</v>
      </c>
      <c r="S176" t="str">
        <f>IF(Table1[prior_dna_count]&gt;=1,"Has prior DNA history","No prior DNA history")</f>
        <v>No prior DNA history</v>
      </c>
      <c r="T176" t="s">
        <v>22</v>
      </c>
      <c r="U176" t="str">
        <f t="shared" si="2"/>
        <v>1</v>
      </c>
      <c r="V176" t="str">
        <f>IF(Table1[appointment_status]="Attended","1","0")</f>
        <v>1</v>
      </c>
      <c r="W176" t="str">
        <f>IF(Table1[appointment_status]="Cancelled","1","0")</f>
        <v>0</v>
      </c>
    </row>
    <row r="177" spans="1:23">
      <c r="A177" t="s">
        <v>386</v>
      </c>
      <c r="B177" t="s">
        <v>387</v>
      </c>
      <c r="C177">
        <v>12</v>
      </c>
      <c r="D177" t="str" cm="1">
        <f t="array" ref="D177">_xlfn.IFS(Table1[[#This Row],[age]]&lt;=17,"0-17",C177&lt;=29,"18-29",C177&lt;=44,"30-44",C177&lt;=59,"45-59",C177&lt;=74,"60-74",TRUE,"75+")</f>
        <v>0-17</v>
      </c>
      <c r="E177" t="s">
        <v>29</v>
      </c>
      <c r="F177">
        <v>3</v>
      </c>
      <c r="G177" t="str" cm="1">
        <f t="array" ref="G177">_xlfn.IFS(_xlfn.SINGLE(Table1[imd_decile])&lt;=3,"Most Deprived",F177&lt;=7,"Moderately Deprived",F177&lt;=10,"Least Deprived")</f>
        <v>Most Deprived</v>
      </c>
      <c r="H177">
        <v>12.6</v>
      </c>
      <c r="I177" t="s">
        <v>91</v>
      </c>
      <c r="J177" t="s">
        <v>19</v>
      </c>
      <c r="K177" s="1">
        <v>45669</v>
      </c>
      <c r="L177" s="1">
        <v>45711</v>
      </c>
      <c r="M177" s="1" t="str">
        <f>TEXT(Table1[[#This Row],[appointment_date]],"MM/YYYY")</f>
        <v>02/2025</v>
      </c>
      <c r="N177">
        <v>42</v>
      </c>
      <c r="O177" t="str" cm="1">
        <f t="array" ref="O177">_xlfn.IFS(Table1[[#This Row],[lead_time_days]]&lt;=7,"0-7 days",N177&lt;=14,"8-14 days",N177&lt;=30,"15-30 days",N177&lt;=60,"31-60 days",TRUE,"61+ days")</f>
        <v>31-60 days</v>
      </c>
      <c r="P177" t="s">
        <v>31</v>
      </c>
      <c r="Q177" t="s">
        <v>32</v>
      </c>
      <c r="R177">
        <v>0</v>
      </c>
      <c r="S177" t="str">
        <f>IF(Table1[prior_dna_count]&gt;=1,"Has prior DNA history","No prior DNA history")</f>
        <v>No prior DNA history</v>
      </c>
      <c r="T177" t="s">
        <v>39</v>
      </c>
      <c r="U177" t="str">
        <f t="shared" si="2"/>
        <v>1</v>
      </c>
      <c r="V177" t="str">
        <f>IF(Table1[appointment_status]="Attended","1","0")</f>
        <v>0</v>
      </c>
      <c r="W177" t="str">
        <f>IF(Table1[appointment_status]="Cancelled","1","0")</f>
        <v>0</v>
      </c>
    </row>
    <row r="178" spans="1:23">
      <c r="A178" t="s">
        <v>388</v>
      </c>
      <c r="B178" t="s">
        <v>389</v>
      </c>
      <c r="C178">
        <v>66</v>
      </c>
      <c r="D178" t="str" cm="1">
        <f t="array" ref="D178">_xlfn.IFS(Table1[[#This Row],[age]]&lt;=17,"0-17",C178&lt;=29,"18-29",C178&lt;=44,"30-44",C178&lt;=59,"45-59",C178&lt;=74,"60-74",TRUE,"75+")</f>
        <v>60-74</v>
      </c>
      <c r="E178" t="s">
        <v>29</v>
      </c>
      <c r="F178">
        <v>2</v>
      </c>
      <c r="G178" t="str" cm="1">
        <f t="array" ref="G178">_xlfn.IFS(_xlfn.SINGLE(Table1[imd_decile])&lt;=3,"Most Deprived",F178&lt;=7,"Moderately Deprived",F178&lt;=10,"Least Deprived")</f>
        <v>Most Deprived</v>
      </c>
      <c r="H178">
        <v>7.6</v>
      </c>
      <c r="I178" t="s">
        <v>91</v>
      </c>
      <c r="J178" t="s">
        <v>26</v>
      </c>
      <c r="K178" s="1">
        <v>45687</v>
      </c>
      <c r="L178" s="1">
        <v>45712</v>
      </c>
      <c r="M178" s="1" t="str">
        <f>TEXT(Table1[[#This Row],[appointment_date]],"MM/YYYY")</f>
        <v>02/2025</v>
      </c>
      <c r="N178">
        <v>25</v>
      </c>
      <c r="O178" t="str" cm="1">
        <f t="array" ref="O178">_xlfn.IFS(Table1[[#This Row],[lead_time_days]]&lt;=7,"0-7 days",N178&lt;=14,"8-14 days",N178&lt;=30,"15-30 days",N178&lt;=60,"31-60 days",TRUE,"61+ days")</f>
        <v>15-30 days</v>
      </c>
      <c r="P178" t="s">
        <v>35</v>
      </c>
      <c r="Q178" t="s">
        <v>32</v>
      </c>
      <c r="R178">
        <v>0</v>
      </c>
      <c r="S178" t="str">
        <f>IF(Table1[prior_dna_count]&gt;=1,"Has prior DNA history","No prior DNA history")</f>
        <v>No prior DNA history</v>
      </c>
      <c r="T178" t="s">
        <v>22</v>
      </c>
      <c r="U178" t="str">
        <f t="shared" si="2"/>
        <v>0</v>
      </c>
      <c r="V178" t="str">
        <f>IF(Table1[appointment_status]="Attended","1","0")</f>
        <v>1</v>
      </c>
      <c r="W178" t="str">
        <f>IF(Table1[appointment_status]="Cancelled","1","0")</f>
        <v>0</v>
      </c>
    </row>
    <row r="179" spans="1:23">
      <c r="A179" t="s">
        <v>390</v>
      </c>
      <c r="B179" t="s">
        <v>391</v>
      </c>
      <c r="C179">
        <v>8</v>
      </c>
      <c r="D179" t="str" cm="1">
        <f t="array" ref="D179">_xlfn.IFS(Table1[[#This Row],[age]]&lt;=17,"0-17",C179&lt;=29,"18-29",C179&lt;=44,"30-44",C179&lt;=59,"45-59",C179&lt;=74,"60-74",TRUE,"75+")</f>
        <v>0-17</v>
      </c>
      <c r="E179" t="s">
        <v>29</v>
      </c>
      <c r="F179">
        <v>1</v>
      </c>
      <c r="G179" t="str" cm="1">
        <f t="array" ref="G179">_xlfn.IFS(_xlfn.SINGLE(Table1[imd_decile])&lt;=3,"Most Deprived",F179&lt;=7,"Moderately Deprived",F179&lt;=10,"Least Deprived")</f>
        <v>Most Deprived</v>
      </c>
      <c r="H179">
        <v>9.8000000000000007</v>
      </c>
      <c r="I179" t="s">
        <v>38</v>
      </c>
      <c r="J179" t="s">
        <v>19</v>
      </c>
      <c r="K179" s="1">
        <v>45666</v>
      </c>
      <c r="L179" s="1">
        <v>45712</v>
      </c>
      <c r="M179" s="1" t="str">
        <f>TEXT(Table1[[#This Row],[appointment_date]],"MM/YYYY")</f>
        <v>02/2025</v>
      </c>
      <c r="N179">
        <v>46</v>
      </c>
      <c r="O179" t="str" cm="1">
        <f t="array" ref="O179">_xlfn.IFS(Table1[[#This Row],[lead_time_days]]&lt;=7,"0-7 days",N179&lt;=14,"8-14 days",N179&lt;=30,"15-30 days",N179&lt;=60,"31-60 days",TRUE,"61+ days")</f>
        <v>31-60 days</v>
      </c>
      <c r="P179" t="s">
        <v>35</v>
      </c>
      <c r="Q179" t="s">
        <v>21</v>
      </c>
      <c r="R179">
        <v>1</v>
      </c>
      <c r="S179" t="str">
        <f>IF(Table1[prior_dna_count]&gt;=1,"Has prior DNA history","No prior DNA history")</f>
        <v>Has prior DNA history</v>
      </c>
      <c r="T179" t="s">
        <v>39</v>
      </c>
      <c r="U179" t="str">
        <f t="shared" si="2"/>
        <v>1</v>
      </c>
      <c r="V179" t="str">
        <f>IF(Table1[appointment_status]="Attended","1","0")</f>
        <v>0</v>
      </c>
      <c r="W179" t="str">
        <f>IF(Table1[appointment_status]="Cancelled","1","0")</f>
        <v>0</v>
      </c>
    </row>
    <row r="180" spans="1:23">
      <c r="A180" t="s">
        <v>392</v>
      </c>
      <c r="B180" t="s">
        <v>393</v>
      </c>
      <c r="C180">
        <v>61</v>
      </c>
      <c r="D180" t="str" cm="1">
        <f t="array" ref="D180">_xlfn.IFS(Table1[[#This Row],[age]]&lt;=17,"0-17",C180&lt;=29,"18-29",C180&lt;=44,"30-44",C180&lt;=59,"45-59",C180&lt;=74,"60-74",TRUE,"75+")</f>
        <v>60-74</v>
      </c>
      <c r="E180" t="s">
        <v>29</v>
      </c>
      <c r="F180">
        <v>10</v>
      </c>
      <c r="G180" t="str" cm="1">
        <f t="array" ref="G180">_xlfn.IFS(_xlfn.SINGLE(Table1[imd_decile])&lt;=3,"Most Deprived",F180&lt;=7,"Moderately Deprived",F180&lt;=10,"Least Deprived")</f>
        <v>Least Deprived</v>
      </c>
      <c r="H180">
        <v>21.1</v>
      </c>
      <c r="I180" t="s">
        <v>25</v>
      </c>
      <c r="J180" t="s">
        <v>19</v>
      </c>
      <c r="K180" s="1">
        <v>45669</v>
      </c>
      <c r="L180" s="1">
        <v>45712</v>
      </c>
      <c r="M180" s="1" t="str">
        <f>TEXT(Table1[[#This Row],[appointment_date]],"MM/YYYY")</f>
        <v>02/2025</v>
      </c>
      <c r="N180">
        <v>43</v>
      </c>
      <c r="O180" t="str" cm="1">
        <f t="array" ref="O180">_xlfn.IFS(Table1[[#This Row],[lead_time_days]]&lt;=7,"0-7 days",N180&lt;=14,"8-14 days",N180&lt;=30,"15-30 days",N180&lt;=60,"31-60 days",TRUE,"61+ days")</f>
        <v>31-60 days</v>
      </c>
      <c r="P180" t="s">
        <v>35</v>
      </c>
      <c r="Q180" t="s">
        <v>21</v>
      </c>
      <c r="R180">
        <v>0</v>
      </c>
      <c r="S180" t="str">
        <f>IF(Table1[prior_dna_count]&gt;=1,"Has prior DNA history","No prior DNA history")</f>
        <v>No prior DNA history</v>
      </c>
      <c r="T180" t="s">
        <v>22</v>
      </c>
      <c r="U180" t="str">
        <f t="shared" si="2"/>
        <v>0</v>
      </c>
      <c r="V180" t="str">
        <f>IF(Table1[appointment_status]="Attended","1","0")</f>
        <v>1</v>
      </c>
      <c r="W180" t="str">
        <f>IF(Table1[appointment_status]="Cancelled","1","0")</f>
        <v>0</v>
      </c>
    </row>
    <row r="181" spans="1:23">
      <c r="A181" t="s">
        <v>394</v>
      </c>
      <c r="B181" t="s">
        <v>395</v>
      </c>
      <c r="C181">
        <v>29</v>
      </c>
      <c r="D181" t="str" cm="1">
        <f t="array" ref="D181">_xlfn.IFS(Table1[[#This Row],[age]]&lt;=17,"0-17",C181&lt;=29,"18-29",C181&lt;=44,"30-44",C181&lt;=59,"45-59",C181&lt;=74,"60-74",TRUE,"75+")</f>
        <v>18-29</v>
      </c>
      <c r="E181" t="s">
        <v>29</v>
      </c>
      <c r="F181">
        <v>10</v>
      </c>
      <c r="G181" t="str" cm="1">
        <f t="array" ref="G181">_xlfn.IFS(_xlfn.SINGLE(Table1[imd_decile])&lt;=3,"Most Deprived",F181&lt;=7,"Moderately Deprived",F181&lt;=10,"Least Deprived")</f>
        <v>Least Deprived</v>
      </c>
      <c r="H181">
        <v>8.9</v>
      </c>
      <c r="I181" t="s">
        <v>155</v>
      </c>
      <c r="J181" t="s">
        <v>19</v>
      </c>
      <c r="K181" s="1">
        <v>45696</v>
      </c>
      <c r="L181" s="1">
        <v>45712</v>
      </c>
      <c r="M181" s="1" t="str">
        <f>TEXT(Table1[[#This Row],[appointment_date]],"MM/YYYY")</f>
        <v>02/2025</v>
      </c>
      <c r="N181">
        <v>16</v>
      </c>
      <c r="O181" t="str" cm="1">
        <f t="array" ref="O181">_xlfn.IFS(Table1[[#This Row],[lead_time_days]]&lt;=7,"0-7 days",N181&lt;=14,"8-14 days",N181&lt;=30,"15-30 days",N181&lt;=60,"31-60 days",TRUE,"61+ days")</f>
        <v>15-30 days</v>
      </c>
      <c r="P181" t="s">
        <v>35</v>
      </c>
      <c r="Q181" t="s">
        <v>32</v>
      </c>
      <c r="R181">
        <v>0</v>
      </c>
      <c r="S181" t="str">
        <f>IF(Table1[prior_dna_count]&gt;=1,"Has prior DNA history","No prior DNA history")</f>
        <v>No prior DNA history</v>
      </c>
      <c r="T181" t="s">
        <v>39</v>
      </c>
      <c r="U181" t="str">
        <f t="shared" si="2"/>
        <v>1</v>
      </c>
      <c r="V181" t="str">
        <f>IF(Table1[appointment_status]="Attended","1","0")</f>
        <v>0</v>
      </c>
      <c r="W181" t="str">
        <f>IF(Table1[appointment_status]="Cancelled","1","0")</f>
        <v>0</v>
      </c>
    </row>
    <row r="182" spans="1:23">
      <c r="A182" t="s">
        <v>396</v>
      </c>
      <c r="B182" t="s">
        <v>397</v>
      </c>
      <c r="C182">
        <v>74</v>
      </c>
      <c r="D182" t="str" cm="1">
        <f t="array" ref="D182">_xlfn.IFS(Table1[[#This Row],[age]]&lt;=17,"0-17",C182&lt;=29,"18-29",C182&lt;=44,"30-44",C182&lt;=59,"45-59",C182&lt;=74,"60-74",TRUE,"75+")</f>
        <v>60-74</v>
      </c>
      <c r="E182" t="s">
        <v>29</v>
      </c>
      <c r="F182">
        <v>9</v>
      </c>
      <c r="G182" t="str" cm="1">
        <f t="array" ref="G182">_xlfn.IFS(_xlfn.SINGLE(Table1[imd_decile])&lt;=3,"Most Deprived",F182&lt;=7,"Moderately Deprived",F182&lt;=10,"Least Deprived")</f>
        <v>Least Deprived</v>
      </c>
      <c r="H182">
        <v>4.0999999999999996</v>
      </c>
      <c r="I182" t="s">
        <v>155</v>
      </c>
      <c r="J182" t="s">
        <v>26</v>
      </c>
      <c r="K182" s="1">
        <v>45695</v>
      </c>
      <c r="L182" s="1">
        <v>45712</v>
      </c>
      <c r="M182" s="1" t="str">
        <f>TEXT(Table1[[#This Row],[appointment_date]],"MM/YYYY")</f>
        <v>02/2025</v>
      </c>
      <c r="N182">
        <v>17</v>
      </c>
      <c r="O182" t="str" cm="1">
        <f t="array" ref="O182">_xlfn.IFS(Table1[[#This Row],[lead_time_days]]&lt;=7,"0-7 days",N182&lt;=14,"8-14 days",N182&lt;=30,"15-30 days",N182&lt;=60,"31-60 days",TRUE,"61+ days")</f>
        <v>15-30 days</v>
      </c>
      <c r="P182" t="s">
        <v>35</v>
      </c>
      <c r="Q182" t="s">
        <v>32</v>
      </c>
      <c r="R182">
        <v>0</v>
      </c>
      <c r="S182" t="str">
        <f>IF(Table1[prior_dna_count]&gt;=1,"Has prior DNA history","No prior DNA history")</f>
        <v>No prior DNA history</v>
      </c>
      <c r="T182" t="s">
        <v>46</v>
      </c>
      <c r="U182" t="str">
        <f t="shared" si="2"/>
        <v>0</v>
      </c>
      <c r="V182" t="str">
        <f>IF(Table1[appointment_status]="Attended","1","0")</f>
        <v>0</v>
      </c>
      <c r="W182" t="str">
        <f>IF(Table1[appointment_status]="Cancelled","1","0")</f>
        <v>1</v>
      </c>
    </row>
    <row r="183" spans="1:23">
      <c r="A183" t="s">
        <v>398</v>
      </c>
      <c r="B183" t="s">
        <v>399</v>
      </c>
      <c r="C183">
        <v>40</v>
      </c>
      <c r="D183" t="str" cm="1">
        <f t="array" ref="D183">_xlfn.IFS(Table1[[#This Row],[age]]&lt;=17,"0-17",C183&lt;=29,"18-29",C183&lt;=44,"30-44",C183&lt;=59,"45-59",C183&lt;=74,"60-74",TRUE,"75+")</f>
        <v>30-44</v>
      </c>
      <c r="E183" t="s">
        <v>29</v>
      </c>
      <c r="F183">
        <v>5</v>
      </c>
      <c r="G183" t="str" cm="1">
        <f t="array" ref="G183">_xlfn.IFS(_xlfn.SINGLE(Table1[imd_decile])&lt;=3,"Most Deprived",F183&lt;=7,"Moderately Deprived",F183&lt;=10,"Least Deprived")</f>
        <v>Moderately Deprived</v>
      </c>
      <c r="H183">
        <v>1.4</v>
      </c>
      <c r="I183" t="s">
        <v>91</v>
      </c>
      <c r="J183" t="s">
        <v>19</v>
      </c>
      <c r="K183" s="1">
        <v>45684</v>
      </c>
      <c r="L183" s="1">
        <v>45712</v>
      </c>
      <c r="M183" s="1" t="str">
        <f>TEXT(Table1[[#This Row],[appointment_date]],"MM/YYYY")</f>
        <v>02/2025</v>
      </c>
      <c r="N183">
        <v>28</v>
      </c>
      <c r="O183" t="str" cm="1">
        <f t="array" ref="O183">_xlfn.IFS(Table1[[#This Row],[lead_time_days]]&lt;=7,"0-7 days",N183&lt;=14,"8-14 days",N183&lt;=30,"15-30 days",N183&lt;=60,"31-60 days",TRUE,"61+ days")</f>
        <v>15-30 days</v>
      </c>
      <c r="P183" t="s">
        <v>35</v>
      </c>
      <c r="Q183" t="s">
        <v>32</v>
      </c>
      <c r="R183">
        <v>0</v>
      </c>
      <c r="S183" t="str">
        <f>IF(Table1[prior_dna_count]&gt;=1,"Has prior DNA history","No prior DNA history")</f>
        <v>No prior DNA history</v>
      </c>
      <c r="T183" t="s">
        <v>39</v>
      </c>
      <c r="U183" t="str">
        <f t="shared" si="2"/>
        <v>0</v>
      </c>
      <c r="V183" t="str">
        <f>IF(Table1[appointment_status]="Attended","1","0")</f>
        <v>0</v>
      </c>
      <c r="W183" t="str">
        <f>IF(Table1[appointment_status]="Cancelled","1","0")</f>
        <v>0</v>
      </c>
    </row>
    <row r="184" spans="1:23">
      <c r="A184" t="s">
        <v>400</v>
      </c>
      <c r="B184" t="s">
        <v>302</v>
      </c>
      <c r="C184">
        <v>39</v>
      </c>
      <c r="D184" t="str" cm="1">
        <f t="array" ref="D184">_xlfn.IFS(Table1[[#This Row],[age]]&lt;=17,"0-17",C184&lt;=29,"18-29",C184&lt;=44,"30-44",C184&lt;=59,"45-59",C184&lt;=74,"60-74",TRUE,"75+")</f>
        <v>30-44</v>
      </c>
      <c r="E184" t="s">
        <v>29</v>
      </c>
      <c r="F184">
        <v>2</v>
      </c>
      <c r="G184" t="str" cm="1">
        <f t="array" ref="G184">_xlfn.IFS(_xlfn.SINGLE(Table1[imd_decile])&lt;=3,"Most Deprived",F184&lt;=7,"Moderately Deprived",F184&lt;=10,"Least Deprived")</f>
        <v>Most Deprived</v>
      </c>
      <c r="H184">
        <v>8.6999999999999993</v>
      </c>
      <c r="I184" t="s">
        <v>155</v>
      </c>
      <c r="J184" t="s">
        <v>19</v>
      </c>
      <c r="K184" s="1">
        <v>45693</v>
      </c>
      <c r="L184" s="1">
        <v>45712</v>
      </c>
      <c r="M184" s="1" t="str">
        <f>TEXT(Table1[[#This Row],[appointment_date]],"MM/YYYY")</f>
        <v>02/2025</v>
      </c>
      <c r="N184">
        <v>19</v>
      </c>
      <c r="O184" t="str" cm="1">
        <f t="array" ref="O184">_xlfn.IFS(Table1[[#This Row],[lead_time_days]]&lt;=7,"0-7 days",N184&lt;=14,"8-14 days",N184&lt;=30,"15-30 days",N184&lt;=60,"31-60 days",TRUE,"61+ days")</f>
        <v>15-30 days</v>
      </c>
      <c r="P184" t="s">
        <v>35</v>
      </c>
      <c r="Q184" t="s">
        <v>21</v>
      </c>
      <c r="R184">
        <v>0</v>
      </c>
      <c r="S184" t="str">
        <f>IF(Table1[prior_dna_count]&gt;=1,"Has prior DNA history","No prior DNA history")</f>
        <v>No prior DNA history</v>
      </c>
      <c r="T184" t="s">
        <v>22</v>
      </c>
      <c r="U184" t="str">
        <f t="shared" si="2"/>
        <v>0</v>
      </c>
      <c r="V184" t="str">
        <f>IF(Table1[appointment_status]="Attended","1","0")</f>
        <v>1</v>
      </c>
      <c r="W184" t="str">
        <f>IF(Table1[appointment_status]="Cancelled","1","0")</f>
        <v>0</v>
      </c>
    </row>
    <row r="185" spans="1:23">
      <c r="A185" t="s">
        <v>401</v>
      </c>
      <c r="B185" t="s">
        <v>312</v>
      </c>
      <c r="C185">
        <v>33</v>
      </c>
      <c r="D185" t="str" cm="1">
        <f t="array" ref="D185">_xlfn.IFS(Table1[[#This Row],[age]]&lt;=17,"0-17",C185&lt;=29,"18-29",C185&lt;=44,"30-44",C185&lt;=59,"45-59",C185&lt;=74,"60-74",TRUE,"75+")</f>
        <v>30-44</v>
      </c>
      <c r="E185" t="s">
        <v>17</v>
      </c>
      <c r="F185">
        <v>5</v>
      </c>
      <c r="G185" t="str" cm="1">
        <f t="array" ref="G185">_xlfn.IFS(_xlfn.SINGLE(Table1[imd_decile])&lt;=3,"Most Deprived",F185&lt;=7,"Moderately Deprived",F185&lt;=10,"Least Deprived")</f>
        <v>Moderately Deprived</v>
      </c>
      <c r="H185">
        <v>1.9</v>
      </c>
      <c r="I185" t="s">
        <v>25</v>
      </c>
      <c r="J185" t="s">
        <v>19</v>
      </c>
      <c r="K185" s="1">
        <v>45693</v>
      </c>
      <c r="L185" s="1">
        <v>45712</v>
      </c>
      <c r="M185" s="1" t="str">
        <f>TEXT(Table1[[#This Row],[appointment_date]],"MM/YYYY")</f>
        <v>02/2025</v>
      </c>
      <c r="N185">
        <v>19</v>
      </c>
      <c r="O185" t="str" cm="1">
        <f t="array" ref="O185">_xlfn.IFS(Table1[[#This Row],[lead_time_days]]&lt;=7,"0-7 days",N185&lt;=14,"8-14 days",N185&lt;=30,"15-30 days",N185&lt;=60,"31-60 days",TRUE,"61+ days")</f>
        <v>15-30 days</v>
      </c>
      <c r="P185" t="s">
        <v>35</v>
      </c>
      <c r="Q185" t="s">
        <v>32</v>
      </c>
      <c r="R185">
        <v>0</v>
      </c>
      <c r="S185" t="str">
        <f>IF(Table1[prior_dna_count]&gt;=1,"Has prior DNA history","No prior DNA history")</f>
        <v>No prior DNA history</v>
      </c>
      <c r="T185" t="s">
        <v>22</v>
      </c>
      <c r="U185" t="str">
        <f t="shared" si="2"/>
        <v>1</v>
      </c>
      <c r="V185" t="str">
        <f>IF(Table1[appointment_status]="Attended","1","0")</f>
        <v>1</v>
      </c>
      <c r="W185" t="str">
        <f>IF(Table1[appointment_status]="Cancelled","1","0")</f>
        <v>0</v>
      </c>
    </row>
    <row r="186" spans="1:23">
      <c r="A186" t="s">
        <v>402</v>
      </c>
      <c r="B186" t="s">
        <v>403</v>
      </c>
      <c r="C186">
        <v>57</v>
      </c>
      <c r="D186" t="str" cm="1">
        <f t="array" ref="D186">_xlfn.IFS(Table1[[#This Row],[age]]&lt;=17,"0-17",C186&lt;=29,"18-29",C186&lt;=44,"30-44",C186&lt;=59,"45-59",C186&lt;=74,"60-74",TRUE,"75+")</f>
        <v>45-59</v>
      </c>
      <c r="E186" t="s">
        <v>17</v>
      </c>
      <c r="F186">
        <v>4</v>
      </c>
      <c r="G186" t="str" cm="1">
        <f t="array" ref="G186">_xlfn.IFS(_xlfn.SINGLE(Table1[imd_decile])&lt;=3,"Most Deprived",F186&lt;=7,"Moderately Deprived",F186&lt;=10,"Least Deprived")</f>
        <v>Moderately Deprived</v>
      </c>
      <c r="H186">
        <v>1.5</v>
      </c>
      <c r="I186" t="s">
        <v>38</v>
      </c>
      <c r="J186" t="s">
        <v>19</v>
      </c>
      <c r="K186" s="1">
        <v>45697</v>
      </c>
      <c r="L186" s="1">
        <v>45712</v>
      </c>
      <c r="M186" s="1" t="str">
        <f>TEXT(Table1[[#This Row],[appointment_date]],"MM/YYYY")</f>
        <v>02/2025</v>
      </c>
      <c r="N186">
        <v>15</v>
      </c>
      <c r="O186" t="str" cm="1">
        <f t="array" ref="O186">_xlfn.IFS(Table1[[#This Row],[lead_time_days]]&lt;=7,"0-7 days",N186&lt;=14,"8-14 days",N186&lt;=30,"15-30 days",N186&lt;=60,"31-60 days",TRUE,"61+ days")</f>
        <v>15-30 days</v>
      </c>
      <c r="P186" t="s">
        <v>35</v>
      </c>
      <c r="Q186" t="s">
        <v>32</v>
      </c>
      <c r="R186">
        <v>0</v>
      </c>
      <c r="S186" t="str">
        <f>IF(Table1[prior_dna_count]&gt;=1,"Has prior DNA history","No prior DNA history")</f>
        <v>No prior DNA history</v>
      </c>
      <c r="T186" t="s">
        <v>22</v>
      </c>
      <c r="U186" t="str">
        <f t="shared" si="2"/>
        <v>1</v>
      </c>
      <c r="V186" t="str">
        <f>IF(Table1[appointment_status]="Attended","1","0")</f>
        <v>1</v>
      </c>
      <c r="W186" t="str">
        <f>IF(Table1[appointment_status]="Cancelled","1","0")</f>
        <v>0</v>
      </c>
    </row>
    <row r="187" spans="1:23">
      <c r="A187" t="s">
        <v>404</v>
      </c>
      <c r="B187" t="s">
        <v>405</v>
      </c>
      <c r="C187">
        <v>12</v>
      </c>
      <c r="D187" t="str" cm="1">
        <f t="array" ref="D187">_xlfn.IFS(Table1[[#This Row],[age]]&lt;=17,"0-17",C187&lt;=29,"18-29",C187&lt;=44,"30-44",C187&lt;=59,"45-59",C187&lt;=74,"60-74",TRUE,"75+")</f>
        <v>0-17</v>
      </c>
      <c r="E187" t="s">
        <v>17</v>
      </c>
      <c r="F187">
        <v>4</v>
      </c>
      <c r="G187" t="str" cm="1">
        <f t="array" ref="G187">_xlfn.IFS(_xlfn.SINGLE(Table1[imd_decile])&lt;=3,"Most Deprived",F187&lt;=7,"Moderately Deprived",F187&lt;=10,"Least Deprived")</f>
        <v>Moderately Deprived</v>
      </c>
      <c r="H187">
        <v>10.4</v>
      </c>
      <c r="I187" t="s">
        <v>25</v>
      </c>
      <c r="J187" t="s">
        <v>19</v>
      </c>
      <c r="K187" s="1">
        <v>45698</v>
      </c>
      <c r="L187" s="1">
        <v>45713</v>
      </c>
      <c r="M187" s="1" t="str">
        <f>TEXT(Table1[[#This Row],[appointment_date]],"MM/YYYY")</f>
        <v>02/2025</v>
      </c>
      <c r="N187">
        <v>15</v>
      </c>
      <c r="O187" t="str" cm="1">
        <f t="array" ref="O187">_xlfn.IFS(Table1[[#This Row],[lead_time_days]]&lt;=7,"0-7 days",N187&lt;=14,"8-14 days",N187&lt;=30,"15-30 days",N187&lt;=60,"31-60 days",TRUE,"61+ days")</f>
        <v>15-30 days</v>
      </c>
      <c r="P187" t="s">
        <v>71</v>
      </c>
      <c r="Q187" t="s">
        <v>32</v>
      </c>
      <c r="R187">
        <v>1</v>
      </c>
      <c r="S187" t="str">
        <f>IF(Table1[prior_dna_count]&gt;=1,"Has prior DNA history","No prior DNA history")</f>
        <v>Has prior DNA history</v>
      </c>
      <c r="T187" t="s">
        <v>22</v>
      </c>
      <c r="U187" t="str">
        <f t="shared" si="2"/>
        <v>1</v>
      </c>
      <c r="V187" t="str">
        <f>IF(Table1[appointment_status]="Attended","1","0")</f>
        <v>1</v>
      </c>
      <c r="W187" t="str">
        <f>IF(Table1[appointment_status]="Cancelled","1","0")</f>
        <v>0</v>
      </c>
    </row>
    <row r="188" spans="1:23">
      <c r="A188" t="s">
        <v>406</v>
      </c>
      <c r="B188" t="s">
        <v>407</v>
      </c>
      <c r="C188">
        <v>29</v>
      </c>
      <c r="D188" t="str" cm="1">
        <f t="array" ref="D188">_xlfn.IFS(Table1[[#This Row],[age]]&lt;=17,"0-17",C188&lt;=29,"18-29",C188&lt;=44,"30-44",C188&lt;=59,"45-59",C188&lt;=74,"60-74",TRUE,"75+")</f>
        <v>18-29</v>
      </c>
      <c r="E188" t="s">
        <v>17</v>
      </c>
      <c r="F188">
        <v>10</v>
      </c>
      <c r="G188" t="str" cm="1">
        <f t="array" ref="G188">_xlfn.IFS(_xlfn.SINGLE(Table1[imd_decile])&lt;=3,"Most Deprived",F188&lt;=7,"Moderately Deprived",F188&lt;=10,"Least Deprived")</f>
        <v>Least Deprived</v>
      </c>
      <c r="H188">
        <v>4.5999999999999996</v>
      </c>
      <c r="I188" t="s">
        <v>45</v>
      </c>
      <c r="J188" t="s">
        <v>19</v>
      </c>
      <c r="K188" s="1">
        <v>45691</v>
      </c>
      <c r="L188" s="1">
        <v>45713</v>
      </c>
      <c r="M188" s="1" t="str">
        <f>TEXT(Table1[[#This Row],[appointment_date]],"MM/YYYY")</f>
        <v>02/2025</v>
      </c>
      <c r="N188">
        <v>22</v>
      </c>
      <c r="O188" t="str" cm="1">
        <f t="array" ref="O188">_xlfn.IFS(Table1[[#This Row],[lead_time_days]]&lt;=7,"0-7 days",N188&lt;=14,"8-14 days",N188&lt;=30,"15-30 days",N188&lt;=60,"31-60 days",TRUE,"61+ days")</f>
        <v>15-30 days</v>
      </c>
      <c r="P188" t="s">
        <v>71</v>
      </c>
      <c r="Q188" t="s">
        <v>32</v>
      </c>
      <c r="R188">
        <v>0</v>
      </c>
      <c r="S188" t="str">
        <f>IF(Table1[prior_dna_count]&gt;=1,"Has prior DNA history","No prior DNA history")</f>
        <v>No prior DNA history</v>
      </c>
      <c r="T188" t="s">
        <v>22</v>
      </c>
      <c r="U188" t="str">
        <f t="shared" si="2"/>
        <v>1</v>
      </c>
      <c r="V188" t="str">
        <f>IF(Table1[appointment_status]="Attended","1","0")</f>
        <v>1</v>
      </c>
      <c r="W188" t="str">
        <f>IF(Table1[appointment_status]="Cancelled","1","0")</f>
        <v>0</v>
      </c>
    </row>
    <row r="189" spans="1:23">
      <c r="A189" t="s">
        <v>408</v>
      </c>
      <c r="B189" t="s">
        <v>409</v>
      </c>
      <c r="C189">
        <v>50</v>
      </c>
      <c r="D189" t="str" cm="1">
        <f t="array" ref="D189">_xlfn.IFS(Table1[[#This Row],[age]]&lt;=17,"0-17",C189&lt;=29,"18-29",C189&lt;=44,"30-44",C189&lt;=59,"45-59",C189&lt;=74,"60-74",TRUE,"75+")</f>
        <v>45-59</v>
      </c>
      <c r="E189" t="s">
        <v>17</v>
      </c>
      <c r="F189">
        <v>3</v>
      </c>
      <c r="G189" t="str" cm="1">
        <f t="array" ref="G189">_xlfn.IFS(_xlfn.SINGLE(Table1[imd_decile])&lt;=3,"Most Deprived",F189&lt;=7,"Moderately Deprived",F189&lt;=10,"Least Deprived")</f>
        <v>Most Deprived</v>
      </c>
      <c r="H189">
        <v>4.2</v>
      </c>
      <c r="I189" t="s">
        <v>18</v>
      </c>
      <c r="J189" t="s">
        <v>19</v>
      </c>
      <c r="K189" s="1">
        <v>45685</v>
      </c>
      <c r="L189" s="1">
        <v>45713</v>
      </c>
      <c r="M189" s="1" t="str">
        <f>TEXT(Table1[[#This Row],[appointment_date]],"MM/YYYY")</f>
        <v>02/2025</v>
      </c>
      <c r="N189">
        <v>28</v>
      </c>
      <c r="O189" t="str" cm="1">
        <f t="array" ref="O189">_xlfn.IFS(Table1[[#This Row],[lead_time_days]]&lt;=7,"0-7 days",N189&lt;=14,"8-14 days",N189&lt;=30,"15-30 days",N189&lt;=60,"31-60 days",TRUE,"61+ days")</f>
        <v>15-30 days</v>
      </c>
      <c r="P189" t="s">
        <v>71</v>
      </c>
      <c r="Q189" t="s">
        <v>32</v>
      </c>
      <c r="R189">
        <v>0</v>
      </c>
      <c r="S189" t="str">
        <f>IF(Table1[prior_dna_count]&gt;=1,"Has prior DNA history","No prior DNA history")</f>
        <v>No prior DNA history</v>
      </c>
      <c r="T189" t="s">
        <v>22</v>
      </c>
      <c r="U189" t="str">
        <f t="shared" si="2"/>
        <v>1</v>
      </c>
      <c r="V189" t="str">
        <f>IF(Table1[appointment_status]="Attended","1","0")</f>
        <v>1</v>
      </c>
      <c r="W189" t="str">
        <f>IF(Table1[appointment_status]="Cancelled","1","0")</f>
        <v>0</v>
      </c>
    </row>
    <row r="190" spans="1:23">
      <c r="A190" t="s">
        <v>410</v>
      </c>
      <c r="B190" t="s">
        <v>411</v>
      </c>
      <c r="C190">
        <v>3</v>
      </c>
      <c r="D190" t="str" cm="1">
        <f t="array" ref="D190">_xlfn.IFS(Table1[[#This Row],[age]]&lt;=17,"0-17",C190&lt;=29,"18-29",C190&lt;=44,"30-44",C190&lt;=59,"45-59",C190&lt;=74,"60-74",TRUE,"75+")</f>
        <v>0-17</v>
      </c>
      <c r="E190" t="s">
        <v>29</v>
      </c>
      <c r="F190">
        <v>3</v>
      </c>
      <c r="G190" t="str" cm="1">
        <f t="array" ref="G190">_xlfn.IFS(_xlfn.SINGLE(Table1[imd_decile])&lt;=3,"Most Deprived",F190&lt;=7,"Moderately Deprived",F190&lt;=10,"Least Deprived")</f>
        <v>Most Deprived</v>
      </c>
      <c r="H190">
        <v>2.2999999999999998</v>
      </c>
      <c r="I190" t="s">
        <v>49</v>
      </c>
      <c r="J190" t="s">
        <v>19</v>
      </c>
      <c r="K190" s="1">
        <v>45700</v>
      </c>
      <c r="L190" s="1">
        <v>45713</v>
      </c>
      <c r="M190" s="1" t="str">
        <f>TEXT(Table1[[#This Row],[appointment_date]],"MM/YYYY")</f>
        <v>02/2025</v>
      </c>
      <c r="N190">
        <v>13</v>
      </c>
      <c r="O190" t="str" cm="1">
        <f t="array" ref="O190">_xlfn.IFS(Table1[[#This Row],[lead_time_days]]&lt;=7,"0-7 days",N190&lt;=14,"8-14 days",N190&lt;=30,"15-30 days",N190&lt;=60,"31-60 days",TRUE,"61+ days")</f>
        <v>8-14 days</v>
      </c>
      <c r="P190" t="s">
        <v>71</v>
      </c>
      <c r="Q190" t="s">
        <v>32</v>
      </c>
      <c r="R190">
        <v>0</v>
      </c>
      <c r="S190" t="str">
        <f>IF(Table1[prior_dna_count]&gt;=1,"Has prior DNA history","No prior DNA history")</f>
        <v>No prior DNA history</v>
      </c>
      <c r="T190" t="s">
        <v>22</v>
      </c>
      <c r="U190" t="str">
        <f t="shared" si="2"/>
        <v>1</v>
      </c>
      <c r="V190" t="str">
        <f>IF(Table1[appointment_status]="Attended","1","0")</f>
        <v>1</v>
      </c>
      <c r="W190" t="str">
        <f>IF(Table1[appointment_status]="Cancelled","1","0")</f>
        <v>0</v>
      </c>
    </row>
    <row r="191" spans="1:23">
      <c r="A191" t="s">
        <v>412</v>
      </c>
      <c r="B191" t="s">
        <v>413</v>
      </c>
      <c r="C191">
        <v>61</v>
      </c>
      <c r="D191" t="str" cm="1">
        <f t="array" ref="D191">_xlfn.IFS(Table1[[#This Row],[age]]&lt;=17,"0-17",C191&lt;=29,"18-29",C191&lt;=44,"30-44",C191&lt;=59,"45-59",C191&lt;=74,"60-74",TRUE,"75+")</f>
        <v>60-74</v>
      </c>
      <c r="E191" t="s">
        <v>29</v>
      </c>
      <c r="F191">
        <v>1</v>
      </c>
      <c r="G191" t="str" cm="1">
        <f t="array" ref="G191">_xlfn.IFS(_xlfn.SINGLE(Table1[imd_decile])&lt;=3,"Most Deprived",F191&lt;=7,"Moderately Deprived",F191&lt;=10,"Least Deprived")</f>
        <v>Most Deprived</v>
      </c>
      <c r="H191">
        <v>12.9</v>
      </c>
      <c r="I191" t="s">
        <v>155</v>
      </c>
      <c r="J191" t="s">
        <v>26</v>
      </c>
      <c r="K191" s="1">
        <v>45707</v>
      </c>
      <c r="L191" s="1">
        <v>45713</v>
      </c>
      <c r="M191" s="1" t="str">
        <f>TEXT(Table1[[#This Row],[appointment_date]],"MM/YYYY")</f>
        <v>02/2025</v>
      </c>
      <c r="N191">
        <v>6</v>
      </c>
      <c r="O191" t="str" cm="1">
        <f t="array" ref="O191">_xlfn.IFS(Table1[[#This Row],[lead_time_days]]&lt;=7,"0-7 days",N191&lt;=14,"8-14 days",N191&lt;=30,"15-30 days",N191&lt;=60,"31-60 days",TRUE,"61+ days")</f>
        <v>0-7 days</v>
      </c>
      <c r="P191" t="s">
        <v>71</v>
      </c>
      <c r="Q191" t="s">
        <v>32</v>
      </c>
      <c r="R191">
        <v>1</v>
      </c>
      <c r="S191" t="str">
        <f>IF(Table1[prior_dna_count]&gt;=1,"Has prior DNA history","No prior DNA history")</f>
        <v>Has prior DNA history</v>
      </c>
      <c r="T191" t="s">
        <v>22</v>
      </c>
      <c r="U191" t="str">
        <f t="shared" si="2"/>
        <v>1</v>
      </c>
      <c r="V191" t="str">
        <f>IF(Table1[appointment_status]="Attended","1","0")</f>
        <v>1</v>
      </c>
      <c r="W191" t="str">
        <f>IF(Table1[appointment_status]="Cancelled","1","0")</f>
        <v>0</v>
      </c>
    </row>
    <row r="192" spans="1:23">
      <c r="A192" t="s">
        <v>414</v>
      </c>
      <c r="B192" t="s">
        <v>415</v>
      </c>
      <c r="C192">
        <v>50</v>
      </c>
      <c r="D192" t="str" cm="1">
        <f t="array" ref="D192">_xlfn.IFS(Table1[[#This Row],[age]]&lt;=17,"0-17",C192&lt;=29,"18-29",C192&lt;=44,"30-44",C192&lt;=59,"45-59",C192&lt;=74,"60-74",TRUE,"75+")</f>
        <v>45-59</v>
      </c>
      <c r="E192" t="s">
        <v>29</v>
      </c>
      <c r="F192">
        <v>8</v>
      </c>
      <c r="G192" t="str" cm="1">
        <f t="array" ref="G192">_xlfn.IFS(_xlfn.SINGLE(Table1[imd_decile])&lt;=3,"Most Deprived",F192&lt;=7,"Moderately Deprived",F192&lt;=10,"Least Deprived")</f>
        <v>Least Deprived</v>
      </c>
      <c r="H192">
        <v>8.1</v>
      </c>
      <c r="I192" t="s">
        <v>42</v>
      </c>
      <c r="J192" t="s">
        <v>19</v>
      </c>
      <c r="K192" s="1">
        <v>45687</v>
      </c>
      <c r="L192" s="1">
        <v>45713</v>
      </c>
      <c r="M192" s="1" t="str">
        <f>TEXT(Table1[[#This Row],[appointment_date]],"MM/YYYY")</f>
        <v>02/2025</v>
      </c>
      <c r="N192">
        <v>26</v>
      </c>
      <c r="O192" t="str" cm="1">
        <f t="array" ref="O192">_xlfn.IFS(Table1[[#This Row],[lead_time_days]]&lt;=7,"0-7 days",N192&lt;=14,"8-14 days",N192&lt;=30,"15-30 days",N192&lt;=60,"31-60 days",TRUE,"61+ days")</f>
        <v>15-30 days</v>
      </c>
      <c r="P192" t="s">
        <v>71</v>
      </c>
      <c r="Q192" t="s">
        <v>21</v>
      </c>
      <c r="R192">
        <v>0</v>
      </c>
      <c r="S192" t="str">
        <f>IF(Table1[prior_dna_count]&gt;=1,"Has prior DNA history","No prior DNA history")</f>
        <v>No prior DNA history</v>
      </c>
      <c r="T192" t="s">
        <v>22</v>
      </c>
      <c r="U192" t="str">
        <f t="shared" si="2"/>
        <v>1</v>
      </c>
      <c r="V192" t="str">
        <f>IF(Table1[appointment_status]="Attended","1","0")</f>
        <v>1</v>
      </c>
      <c r="W192" t="str">
        <f>IF(Table1[appointment_status]="Cancelled","1","0")</f>
        <v>0</v>
      </c>
    </row>
    <row r="193" spans="1:23">
      <c r="A193" t="s">
        <v>416</v>
      </c>
      <c r="B193" t="s">
        <v>417</v>
      </c>
      <c r="C193">
        <v>39</v>
      </c>
      <c r="D193" t="str" cm="1">
        <f t="array" ref="D193">_xlfn.IFS(Table1[[#This Row],[age]]&lt;=17,"0-17",C193&lt;=29,"18-29",C193&lt;=44,"30-44",C193&lt;=59,"45-59",C193&lt;=74,"60-74",TRUE,"75+")</f>
        <v>30-44</v>
      </c>
      <c r="E193" t="s">
        <v>29</v>
      </c>
      <c r="F193">
        <v>10</v>
      </c>
      <c r="G193" t="str" cm="1">
        <f t="array" ref="G193">_xlfn.IFS(_xlfn.SINGLE(Table1[imd_decile])&lt;=3,"Most Deprived",F193&lt;=7,"Moderately Deprived",F193&lt;=10,"Least Deprived")</f>
        <v>Least Deprived</v>
      </c>
      <c r="H193">
        <v>2.8</v>
      </c>
      <c r="I193" t="s">
        <v>25</v>
      </c>
      <c r="J193" t="s">
        <v>26</v>
      </c>
      <c r="K193" s="1">
        <v>45700</v>
      </c>
      <c r="L193" s="1">
        <v>45713</v>
      </c>
      <c r="M193" s="1" t="str">
        <f>TEXT(Table1[[#This Row],[appointment_date]],"MM/YYYY")</f>
        <v>02/2025</v>
      </c>
      <c r="N193">
        <v>13</v>
      </c>
      <c r="O193" t="str" cm="1">
        <f t="array" ref="O193">_xlfn.IFS(Table1[[#This Row],[lead_time_days]]&lt;=7,"0-7 days",N193&lt;=14,"8-14 days",N193&lt;=30,"15-30 days",N193&lt;=60,"31-60 days",TRUE,"61+ days")</f>
        <v>8-14 days</v>
      </c>
      <c r="P193" t="s">
        <v>71</v>
      </c>
      <c r="Q193" t="s">
        <v>21</v>
      </c>
      <c r="R193">
        <v>0</v>
      </c>
      <c r="S193" t="str">
        <f>IF(Table1[prior_dna_count]&gt;=1,"Has prior DNA history","No prior DNA history")</f>
        <v>No prior DNA history</v>
      </c>
      <c r="T193" t="s">
        <v>22</v>
      </c>
      <c r="U193" t="str">
        <f t="shared" si="2"/>
        <v>1</v>
      </c>
      <c r="V193" t="str">
        <f>IF(Table1[appointment_status]="Attended","1","0")</f>
        <v>1</v>
      </c>
      <c r="W193" t="str">
        <f>IF(Table1[appointment_status]="Cancelled","1","0")</f>
        <v>0</v>
      </c>
    </row>
    <row r="194" spans="1:23">
      <c r="A194" t="s">
        <v>418</v>
      </c>
      <c r="B194" t="s">
        <v>419</v>
      </c>
      <c r="C194">
        <v>59</v>
      </c>
      <c r="D194" t="str" cm="1">
        <f t="array" ref="D194">_xlfn.IFS(Table1[[#This Row],[age]]&lt;=17,"0-17",C194&lt;=29,"18-29",C194&lt;=44,"30-44",C194&lt;=59,"45-59",C194&lt;=74,"60-74",TRUE,"75+")</f>
        <v>45-59</v>
      </c>
      <c r="E194" t="s">
        <v>17</v>
      </c>
      <c r="F194">
        <v>1</v>
      </c>
      <c r="G194" t="str" cm="1">
        <f t="array" ref="G194">_xlfn.IFS(_xlfn.SINGLE(Table1[imd_decile])&lt;=3,"Most Deprived",F194&lt;=7,"Moderately Deprived",F194&lt;=10,"Least Deprived")</f>
        <v>Most Deprived</v>
      </c>
      <c r="H194">
        <v>3.7</v>
      </c>
      <c r="I194" t="s">
        <v>45</v>
      </c>
      <c r="J194" t="s">
        <v>26</v>
      </c>
      <c r="K194" s="1">
        <v>45695</v>
      </c>
      <c r="L194" s="1">
        <v>45713</v>
      </c>
      <c r="M194" s="1" t="str">
        <f>TEXT(Table1[[#This Row],[appointment_date]],"MM/YYYY")</f>
        <v>02/2025</v>
      </c>
      <c r="N194">
        <v>18</v>
      </c>
      <c r="O194" t="str" cm="1">
        <f t="array" ref="O194">_xlfn.IFS(Table1[[#This Row],[lead_time_days]]&lt;=7,"0-7 days",N194&lt;=14,"8-14 days",N194&lt;=30,"15-30 days",N194&lt;=60,"31-60 days",TRUE,"61+ days")</f>
        <v>15-30 days</v>
      </c>
      <c r="P194" t="s">
        <v>71</v>
      </c>
      <c r="Q194" t="s">
        <v>32</v>
      </c>
      <c r="R194">
        <v>0</v>
      </c>
      <c r="S194" t="str">
        <f>IF(Table1[prior_dna_count]&gt;=1,"Has prior DNA history","No prior DNA history")</f>
        <v>No prior DNA history</v>
      </c>
      <c r="T194" t="s">
        <v>22</v>
      </c>
      <c r="U194" t="str">
        <f t="shared" ref="U194:U257" si="3">V193</f>
        <v>1</v>
      </c>
      <c r="V194" t="str">
        <f>IF(Table1[appointment_status]="Attended","1","0")</f>
        <v>1</v>
      </c>
      <c r="W194" t="str">
        <f>IF(Table1[appointment_status]="Cancelled","1","0")</f>
        <v>0</v>
      </c>
    </row>
    <row r="195" spans="1:23">
      <c r="A195" t="s">
        <v>420</v>
      </c>
      <c r="B195" t="s">
        <v>421</v>
      </c>
      <c r="C195">
        <v>62</v>
      </c>
      <c r="D195" t="str" cm="1">
        <f t="array" ref="D195">_xlfn.IFS(Table1[[#This Row],[age]]&lt;=17,"0-17",C195&lt;=29,"18-29",C195&lt;=44,"30-44",C195&lt;=59,"45-59",C195&lt;=74,"60-74",TRUE,"75+")</f>
        <v>60-74</v>
      </c>
      <c r="E195" t="s">
        <v>29</v>
      </c>
      <c r="F195">
        <v>6</v>
      </c>
      <c r="G195" t="str" cm="1">
        <f t="array" ref="G195">_xlfn.IFS(_xlfn.SINGLE(Table1[imd_decile])&lt;=3,"Most Deprived",F195&lt;=7,"Moderately Deprived",F195&lt;=10,"Least Deprived")</f>
        <v>Moderately Deprived</v>
      </c>
      <c r="H195">
        <v>4</v>
      </c>
      <c r="I195" t="s">
        <v>30</v>
      </c>
      <c r="J195" t="s">
        <v>26</v>
      </c>
      <c r="K195" s="1">
        <v>45702</v>
      </c>
      <c r="L195" s="1">
        <v>45713</v>
      </c>
      <c r="M195" s="1" t="str">
        <f>TEXT(Table1[[#This Row],[appointment_date]],"MM/YYYY")</f>
        <v>02/2025</v>
      </c>
      <c r="N195">
        <v>11</v>
      </c>
      <c r="O195" t="str" cm="1">
        <f t="array" ref="O195">_xlfn.IFS(Table1[[#This Row],[lead_time_days]]&lt;=7,"0-7 days",N195&lt;=14,"8-14 days",N195&lt;=30,"15-30 days",N195&lt;=60,"31-60 days",TRUE,"61+ days")</f>
        <v>8-14 days</v>
      </c>
      <c r="P195" t="s">
        <v>71</v>
      </c>
      <c r="Q195" t="s">
        <v>32</v>
      </c>
      <c r="R195">
        <v>0</v>
      </c>
      <c r="S195" t="str">
        <f>IF(Table1[prior_dna_count]&gt;=1,"Has prior DNA history","No prior DNA history")</f>
        <v>No prior DNA history</v>
      </c>
      <c r="T195" t="s">
        <v>22</v>
      </c>
      <c r="U195" t="str">
        <f t="shared" si="3"/>
        <v>1</v>
      </c>
      <c r="V195" t="str">
        <f>IF(Table1[appointment_status]="Attended","1","0")</f>
        <v>1</v>
      </c>
      <c r="W195" t="str">
        <f>IF(Table1[appointment_status]="Cancelled","1","0")</f>
        <v>0</v>
      </c>
    </row>
    <row r="196" spans="1:23">
      <c r="A196" t="s">
        <v>422</v>
      </c>
      <c r="B196" t="s">
        <v>423</v>
      </c>
      <c r="C196">
        <v>53</v>
      </c>
      <c r="D196" t="str" cm="1">
        <f t="array" ref="D196">_xlfn.IFS(Table1[[#This Row],[age]]&lt;=17,"0-17",C196&lt;=29,"18-29",C196&lt;=44,"30-44",C196&lt;=59,"45-59",C196&lt;=74,"60-74",TRUE,"75+")</f>
        <v>45-59</v>
      </c>
      <c r="E196" t="s">
        <v>17</v>
      </c>
      <c r="F196">
        <v>4</v>
      </c>
      <c r="G196" t="str" cm="1">
        <f t="array" ref="G196">_xlfn.IFS(_xlfn.SINGLE(Table1[imd_decile])&lt;=3,"Most Deprived",F196&lt;=7,"Moderately Deprived",F196&lt;=10,"Least Deprived")</f>
        <v>Moderately Deprived</v>
      </c>
      <c r="H196">
        <v>3.8</v>
      </c>
      <c r="I196" t="s">
        <v>30</v>
      </c>
      <c r="J196" t="s">
        <v>19</v>
      </c>
      <c r="K196" s="1">
        <v>45702</v>
      </c>
      <c r="L196" s="1">
        <v>45714</v>
      </c>
      <c r="M196" s="1" t="str">
        <f>TEXT(Table1[[#This Row],[appointment_date]],"MM/YYYY")</f>
        <v>02/2025</v>
      </c>
      <c r="N196">
        <v>12</v>
      </c>
      <c r="O196" t="str" cm="1">
        <f t="array" ref="O196">_xlfn.IFS(Table1[[#This Row],[lead_time_days]]&lt;=7,"0-7 days",N196&lt;=14,"8-14 days",N196&lt;=30,"15-30 days",N196&lt;=60,"31-60 days",TRUE,"61+ days")</f>
        <v>8-14 days</v>
      </c>
      <c r="P196" t="s">
        <v>80</v>
      </c>
      <c r="Q196" t="s">
        <v>21</v>
      </c>
      <c r="R196">
        <v>0</v>
      </c>
      <c r="S196" t="str">
        <f>IF(Table1[prior_dna_count]&gt;=1,"Has prior DNA history","No prior DNA history")</f>
        <v>No prior DNA history</v>
      </c>
      <c r="T196" t="s">
        <v>22</v>
      </c>
      <c r="U196" t="str">
        <f t="shared" si="3"/>
        <v>1</v>
      </c>
      <c r="V196" t="str">
        <f>IF(Table1[appointment_status]="Attended","1","0")</f>
        <v>1</v>
      </c>
      <c r="W196" t="str">
        <f>IF(Table1[appointment_status]="Cancelled","1","0")</f>
        <v>0</v>
      </c>
    </row>
    <row r="197" spans="1:23">
      <c r="A197" t="s">
        <v>424</v>
      </c>
      <c r="B197" t="s">
        <v>41</v>
      </c>
      <c r="C197">
        <v>52</v>
      </c>
      <c r="D197" t="str" cm="1">
        <f t="array" ref="D197">_xlfn.IFS(Table1[[#This Row],[age]]&lt;=17,"0-17",C197&lt;=29,"18-29",C197&lt;=44,"30-44",C197&lt;=59,"45-59",C197&lt;=74,"60-74",TRUE,"75+")</f>
        <v>45-59</v>
      </c>
      <c r="E197" t="s">
        <v>29</v>
      </c>
      <c r="F197">
        <v>8</v>
      </c>
      <c r="G197" t="str" cm="1">
        <f t="array" ref="G197">_xlfn.IFS(_xlfn.SINGLE(Table1[imd_decile])&lt;=3,"Most Deprived",F197&lt;=7,"Moderately Deprived",F197&lt;=10,"Least Deprived")</f>
        <v>Least Deprived</v>
      </c>
      <c r="H197">
        <v>3.9</v>
      </c>
      <c r="I197" t="s">
        <v>25</v>
      </c>
      <c r="J197" t="s">
        <v>26</v>
      </c>
      <c r="K197" s="1">
        <v>45703</v>
      </c>
      <c r="L197" s="1">
        <v>45714</v>
      </c>
      <c r="M197" s="1" t="str">
        <f>TEXT(Table1[[#This Row],[appointment_date]],"MM/YYYY")</f>
        <v>02/2025</v>
      </c>
      <c r="N197">
        <v>11</v>
      </c>
      <c r="O197" t="str" cm="1">
        <f t="array" ref="O197">_xlfn.IFS(Table1[[#This Row],[lead_time_days]]&lt;=7,"0-7 days",N197&lt;=14,"8-14 days",N197&lt;=30,"15-30 days",N197&lt;=60,"31-60 days",TRUE,"61+ days")</f>
        <v>8-14 days</v>
      </c>
      <c r="P197" t="s">
        <v>80</v>
      </c>
      <c r="Q197" t="s">
        <v>21</v>
      </c>
      <c r="R197">
        <v>0</v>
      </c>
      <c r="S197" t="str">
        <f>IF(Table1[prior_dna_count]&gt;=1,"Has prior DNA history","No prior DNA history")</f>
        <v>No prior DNA history</v>
      </c>
      <c r="T197" t="s">
        <v>22</v>
      </c>
      <c r="U197" t="str">
        <f t="shared" si="3"/>
        <v>1</v>
      </c>
      <c r="V197" t="str">
        <f>IF(Table1[appointment_status]="Attended","1","0")</f>
        <v>1</v>
      </c>
      <c r="W197" t="str">
        <f>IF(Table1[appointment_status]="Cancelled","1","0")</f>
        <v>0</v>
      </c>
    </row>
    <row r="198" spans="1:23">
      <c r="A198" t="s">
        <v>425</v>
      </c>
      <c r="B198" t="s">
        <v>426</v>
      </c>
      <c r="C198">
        <v>76</v>
      </c>
      <c r="D198" t="str" cm="1">
        <f t="array" ref="D198">_xlfn.IFS(Table1[[#This Row],[age]]&lt;=17,"0-17",C198&lt;=29,"18-29",C198&lt;=44,"30-44",C198&lt;=59,"45-59",C198&lt;=74,"60-74",TRUE,"75+")</f>
        <v>75+</v>
      </c>
      <c r="E198" t="s">
        <v>17</v>
      </c>
      <c r="F198">
        <v>3</v>
      </c>
      <c r="G198" t="str" cm="1">
        <f t="array" ref="G198">_xlfn.IFS(_xlfn.SINGLE(Table1[imd_decile])&lt;=3,"Most Deprived",F198&lt;=7,"Moderately Deprived",F198&lt;=10,"Least Deprived")</f>
        <v>Most Deprived</v>
      </c>
      <c r="H198">
        <v>1.4</v>
      </c>
      <c r="I198" t="s">
        <v>58</v>
      </c>
      <c r="J198" t="s">
        <v>26</v>
      </c>
      <c r="K198" s="1">
        <v>45706</v>
      </c>
      <c r="L198" s="1">
        <v>45714</v>
      </c>
      <c r="M198" s="1" t="str">
        <f>TEXT(Table1[[#This Row],[appointment_date]],"MM/YYYY")</f>
        <v>02/2025</v>
      </c>
      <c r="N198">
        <v>8</v>
      </c>
      <c r="O198" t="str" cm="1">
        <f t="array" ref="O198">_xlfn.IFS(Table1[[#This Row],[lead_time_days]]&lt;=7,"0-7 days",N198&lt;=14,"8-14 days",N198&lt;=30,"15-30 days",N198&lt;=60,"31-60 days",TRUE,"61+ days")</f>
        <v>8-14 days</v>
      </c>
      <c r="P198" t="s">
        <v>80</v>
      </c>
      <c r="Q198" t="s">
        <v>32</v>
      </c>
      <c r="R198">
        <v>0</v>
      </c>
      <c r="S198" t="str">
        <f>IF(Table1[prior_dna_count]&gt;=1,"Has prior DNA history","No prior DNA history")</f>
        <v>No prior DNA history</v>
      </c>
      <c r="T198" t="s">
        <v>39</v>
      </c>
      <c r="U198" t="str">
        <f t="shared" si="3"/>
        <v>1</v>
      </c>
      <c r="V198" t="str">
        <f>IF(Table1[appointment_status]="Attended","1","0")</f>
        <v>0</v>
      </c>
      <c r="W198" t="str">
        <f>IF(Table1[appointment_status]="Cancelled","1","0")</f>
        <v>0</v>
      </c>
    </row>
    <row r="199" spans="1:23">
      <c r="A199" t="s">
        <v>427</v>
      </c>
      <c r="B199" t="s">
        <v>428</v>
      </c>
      <c r="C199">
        <v>60</v>
      </c>
      <c r="D199" t="str" cm="1">
        <f t="array" ref="D199">_xlfn.IFS(Table1[[#This Row],[age]]&lt;=17,"0-17",C199&lt;=29,"18-29",C199&lt;=44,"30-44",C199&lt;=59,"45-59",C199&lt;=74,"60-74",TRUE,"75+")</f>
        <v>60-74</v>
      </c>
      <c r="E199" t="s">
        <v>29</v>
      </c>
      <c r="F199">
        <v>9</v>
      </c>
      <c r="G199" t="str" cm="1">
        <f t="array" ref="G199">_xlfn.IFS(_xlfn.SINGLE(Table1[imd_decile])&lt;=3,"Most Deprived",F199&lt;=7,"Moderately Deprived",F199&lt;=10,"Least Deprived")</f>
        <v>Least Deprived</v>
      </c>
      <c r="H199">
        <v>6.5</v>
      </c>
      <c r="I199" t="s">
        <v>49</v>
      </c>
      <c r="J199" t="s">
        <v>19</v>
      </c>
      <c r="K199" s="1">
        <v>45704</v>
      </c>
      <c r="L199" s="1">
        <v>45714</v>
      </c>
      <c r="M199" s="1" t="str">
        <f>TEXT(Table1[[#This Row],[appointment_date]],"MM/YYYY")</f>
        <v>02/2025</v>
      </c>
      <c r="N199">
        <v>10</v>
      </c>
      <c r="O199" t="str" cm="1">
        <f t="array" ref="O199">_xlfn.IFS(Table1[[#This Row],[lead_time_days]]&lt;=7,"0-7 days",N199&lt;=14,"8-14 days",N199&lt;=30,"15-30 days",N199&lt;=60,"31-60 days",TRUE,"61+ days")</f>
        <v>8-14 days</v>
      </c>
      <c r="P199" t="s">
        <v>80</v>
      </c>
      <c r="Q199" t="s">
        <v>21</v>
      </c>
      <c r="R199">
        <v>0</v>
      </c>
      <c r="S199" t="str">
        <f>IF(Table1[prior_dna_count]&gt;=1,"Has prior DNA history","No prior DNA history")</f>
        <v>No prior DNA history</v>
      </c>
      <c r="T199" t="s">
        <v>22</v>
      </c>
      <c r="U199" t="str">
        <f t="shared" si="3"/>
        <v>0</v>
      </c>
      <c r="V199" t="str">
        <f>IF(Table1[appointment_status]="Attended","1","0")</f>
        <v>1</v>
      </c>
      <c r="W199" t="str">
        <f>IF(Table1[appointment_status]="Cancelled","1","0")</f>
        <v>0</v>
      </c>
    </row>
    <row r="200" spans="1:23">
      <c r="A200" t="s">
        <v>429</v>
      </c>
      <c r="B200" t="s">
        <v>430</v>
      </c>
      <c r="C200">
        <v>46</v>
      </c>
      <c r="D200" t="str" cm="1">
        <f t="array" ref="D200">_xlfn.IFS(Table1[[#This Row],[age]]&lt;=17,"0-17",C200&lt;=29,"18-29",C200&lt;=44,"30-44",C200&lt;=59,"45-59",C200&lt;=74,"60-74",TRUE,"75+")</f>
        <v>45-59</v>
      </c>
      <c r="E200" t="s">
        <v>29</v>
      </c>
      <c r="F200">
        <v>3</v>
      </c>
      <c r="G200" t="str" cm="1">
        <f t="array" ref="G200">_xlfn.IFS(_xlfn.SINGLE(Table1[imd_decile])&lt;=3,"Most Deprived",F200&lt;=7,"Moderately Deprived",F200&lt;=10,"Least Deprived")</f>
        <v>Most Deprived</v>
      </c>
      <c r="H200">
        <v>5.2</v>
      </c>
      <c r="I200" t="s">
        <v>155</v>
      </c>
      <c r="J200" t="s">
        <v>19</v>
      </c>
      <c r="K200" s="1">
        <v>45666</v>
      </c>
      <c r="L200" s="1">
        <v>45714</v>
      </c>
      <c r="M200" s="1" t="str">
        <f>TEXT(Table1[[#This Row],[appointment_date]],"MM/YYYY")</f>
        <v>02/2025</v>
      </c>
      <c r="N200">
        <v>48</v>
      </c>
      <c r="O200" t="str" cm="1">
        <f t="array" ref="O200">_xlfn.IFS(Table1[[#This Row],[lead_time_days]]&lt;=7,"0-7 days",N200&lt;=14,"8-14 days",N200&lt;=30,"15-30 days",N200&lt;=60,"31-60 days",TRUE,"61+ days")</f>
        <v>31-60 days</v>
      </c>
      <c r="P200" t="s">
        <v>80</v>
      </c>
      <c r="Q200" t="s">
        <v>32</v>
      </c>
      <c r="R200">
        <v>0</v>
      </c>
      <c r="S200" t="str">
        <f>IF(Table1[prior_dna_count]&gt;=1,"Has prior DNA history","No prior DNA history")</f>
        <v>No prior DNA history</v>
      </c>
      <c r="T200" t="s">
        <v>22</v>
      </c>
      <c r="U200" t="str">
        <f t="shared" si="3"/>
        <v>1</v>
      </c>
      <c r="V200" t="str">
        <f>IF(Table1[appointment_status]="Attended","1","0")</f>
        <v>1</v>
      </c>
      <c r="W200" t="str">
        <f>IF(Table1[appointment_status]="Cancelled","1","0")</f>
        <v>0</v>
      </c>
    </row>
    <row r="201" spans="1:23">
      <c r="A201" t="s">
        <v>431</v>
      </c>
      <c r="B201" t="s">
        <v>432</v>
      </c>
      <c r="C201">
        <v>42</v>
      </c>
      <c r="D201" t="str" cm="1">
        <f t="array" ref="D201">_xlfn.IFS(Table1[[#This Row],[age]]&lt;=17,"0-17",C201&lt;=29,"18-29",C201&lt;=44,"30-44",C201&lt;=59,"45-59",C201&lt;=74,"60-74",TRUE,"75+")</f>
        <v>30-44</v>
      </c>
      <c r="E201" t="s">
        <v>29</v>
      </c>
      <c r="F201">
        <v>4</v>
      </c>
      <c r="G201" t="str" cm="1">
        <f t="array" ref="G201">_xlfn.IFS(_xlfn.SINGLE(Table1[imd_decile])&lt;=3,"Most Deprived",F201&lt;=7,"Moderately Deprived",F201&lt;=10,"Least Deprived")</f>
        <v>Moderately Deprived</v>
      </c>
      <c r="H201">
        <v>7.9</v>
      </c>
      <c r="I201" t="s">
        <v>25</v>
      </c>
      <c r="J201" t="s">
        <v>19</v>
      </c>
      <c r="K201" s="1">
        <v>45689</v>
      </c>
      <c r="L201" s="1">
        <v>45714</v>
      </c>
      <c r="M201" s="1" t="str">
        <f>TEXT(Table1[[#This Row],[appointment_date]],"MM/YYYY")</f>
        <v>02/2025</v>
      </c>
      <c r="N201">
        <v>25</v>
      </c>
      <c r="O201" t="str" cm="1">
        <f t="array" ref="O201">_xlfn.IFS(Table1[[#This Row],[lead_time_days]]&lt;=7,"0-7 days",N201&lt;=14,"8-14 days",N201&lt;=30,"15-30 days",N201&lt;=60,"31-60 days",TRUE,"61+ days")</f>
        <v>15-30 days</v>
      </c>
      <c r="P201" t="s">
        <v>80</v>
      </c>
      <c r="Q201" t="s">
        <v>21</v>
      </c>
      <c r="R201">
        <v>0</v>
      </c>
      <c r="S201" t="str">
        <f>IF(Table1[prior_dna_count]&gt;=1,"Has prior DNA history","No prior DNA history")</f>
        <v>No prior DNA history</v>
      </c>
      <c r="T201" t="s">
        <v>22</v>
      </c>
      <c r="U201" t="str">
        <f t="shared" si="3"/>
        <v>1</v>
      </c>
      <c r="V201" t="str">
        <f>IF(Table1[appointment_status]="Attended","1","0")</f>
        <v>1</v>
      </c>
      <c r="W201" t="str">
        <f>IF(Table1[appointment_status]="Cancelled","1","0")</f>
        <v>0</v>
      </c>
    </row>
    <row r="202" spans="1:23">
      <c r="A202" t="s">
        <v>433</v>
      </c>
      <c r="B202" t="s">
        <v>434</v>
      </c>
      <c r="C202">
        <v>86</v>
      </c>
      <c r="D202" t="str" cm="1">
        <f t="array" ref="D202">_xlfn.IFS(Table1[[#This Row],[age]]&lt;=17,"0-17",C202&lt;=29,"18-29",C202&lt;=44,"30-44",C202&lt;=59,"45-59",C202&lt;=74,"60-74",TRUE,"75+")</f>
        <v>75+</v>
      </c>
      <c r="E202" t="s">
        <v>29</v>
      </c>
      <c r="F202">
        <v>8</v>
      </c>
      <c r="G202" t="str" cm="1">
        <f t="array" ref="G202">_xlfn.IFS(_xlfn.SINGLE(Table1[imd_decile])&lt;=3,"Most Deprived",F202&lt;=7,"Moderately Deprived",F202&lt;=10,"Least Deprived")</f>
        <v>Least Deprived</v>
      </c>
      <c r="H202">
        <v>4.8</v>
      </c>
      <c r="I202" t="s">
        <v>155</v>
      </c>
      <c r="J202" t="s">
        <v>19</v>
      </c>
      <c r="K202" s="1">
        <v>45696</v>
      </c>
      <c r="L202" s="1">
        <v>45714</v>
      </c>
      <c r="M202" s="1" t="str">
        <f>TEXT(Table1[[#This Row],[appointment_date]],"MM/YYYY")</f>
        <v>02/2025</v>
      </c>
      <c r="N202">
        <v>18</v>
      </c>
      <c r="O202" t="str" cm="1">
        <f t="array" ref="O202">_xlfn.IFS(Table1[[#This Row],[lead_time_days]]&lt;=7,"0-7 days",N202&lt;=14,"8-14 days",N202&lt;=30,"15-30 days",N202&lt;=60,"31-60 days",TRUE,"61+ days")</f>
        <v>15-30 days</v>
      </c>
      <c r="P202" t="s">
        <v>80</v>
      </c>
      <c r="Q202" t="s">
        <v>32</v>
      </c>
      <c r="R202">
        <v>0</v>
      </c>
      <c r="S202" t="str">
        <f>IF(Table1[prior_dna_count]&gt;=1,"Has prior DNA history","No prior DNA history")</f>
        <v>No prior DNA history</v>
      </c>
      <c r="T202" t="s">
        <v>22</v>
      </c>
      <c r="U202" t="str">
        <f t="shared" si="3"/>
        <v>1</v>
      </c>
      <c r="V202" t="str">
        <f>IF(Table1[appointment_status]="Attended","1","0")</f>
        <v>1</v>
      </c>
      <c r="W202" t="str">
        <f>IF(Table1[appointment_status]="Cancelled","1","0")</f>
        <v>0</v>
      </c>
    </row>
    <row r="203" spans="1:23">
      <c r="A203" t="s">
        <v>435</v>
      </c>
      <c r="B203" t="s">
        <v>436</v>
      </c>
      <c r="C203">
        <v>5</v>
      </c>
      <c r="D203" t="str" cm="1">
        <f t="array" ref="D203">_xlfn.IFS(Table1[[#This Row],[age]]&lt;=17,"0-17",C203&lt;=29,"18-29",C203&lt;=44,"30-44",C203&lt;=59,"45-59",C203&lt;=74,"60-74",TRUE,"75+")</f>
        <v>0-17</v>
      </c>
      <c r="E203" t="s">
        <v>17</v>
      </c>
      <c r="F203">
        <v>7</v>
      </c>
      <c r="G203" t="str" cm="1">
        <f t="array" ref="G203">_xlfn.IFS(_xlfn.SINGLE(Table1[imd_decile])&lt;=3,"Most Deprived",F203&lt;=7,"Moderately Deprived",F203&lt;=10,"Least Deprived")</f>
        <v>Moderately Deprived</v>
      </c>
      <c r="H203">
        <v>1.9</v>
      </c>
      <c r="I203" t="s">
        <v>42</v>
      </c>
      <c r="J203" t="s">
        <v>26</v>
      </c>
      <c r="K203" s="1">
        <v>45692</v>
      </c>
      <c r="L203" s="1">
        <v>45714</v>
      </c>
      <c r="M203" s="1" t="str">
        <f>TEXT(Table1[[#This Row],[appointment_date]],"MM/YYYY")</f>
        <v>02/2025</v>
      </c>
      <c r="N203">
        <v>22</v>
      </c>
      <c r="O203" t="str" cm="1">
        <f t="array" ref="O203">_xlfn.IFS(Table1[[#This Row],[lead_time_days]]&lt;=7,"0-7 days",N203&lt;=14,"8-14 days",N203&lt;=30,"15-30 days",N203&lt;=60,"31-60 days",TRUE,"61+ days")</f>
        <v>15-30 days</v>
      </c>
      <c r="P203" t="s">
        <v>80</v>
      </c>
      <c r="Q203" t="s">
        <v>32</v>
      </c>
      <c r="R203">
        <v>0</v>
      </c>
      <c r="S203" t="str">
        <f>IF(Table1[prior_dna_count]&gt;=1,"Has prior DNA history","No prior DNA history")</f>
        <v>No prior DNA history</v>
      </c>
      <c r="T203" t="s">
        <v>22</v>
      </c>
      <c r="U203" t="str">
        <f t="shared" si="3"/>
        <v>1</v>
      </c>
      <c r="V203" t="str">
        <f>IF(Table1[appointment_status]="Attended","1","0")</f>
        <v>1</v>
      </c>
      <c r="W203" t="str">
        <f>IF(Table1[appointment_status]="Cancelled","1","0")</f>
        <v>0</v>
      </c>
    </row>
    <row r="204" spans="1:23">
      <c r="A204" t="s">
        <v>437</v>
      </c>
      <c r="B204" t="s">
        <v>438</v>
      </c>
      <c r="C204">
        <v>34</v>
      </c>
      <c r="D204" t="str" cm="1">
        <f t="array" ref="D204">_xlfn.IFS(Table1[[#This Row],[age]]&lt;=17,"0-17",C204&lt;=29,"18-29",C204&lt;=44,"30-44",C204&lt;=59,"45-59",C204&lt;=74,"60-74",TRUE,"75+")</f>
        <v>30-44</v>
      </c>
      <c r="E204" t="s">
        <v>17</v>
      </c>
      <c r="F204">
        <v>8</v>
      </c>
      <c r="G204" t="str" cm="1">
        <f t="array" ref="G204">_xlfn.IFS(_xlfn.SINGLE(Table1[imd_decile])&lt;=3,"Most Deprived",F204&lt;=7,"Moderately Deprived",F204&lt;=10,"Least Deprived")</f>
        <v>Least Deprived</v>
      </c>
      <c r="H204">
        <v>6.8</v>
      </c>
      <c r="I204" t="s">
        <v>45</v>
      </c>
      <c r="J204" t="s">
        <v>19</v>
      </c>
      <c r="K204" s="1">
        <v>45690</v>
      </c>
      <c r="L204" s="1">
        <v>45714</v>
      </c>
      <c r="M204" s="1" t="str">
        <f>TEXT(Table1[[#This Row],[appointment_date]],"MM/YYYY")</f>
        <v>02/2025</v>
      </c>
      <c r="N204">
        <v>24</v>
      </c>
      <c r="O204" t="str" cm="1">
        <f t="array" ref="O204">_xlfn.IFS(Table1[[#This Row],[lead_time_days]]&lt;=7,"0-7 days",N204&lt;=14,"8-14 days",N204&lt;=30,"15-30 days",N204&lt;=60,"31-60 days",TRUE,"61+ days")</f>
        <v>15-30 days</v>
      </c>
      <c r="P204" t="s">
        <v>80</v>
      </c>
      <c r="Q204" t="s">
        <v>21</v>
      </c>
      <c r="R204">
        <v>0</v>
      </c>
      <c r="S204" t="str">
        <f>IF(Table1[prior_dna_count]&gt;=1,"Has prior DNA history","No prior DNA history")</f>
        <v>No prior DNA history</v>
      </c>
      <c r="T204" t="s">
        <v>22</v>
      </c>
      <c r="U204" t="str">
        <f t="shared" si="3"/>
        <v>1</v>
      </c>
      <c r="V204" t="str">
        <f>IF(Table1[appointment_status]="Attended","1","0")</f>
        <v>1</v>
      </c>
      <c r="W204" t="str">
        <f>IF(Table1[appointment_status]="Cancelled","1","0")</f>
        <v>0</v>
      </c>
    </row>
    <row r="205" spans="1:23">
      <c r="A205" t="s">
        <v>439</v>
      </c>
      <c r="B205" t="s">
        <v>440</v>
      </c>
      <c r="C205">
        <v>48</v>
      </c>
      <c r="D205" t="str" cm="1">
        <f t="array" ref="D205">_xlfn.IFS(Table1[[#This Row],[age]]&lt;=17,"0-17",C205&lt;=29,"18-29",C205&lt;=44,"30-44",C205&lt;=59,"45-59",C205&lt;=74,"60-74",TRUE,"75+")</f>
        <v>45-59</v>
      </c>
      <c r="E205" t="s">
        <v>29</v>
      </c>
      <c r="F205">
        <v>2</v>
      </c>
      <c r="G205" t="str" cm="1">
        <f t="array" ref="G205">_xlfn.IFS(_xlfn.SINGLE(Table1[imd_decile])&lt;=3,"Most Deprived",F205&lt;=7,"Moderately Deprived",F205&lt;=10,"Least Deprived")</f>
        <v>Most Deprived</v>
      </c>
      <c r="H205">
        <v>4.8</v>
      </c>
      <c r="I205" t="s">
        <v>38</v>
      </c>
      <c r="J205" t="s">
        <v>26</v>
      </c>
      <c r="K205" s="1">
        <v>45712</v>
      </c>
      <c r="L205" s="1">
        <v>45714</v>
      </c>
      <c r="M205" s="1" t="str">
        <f>TEXT(Table1[[#This Row],[appointment_date]],"MM/YYYY")</f>
        <v>02/2025</v>
      </c>
      <c r="N205">
        <v>2</v>
      </c>
      <c r="O205" t="str" cm="1">
        <f t="array" ref="O205">_xlfn.IFS(Table1[[#This Row],[lead_time_days]]&lt;=7,"0-7 days",N205&lt;=14,"8-14 days",N205&lt;=30,"15-30 days",N205&lt;=60,"31-60 days",TRUE,"61+ days")</f>
        <v>0-7 days</v>
      </c>
      <c r="P205" t="s">
        <v>80</v>
      </c>
      <c r="Q205" t="s">
        <v>21</v>
      </c>
      <c r="R205">
        <v>0</v>
      </c>
      <c r="S205" t="str">
        <f>IF(Table1[prior_dna_count]&gt;=1,"Has prior DNA history","No prior DNA history")</f>
        <v>No prior DNA history</v>
      </c>
      <c r="T205" t="s">
        <v>22</v>
      </c>
      <c r="U205" t="str">
        <f t="shared" si="3"/>
        <v>1</v>
      </c>
      <c r="V205" t="str">
        <f>IF(Table1[appointment_status]="Attended","1","0")</f>
        <v>1</v>
      </c>
      <c r="W205" t="str">
        <f>IF(Table1[appointment_status]="Cancelled","1","0")</f>
        <v>0</v>
      </c>
    </row>
    <row r="206" spans="1:23">
      <c r="A206" t="s">
        <v>441</v>
      </c>
      <c r="B206" t="s">
        <v>442</v>
      </c>
      <c r="C206">
        <v>37</v>
      </c>
      <c r="D206" t="str" cm="1">
        <f t="array" ref="D206">_xlfn.IFS(Table1[[#This Row],[age]]&lt;=17,"0-17",C206&lt;=29,"18-29",C206&lt;=44,"30-44",C206&lt;=59,"45-59",C206&lt;=74,"60-74",TRUE,"75+")</f>
        <v>30-44</v>
      </c>
      <c r="E206" t="s">
        <v>17</v>
      </c>
      <c r="F206">
        <v>5</v>
      </c>
      <c r="G206" t="str" cm="1">
        <f t="array" ref="G206">_xlfn.IFS(_xlfn.SINGLE(Table1[imd_decile])&lt;=3,"Most Deprived",F206&lt;=7,"Moderately Deprived",F206&lt;=10,"Least Deprived")</f>
        <v>Moderately Deprived</v>
      </c>
      <c r="H206">
        <v>2.6</v>
      </c>
      <c r="I206" t="s">
        <v>38</v>
      </c>
      <c r="J206" t="s">
        <v>19</v>
      </c>
      <c r="K206" s="1">
        <v>45700</v>
      </c>
      <c r="L206" s="1">
        <v>45714</v>
      </c>
      <c r="M206" s="1" t="str">
        <f>TEXT(Table1[[#This Row],[appointment_date]],"MM/YYYY")</f>
        <v>02/2025</v>
      </c>
      <c r="N206">
        <v>14</v>
      </c>
      <c r="O206" t="str" cm="1">
        <f t="array" ref="O206">_xlfn.IFS(Table1[[#This Row],[lead_time_days]]&lt;=7,"0-7 days",N206&lt;=14,"8-14 days",N206&lt;=30,"15-30 days",N206&lt;=60,"31-60 days",TRUE,"61+ days")</f>
        <v>8-14 days</v>
      </c>
      <c r="P206" t="s">
        <v>80</v>
      </c>
      <c r="Q206" t="s">
        <v>32</v>
      </c>
      <c r="R206">
        <v>0</v>
      </c>
      <c r="S206" t="str">
        <f>IF(Table1[prior_dna_count]&gt;=1,"Has prior DNA history","No prior DNA history")</f>
        <v>No prior DNA history</v>
      </c>
      <c r="T206" t="s">
        <v>39</v>
      </c>
      <c r="U206" t="str">
        <f t="shared" si="3"/>
        <v>1</v>
      </c>
      <c r="V206" t="str">
        <f>IF(Table1[appointment_status]="Attended","1","0")</f>
        <v>0</v>
      </c>
      <c r="W206" t="str">
        <f>IF(Table1[appointment_status]="Cancelled","1","0")</f>
        <v>0</v>
      </c>
    </row>
    <row r="207" spans="1:23">
      <c r="A207" t="s">
        <v>443</v>
      </c>
      <c r="B207" t="s">
        <v>444</v>
      </c>
      <c r="C207">
        <v>42</v>
      </c>
      <c r="D207" t="str" cm="1">
        <f t="array" ref="D207">_xlfn.IFS(Table1[[#This Row],[age]]&lt;=17,"0-17",C207&lt;=29,"18-29",C207&lt;=44,"30-44",C207&lt;=59,"45-59",C207&lt;=74,"60-74",TRUE,"75+")</f>
        <v>30-44</v>
      </c>
      <c r="E207" t="s">
        <v>29</v>
      </c>
      <c r="F207">
        <v>8</v>
      </c>
      <c r="G207" t="str" cm="1">
        <f t="array" ref="G207">_xlfn.IFS(_xlfn.SINGLE(Table1[imd_decile])&lt;=3,"Most Deprived",F207&lt;=7,"Moderately Deprived",F207&lt;=10,"Least Deprived")</f>
        <v>Least Deprived</v>
      </c>
      <c r="H207">
        <v>9.3000000000000007</v>
      </c>
      <c r="I207" t="s">
        <v>91</v>
      </c>
      <c r="J207" t="s">
        <v>19</v>
      </c>
      <c r="K207" s="1">
        <v>45681</v>
      </c>
      <c r="L207" s="1">
        <v>45715</v>
      </c>
      <c r="M207" s="1" t="str">
        <f>TEXT(Table1[[#This Row],[appointment_date]],"MM/YYYY")</f>
        <v>02/2025</v>
      </c>
      <c r="N207">
        <v>34</v>
      </c>
      <c r="O207" t="str" cm="1">
        <f t="array" ref="O207">_xlfn.IFS(Table1[[#This Row],[lead_time_days]]&lt;=7,"0-7 days",N207&lt;=14,"8-14 days",N207&lt;=30,"15-30 days",N207&lt;=60,"31-60 days",TRUE,"61+ days")</f>
        <v>31-60 days</v>
      </c>
      <c r="P207" t="s">
        <v>20</v>
      </c>
      <c r="Q207" t="s">
        <v>21</v>
      </c>
      <c r="R207">
        <v>0</v>
      </c>
      <c r="S207" t="str">
        <f>IF(Table1[prior_dna_count]&gt;=1,"Has prior DNA history","No prior DNA history")</f>
        <v>No prior DNA history</v>
      </c>
      <c r="T207" t="s">
        <v>22</v>
      </c>
      <c r="U207" t="str">
        <f t="shared" si="3"/>
        <v>0</v>
      </c>
      <c r="V207" t="str">
        <f>IF(Table1[appointment_status]="Attended","1","0")</f>
        <v>1</v>
      </c>
      <c r="W207" t="str">
        <f>IF(Table1[appointment_status]="Cancelled","1","0")</f>
        <v>0</v>
      </c>
    </row>
    <row r="208" spans="1:23">
      <c r="A208" t="s">
        <v>445</v>
      </c>
      <c r="B208" t="s">
        <v>446</v>
      </c>
      <c r="C208">
        <v>52</v>
      </c>
      <c r="D208" t="str" cm="1">
        <f t="array" ref="D208">_xlfn.IFS(Table1[[#This Row],[age]]&lt;=17,"0-17",C208&lt;=29,"18-29",C208&lt;=44,"30-44",C208&lt;=59,"45-59",C208&lt;=74,"60-74",TRUE,"75+")</f>
        <v>45-59</v>
      </c>
      <c r="E208" t="s">
        <v>17</v>
      </c>
      <c r="F208">
        <v>3</v>
      </c>
      <c r="G208" t="str" cm="1">
        <f t="array" ref="G208">_xlfn.IFS(_xlfn.SINGLE(Table1[imd_decile])&lt;=3,"Most Deprived",F208&lt;=7,"Moderately Deprived",F208&lt;=10,"Least Deprived")</f>
        <v>Most Deprived</v>
      </c>
      <c r="H208">
        <v>6.8</v>
      </c>
      <c r="I208" t="s">
        <v>155</v>
      </c>
      <c r="J208" t="s">
        <v>26</v>
      </c>
      <c r="K208" s="1">
        <v>45704</v>
      </c>
      <c r="L208" s="1">
        <v>45715</v>
      </c>
      <c r="M208" s="1" t="str">
        <f>TEXT(Table1[[#This Row],[appointment_date]],"MM/YYYY")</f>
        <v>02/2025</v>
      </c>
      <c r="N208">
        <v>11</v>
      </c>
      <c r="O208" t="str" cm="1">
        <f t="array" ref="O208">_xlfn.IFS(Table1[[#This Row],[lead_time_days]]&lt;=7,"0-7 days",N208&lt;=14,"8-14 days",N208&lt;=30,"15-30 days",N208&lt;=60,"31-60 days",TRUE,"61+ days")</f>
        <v>8-14 days</v>
      </c>
      <c r="P208" t="s">
        <v>20</v>
      </c>
      <c r="Q208" t="s">
        <v>21</v>
      </c>
      <c r="R208">
        <v>0</v>
      </c>
      <c r="S208" t="str">
        <f>IF(Table1[prior_dna_count]&gt;=1,"Has prior DNA history","No prior DNA history")</f>
        <v>No prior DNA history</v>
      </c>
      <c r="T208" t="s">
        <v>22</v>
      </c>
      <c r="U208" t="str">
        <f t="shared" si="3"/>
        <v>1</v>
      </c>
      <c r="V208" t="str">
        <f>IF(Table1[appointment_status]="Attended","1","0")</f>
        <v>1</v>
      </c>
      <c r="W208" t="str">
        <f>IF(Table1[appointment_status]="Cancelled","1","0")</f>
        <v>0</v>
      </c>
    </row>
    <row r="209" spans="1:23">
      <c r="A209" t="s">
        <v>447</v>
      </c>
      <c r="B209" t="s">
        <v>448</v>
      </c>
      <c r="C209">
        <v>52</v>
      </c>
      <c r="D209" t="str" cm="1">
        <f t="array" ref="D209">_xlfn.IFS(Table1[[#This Row],[age]]&lt;=17,"0-17",C209&lt;=29,"18-29",C209&lt;=44,"30-44",C209&lt;=59,"45-59",C209&lt;=74,"60-74",TRUE,"75+")</f>
        <v>45-59</v>
      </c>
      <c r="E209" t="s">
        <v>29</v>
      </c>
      <c r="F209">
        <v>9</v>
      </c>
      <c r="G209" t="str" cm="1">
        <f t="array" ref="G209">_xlfn.IFS(_xlfn.SINGLE(Table1[imd_decile])&lt;=3,"Most Deprived",F209&lt;=7,"Moderately Deprived",F209&lt;=10,"Least Deprived")</f>
        <v>Least Deprived</v>
      </c>
      <c r="H209">
        <v>7.6</v>
      </c>
      <c r="I209" t="s">
        <v>42</v>
      </c>
      <c r="J209" t="s">
        <v>19</v>
      </c>
      <c r="K209" s="1">
        <v>45685</v>
      </c>
      <c r="L209" s="1">
        <v>45715</v>
      </c>
      <c r="M209" s="1" t="str">
        <f>TEXT(Table1[[#This Row],[appointment_date]],"MM/YYYY")</f>
        <v>02/2025</v>
      </c>
      <c r="N209">
        <v>30</v>
      </c>
      <c r="O209" t="str" cm="1">
        <f t="array" ref="O209">_xlfn.IFS(Table1[[#This Row],[lead_time_days]]&lt;=7,"0-7 days",N209&lt;=14,"8-14 days",N209&lt;=30,"15-30 days",N209&lt;=60,"31-60 days",TRUE,"61+ days")</f>
        <v>15-30 days</v>
      </c>
      <c r="P209" t="s">
        <v>20</v>
      </c>
      <c r="Q209" t="s">
        <v>21</v>
      </c>
      <c r="R209">
        <v>0</v>
      </c>
      <c r="S209" t="str">
        <f>IF(Table1[prior_dna_count]&gt;=1,"Has prior DNA history","No prior DNA history")</f>
        <v>No prior DNA history</v>
      </c>
      <c r="T209" t="s">
        <v>22</v>
      </c>
      <c r="U209" t="str">
        <f t="shared" si="3"/>
        <v>1</v>
      </c>
      <c r="V209" t="str">
        <f>IF(Table1[appointment_status]="Attended","1","0")</f>
        <v>1</v>
      </c>
      <c r="W209" t="str">
        <f>IF(Table1[appointment_status]="Cancelled","1","0")</f>
        <v>0</v>
      </c>
    </row>
    <row r="210" spans="1:23">
      <c r="A210" t="s">
        <v>449</v>
      </c>
      <c r="B210" t="s">
        <v>450</v>
      </c>
      <c r="C210">
        <v>49</v>
      </c>
      <c r="D210" t="str" cm="1">
        <f t="array" ref="D210">_xlfn.IFS(Table1[[#This Row],[age]]&lt;=17,"0-17",C210&lt;=29,"18-29",C210&lt;=44,"30-44",C210&lt;=59,"45-59",C210&lt;=74,"60-74",TRUE,"75+")</f>
        <v>45-59</v>
      </c>
      <c r="E210" t="s">
        <v>29</v>
      </c>
      <c r="F210">
        <v>5</v>
      </c>
      <c r="G210" t="str" cm="1">
        <f t="array" ref="G210">_xlfn.IFS(_xlfn.SINGLE(Table1[imd_decile])&lt;=3,"Most Deprived",F210&lt;=7,"Moderately Deprived",F210&lt;=10,"Least Deprived")</f>
        <v>Moderately Deprived</v>
      </c>
      <c r="H210">
        <v>7</v>
      </c>
      <c r="I210" t="s">
        <v>30</v>
      </c>
      <c r="J210" t="s">
        <v>19</v>
      </c>
      <c r="K210" s="1">
        <v>45678</v>
      </c>
      <c r="L210" s="1">
        <v>45715</v>
      </c>
      <c r="M210" s="1" t="str">
        <f>TEXT(Table1[[#This Row],[appointment_date]],"MM/YYYY")</f>
        <v>02/2025</v>
      </c>
      <c r="N210">
        <v>37</v>
      </c>
      <c r="O210" t="str" cm="1">
        <f t="array" ref="O210">_xlfn.IFS(Table1[[#This Row],[lead_time_days]]&lt;=7,"0-7 days",N210&lt;=14,"8-14 days",N210&lt;=30,"15-30 days",N210&lt;=60,"31-60 days",TRUE,"61+ days")</f>
        <v>31-60 days</v>
      </c>
      <c r="P210" t="s">
        <v>20</v>
      </c>
      <c r="Q210" t="s">
        <v>21</v>
      </c>
      <c r="R210">
        <v>0</v>
      </c>
      <c r="S210" t="str">
        <f>IF(Table1[prior_dna_count]&gt;=1,"Has prior DNA history","No prior DNA history")</f>
        <v>No prior DNA history</v>
      </c>
      <c r="T210" t="s">
        <v>22</v>
      </c>
      <c r="U210" t="str">
        <f t="shared" si="3"/>
        <v>1</v>
      </c>
      <c r="V210" t="str">
        <f>IF(Table1[appointment_status]="Attended","1","0")</f>
        <v>1</v>
      </c>
      <c r="W210" t="str">
        <f>IF(Table1[appointment_status]="Cancelled","1","0")</f>
        <v>0</v>
      </c>
    </row>
    <row r="211" spans="1:23">
      <c r="A211" t="s">
        <v>451</v>
      </c>
      <c r="B211" t="s">
        <v>452</v>
      </c>
      <c r="C211">
        <v>27</v>
      </c>
      <c r="D211" t="str" cm="1">
        <f t="array" ref="D211">_xlfn.IFS(Table1[[#This Row],[age]]&lt;=17,"0-17",C211&lt;=29,"18-29",C211&lt;=44,"30-44",C211&lt;=59,"45-59",C211&lt;=74,"60-74",TRUE,"75+")</f>
        <v>18-29</v>
      </c>
      <c r="E211" t="s">
        <v>17</v>
      </c>
      <c r="F211">
        <v>1</v>
      </c>
      <c r="G211" t="str" cm="1">
        <f t="array" ref="G211">_xlfn.IFS(_xlfn.SINGLE(Table1[imd_decile])&lt;=3,"Most Deprived",F211&lt;=7,"Moderately Deprived",F211&lt;=10,"Least Deprived")</f>
        <v>Most Deprived</v>
      </c>
      <c r="H211">
        <v>3.1</v>
      </c>
      <c r="I211" t="s">
        <v>58</v>
      </c>
      <c r="J211" t="s">
        <v>19</v>
      </c>
      <c r="K211" s="1">
        <v>45692</v>
      </c>
      <c r="L211" s="1">
        <v>45715</v>
      </c>
      <c r="M211" s="1" t="str">
        <f>TEXT(Table1[[#This Row],[appointment_date]],"MM/YYYY")</f>
        <v>02/2025</v>
      </c>
      <c r="N211">
        <v>23</v>
      </c>
      <c r="O211" t="str" cm="1">
        <f t="array" ref="O211">_xlfn.IFS(Table1[[#This Row],[lead_time_days]]&lt;=7,"0-7 days",N211&lt;=14,"8-14 days",N211&lt;=30,"15-30 days",N211&lt;=60,"31-60 days",TRUE,"61+ days")</f>
        <v>15-30 days</v>
      </c>
      <c r="P211" t="s">
        <v>20</v>
      </c>
      <c r="Q211" t="s">
        <v>21</v>
      </c>
      <c r="R211">
        <v>0</v>
      </c>
      <c r="S211" t="str">
        <f>IF(Table1[prior_dna_count]&gt;=1,"Has prior DNA history","No prior DNA history")</f>
        <v>No prior DNA history</v>
      </c>
      <c r="T211" t="s">
        <v>22</v>
      </c>
      <c r="U211" t="str">
        <f t="shared" si="3"/>
        <v>1</v>
      </c>
      <c r="V211" t="str">
        <f>IF(Table1[appointment_status]="Attended","1","0")</f>
        <v>1</v>
      </c>
      <c r="W211" t="str">
        <f>IF(Table1[appointment_status]="Cancelled","1","0")</f>
        <v>0</v>
      </c>
    </row>
    <row r="212" spans="1:23">
      <c r="A212" t="s">
        <v>453</v>
      </c>
      <c r="B212" t="s">
        <v>454</v>
      </c>
      <c r="C212">
        <v>28</v>
      </c>
      <c r="D212" t="str" cm="1">
        <f t="array" ref="D212">_xlfn.IFS(Table1[[#This Row],[age]]&lt;=17,"0-17",C212&lt;=29,"18-29",C212&lt;=44,"30-44",C212&lt;=59,"45-59",C212&lt;=74,"60-74",TRUE,"75+")</f>
        <v>18-29</v>
      </c>
      <c r="E212" t="s">
        <v>29</v>
      </c>
      <c r="F212">
        <v>9</v>
      </c>
      <c r="G212" t="str" cm="1">
        <f t="array" ref="G212">_xlfn.IFS(_xlfn.SINGLE(Table1[imd_decile])&lt;=3,"Most Deprived",F212&lt;=7,"Moderately Deprived",F212&lt;=10,"Least Deprived")</f>
        <v>Least Deprived</v>
      </c>
      <c r="H212">
        <v>18.8</v>
      </c>
      <c r="I212" t="s">
        <v>18</v>
      </c>
      <c r="J212" t="s">
        <v>26</v>
      </c>
      <c r="K212" s="1">
        <v>45701</v>
      </c>
      <c r="L212" s="1">
        <v>45715</v>
      </c>
      <c r="M212" s="1" t="str">
        <f>TEXT(Table1[[#This Row],[appointment_date]],"MM/YYYY")</f>
        <v>02/2025</v>
      </c>
      <c r="N212">
        <v>14</v>
      </c>
      <c r="O212" t="str" cm="1">
        <f t="array" ref="O212">_xlfn.IFS(Table1[[#This Row],[lead_time_days]]&lt;=7,"0-7 days",N212&lt;=14,"8-14 days",N212&lt;=30,"15-30 days",N212&lt;=60,"31-60 days",TRUE,"61+ days")</f>
        <v>8-14 days</v>
      </c>
      <c r="P212" t="s">
        <v>20</v>
      </c>
      <c r="Q212" t="s">
        <v>21</v>
      </c>
      <c r="R212">
        <v>0</v>
      </c>
      <c r="S212" t="str">
        <f>IF(Table1[prior_dna_count]&gt;=1,"Has prior DNA history","No prior DNA history")</f>
        <v>No prior DNA history</v>
      </c>
      <c r="T212" t="s">
        <v>22</v>
      </c>
      <c r="U212" t="str">
        <f t="shared" si="3"/>
        <v>1</v>
      </c>
      <c r="V212" t="str">
        <f>IF(Table1[appointment_status]="Attended","1","0")</f>
        <v>1</v>
      </c>
      <c r="W212" t="str">
        <f>IF(Table1[appointment_status]="Cancelled","1","0")</f>
        <v>0</v>
      </c>
    </row>
    <row r="213" spans="1:23">
      <c r="A213" t="s">
        <v>455</v>
      </c>
      <c r="B213" t="s">
        <v>456</v>
      </c>
      <c r="C213">
        <v>49</v>
      </c>
      <c r="D213" t="str" cm="1">
        <f t="array" ref="D213">_xlfn.IFS(Table1[[#This Row],[age]]&lt;=17,"0-17",C213&lt;=29,"18-29",C213&lt;=44,"30-44",C213&lt;=59,"45-59",C213&lt;=74,"60-74",TRUE,"75+")</f>
        <v>45-59</v>
      </c>
      <c r="E213" t="s">
        <v>29</v>
      </c>
      <c r="F213">
        <v>7</v>
      </c>
      <c r="G213" t="str" cm="1">
        <f t="array" ref="G213">_xlfn.IFS(_xlfn.SINGLE(Table1[imd_decile])&lt;=3,"Most Deprived",F213&lt;=7,"Moderately Deprived",F213&lt;=10,"Least Deprived")</f>
        <v>Moderately Deprived</v>
      </c>
      <c r="H213">
        <v>0.8</v>
      </c>
      <c r="I213" t="s">
        <v>155</v>
      </c>
      <c r="J213" t="s">
        <v>26</v>
      </c>
      <c r="K213" s="1">
        <v>45665</v>
      </c>
      <c r="L213" s="1">
        <v>45715</v>
      </c>
      <c r="M213" s="1" t="str">
        <f>TEXT(Table1[[#This Row],[appointment_date]],"MM/YYYY")</f>
        <v>02/2025</v>
      </c>
      <c r="N213">
        <v>50</v>
      </c>
      <c r="O213" t="str" cm="1">
        <f t="array" ref="O213">_xlfn.IFS(Table1[[#This Row],[lead_time_days]]&lt;=7,"0-7 days",N213&lt;=14,"8-14 days",N213&lt;=30,"15-30 days",N213&lt;=60,"31-60 days",TRUE,"61+ days")</f>
        <v>31-60 days</v>
      </c>
      <c r="P213" t="s">
        <v>20</v>
      </c>
      <c r="Q213" t="s">
        <v>32</v>
      </c>
      <c r="R213">
        <v>0</v>
      </c>
      <c r="S213" t="str">
        <f>IF(Table1[prior_dna_count]&gt;=1,"Has prior DNA history","No prior DNA history")</f>
        <v>No prior DNA history</v>
      </c>
      <c r="T213" t="s">
        <v>22</v>
      </c>
      <c r="U213" t="str">
        <f t="shared" si="3"/>
        <v>1</v>
      </c>
      <c r="V213" t="str">
        <f>IF(Table1[appointment_status]="Attended","1","0")</f>
        <v>1</v>
      </c>
      <c r="W213" t="str">
        <f>IF(Table1[appointment_status]="Cancelled","1","0")</f>
        <v>0</v>
      </c>
    </row>
    <row r="214" spans="1:23">
      <c r="A214" t="s">
        <v>457</v>
      </c>
      <c r="B214" t="s">
        <v>458</v>
      </c>
      <c r="C214">
        <v>61</v>
      </c>
      <c r="D214" t="str" cm="1">
        <f t="array" ref="D214">_xlfn.IFS(Table1[[#This Row],[age]]&lt;=17,"0-17",C214&lt;=29,"18-29",C214&lt;=44,"30-44",C214&lt;=59,"45-59",C214&lt;=74,"60-74",TRUE,"75+")</f>
        <v>60-74</v>
      </c>
      <c r="E214" t="s">
        <v>17</v>
      </c>
      <c r="F214">
        <v>4</v>
      </c>
      <c r="G214" t="str" cm="1">
        <f t="array" ref="G214">_xlfn.IFS(_xlfn.SINGLE(Table1[imd_decile])&lt;=3,"Most Deprived",F214&lt;=7,"Moderately Deprived",F214&lt;=10,"Least Deprived")</f>
        <v>Moderately Deprived</v>
      </c>
      <c r="H214">
        <v>5.0999999999999996</v>
      </c>
      <c r="I214" t="s">
        <v>25</v>
      </c>
      <c r="J214" t="s">
        <v>19</v>
      </c>
      <c r="K214" s="1">
        <v>45694</v>
      </c>
      <c r="L214" s="1">
        <v>45716</v>
      </c>
      <c r="M214" s="1" t="str">
        <f>TEXT(Table1[[#This Row],[appointment_date]],"MM/YYYY")</f>
        <v>02/2025</v>
      </c>
      <c r="N214">
        <v>22</v>
      </c>
      <c r="O214" t="str" cm="1">
        <f t="array" ref="O214">_xlfn.IFS(Table1[[#This Row],[lead_time_days]]&lt;=7,"0-7 days",N214&lt;=14,"8-14 days",N214&lt;=30,"15-30 days",N214&lt;=60,"31-60 days",TRUE,"61+ days")</f>
        <v>15-30 days</v>
      </c>
      <c r="P214" t="s">
        <v>52</v>
      </c>
      <c r="Q214" t="s">
        <v>32</v>
      </c>
      <c r="R214">
        <v>0</v>
      </c>
      <c r="S214" t="str">
        <f>IF(Table1[prior_dna_count]&gt;=1,"Has prior DNA history","No prior DNA history")</f>
        <v>No prior DNA history</v>
      </c>
      <c r="T214" t="s">
        <v>22</v>
      </c>
      <c r="U214" t="str">
        <f t="shared" si="3"/>
        <v>1</v>
      </c>
      <c r="V214" t="str">
        <f>IF(Table1[appointment_status]="Attended","1","0")</f>
        <v>1</v>
      </c>
      <c r="W214" t="str">
        <f>IF(Table1[appointment_status]="Cancelled","1","0")</f>
        <v>0</v>
      </c>
    </row>
    <row r="215" spans="1:23">
      <c r="A215" t="s">
        <v>459</v>
      </c>
      <c r="B215" t="s">
        <v>460</v>
      </c>
      <c r="C215">
        <v>68</v>
      </c>
      <c r="D215" t="str" cm="1">
        <f t="array" ref="D215">_xlfn.IFS(Table1[[#This Row],[age]]&lt;=17,"0-17",C215&lt;=29,"18-29",C215&lt;=44,"30-44",C215&lt;=59,"45-59",C215&lt;=74,"60-74",TRUE,"75+")</f>
        <v>60-74</v>
      </c>
      <c r="E215" t="s">
        <v>29</v>
      </c>
      <c r="F215">
        <v>9</v>
      </c>
      <c r="G215" t="str" cm="1">
        <f t="array" ref="G215">_xlfn.IFS(_xlfn.SINGLE(Table1[imd_decile])&lt;=3,"Most Deprived",F215&lt;=7,"Moderately Deprived",F215&lt;=10,"Least Deprived")</f>
        <v>Least Deprived</v>
      </c>
      <c r="H215">
        <v>10.9</v>
      </c>
      <c r="I215" t="s">
        <v>30</v>
      </c>
      <c r="J215" t="s">
        <v>19</v>
      </c>
      <c r="K215" s="1">
        <v>45683</v>
      </c>
      <c r="L215" s="1">
        <v>45716</v>
      </c>
      <c r="M215" s="1" t="str">
        <f>TEXT(Table1[[#This Row],[appointment_date]],"MM/YYYY")</f>
        <v>02/2025</v>
      </c>
      <c r="N215">
        <v>33</v>
      </c>
      <c r="O215" t="str" cm="1">
        <f t="array" ref="O215">_xlfn.IFS(Table1[[#This Row],[lead_time_days]]&lt;=7,"0-7 days",N215&lt;=14,"8-14 days",N215&lt;=30,"15-30 days",N215&lt;=60,"31-60 days",TRUE,"61+ days")</f>
        <v>31-60 days</v>
      </c>
      <c r="P215" t="s">
        <v>52</v>
      </c>
      <c r="Q215" t="s">
        <v>21</v>
      </c>
      <c r="R215">
        <v>0</v>
      </c>
      <c r="S215" t="str">
        <f>IF(Table1[prior_dna_count]&gt;=1,"Has prior DNA history","No prior DNA history")</f>
        <v>No prior DNA history</v>
      </c>
      <c r="T215" t="s">
        <v>22</v>
      </c>
      <c r="U215" t="str">
        <f t="shared" si="3"/>
        <v>1</v>
      </c>
      <c r="V215" t="str">
        <f>IF(Table1[appointment_status]="Attended","1","0")</f>
        <v>1</v>
      </c>
      <c r="W215" t="str">
        <f>IF(Table1[appointment_status]="Cancelled","1","0")</f>
        <v>0</v>
      </c>
    </row>
    <row r="216" spans="1:23">
      <c r="A216" t="s">
        <v>461</v>
      </c>
      <c r="B216" t="s">
        <v>462</v>
      </c>
      <c r="C216">
        <v>53</v>
      </c>
      <c r="D216" t="str" cm="1">
        <f t="array" ref="D216">_xlfn.IFS(Table1[[#This Row],[age]]&lt;=17,"0-17",C216&lt;=29,"18-29",C216&lt;=44,"30-44",C216&lt;=59,"45-59",C216&lt;=74,"60-74",TRUE,"75+")</f>
        <v>45-59</v>
      </c>
      <c r="E216" t="s">
        <v>29</v>
      </c>
      <c r="F216">
        <v>7</v>
      </c>
      <c r="G216" t="str" cm="1">
        <f t="array" ref="G216">_xlfn.IFS(_xlfn.SINGLE(Table1[imd_decile])&lt;=3,"Most Deprived",F216&lt;=7,"Moderately Deprived",F216&lt;=10,"Least Deprived")</f>
        <v>Moderately Deprived</v>
      </c>
      <c r="H216">
        <v>0.8</v>
      </c>
      <c r="I216" t="s">
        <v>18</v>
      </c>
      <c r="J216" t="s">
        <v>26</v>
      </c>
      <c r="K216" s="1">
        <v>45701</v>
      </c>
      <c r="L216" s="1">
        <v>45716</v>
      </c>
      <c r="M216" s="1" t="str">
        <f>TEXT(Table1[[#This Row],[appointment_date]],"MM/YYYY")</f>
        <v>02/2025</v>
      </c>
      <c r="N216">
        <v>15</v>
      </c>
      <c r="O216" t="str" cm="1">
        <f t="array" ref="O216">_xlfn.IFS(Table1[[#This Row],[lead_time_days]]&lt;=7,"0-7 days",N216&lt;=14,"8-14 days",N216&lt;=30,"15-30 days",N216&lt;=60,"31-60 days",TRUE,"61+ days")</f>
        <v>15-30 days</v>
      </c>
      <c r="P216" t="s">
        <v>52</v>
      </c>
      <c r="Q216" t="s">
        <v>32</v>
      </c>
      <c r="R216">
        <v>0</v>
      </c>
      <c r="S216" t="str">
        <f>IF(Table1[prior_dna_count]&gt;=1,"Has prior DNA history","No prior DNA history")</f>
        <v>No prior DNA history</v>
      </c>
      <c r="T216" t="s">
        <v>22</v>
      </c>
      <c r="U216" t="str">
        <f t="shared" si="3"/>
        <v>1</v>
      </c>
      <c r="V216" t="str">
        <f>IF(Table1[appointment_status]="Attended","1","0")</f>
        <v>1</v>
      </c>
      <c r="W216" t="str">
        <f>IF(Table1[appointment_status]="Cancelled","1","0")</f>
        <v>0</v>
      </c>
    </row>
    <row r="217" spans="1:23">
      <c r="A217" t="s">
        <v>463</v>
      </c>
      <c r="B217" t="s">
        <v>464</v>
      </c>
      <c r="C217">
        <v>37</v>
      </c>
      <c r="D217" t="str" cm="1">
        <f t="array" ref="D217">_xlfn.IFS(Table1[[#This Row],[age]]&lt;=17,"0-17",C217&lt;=29,"18-29",C217&lt;=44,"30-44",C217&lt;=59,"45-59",C217&lt;=74,"60-74",TRUE,"75+")</f>
        <v>30-44</v>
      </c>
      <c r="E217" t="s">
        <v>17</v>
      </c>
      <c r="F217">
        <v>9</v>
      </c>
      <c r="G217" t="str" cm="1">
        <f t="array" ref="G217">_xlfn.IFS(_xlfn.SINGLE(Table1[imd_decile])&lt;=3,"Most Deprived",F217&lt;=7,"Moderately Deprived",F217&lt;=10,"Least Deprived")</f>
        <v>Least Deprived</v>
      </c>
      <c r="H217">
        <v>2.8</v>
      </c>
      <c r="I217" t="s">
        <v>49</v>
      </c>
      <c r="J217" t="s">
        <v>19</v>
      </c>
      <c r="K217" s="1">
        <v>45700</v>
      </c>
      <c r="L217" s="1">
        <v>45716</v>
      </c>
      <c r="M217" s="1" t="str">
        <f>TEXT(Table1[[#This Row],[appointment_date]],"MM/YYYY")</f>
        <v>02/2025</v>
      </c>
      <c r="N217">
        <v>16</v>
      </c>
      <c r="O217" t="str" cm="1">
        <f t="array" ref="O217">_xlfn.IFS(Table1[[#This Row],[lead_time_days]]&lt;=7,"0-7 days",N217&lt;=14,"8-14 days",N217&lt;=30,"15-30 days",N217&lt;=60,"31-60 days",TRUE,"61+ days")</f>
        <v>15-30 days</v>
      </c>
      <c r="P217" t="s">
        <v>52</v>
      </c>
      <c r="Q217" t="s">
        <v>21</v>
      </c>
      <c r="R217">
        <v>0</v>
      </c>
      <c r="S217" t="str">
        <f>IF(Table1[prior_dna_count]&gt;=1,"Has prior DNA history","No prior DNA history")</f>
        <v>No prior DNA history</v>
      </c>
      <c r="T217" t="s">
        <v>22</v>
      </c>
      <c r="U217" t="str">
        <f t="shared" si="3"/>
        <v>1</v>
      </c>
      <c r="V217" t="str">
        <f>IF(Table1[appointment_status]="Attended","1","0")</f>
        <v>1</v>
      </c>
      <c r="W217" t="str">
        <f>IF(Table1[appointment_status]="Cancelled","1","0")</f>
        <v>0</v>
      </c>
    </row>
    <row r="218" spans="1:23">
      <c r="A218" t="s">
        <v>465</v>
      </c>
      <c r="B218" t="s">
        <v>466</v>
      </c>
      <c r="C218">
        <v>37</v>
      </c>
      <c r="D218" t="str" cm="1">
        <f t="array" ref="D218">_xlfn.IFS(Table1[[#This Row],[age]]&lt;=17,"0-17",C218&lt;=29,"18-29",C218&lt;=44,"30-44",C218&lt;=59,"45-59",C218&lt;=74,"60-74",TRUE,"75+")</f>
        <v>30-44</v>
      </c>
      <c r="E218" t="s">
        <v>29</v>
      </c>
      <c r="F218">
        <v>7</v>
      </c>
      <c r="G218" t="str" cm="1">
        <f t="array" ref="G218">_xlfn.IFS(_xlfn.SINGLE(Table1[imd_decile])&lt;=3,"Most Deprived",F218&lt;=7,"Moderately Deprived",F218&lt;=10,"Least Deprived")</f>
        <v>Moderately Deprived</v>
      </c>
      <c r="H218">
        <v>14.6</v>
      </c>
      <c r="I218" t="s">
        <v>49</v>
      </c>
      <c r="J218" t="s">
        <v>26</v>
      </c>
      <c r="K218" s="1">
        <v>45706</v>
      </c>
      <c r="L218" s="1">
        <v>45717</v>
      </c>
      <c r="M218" s="1" t="str">
        <f>TEXT(Table1[[#This Row],[appointment_date]],"MM/YYYY")</f>
        <v>03/2025</v>
      </c>
      <c r="N218">
        <v>11</v>
      </c>
      <c r="O218" t="str" cm="1">
        <f t="array" ref="O218">_xlfn.IFS(Table1[[#This Row],[lead_time_days]]&lt;=7,"0-7 days",N218&lt;=14,"8-14 days",N218&lt;=30,"15-30 days",N218&lt;=60,"31-60 days",TRUE,"61+ days")</f>
        <v>8-14 days</v>
      </c>
      <c r="P218" t="s">
        <v>55</v>
      </c>
      <c r="Q218" t="s">
        <v>21</v>
      </c>
      <c r="R218">
        <v>0</v>
      </c>
      <c r="S218" t="str">
        <f>IF(Table1[prior_dna_count]&gt;=1,"Has prior DNA history","No prior DNA history")</f>
        <v>No prior DNA history</v>
      </c>
      <c r="T218" t="s">
        <v>22</v>
      </c>
      <c r="U218" t="str">
        <f t="shared" si="3"/>
        <v>1</v>
      </c>
      <c r="V218" t="str">
        <f>IF(Table1[appointment_status]="Attended","1","0")</f>
        <v>1</v>
      </c>
      <c r="W218" t="str">
        <f>IF(Table1[appointment_status]="Cancelled","1","0")</f>
        <v>0</v>
      </c>
    </row>
    <row r="219" spans="1:23">
      <c r="A219" t="s">
        <v>467</v>
      </c>
      <c r="B219" t="s">
        <v>468</v>
      </c>
      <c r="C219">
        <v>35</v>
      </c>
      <c r="D219" t="str" cm="1">
        <f t="array" ref="D219">_xlfn.IFS(Table1[[#This Row],[age]]&lt;=17,"0-17",C219&lt;=29,"18-29",C219&lt;=44,"30-44",C219&lt;=59,"45-59",C219&lt;=74,"60-74",TRUE,"75+")</f>
        <v>30-44</v>
      </c>
      <c r="E219" t="s">
        <v>17</v>
      </c>
      <c r="F219">
        <v>3</v>
      </c>
      <c r="G219" t="str" cm="1">
        <f t="array" ref="G219">_xlfn.IFS(_xlfn.SINGLE(Table1[imd_decile])&lt;=3,"Most Deprived",F219&lt;=7,"Moderately Deprived",F219&lt;=10,"Least Deprived")</f>
        <v>Most Deprived</v>
      </c>
      <c r="H219">
        <v>11.7</v>
      </c>
      <c r="I219" t="s">
        <v>30</v>
      </c>
      <c r="J219" t="s">
        <v>26</v>
      </c>
      <c r="K219" s="1">
        <v>45708</v>
      </c>
      <c r="L219" s="1">
        <v>45717</v>
      </c>
      <c r="M219" s="1" t="str">
        <f>TEXT(Table1[[#This Row],[appointment_date]],"MM/YYYY")</f>
        <v>03/2025</v>
      </c>
      <c r="N219">
        <v>9</v>
      </c>
      <c r="O219" t="str" cm="1">
        <f t="array" ref="O219">_xlfn.IFS(Table1[[#This Row],[lead_time_days]]&lt;=7,"0-7 days",N219&lt;=14,"8-14 days",N219&lt;=30,"15-30 days",N219&lt;=60,"31-60 days",TRUE,"61+ days")</f>
        <v>8-14 days</v>
      </c>
      <c r="P219" t="s">
        <v>55</v>
      </c>
      <c r="Q219" t="s">
        <v>21</v>
      </c>
      <c r="R219">
        <v>0</v>
      </c>
      <c r="S219" t="str">
        <f>IF(Table1[prior_dna_count]&gt;=1,"Has prior DNA history","No prior DNA history")</f>
        <v>No prior DNA history</v>
      </c>
      <c r="T219" t="s">
        <v>46</v>
      </c>
      <c r="U219" t="str">
        <f t="shared" si="3"/>
        <v>1</v>
      </c>
      <c r="V219" t="str">
        <f>IF(Table1[appointment_status]="Attended","1","0")</f>
        <v>0</v>
      </c>
      <c r="W219" t="str">
        <f>IF(Table1[appointment_status]="Cancelled","1","0")</f>
        <v>1</v>
      </c>
    </row>
    <row r="220" spans="1:23">
      <c r="A220" t="s">
        <v>469</v>
      </c>
      <c r="B220" t="s">
        <v>470</v>
      </c>
      <c r="C220">
        <v>77</v>
      </c>
      <c r="D220" t="str" cm="1">
        <f t="array" ref="D220">_xlfn.IFS(Table1[[#This Row],[age]]&lt;=17,"0-17",C220&lt;=29,"18-29",C220&lt;=44,"30-44",C220&lt;=59,"45-59",C220&lt;=74,"60-74",TRUE,"75+")</f>
        <v>75+</v>
      </c>
      <c r="E220" t="s">
        <v>17</v>
      </c>
      <c r="F220">
        <v>1</v>
      </c>
      <c r="G220" t="str" cm="1">
        <f t="array" ref="G220">_xlfn.IFS(_xlfn.SINGLE(Table1[imd_decile])&lt;=3,"Most Deprived",F220&lt;=7,"Moderately Deprived",F220&lt;=10,"Least Deprived")</f>
        <v>Most Deprived</v>
      </c>
      <c r="H220">
        <v>12</v>
      </c>
      <c r="I220" t="s">
        <v>25</v>
      </c>
      <c r="J220" t="s">
        <v>19</v>
      </c>
      <c r="K220" s="1">
        <v>45672</v>
      </c>
      <c r="L220" s="1">
        <v>45717</v>
      </c>
      <c r="M220" s="1" t="str">
        <f>TEXT(Table1[[#This Row],[appointment_date]],"MM/YYYY")</f>
        <v>03/2025</v>
      </c>
      <c r="N220">
        <v>45</v>
      </c>
      <c r="O220" t="str" cm="1">
        <f t="array" ref="O220">_xlfn.IFS(Table1[[#This Row],[lead_time_days]]&lt;=7,"0-7 days",N220&lt;=14,"8-14 days",N220&lt;=30,"15-30 days",N220&lt;=60,"31-60 days",TRUE,"61+ days")</f>
        <v>31-60 days</v>
      </c>
      <c r="P220" t="s">
        <v>55</v>
      </c>
      <c r="Q220" t="s">
        <v>32</v>
      </c>
      <c r="R220">
        <v>0</v>
      </c>
      <c r="S220" t="str">
        <f>IF(Table1[prior_dna_count]&gt;=1,"Has prior DNA history","No prior DNA history")</f>
        <v>No prior DNA history</v>
      </c>
      <c r="T220" t="s">
        <v>22</v>
      </c>
      <c r="U220" t="str">
        <f t="shared" si="3"/>
        <v>0</v>
      </c>
      <c r="V220" t="str">
        <f>IF(Table1[appointment_status]="Attended","1","0")</f>
        <v>1</v>
      </c>
      <c r="W220" t="str">
        <f>IF(Table1[appointment_status]="Cancelled","1","0")</f>
        <v>0</v>
      </c>
    </row>
    <row r="221" spans="1:23">
      <c r="A221" t="s">
        <v>471</v>
      </c>
      <c r="B221" t="s">
        <v>472</v>
      </c>
      <c r="C221">
        <v>55</v>
      </c>
      <c r="D221" t="str" cm="1">
        <f t="array" ref="D221">_xlfn.IFS(Table1[[#This Row],[age]]&lt;=17,"0-17",C221&lt;=29,"18-29",C221&lt;=44,"30-44",C221&lt;=59,"45-59",C221&lt;=74,"60-74",TRUE,"75+")</f>
        <v>45-59</v>
      </c>
      <c r="E221" t="s">
        <v>29</v>
      </c>
      <c r="F221">
        <v>1</v>
      </c>
      <c r="G221" t="str" cm="1">
        <f t="array" ref="G221">_xlfn.IFS(_xlfn.SINGLE(Table1[imd_decile])&lt;=3,"Most Deprived",F221&lt;=7,"Moderately Deprived",F221&lt;=10,"Least Deprived")</f>
        <v>Most Deprived</v>
      </c>
      <c r="H221">
        <v>10.7</v>
      </c>
      <c r="I221" t="s">
        <v>42</v>
      </c>
      <c r="J221" t="s">
        <v>26</v>
      </c>
      <c r="K221" s="1">
        <v>45687</v>
      </c>
      <c r="L221" s="1">
        <v>45717</v>
      </c>
      <c r="M221" s="1" t="str">
        <f>TEXT(Table1[[#This Row],[appointment_date]],"MM/YYYY")</f>
        <v>03/2025</v>
      </c>
      <c r="N221">
        <v>30</v>
      </c>
      <c r="O221" t="str" cm="1">
        <f t="array" ref="O221">_xlfn.IFS(Table1[[#This Row],[lead_time_days]]&lt;=7,"0-7 days",N221&lt;=14,"8-14 days",N221&lt;=30,"15-30 days",N221&lt;=60,"31-60 days",TRUE,"61+ days")</f>
        <v>15-30 days</v>
      </c>
      <c r="P221" t="s">
        <v>55</v>
      </c>
      <c r="Q221" t="s">
        <v>32</v>
      </c>
      <c r="R221">
        <v>1</v>
      </c>
      <c r="S221" t="str">
        <f>IF(Table1[prior_dna_count]&gt;=1,"Has prior DNA history","No prior DNA history")</f>
        <v>Has prior DNA history</v>
      </c>
      <c r="T221" t="s">
        <v>22</v>
      </c>
      <c r="U221" t="str">
        <f t="shared" si="3"/>
        <v>1</v>
      </c>
      <c r="V221" t="str">
        <f>IF(Table1[appointment_status]="Attended","1","0")</f>
        <v>1</v>
      </c>
      <c r="W221" t="str">
        <f>IF(Table1[appointment_status]="Cancelled","1","0")</f>
        <v>0</v>
      </c>
    </row>
    <row r="222" spans="1:23">
      <c r="A222" t="s">
        <v>473</v>
      </c>
      <c r="B222" t="s">
        <v>474</v>
      </c>
      <c r="C222">
        <v>44</v>
      </c>
      <c r="D222" t="str" cm="1">
        <f t="array" ref="D222">_xlfn.IFS(Table1[[#This Row],[age]]&lt;=17,"0-17",C222&lt;=29,"18-29",C222&lt;=44,"30-44",C222&lt;=59,"45-59",C222&lt;=74,"60-74",TRUE,"75+")</f>
        <v>30-44</v>
      </c>
      <c r="E222" t="s">
        <v>17</v>
      </c>
      <c r="F222">
        <v>1</v>
      </c>
      <c r="G222" t="str" cm="1">
        <f t="array" ref="G222">_xlfn.IFS(_xlfn.SINGLE(Table1[imd_decile])&lt;=3,"Most Deprived",F222&lt;=7,"Moderately Deprived",F222&lt;=10,"Least Deprived")</f>
        <v>Most Deprived</v>
      </c>
      <c r="H222">
        <v>13.4</v>
      </c>
      <c r="I222" t="s">
        <v>42</v>
      </c>
      <c r="J222" t="s">
        <v>26</v>
      </c>
      <c r="K222" s="1">
        <v>45713</v>
      </c>
      <c r="L222" s="1">
        <v>45717</v>
      </c>
      <c r="M222" s="1" t="str">
        <f>TEXT(Table1[[#This Row],[appointment_date]],"MM/YYYY")</f>
        <v>03/2025</v>
      </c>
      <c r="N222">
        <v>4</v>
      </c>
      <c r="O222" t="str" cm="1">
        <f t="array" ref="O222">_xlfn.IFS(Table1[[#This Row],[lead_time_days]]&lt;=7,"0-7 days",N222&lt;=14,"8-14 days",N222&lt;=30,"15-30 days",N222&lt;=60,"31-60 days",TRUE,"61+ days")</f>
        <v>0-7 days</v>
      </c>
      <c r="P222" t="s">
        <v>55</v>
      </c>
      <c r="Q222" t="s">
        <v>21</v>
      </c>
      <c r="R222">
        <v>0</v>
      </c>
      <c r="S222" t="str">
        <f>IF(Table1[prior_dna_count]&gt;=1,"Has prior DNA history","No prior DNA history")</f>
        <v>No prior DNA history</v>
      </c>
      <c r="T222" t="s">
        <v>39</v>
      </c>
      <c r="U222" t="str">
        <f t="shared" si="3"/>
        <v>1</v>
      </c>
      <c r="V222" t="str">
        <f>IF(Table1[appointment_status]="Attended","1","0")</f>
        <v>0</v>
      </c>
      <c r="W222" t="str">
        <f>IF(Table1[appointment_status]="Cancelled","1","0")</f>
        <v>0</v>
      </c>
    </row>
    <row r="223" spans="1:23">
      <c r="A223" t="s">
        <v>475</v>
      </c>
      <c r="B223" t="s">
        <v>476</v>
      </c>
      <c r="C223">
        <v>75</v>
      </c>
      <c r="D223" t="str" cm="1">
        <f t="array" ref="D223">_xlfn.IFS(Table1[[#This Row],[age]]&lt;=17,"0-17",C223&lt;=29,"18-29",C223&lt;=44,"30-44",C223&lt;=59,"45-59",C223&lt;=74,"60-74",TRUE,"75+")</f>
        <v>75+</v>
      </c>
      <c r="E223" t="s">
        <v>29</v>
      </c>
      <c r="F223">
        <v>10</v>
      </c>
      <c r="G223" t="str" cm="1">
        <f t="array" ref="G223">_xlfn.IFS(_xlfn.SINGLE(Table1[imd_decile])&lt;=3,"Most Deprived",F223&lt;=7,"Moderately Deprived",F223&lt;=10,"Least Deprived")</f>
        <v>Least Deprived</v>
      </c>
      <c r="H223">
        <v>5.5</v>
      </c>
      <c r="I223" t="s">
        <v>25</v>
      </c>
      <c r="J223" t="s">
        <v>19</v>
      </c>
      <c r="K223" s="1">
        <v>45678</v>
      </c>
      <c r="L223" s="1">
        <v>45718</v>
      </c>
      <c r="M223" s="1" t="str">
        <f>TEXT(Table1[[#This Row],[appointment_date]],"MM/YYYY")</f>
        <v>03/2025</v>
      </c>
      <c r="N223">
        <v>40</v>
      </c>
      <c r="O223" t="str" cm="1">
        <f t="array" ref="O223">_xlfn.IFS(Table1[[#This Row],[lead_time_days]]&lt;=7,"0-7 days",N223&lt;=14,"8-14 days",N223&lt;=30,"15-30 days",N223&lt;=60,"31-60 days",TRUE,"61+ days")</f>
        <v>31-60 days</v>
      </c>
      <c r="P223" t="s">
        <v>31</v>
      </c>
      <c r="Q223" t="s">
        <v>21</v>
      </c>
      <c r="R223">
        <v>0</v>
      </c>
      <c r="S223" t="str">
        <f>IF(Table1[prior_dna_count]&gt;=1,"Has prior DNA history","No prior DNA history")</f>
        <v>No prior DNA history</v>
      </c>
      <c r="T223" t="s">
        <v>22</v>
      </c>
      <c r="U223" t="str">
        <f t="shared" si="3"/>
        <v>0</v>
      </c>
      <c r="V223" t="str">
        <f>IF(Table1[appointment_status]="Attended","1","0")</f>
        <v>1</v>
      </c>
      <c r="W223" t="str">
        <f>IF(Table1[appointment_status]="Cancelled","1","0")</f>
        <v>0</v>
      </c>
    </row>
    <row r="224" spans="1:23">
      <c r="A224" t="s">
        <v>477</v>
      </c>
      <c r="B224" t="s">
        <v>478</v>
      </c>
      <c r="C224">
        <v>42</v>
      </c>
      <c r="D224" t="str" cm="1">
        <f t="array" ref="D224">_xlfn.IFS(Table1[[#This Row],[age]]&lt;=17,"0-17",C224&lt;=29,"18-29",C224&lt;=44,"30-44",C224&lt;=59,"45-59",C224&lt;=74,"60-74",TRUE,"75+")</f>
        <v>30-44</v>
      </c>
      <c r="E224" t="s">
        <v>17</v>
      </c>
      <c r="F224">
        <v>10</v>
      </c>
      <c r="G224" t="str" cm="1">
        <f t="array" ref="G224">_xlfn.IFS(_xlfn.SINGLE(Table1[imd_decile])&lt;=3,"Most Deprived",F224&lt;=7,"Moderately Deprived",F224&lt;=10,"Least Deprived")</f>
        <v>Least Deprived</v>
      </c>
      <c r="H224">
        <v>2.2000000000000002</v>
      </c>
      <c r="I224" t="s">
        <v>30</v>
      </c>
      <c r="J224" t="s">
        <v>26</v>
      </c>
      <c r="K224" s="1">
        <v>45711</v>
      </c>
      <c r="L224" s="1">
        <v>45718</v>
      </c>
      <c r="M224" s="1" t="str">
        <f>TEXT(Table1[[#This Row],[appointment_date]],"MM/YYYY")</f>
        <v>03/2025</v>
      </c>
      <c r="N224">
        <v>7</v>
      </c>
      <c r="O224" t="str" cm="1">
        <f t="array" ref="O224">_xlfn.IFS(Table1[[#This Row],[lead_time_days]]&lt;=7,"0-7 days",N224&lt;=14,"8-14 days",N224&lt;=30,"15-30 days",N224&lt;=60,"31-60 days",TRUE,"61+ days")</f>
        <v>0-7 days</v>
      </c>
      <c r="P224" t="s">
        <v>31</v>
      </c>
      <c r="Q224" t="s">
        <v>32</v>
      </c>
      <c r="R224">
        <v>0</v>
      </c>
      <c r="S224" t="str">
        <f>IF(Table1[prior_dna_count]&gt;=1,"Has prior DNA history","No prior DNA history")</f>
        <v>No prior DNA history</v>
      </c>
      <c r="T224" t="s">
        <v>22</v>
      </c>
      <c r="U224" t="str">
        <f t="shared" si="3"/>
        <v>1</v>
      </c>
      <c r="V224" t="str">
        <f>IF(Table1[appointment_status]="Attended","1","0")</f>
        <v>1</v>
      </c>
      <c r="W224" t="str">
        <f>IF(Table1[appointment_status]="Cancelled","1","0")</f>
        <v>0</v>
      </c>
    </row>
    <row r="225" spans="1:23">
      <c r="A225" t="s">
        <v>479</v>
      </c>
      <c r="B225" t="s">
        <v>480</v>
      </c>
      <c r="C225">
        <v>16</v>
      </c>
      <c r="D225" t="str" cm="1">
        <f t="array" ref="D225">_xlfn.IFS(Table1[[#This Row],[age]]&lt;=17,"0-17",C225&lt;=29,"18-29",C225&lt;=44,"30-44",C225&lt;=59,"45-59",C225&lt;=74,"60-74",TRUE,"75+")</f>
        <v>0-17</v>
      </c>
      <c r="E225" t="s">
        <v>29</v>
      </c>
      <c r="F225">
        <v>10</v>
      </c>
      <c r="G225" t="str" cm="1">
        <f t="array" ref="G225">_xlfn.IFS(_xlfn.SINGLE(Table1[imd_decile])&lt;=3,"Most Deprived",F225&lt;=7,"Moderately Deprived",F225&lt;=10,"Least Deprived")</f>
        <v>Least Deprived</v>
      </c>
      <c r="H225">
        <v>11.5</v>
      </c>
      <c r="I225" t="s">
        <v>45</v>
      </c>
      <c r="J225" t="s">
        <v>19</v>
      </c>
      <c r="K225" s="1">
        <v>45690</v>
      </c>
      <c r="L225" s="1">
        <v>45718</v>
      </c>
      <c r="M225" s="1" t="str">
        <f>TEXT(Table1[[#This Row],[appointment_date]],"MM/YYYY")</f>
        <v>03/2025</v>
      </c>
      <c r="N225">
        <v>28</v>
      </c>
      <c r="O225" t="str" cm="1">
        <f t="array" ref="O225">_xlfn.IFS(Table1[[#This Row],[lead_time_days]]&lt;=7,"0-7 days",N225&lt;=14,"8-14 days",N225&lt;=30,"15-30 days",N225&lt;=60,"31-60 days",TRUE,"61+ days")</f>
        <v>15-30 days</v>
      </c>
      <c r="P225" t="s">
        <v>31</v>
      </c>
      <c r="Q225" t="s">
        <v>21</v>
      </c>
      <c r="R225">
        <v>0</v>
      </c>
      <c r="S225" t="str">
        <f>IF(Table1[prior_dna_count]&gt;=1,"Has prior DNA history","No prior DNA history")</f>
        <v>No prior DNA history</v>
      </c>
      <c r="T225" t="s">
        <v>22</v>
      </c>
      <c r="U225" t="str">
        <f t="shared" si="3"/>
        <v>1</v>
      </c>
      <c r="V225" t="str">
        <f>IF(Table1[appointment_status]="Attended","1","0")</f>
        <v>1</v>
      </c>
      <c r="W225" t="str">
        <f>IF(Table1[appointment_status]="Cancelled","1","0")</f>
        <v>0</v>
      </c>
    </row>
    <row r="226" spans="1:23">
      <c r="A226" t="s">
        <v>481</v>
      </c>
      <c r="B226" t="s">
        <v>482</v>
      </c>
      <c r="C226">
        <v>54</v>
      </c>
      <c r="D226" t="str" cm="1">
        <f t="array" ref="D226">_xlfn.IFS(Table1[[#This Row],[age]]&lt;=17,"0-17",C226&lt;=29,"18-29",C226&lt;=44,"30-44",C226&lt;=59,"45-59",C226&lt;=74,"60-74",TRUE,"75+")</f>
        <v>45-59</v>
      </c>
      <c r="E226" t="s">
        <v>29</v>
      </c>
      <c r="F226">
        <v>6</v>
      </c>
      <c r="G226" t="str" cm="1">
        <f t="array" ref="G226">_xlfn.IFS(_xlfn.SINGLE(Table1[imd_decile])&lt;=3,"Most Deprived",F226&lt;=7,"Moderately Deprived",F226&lt;=10,"Least Deprived")</f>
        <v>Moderately Deprived</v>
      </c>
      <c r="H226">
        <v>4.2</v>
      </c>
      <c r="I226" t="s">
        <v>25</v>
      </c>
      <c r="J226" t="s">
        <v>26</v>
      </c>
      <c r="K226" s="1">
        <v>45708</v>
      </c>
      <c r="L226" s="1">
        <v>45718</v>
      </c>
      <c r="M226" s="1" t="str">
        <f>TEXT(Table1[[#This Row],[appointment_date]],"MM/YYYY")</f>
        <v>03/2025</v>
      </c>
      <c r="N226">
        <v>10</v>
      </c>
      <c r="O226" t="str" cm="1">
        <f t="array" ref="O226">_xlfn.IFS(Table1[[#This Row],[lead_time_days]]&lt;=7,"0-7 days",N226&lt;=14,"8-14 days",N226&lt;=30,"15-30 days",N226&lt;=60,"31-60 days",TRUE,"61+ days")</f>
        <v>8-14 days</v>
      </c>
      <c r="P226" t="s">
        <v>31</v>
      </c>
      <c r="Q226" t="s">
        <v>21</v>
      </c>
      <c r="R226">
        <v>0</v>
      </c>
      <c r="S226" t="str">
        <f>IF(Table1[prior_dna_count]&gt;=1,"Has prior DNA history","No prior DNA history")</f>
        <v>No prior DNA history</v>
      </c>
      <c r="T226" t="s">
        <v>22</v>
      </c>
      <c r="U226" t="str">
        <f t="shared" si="3"/>
        <v>1</v>
      </c>
      <c r="V226" t="str">
        <f>IF(Table1[appointment_status]="Attended","1","0")</f>
        <v>1</v>
      </c>
      <c r="W226" t="str">
        <f>IF(Table1[appointment_status]="Cancelled","1","0")</f>
        <v>0</v>
      </c>
    </row>
    <row r="227" spans="1:23">
      <c r="A227" t="s">
        <v>483</v>
      </c>
      <c r="B227" t="s">
        <v>484</v>
      </c>
      <c r="C227">
        <v>45</v>
      </c>
      <c r="D227" t="str" cm="1">
        <f t="array" ref="D227">_xlfn.IFS(Table1[[#This Row],[age]]&lt;=17,"0-17",C227&lt;=29,"18-29",C227&lt;=44,"30-44",C227&lt;=59,"45-59",C227&lt;=74,"60-74",TRUE,"75+")</f>
        <v>45-59</v>
      </c>
      <c r="E227" t="s">
        <v>29</v>
      </c>
      <c r="F227">
        <v>3</v>
      </c>
      <c r="G227" t="str" cm="1">
        <f t="array" ref="G227">_xlfn.IFS(_xlfn.SINGLE(Table1[imd_decile])&lt;=3,"Most Deprived",F227&lt;=7,"Moderately Deprived",F227&lt;=10,"Least Deprived")</f>
        <v>Most Deprived</v>
      </c>
      <c r="H227">
        <v>4.2</v>
      </c>
      <c r="I227" t="s">
        <v>42</v>
      </c>
      <c r="J227" t="s">
        <v>19</v>
      </c>
      <c r="K227" s="1">
        <v>45707</v>
      </c>
      <c r="L227" s="1">
        <v>45718</v>
      </c>
      <c r="M227" s="1" t="str">
        <f>TEXT(Table1[[#This Row],[appointment_date]],"MM/YYYY")</f>
        <v>03/2025</v>
      </c>
      <c r="N227">
        <v>11</v>
      </c>
      <c r="O227" t="str" cm="1">
        <f t="array" ref="O227">_xlfn.IFS(Table1[[#This Row],[lead_time_days]]&lt;=7,"0-7 days",N227&lt;=14,"8-14 days",N227&lt;=30,"15-30 days",N227&lt;=60,"31-60 days",TRUE,"61+ days")</f>
        <v>8-14 days</v>
      </c>
      <c r="P227" t="s">
        <v>31</v>
      </c>
      <c r="Q227" t="s">
        <v>21</v>
      </c>
      <c r="R227">
        <v>0</v>
      </c>
      <c r="S227" t="str">
        <f>IF(Table1[prior_dna_count]&gt;=1,"Has prior DNA history","No prior DNA history")</f>
        <v>No prior DNA history</v>
      </c>
      <c r="T227" t="s">
        <v>22</v>
      </c>
      <c r="U227" t="str">
        <f t="shared" si="3"/>
        <v>1</v>
      </c>
      <c r="V227" t="str">
        <f>IF(Table1[appointment_status]="Attended","1","0")</f>
        <v>1</v>
      </c>
      <c r="W227" t="str">
        <f>IF(Table1[appointment_status]="Cancelled","1","0")</f>
        <v>0</v>
      </c>
    </row>
    <row r="228" spans="1:23">
      <c r="A228" t="s">
        <v>485</v>
      </c>
      <c r="B228" t="s">
        <v>486</v>
      </c>
      <c r="C228">
        <v>1</v>
      </c>
      <c r="D228" t="str" cm="1">
        <f t="array" ref="D228">_xlfn.IFS(Table1[[#This Row],[age]]&lt;=17,"0-17",C228&lt;=29,"18-29",C228&lt;=44,"30-44",C228&lt;=59,"45-59",C228&lt;=74,"60-74",TRUE,"75+")</f>
        <v>0-17</v>
      </c>
      <c r="E228" t="s">
        <v>29</v>
      </c>
      <c r="F228">
        <v>6</v>
      </c>
      <c r="G228" t="str" cm="1">
        <f t="array" ref="G228">_xlfn.IFS(_xlfn.SINGLE(Table1[imd_decile])&lt;=3,"Most Deprived",F228&lt;=7,"Moderately Deprived",F228&lt;=10,"Least Deprived")</f>
        <v>Moderately Deprived</v>
      </c>
      <c r="H228">
        <v>2.2000000000000002</v>
      </c>
      <c r="I228" t="s">
        <v>155</v>
      </c>
      <c r="J228" t="s">
        <v>19</v>
      </c>
      <c r="K228" s="1">
        <v>45686</v>
      </c>
      <c r="L228" s="1">
        <v>45719</v>
      </c>
      <c r="M228" s="1" t="str">
        <f>TEXT(Table1[[#This Row],[appointment_date]],"MM/YYYY")</f>
        <v>03/2025</v>
      </c>
      <c r="N228">
        <v>33</v>
      </c>
      <c r="O228" t="str" cm="1">
        <f t="array" ref="O228">_xlfn.IFS(Table1[[#This Row],[lead_time_days]]&lt;=7,"0-7 days",N228&lt;=14,"8-14 days",N228&lt;=30,"15-30 days",N228&lt;=60,"31-60 days",TRUE,"61+ days")</f>
        <v>31-60 days</v>
      </c>
      <c r="P228" t="s">
        <v>35</v>
      </c>
      <c r="Q228" t="s">
        <v>21</v>
      </c>
      <c r="R228">
        <v>0</v>
      </c>
      <c r="S228" t="str">
        <f>IF(Table1[prior_dna_count]&gt;=1,"Has prior DNA history","No prior DNA history")</f>
        <v>No prior DNA history</v>
      </c>
      <c r="T228" t="s">
        <v>22</v>
      </c>
      <c r="U228" t="str">
        <f t="shared" si="3"/>
        <v>1</v>
      </c>
      <c r="V228" t="str">
        <f>IF(Table1[appointment_status]="Attended","1","0")</f>
        <v>1</v>
      </c>
      <c r="W228" t="str">
        <f>IF(Table1[appointment_status]="Cancelled","1","0")</f>
        <v>0</v>
      </c>
    </row>
    <row r="229" spans="1:23">
      <c r="A229" t="s">
        <v>487</v>
      </c>
      <c r="B229" t="s">
        <v>488</v>
      </c>
      <c r="C229">
        <v>55</v>
      </c>
      <c r="D229" t="str" cm="1">
        <f t="array" ref="D229">_xlfn.IFS(Table1[[#This Row],[age]]&lt;=17,"0-17",C229&lt;=29,"18-29",C229&lt;=44,"30-44",C229&lt;=59,"45-59",C229&lt;=74,"60-74",TRUE,"75+")</f>
        <v>45-59</v>
      </c>
      <c r="E229" t="s">
        <v>29</v>
      </c>
      <c r="F229">
        <v>1</v>
      </c>
      <c r="G229" t="str" cm="1">
        <f t="array" ref="G229">_xlfn.IFS(_xlfn.SINGLE(Table1[imd_decile])&lt;=3,"Most Deprived",F229&lt;=7,"Moderately Deprived",F229&lt;=10,"Least Deprived")</f>
        <v>Most Deprived</v>
      </c>
      <c r="H229">
        <v>3</v>
      </c>
      <c r="I229" t="s">
        <v>42</v>
      </c>
      <c r="J229" t="s">
        <v>19</v>
      </c>
      <c r="K229" s="1">
        <v>45682</v>
      </c>
      <c r="L229" s="1">
        <v>45719</v>
      </c>
      <c r="M229" s="1" t="str">
        <f>TEXT(Table1[[#This Row],[appointment_date]],"MM/YYYY")</f>
        <v>03/2025</v>
      </c>
      <c r="N229">
        <v>37</v>
      </c>
      <c r="O229" t="str" cm="1">
        <f t="array" ref="O229">_xlfn.IFS(Table1[[#This Row],[lead_time_days]]&lt;=7,"0-7 days",N229&lt;=14,"8-14 days",N229&lt;=30,"15-30 days",N229&lt;=60,"31-60 days",TRUE,"61+ days")</f>
        <v>31-60 days</v>
      </c>
      <c r="P229" t="s">
        <v>35</v>
      </c>
      <c r="Q229" t="s">
        <v>21</v>
      </c>
      <c r="R229">
        <v>0</v>
      </c>
      <c r="S229" t="str">
        <f>IF(Table1[prior_dna_count]&gt;=1,"Has prior DNA history","No prior DNA history")</f>
        <v>No prior DNA history</v>
      </c>
      <c r="T229" t="s">
        <v>22</v>
      </c>
      <c r="U229" t="str">
        <f t="shared" si="3"/>
        <v>1</v>
      </c>
      <c r="V229" t="str">
        <f>IF(Table1[appointment_status]="Attended","1","0")</f>
        <v>1</v>
      </c>
      <c r="W229" t="str">
        <f>IF(Table1[appointment_status]="Cancelled","1","0")</f>
        <v>0</v>
      </c>
    </row>
    <row r="230" spans="1:23">
      <c r="A230" t="s">
        <v>489</v>
      </c>
      <c r="B230" t="s">
        <v>444</v>
      </c>
      <c r="C230">
        <v>42</v>
      </c>
      <c r="D230" t="str" cm="1">
        <f t="array" ref="D230">_xlfn.IFS(Table1[[#This Row],[age]]&lt;=17,"0-17",C230&lt;=29,"18-29",C230&lt;=44,"30-44",C230&lt;=59,"45-59",C230&lt;=74,"60-74",TRUE,"75+")</f>
        <v>30-44</v>
      </c>
      <c r="E230" t="s">
        <v>29</v>
      </c>
      <c r="F230">
        <v>8</v>
      </c>
      <c r="G230" t="str" cm="1">
        <f t="array" ref="G230">_xlfn.IFS(_xlfn.SINGLE(Table1[imd_decile])&lt;=3,"Most Deprived",F230&lt;=7,"Moderately Deprived",F230&lt;=10,"Least Deprived")</f>
        <v>Least Deprived</v>
      </c>
      <c r="H230">
        <v>9.3000000000000007</v>
      </c>
      <c r="I230" t="s">
        <v>45</v>
      </c>
      <c r="J230" t="s">
        <v>26</v>
      </c>
      <c r="K230" s="1">
        <v>45718</v>
      </c>
      <c r="L230" s="1">
        <v>45719</v>
      </c>
      <c r="M230" s="1" t="str">
        <f>TEXT(Table1[[#This Row],[appointment_date]],"MM/YYYY")</f>
        <v>03/2025</v>
      </c>
      <c r="N230">
        <v>1</v>
      </c>
      <c r="O230" t="str" cm="1">
        <f t="array" ref="O230">_xlfn.IFS(Table1[[#This Row],[lead_time_days]]&lt;=7,"0-7 days",N230&lt;=14,"8-14 days",N230&lt;=30,"15-30 days",N230&lt;=60,"31-60 days",TRUE,"61+ days")</f>
        <v>0-7 days</v>
      </c>
      <c r="P230" t="s">
        <v>35</v>
      </c>
      <c r="Q230" t="s">
        <v>21</v>
      </c>
      <c r="R230">
        <v>0</v>
      </c>
      <c r="S230" t="str">
        <f>IF(Table1[prior_dna_count]&gt;=1,"Has prior DNA history","No prior DNA history")</f>
        <v>No prior DNA history</v>
      </c>
      <c r="T230" t="s">
        <v>22</v>
      </c>
      <c r="U230" t="str">
        <f t="shared" si="3"/>
        <v>1</v>
      </c>
      <c r="V230" t="str">
        <f>IF(Table1[appointment_status]="Attended","1","0")</f>
        <v>1</v>
      </c>
      <c r="W230" t="str">
        <f>IF(Table1[appointment_status]="Cancelled","1","0")</f>
        <v>0</v>
      </c>
    </row>
    <row r="231" spans="1:23">
      <c r="A231" t="s">
        <v>490</v>
      </c>
      <c r="B231" t="s">
        <v>472</v>
      </c>
      <c r="C231">
        <v>55</v>
      </c>
      <c r="D231" t="str" cm="1">
        <f t="array" ref="D231">_xlfn.IFS(Table1[[#This Row],[age]]&lt;=17,"0-17",C231&lt;=29,"18-29",C231&lt;=44,"30-44",C231&lt;=59,"45-59",C231&lt;=74,"60-74",TRUE,"75+")</f>
        <v>45-59</v>
      </c>
      <c r="E231" t="s">
        <v>29</v>
      </c>
      <c r="F231">
        <v>1</v>
      </c>
      <c r="G231" t="str" cm="1">
        <f t="array" ref="G231">_xlfn.IFS(_xlfn.SINGLE(Table1[imd_decile])&lt;=3,"Most Deprived",F231&lt;=7,"Moderately Deprived",F231&lt;=10,"Least Deprived")</f>
        <v>Most Deprived</v>
      </c>
      <c r="H231">
        <v>10.7</v>
      </c>
      <c r="I231" t="s">
        <v>91</v>
      </c>
      <c r="J231" t="s">
        <v>19</v>
      </c>
      <c r="K231" s="1">
        <v>45690</v>
      </c>
      <c r="L231" s="1">
        <v>45719</v>
      </c>
      <c r="M231" s="1" t="str">
        <f>TEXT(Table1[[#This Row],[appointment_date]],"MM/YYYY")</f>
        <v>03/2025</v>
      </c>
      <c r="N231">
        <v>29</v>
      </c>
      <c r="O231" t="str" cm="1">
        <f t="array" ref="O231">_xlfn.IFS(Table1[[#This Row],[lead_time_days]]&lt;=7,"0-7 days",N231&lt;=14,"8-14 days",N231&lt;=30,"15-30 days",N231&lt;=60,"31-60 days",TRUE,"61+ days")</f>
        <v>15-30 days</v>
      </c>
      <c r="P231" t="s">
        <v>35</v>
      </c>
      <c r="Q231" t="s">
        <v>21</v>
      </c>
      <c r="R231">
        <v>0</v>
      </c>
      <c r="S231" t="str">
        <f>IF(Table1[prior_dna_count]&gt;=1,"Has prior DNA history","No prior DNA history")</f>
        <v>No prior DNA history</v>
      </c>
      <c r="T231" t="s">
        <v>22</v>
      </c>
      <c r="U231" t="str">
        <f t="shared" si="3"/>
        <v>1</v>
      </c>
      <c r="V231" t="str">
        <f>IF(Table1[appointment_status]="Attended","1","0")</f>
        <v>1</v>
      </c>
      <c r="W231" t="str">
        <f>IF(Table1[appointment_status]="Cancelled","1","0")</f>
        <v>0</v>
      </c>
    </row>
    <row r="232" spans="1:23">
      <c r="A232" t="s">
        <v>491</v>
      </c>
      <c r="B232" t="s">
        <v>492</v>
      </c>
      <c r="C232">
        <v>60</v>
      </c>
      <c r="D232" t="str" cm="1">
        <f t="array" ref="D232">_xlfn.IFS(Table1[[#This Row],[age]]&lt;=17,"0-17",C232&lt;=29,"18-29",C232&lt;=44,"30-44",C232&lt;=59,"45-59",C232&lt;=74,"60-74",TRUE,"75+")</f>
        <v>60-74</v>
      </c>
      <c r="E232" t="s">
        <v>17</v>
      </c>
      <c r="F232">
        <v>2</v>
      </c>
      <c r="G232" t="str" cm="1">
        <f t="array" ref="G232">_xlfn.IFS(_xlfn.SINGLE(Table1[imd_decile])&lt;=3,"Most Deprived",F232&lt;=7,"Moderately Deprived",F232&lt;=10,"Least Deprived")</f>
        <v>Most Deprived</v>
      </c>
      <c r="H232">
        <v>3.1</v>
      </c>
      <c r="I232" t="s">
        <v>25</v>
      </c>
      <c r="J232" t="s">
        <v>26</v>
      </c>
      <c r="K232" s="1">
        <v>45704</v>
      </c>
      <c r="L232" s="1">
        <v>45719</v>
      </c>
      <c r="M232" s="1" t="str">
        <f>TEXT(Table1[[#This Row],[appointment_date]],"MM/YYYY")</f>
        <v>03/2025</v>
      </c>
      <c r="N232">
        <v>15</v>
      </c>
      <c r="O232" t="str" cm="1">
        <f t="array" ref="O232">_xlfn.IFS(Table1[[#This Row],[lead_time_days]]&lt;=7,"0-7 days",N232&lt;=14,"8-14 days",N232&lt;=30,"15-30 days",N232&lt;=60,"31-60 days",TRUE,"61+ days")</f>
        <v>15-30 days</v>
      </c>
      <c r="P232" t="s">
        <v>35</v>
      </c>
      <c r="Q232" t="s">
        <v>21</v>
      </c>
      <c r="R232">
        <v>0</v>
      </c>
      <c r="S232" t="str">
        <f>IF(Table1[prior_dna_count]&gt;=1,"Has prior DNA history","No prior DNA history")</f>
        <v>No prior DNA history</v>
      </c>
      <c r="T232" t="s">
        <v>22</v>
      </c>
      <c r="U232" t="str">
        <f t="shared" si="3"/>
        <v>1</v>
      </c>
      <c r="V232" t="str">
        <f>IF(Table1[appointment_status]="Attended","1","0")</f>
        <v>1</v>
      </c>
      <c r="W232" t="str">
        <f>IF(Table1[appointment_status]="Cancelled","1","0")</f>
        <v>0</v>
      </c>
    </row>
    <row r="233" spans="1:23">
      <c r="A233" t="s">
        <v>493</v>
      </c>
      <c r="B233" t="s">
        <v>494</v>
      </c>
      <c r="C233">
        <v>45</v>
      </c>
      <c r="D233" t="str" cm="1">
        <f t="array" ref="D233">_xlfn.IFS(Table1[[#This Row],[age]]&lt;=17,"0-17",C233&lt;=29,"18-29",C233&lt;=44,"30-44",C233&lt;=59,"45-59",C233&lt;=74,"60-74",TRUE,"75+")</f>
        <v>45-59</v>
      </c>
      <c r="E233" t="s">
        <v>17</v>
      </c>
      <c r="F233">
        <v>10</v>
      </c>
      <c r="G233" t="str" cm="1">
        <f t="array" ref="G233">_xlfn.IFS(_xlfn.SINGLE(Table1[imd_decile])&lt;=3,"Most Deprived",F233&lt;=7,"Moderately Deprived",F233&lt;=10,"Least Deprived")</f>
        <v>Least Deprived</v>
      </c>
      <c r="H233">
        <v>8.9</v>
      </c>
      <c r="I233" t="s">
        <v>49</v>
      </c>
      <c r="J233" t="s">
        <v>19</v>
      </c>
      <c r="K233" s="1">
        <v>45687</v>
      </c>
      <c r="L233" s="1">
        <v>45719</v>
      </c>
      <c r="M233" s="1" t="str">
        <f>TEXT(Table1[[#This Row],[appointment_date]],"MM/YYYY")</f>
        <v>03/2025</v>
      </c>
      <c r="N233">
        <v>32</v>
      </c>
      <c r="O233" t="str" cm="1">
        <f t="array" ref="O233">_xlfn.IFS(Table1[[#This Row],[lead_time_days]]&lt;=7,"0-7 days",N233&lt;=14,"8-14 days",N233&lt;=30,"15-30 days",N233&lt;=60,"31-60 days",TRUE,"61+ days")</f>
        <v>31-60 days</v>
      </c>
      <c r="P233" t="s">
        <v>35</v>
      </c>
      <c r="Q233" t="s">
        <v>21</v>
      </c>
      <c r="R233">
        <v>0</v>
      </c>
      <c r="S233" t="str">
        <f>IF(Table1[prior_dna_count]&gt;=1,"Has prior DNA history","No prior DNA history")</f>
        <v>No prior DNA history</v>
      </c>
      <c r="T233" t="s">
        <v>22</v>
      </c>
      <c r="U233" t="str">
        <f t="shared" si="3"/>
        <v>1</v>
      </c>
      <c r="V233" t="str">
        <f>IF(Table1[appointment_status]="Attended","1","0")</f>
        <v>1</v>
      </c>
      <c r="W233" t="str">
        <f>IF(Table1[appointment_status]="Cancelled","1","0")</f>
        <v>0</v>
      </c>
    </row>
    <row r="234" spans="1:23">
      <c r="A234" t="s">
        <v>495</v>
      </c>
      <c r="B234" t="s">
        <v>496</v>
      </c>
      <c r="C234">
        <v>57</v>
      </c>
      <c r="D234" t="str" cm="1">
        <f t="array" ref="D234">_xlfn.IFS(Table1[[#This Row],[age]]&lt;=17,"0-17",C234&lt;=29,"18-29",C234&lt;=44,"30-44",C234&lt;=59,"45-59",C234&lt;=74,"60-74",TRUE,"75+")</f>
        <v>45-59</v>
      </c>
      <c r="E234" t="s">
        <v>17</v>
      </c>
      <c r="F234">
        <v>2</v>
      </c>
      <c r="G234" t="str" cm="1">
        <f t="array" ref="G234">_xlfn.IFS(_xlfn.SINGLE(Table1[imd_decile])&lt;=3,"Most Deprived",F234&lt;=7,"Moderately Deprived",F234&lt;=10,"Least Deprived")</f>
        <v>Most Deprived</v>
      </c>
      <c r="H234">
        <v>2.7</v>
      </c>
      <c r="I234" t="s">
        <v>25</v>
      </c>
      <c r="J234" t="s">
        <v>26</v>
      </c>
      <c r="K234" s="1">
        <v>45668</v>
      </c>
      <c r="L234" s="1">
        <v>45719</v>
      </c>
      <c r="M234" s="1" t="str">
        <f>TEXT(Table1[[#This Row],[appointment_date]],"MM/YYYY")</f>
        <v>03/2025</v>
      </c>
      <c r="N234">
        <v>51</v>
      </c>
      <c r="O234" t="str" cm="1">
        <f t="array" ref="O234">_xlfn.IFS(Table1[[#This Row],[lead_time_days]]&lt;=7,"0-7 days",N234&lt;=14,"8-14 days",N234&lt;=30,"15-30 days",N234&lt;=60,"31-60 days",TRUE,"61+ days")</f>
        <v>31-60 days</v>
      </c>
      <c r="P234" t="s">
        <v>35</v>
      </c>
      <c r="Q234" t="s">
        <v>21</v>
      </c>
      <c r="R234">
        <v>0</v>
      </c>
      <c r="S234" t="str">
        <f>IF(Table1[prior_dna_count]&gt;=1,"Has prior DNA history","No prior DNA history")</f>
        <v>No prior DNA history</v>
      </c>
      <c r="T234" t="s">
        <v>22</v>
      </c>
      <c r="U234" t="str">
        <f t="shared" si="3"/>
        <v>1</v>
      </c>
      <c r="V234" t="str">
        <f>IF(Table1[appointment_status]="Attended","1","0")</f>
        <v>1</v>
      </c>
      <c r="W234" t="str">
        <f>IF(Table1[appointment_status]="Cancelled","1","0")</f>
        <v>0</v>
      </c>
    </row>
    <row r="235" spans="1:23">
      <c r="A235" t="s">
        <v>497</v>
      </c>
      <c r="B235" t="s">
        <v>498</v>
      </c>
      <c r="C235">
        <v>51</v>
      </c>
      <c r="D235" t="str" cm="1">
        <f t="array" ref="D235">_xlfn.IFS(Table1[[#This Row],[age]]&lt;=17,"0-17",C235&lt;=29,"18-29",C235&lt;=44,"30-44",C235&lt;=59,"45-59",C235&lt;=74,"60-74",TRUE,"75+")</f>
        <v>45-59</v>
      </c>
      <c r="E235" t="s">
        <v>17</v>
      </c>
      <c r="F235">
        <v>2</v>
      </c>
      <c r="G235" t="str" cm="1">
        <f t="array" ref="G235">_xlfn.IFS(_xlfn.SINGLE(Table1[imd_decile])&lt;=3,"Most Deprived",F235&lt;=7,"Moderately Deprived",F235&lt;=10,"Least Deprived")</f>
        <v>Most Deprived</v>
      </c>
      <c r="H235">
        <v>5.3</v>
      </c>
      <c r="I235" t="s">
        <v>38</v>
      </c>
      <c r="J235" t="s">
        <v>26</v>
      </c>
      <c r="K235" s="1">
        <v>45716</v>
      </c>
      <c r="L235" s="1">
        <v>45719</v>
      </c>
      <c r="M235" s="1" t="str">
        <f>TEXT(Table1[[#This Row],[appointment_date]],"MM/YYYY")</f>
        <v>03/2025</v>
      </c>
      <c r="N235">
        <v>3</v>
      </c>
      <c r="O235" t="str" cm="1">
        <f t="array" ref="O235">_xlfn.IFS(Table1[[#This Row],[lead_time_days]]&lt;=7,"0-7 days",N235&lt;=14,"8-14 days",N235&lt;=30,"15-30 days",N235&lt;=60,"31-60 days",TRUE,"61+ days")</f>
        <v>0-7 days</v>
      </c>
      <c r="P235" t="s">
        <v>35</v>
      </c>
      <c r="Q235" t="s">
        <v>21</v>
      </c>
      <c r="R235">
        <v>0</v>
      </c>
      <c r="S235" t="str">
        <f>IF(Table1[prior_dna_count]&gt;=1,"Has prior DNA history","No prior DNA history")</f>
        <v>No prior DNA history</v>
      </c>
      <c r="T235" t="s">
        <v>39</v>
      </c>
      <c r="U235" t="str">
        <f t="shared" si="3"/>
        <v>1</v>
      </c>
      <c r="V235" t="str">
        <f>IF(Table1[appointment_status]="Attended","1","0")</f>
        <v>0</v>
      </c>
      <c r="W235" t="str">
        <f>IF(Table1[appointment_status]="Cancelled","1","0")</f>
        <v>0</v>
      </c>
    </row>
    <row r="236" spans="1:23">
      <c r="A236" t="s">
        <v>499</v>
      </c>
      <c r="B236" t="s">
        <v>500</v>
      </c>
      <c r="C236">
        <v>43</v>
      </c>
      <c r="D236" t="str" cm="1">
        <f t="array" ref="D236">_xlfn.IFS(Table1[[#This Row],[age]]&lt;=17,"0-17",C236&lt;=29,"18-29",C236&lt;=44,"30-44",C236&lt;=59,"45-59",C236&lt;=74,"60-74",TRUE,"75+")</f>
        <v>30-44</v>
      </c>
      <c r="E236" t="s">
        <v>29</v>
      </c>
      <c r="F236">
        <v>2</v>
      </c>
      <c r="G236" t="str" cm="1">
        <f t="array" ref="G236">_xlfn.IFS(_xlfn.SINGLE(Table1[imd_decile])&lt;=3,"Most Deprived",F236&lt;=7,"Moderately Deprived",F236&lt;=10,"Least Deprived")</f>
        <v>Most Deprived</v>
      </c>
      <c r="H236">
        <v>14.1</v>
      </c>
      <c r="I236" t="s">
        <v>25</v>
      </c>
      <c r="J236" t="s">
        <v>26</v>
      </c>
      <c r="K236" s="1">
        <v>45716</v>
      </c>
      <c r="L236" s="1">
        <v>45719</v>
      </c>
      <c r="M236" s="1" t="str">
        <f>TEXT(Table1[[#This Row],[appointment_date]],"MM/YYYY")</f>
        <v>03/2025</v>
      </c>
      <c r="N236">
        <v>3</v>
      </c>
      <c r="O236" t="str" cm="1">
        <f t="array" ref="O236">_xlfn.IFS(Table1[[#This Row],[lead_time_days]]&lt;=7,"0-7 days",N236&lt;=14,"8-14 days",N236&lt;=30,"15-30 days",N236&lt;=60,"31-60 days",TRUE,"61+ days")</f>
        <v>0-7 days</v>
      </c>
      <c r="P236" t="s">
        <v>35</v>
      </c>
      <c r="Q236" t="s">
        <v>21</v>
      </c>
      <c r="R236">
        <v>0</v>
      </c>
      <c r="S236" t="str">
        <f>IF(Table1[prior_dna_count]&gt;=1,"Has prior DNA history","No prior DNA history")</f>
        <v>No prior DNA history</v>
      </c>
      <c r="T236" t="s">
        <v>22</v>
      </c>
      <c r="U236" t="str">
        <f t="shared" si="3"/>
        <v>0</v>
      </c>
      <c r="V236" t="str">
        <f>IF(Table1[appointment_status]="Attended","1","0")</f>
        <v>1</v>
      </c>
      <c r="W236" t="str">
        <f>IF(Table1[appointment_status]="Cancelled","1","0")</f>
        <v>0</v>
      </c>
    </row>
    <row r="237" spans="1:23">
      <c r="A237" t="s">
        <v>501</v>
      </c>
      <c r="B237" t="s">
        <v>502</v>
      </c>
      <c r="C237">
        <v>34</v>
      </c>
      <c r="D237" t="str" cm="1">
        <f t="array" ref="D237">_xlfn.IFS(Table1[[#This Row],[age]]&lt;=17,"0-17",C237&lt;=29,"18-29",C237&lt;=44,"30-44",C237&lt;=59,"45-59",C237&lt;=74,"60-74",TRUE,"75+")</f>
        <v>30-44</v>
      </c>
      <c r="E237" t="s">
        <v>29</v>
      </c>
      <c r="F237">
        <v>1</v>
      </c>
      <c r="G237" t="str" cm="1">
        <f t="array" ref="G237">_xlfn.IFS(_xlfn.SINGLE(Table1[imd_decile])&lt;=3,"Most Deprived",F237&lt;=7,"Moderately Deprived",F237&lt;=10,"Least Deprived")</f>
        <v>Most Deprived</v>
      </c>
      <c r="H237">
        <v>19</v>
      </c>
      <c r="I237" t="s">
        <v>155</v>
      </c>
      <c r="J237" t="s">
        <v>19</v>
      </c>
      <c r="K237" s="1">
        <v>45707</v>
      </c>
      <c r="L237" s="1">
        <v>45719</v>
      </c>
      <c r="M237" s="1" t="str">
        <f>TEXT(Table1[[#This Row],[appointment_date]],"MM/YYYY")</f>
        <v>03/2025</v>
      </c>
      <c r="N237">
        <v>12</v>
      </c>
      <c r="O237" t="str" cm="1">
        <f t="array" ref="O237">_xlfn.IFS(Table1[[#This Row],[lead_time_days]]&lt;=7,"0-7 days",N237&lt;=14,"8-14 days",N237&lt;=30,"15-30 days",N237&lt;=60,"31-60 days",TRUE,"61+ days")</f>
        <v>8-14 days</v>
      </c>
      <c r="P237" t="s">
        <v>35</v>
      </c>
      <c r="Q237" t="s">
        <v>21</v>
      </c>
      <c r="R237">
        <v>0</v>
      </c>
      <c r="S237" t="str">
        <f>IF(Table1[prior_dna_count]&gt;=1,"Has prior DNA history","No prior DNA history")</f>
        <v>No prior DNA history</v>
      </c>
      <c r="T237" t="s">
        <v>22</v>
      </c>
      <c r="U237" t="str">
        <f t="shared" si="3"/>
        <v>1</v>
      </c>
      <c r="V237" t="str">
        <f>IF(Table1[appointment_status]="Attended","1","0")</f>
        <v>1</v>
      </c>
      <c r="W237" t="str">
        <f>IF(Table1[appointment_status]="Cancelled","1","0")</f>
        <v>0</v>
      </c>
    </row>
    <row r="238" spans="1:23">
      <c r="A238" t="s">
        <v>503</v>
      </c>
      <c r="B238" t="s">
        <v>504</v>
      </c>
      <c r="C238">
        <v>86</v>
      </c>
      <c r="D238" t="str" cm="1">
        <f t="array" ref="D238">_xlfn.IFS(Table1[[#This Row],[age]]&lt;=17,"0-17",C238&lt;=29,"18-29",C238&lt;=44,"30-44",C238&lt;=59,"45-59",C238&lt;=74,"60-74",TRUE,"75+")</f>
        <v>75+</v>
      </c>
      <c r="E238" t="s">
        <v>17</v>
      </c>
      <c r="F238">
        <v>4</v>
      </c>
      <c r="G238" t="str" cm="1">
        <f t="array" ref="G238">_xlfn.IFS(_xlfn.SINGLE(Table1[imd_decile])&lt;=3,"Most Deprived",F238&lt;=7,"Moderately Deprived",F238&lt;=10,"Least Deprived")</f>
        <v>Moderately Deprived</v>
      </c>
      <c r="H238">
        <v>4.0999999999999996</v>
      </c>
      <c r="I238" t="s">
        <v>45</v>
      </c>
      <c r="J238" t="s">
        <v>19</v>
      </c>
      <c r="K238" s="1">
        <v>45695</v>
      </c>
      <c r="L238" s="1">
        <v>45719</v>
      </c>
      <c r="M238" s="1" t="str">
        <f>TEXT(Table1[[#This Row],[appointment_date]],"MM/YYYY")</f>
        <v>03/2025</v>
      </c>
      <c r="N238">
        <v>24</v>
      </c>
      <c r="O238" t="str" cm="1">
        <f t="array" ref="O238">_xlfn.IFS(Table1[[#This Row],[lead_time_days]]&lt;=7,"0-7 days",N238&lt;=14,"8-14 days",N238&lt;=30,"15-30 days",N238&lt;=60,"31-60 days",TRUE,"61+ days")</f>
        <v>15-30 days</v>
      </c>
      <c r="P238" t="s">
        <v>35</v>
      </c>
      <c r="Q238" t="s">
        <v>32</v>
      </c>
      <c r="R238">
        <v>0</v>
      </c>
      <c r="S238" t="str">
        <f>IF(Table1[prior_dna_count]&gt;=1,"Has prior DNA history","No prior DNA history")</f>
        <v>No prior DNA history</v>
      </c>
      <c r="T238" t="s">
        <v>46</v>
      </c>
      <c r="U238" t="str">
        <f t="shared" si="3"/>
        <v>1</v>
      </c>
      <c r="V238" t="str">
        <f>IF(Table1[appointment_status]="Attended","1","0")</f>
        <v>0</v>
      </c>
      <c r="W238" t="str">
        <f>IF(Table1[appointment_status]="Cancelled","1","0")</f>
        <v>1</v>
      </c>
    </row>
    <row r="239" spans="1:23">
      <c r="A239" t="s">
        <v>505</v>
      </c>
      <c r="B239" t="s">
        <v>506</v>
      </c>
      <c r="C239">
        <v>83</v>
      </c>
      <c r="D239" t="str" cm="1">
        <f t="array" ref="D239">_xlfn.IFS(Table1[[#This Row],[age]]&lt;=17,"0-17",C239&lt;=29,"18-29",C239&lt;=44,"30-44",C239&lt;=59,"45-59",C239&lt;=74,"60-74",TRUE,"75+")</f>
        <v>75+</v>
      </c>
      <c r="E239" t="s">
        <v>17</v>
      </c>
      <c r="F239">
        <v>6</v>
      </c>
      <c r="G239" t="str" cm="1">
        <f t="array" ref="G239">_xlfn.IFS(_xlfn.SINGLE(Table1[imd_decile])&lt;=3,"Most Deprived",F239&lt;=7,"Moderately Deprived",F239&lt;=10,"Least Deprived")</f>
        <v>Moderately Deprived</v>
      </c>
      <c r="H239">
        <v>5.3</v>
      </c>
      <c r="I239" t="s">
        <v>30</v>
      </c>
      <c r="J239" t="s">
        <v>19</v>
      </c>
      <c r="K239" s="1">
        <v>45705</v>
      </c>
      <c r="L239" s="1">
        <v>45719</v>
      </c>
      <c r="M239" s="1" t="str">
        <f>TEXT(Table1[[#This Row],[appointment_date]],"MM/YYYY")</f>
        <v>03/2025</v>
      </c>
      <c r="N239">
        <v>14</v>
      </c>
      <c r="O239" t="str" cm="1">
        <f t="array" ref="O239">_xlfn.IFS(Table1[[#This Row],[lead_time_days]]&lt;=7,"0-7 days",N239&lt;=14,"8-14 days",N239&lt;=30,"15-30 days",N239&lt;=60,"31-60 days",TRUE,"61+ days")</f>
        <v>8-14 days</v>
      </c>
      <c r="P239" t="s">
        <v>35</v>
      </c>
      <c r="Q239" t="s">
        <v>21</v>
      </c>
      <c r="R239">
        <v>0</v>
      </c>
      <c r="S239" t="str">
        <f>IF(Table1[prior_dna_count]&gt;=1,"Has prior DNA history","No prior DNA history")</f>
        <v>No prior DNA history</v>
      </c>
      <c r="T239" t="s">
        <v>22</v>
      </c>
      <c r="U239" t="str">
        <f t="shared" si="3"/>
        <v>0</v>
      </c>
      <c r="V239" t="str">
        <f>IF(Table1[appointment_status]="Attended","1","0")</f>
        <v>1</v>
      </c>
      <c r="W239" t="str">
        <f>IF(Table1[appointment_status]="Cancelled","1","0")</f>
        <v>0</v>
      </c>
    </row>
    <row r="240" spans="1:23">
      <c r="A240" t="s">
        <v>507</v>
      </c>
      <c r="B240" t="s">
        <v>508</v>
      </c>
      <c r="C240">
        <v>7</v>
      </c>
      <c r="D240" t="str" cm="1">
        <f t="array" ref="D240">_xlfn.IFS(Table1[[#This Row],[age]]&lt;=17,"0-17",C240&lt;=29,"18-29",C240&lt;=44,"30-44",C240&lt;=59,"45-59",C240&lt;=74,"60-74",TRUE,"75+")</f>
        <v>0-17</v>
      </c>
      <c r="E240" t="s">
        <v>29</v>
      </c>
      <c r="F240">
        <v>3</v>
      </c>
      <c r="G240" t="str" cm="1">
        <f t="array" ref="G240">_xlfn.IFS(_xlfn.SINGLE(Table1[imd_decile])&lt;=3,"Most Deprived",F240&lt;=7,"Moderately Deprived",F240&lt;=10,"Least Deprived")</f>
        <v>Most Deprived</v>
      </c>
      <c r="H240">
        <v>9</v>
      </c>
      <c r="I240" t="s">
        <v>30</v>
      </c>
      <c r="J240" t="s">
        <v>19</v>
      </c>
      <c r="K240" s="1">
        <v>45698</v>
      </c>
      <c r="L240" s="1">
        <v>45720</v>
      </c>
      <c r="M240" s="1" t="str">
        <f>TEXT(Table1[[#This Row],[appointment_date]],"MM/YYYY")</f>
        <v>03/2025</v>
      </c>
      <c r="N240">
        <v>22</v>
      </c>
      <c r="O240" t="str" cm="1">
        <f t="array" ref="O240">_xlfn.IFS(Table1[[#This Row],[lead_time_days]]&lt;=7,"0-7 days",N240&lt;=14,"8-14 days",N240&lt;=30,"15-30 days",N240&lt;=60,"31-60 days",TRUE,"61+ days")</f>
        <v>15-30 days</v>
      </c>
      <c r="P240" t="s">
        <v>71</v>
      </c>
      <c r="Q240" t="s">
        <v>32</v>
      </c>
      <c r="R240">
        <v>0</v>
      </c>
      <c r="S240" t="str">
        <f>IF(Table1[prior_dna_count]&gt;=1,"Has prior DNA history","No prior DNA history")</f>
        <v>No prior DNA history</v>
      </c>
      <c r="T240" t="s">
        <v>22</v>
      </c>
      <c r="U240" t="str">
        <f t="shared" si="3"/>
        <v>1</v>
      </c>
      <c r="V240" t="str">
        <f>IF(Table1[appointment_status]="Attended","1","0")</f>
        <v>1</v>
      </c>
      <c r="W240" t="str">
        <f>IF(Table1[appointment_status]="Cancelled","1","0")</f>
        <v>0</v>
      </c>
    </row>
    <row r="241" spans="1:23">
      <c r="A241" t="s">
        <v>509</v>
      </c>
      <c r="B241" t="s">
        <v>510</v>
      </c>
      <c r="C241">
        <v>58</v>
      </c>
      <c r="D241" t="str" cm="1">
        <f t="array" ref="D241">_xlfn.IFS(Table1[[#This Row],[age]]&lt;=17,"0-17",C241&lt;=29,"18-29",C241&lt;=44,"30-44",C241&lt;=59,"45-59",C241&lt;=74,"60-74",TRUE,"75+")</f>
        <v>45-59</v>
      </c>
      <c r="E241" t="s">
        <v>17</v>
      </c>
      <c r="F241">
        <v>9</v>
      </c>
      <c r="G241" t="str" cm="1">
        <f t="array" ref="G241">_xlfn.IFS(_xlfn.SINGLE(Table1[imd_decile])&lt;=3,"Most Deprived",F241&lt;=7,"Moderately Deprived",F241&lt;=10,"Least Deprived")</f>
        <v>Least Deprived</v>
      </c>
      <c r="H241">
        <v>12.3</v>
      </c>
      <c r="I241" t="s">
        <v>38</v>
      </c>
      <c r="J241" t="s">
        <v>19</v>
      </c>
      <c r="K241" s="1">
        <v>45693</v>
      </c>
      <c r="L241" s="1">
        <v>45720</v>
      </c>
      <c r="M241" s="1" t="str">
        <f>TEXT(Table1[[#This Row],[appointment_date]],"MM/YYYY")</f>
        <v>03/2025</v>
      </c>
      <c r="N241">
        <v>27</v>
      </c>
      <c r="O241" t="str" cm="1">
        <f t="array" ref="O241">_xlfn.IFS(Table1[[#This Row],[lead_time_days]]&lt;=7,"0-7 days",N241&lt;=14,"8-14 days",N241&lt;=30,"15-30 days",N241&lt;=60,"31-60 days",TRUE,"61+ days")</f>
        <v>15-30 days</v>
      </c>
      <c r="P241" t="s">
        <v>71</v>
      </c>
      <c r="Q241" t="s">
        <v>21</v>
      </c>
      <c r="R241">
        <v>0</v>
      </c>
      <c r="S241" t="str">
        <f>IF(Table1[prior_dna_count]&gt;=1,"Has prior DNA history","No prior DNA history")</f>
        <v>No prior DNA history</v>
      </c>
      <c r="T241" t="s">
        <v>22</v>
      </c>
      <c r="U241" t="str">
        <f t="shared" si="3"/>
        <v>1</v>
      </c>
      <c r="V241" t="str">
        <f>IF(Table1[appointment_status]="Attended","1","0")</f>
        <v>1</v>
      </c>
      <c r="W241" t="str">
        <f>IF(Table1[appointment_status]="Cancelled","1","0")</f>
        <v>0</v>
      </c>
    </row>
    <row r="242" spans="1:23">
      <c r="A242" t="s">
        <v>511</v>
      </c>
      <c r="B242" t="s">
        <v>512</v>
      </c>
      <c r="C242">
        <v>60</v>
      </c>
      <c r="D242" t="str" cm="1">
        <f t="array" ref="D242">_xlfn.IFS(Table1[[#This Row],[age]]&lt;=17,"0-17",C242&lt;=29,"18-29",C242&lt;=44,"30-44",C242&lt;=59,"45-59",C242&lt;=74,"60-74",TRUE,"75+")</f>
        <v>60-74</v>
      </c>
      <c r="E242" t="s">
        <v>29</v>
      </c>
      <c r="F242">
        <v>9</v>
      </c>
      <c r="G242" t="str" cm="1">
        <f t="array" ref="G242">_xlfn.IFS(_xlfn.SINGLE(Table1[imd_decile])&lt;=3,"Most Deprived",F242&lt;=7,"Moderately Deprived",F242&lt;=10,"Least Deprived")</f>
        <v>Least Deprived</v>
      </c>
      <c r="H242">
        <v>13.4</v>
      </c>
      <c r="I242" t="s">
        <v>18</v>
      </c>
      <c r="J242" t="s">
        <v>19</v>
      </c>
      <c r="K242" s="1">
        <v>45681</v>
      </c>
      <c r="L242" s="1">
        <v>45720</v>
      </c>
      <c r="M242" s="1" t="str">
        <f>TEXT(Table1[[#This Row],[appointment_date]],"MM/YYYY")</f>
        <v>03/2025</v>
      </c>
      <c r="N242">
        <v>39</v>
      </c>
      <c r="O242" t="str" cm="1">
        <f t="array" ref="O242">_xlfn.IFS(Table1[[#This Row],[lead_time_days]]&lt;=7,"0-7 days",N242&lt;=14,"8-14 days",N242&lt;=30,"15-30 days",N242&lt;=60,"31-60 days",TRUE,"61+ days")</f>
        <v>31-60 days</v>
      </c>
      <c r="P242" t="s">
        <v>71</v>
      </c>
      <c r="Q242" t="s">
        <v>21</v>
      </c>
      <c r="R242">
        <v>0</v>
      </c>
      <c r="S242" t="str">
        <f>IF(Table1[prior_dna_count]&gt;=1,"Has prior DNA history","No prior DNA history")</f>
        <v>No prior DNA history</v>
      </c>
      <c r="T242" t="s">
        <v>22</v>
      </c>
      <c r="U242" t="str">
        <f t="shared" si="3"/>
        <v>1</v>
      </c>
      <c r="V242" t="str">
        <f>IF(Table1[appointment_status]="Attended","1","0")</f>
        <v>1</v>
      </c>
      <c r="W242" t="str">
        <f>IF(Table1[appointment_status]="Cancelled","1","0")</f>
        <v>0</v>
      </c>
    </row>
    <row r="243" spans="1:23">
      <c r="A243" t="s">
        <v>513</v>
      </c>
      <c r="B243" t="s">
        <v>514</v>
      </c>
      <c r="C243">
        <v>43</v>
      </c>
      <c r="D243" t="str" cm="1">
        <f t="array" ref="D243">_xlfn.IFS(Table1[[#This Row],[age]]&lt;=17,"0-17",C243&lt;=29,"18-29",C243&lt;=44,"30-44",C243&lt;=59,"45-59",C243&lt;=74,"60-74",TRUE,"75+")</f>
        <v>30-44</v>
      </c>
      <c r="E243" t="s">
        <v>17</v>
      </c>
      <c r="F243">
        <v>9</v>
      </c>
      <c r="G243" t="str" cm="1">
        <f t="array" ref="G243">_xlfn.IFS(_xlfn.SINGLE(Table1[imd_decile])&lt;=3,"Most Deprived",F243&lt;=7,"Moderately Deprived",F243&lt;=10,"Least Deprived")</f>
        <v>Least Deprived</v>
      </c>
      <c r="H243">
        <v>14.1</v>
      </c>
      <c r="I243" t="s">
        <v>38</v>
      </c>
      <c r="J243" t="s">
        <v>19</v>
      </c>
      <c r="K243" s="1">
        <v>45710</v>
      </c>
      <c r="L243" s="1">
        <v>45720</v>
      </c>
      <c r="M243" s="1" t="str">
        <f>TEXT(Table1[[#This Row],[appointment_date]],"MM/YYYY")</f>
        <v>03/2025</v>
      </c>
      <c r="N243">
        <v>10</v>
      </c>
      <c r="O243" t="str" cm="1">
        <f t="array" ref="O243">_xlfn.IFS(Table1[[#This Row],[lead_time_days]]&lt;=7,"0-7 days",N243&lt;=14,"8-14 days",N243&lt;=30,"15-30 days",N243&lt;=60,"31-60 days",TRUE,"61+ days")</f>
        <v>8-14 days</v>
      </c>
      <c r="P243" t="s">
        <v>71</v>
      </c>
      <c r="Q243" t="s">
        <v>21</v>
      </c>
      <c r="R243">
        <v>0</v>
      </c>
      <c r="S243" t="str">
        <f>IF(Table1[prior_dna_count]&gt;=1,"Has prior DNA history","No prior DNA history")</f>
        <v>No prior DNA history</v>
      </c>
      <c r="T243" t="s">
        <v>22</v>
      </c>
      <c r="U243" t="str">
        <f t="shared" si="3"/>
        <v>1</v>
      </c>
      <c r="V243" t="str">
        <f>IF(Table1[appointment_status]="Attended","1","0")</f>
        <v>1</v>
      </c>
      <c r="W243" t="str">
        <f>IF(Table1[appointment_status]="Cancelled","1","0")</f>
        <v>0</v>
      </c>
    </row>
    <row r="244" spans="1:23">
      <c r="A244" t="s">
        <v>515</v>
      </c>
      <c r="B244" t="s">
        <v>516</v>
      </c>
      <c r="C244">
        <v>54</v>
      </c>
      <c r="D244" t="str" cm="1">
        <f t="array" ref="D244">_xlfn.IFS(Table1[[#This Row],[age]]&lt;=17,"0-17",C244&lt;=29,"18-29",C244&lt;=44,"30-44",C244&lt;=59,"45-59",C244&lt;=74,"60-74",TRUE,"75+")</f>
        <v>45-59</v>
      </c>
      <c r="E244" t="s">
        <v>29</v>
      </c>
      <c r="F244">
        <v>6</v>
      </c>
      <c r="G244" t="str" cm="1">
        <f t="array" ref="G244">_xlfn.IFS(_xlfn.SINGLE(Table1[imd_decile])&lt;=3,"Most Deprived",F244&lt;=7,"Moderately Deprived",F244&lt;=10,"Least Deprived")</f>
        <v>Moderately Deprived</v>
      </c>
      <c r="H244">
        <v>2.8</v>
      </c>
      <c r="I244" t="s">
        <v>25</v>
      </c>
      <c r="J244" t="s">
        <v>19</v>
      </c>
      <c r="K244" s="1">
        <v>45719</v>
      </c>
      <c r="L244" s="1">
        <v>45720</v>
      </c>
      <c r="M244" s="1" t="str">
        <f>TEXT(Table1[[#This Row],[appointment_date]],"MM/YYYY")</f>
        <v>03/2025</v>
      </c>
      <c r="N244">
        <v>1</v>
      </c>
      <c r="O244" t="str" cm="1">
        <f t="array" ref="O244">_xlfn.IFS(Table1[[#This Row],[lead_time_days]]&lt;=7,"0-7 days",N244&lt;=14,"8-14 days",N244&lt;=30,"15-30 days",N244&lt;=60,"31-60 days",TRUE,"61+ days")</f>
        <v>0-7 days</v>
      </c>
      <c r="P244" t="s">
        <v>71</v>
      </c>
      <c r="Q244" t="s">
        <v>21</v>
      </c>
      <c r="R244">
        <v>0</v>
      </c>
      <c r="S244" t="str">
        <f>IF(Table1[prior_dna_count]&gt;=1,"Has prior DNA history","No prior DNA history")</f>
        <v>No prior DNA history</v>
      </c>
      <c r="T244" t="s">
        <v>22</v>
      </c>
      <c r="U244" t="str">
        <f t="shared" si="3"/>
        <v>1</v>
      </c>
      <c r="V244" t="str">
        <f>IF(Table1[appointment_status]="Attended","1","0")</f>
        <v>1</v>
      </c>
      <c r="W244" t="str">
        <f>IF(Table1[appointment_status]="Cancelled","1","0")</f>
        <v>0</v>
      </c>
    </row>
    <row r="245" spans="1:23">
      <c r="A245" t="s">
        <v>517</v>
      </c>
      <c r="B245" t="s">
        <v>161</v>
      </c>
      <c r="C245">
        <v>55</v>
      </c>
      <c r="D245" t="str" cm="1">
        <f t="array" ref="D245">_xlfn.IFS(Table1[[#This Row],[age]]&lt;=17,"0-17",C245&lt;=29,"18-29",C245&lt;=44,"30-44",C245&lt;=59,"45-59",C245&lt;=74,"60-74",TRUE,"75+")</f>
        <v>45-59</v>
      </c>
      <c r="E245" t="s">
        <v>29</v>
      </c>
      <c r="F245">
        <v>5</v>
      </c>
      <c r="G245" t="str" cm="1">
        <f t="array" ref="G245">_xlfn.IFS(_xlfn.SINGLE(Table1[imd_decile])&lt;=3,"Most Deprived",F245&lt;=7,"Moderately Deprived",F245&lt;=10,"Least Deprived")</f>
        <v>Moderately Deprived</v>
      </c>
      <c r="H245">
        <v>10.1</v>
      </c>
      <c r="I245" t="s">
        <v>18</v>
      </c>
      <c r="J245" t="s">
        <v>19</v>
      </c>
      <c r="K245" s="1">
        <v>45666</v>
      </c>
      <c r="L245" s="1">
        <v>45720</v>
      </c>
      <c r="M245" s="1" t="str">
        <f>TEXT(Table1[[#This Row],[appointment_date]],"MM/YYYY")</f>
        <v>03/2025</v>
      </c>
      <c r="N245">
        <v>54</v>
      </c>
      <c r="O245" t="str" cm="1">
        <f t="array" ref="O245">_xlfn.IFS(Table1[[#This Row],[lead_time_days]]&lt;=7,"0-7 days",N245&lt;=14,"8-14 days",N245&lt;=30,"15-30 days",N245&lt;=60,"31-60 days",TRUE,"61+ days")</f>
        <v>31-60 days</v>
      </c>
      <c r="P245" t="s">
        <v>71</v>
      </c>
      <c r="Q245" t="s">
        <v>21</v>
      </c>
      <c r="R245">
        <v>0</v>
      </c>
      <c r="S245" t="str">
        <f>IF(Table1[prior_dna_count]&gt;=1,"Has prior DNA history","No prior DNA history")</f>
        <v>No prior DNA history</v>
      </c>
      <c r="T245" t="s">
        <v>22</v>
      </c>
      <c r="U245" t="str">
        <f t="shared" si="3"/>
        <v>1</v>
      </c>
      <c r="V245" t="str">
        <f>IF(Table1[appointment_status]="Attended","1","0")</f>
        <v>1</v>
      </c>
      <c r="W245" t="str">
        <f>IF(Table1[appointment_status]="Cancelled","1","0")</f>
        <v>0</v>
      </c>
    </row>
    <row r="246" spans="1:23">
      <c r="A246" t="s">
        <v>518</v>
      </c>
      <c r="B246" t="s">
        <v>175</v>
      </c>
      <c r="C246">
        <v>61</v>
      </c>
      <c r="D246" t="str" cm="1">
        <f t="array" ref="D246">_xlfn.IFS(Table1[[#This Row],[age]]&lt;=17,"0-17",C246&lt;=29,"18-29",C246&lt;=44,"30-44",C246&lt;=59,"45-59",C246&lt;=74,"60-74",TRUE,"75+")</f>
        <v>60-74</v>
      </c>
      <c r="E246" t="s">
        <v>17</v>
      </c>
      <c r="F246">
        <v>5</v>
      </c>
      <c r="G246" t="str" cm="1">
        <f t="array" ref="G246">_xlfn.IFS(_xlfn.SINGLE(Table1[imd_decile])&lt;=3,"Most Deprived",F246&lt;=7,"Moderately Deprived",F246&lt;=10,"Least Deprived")</f>
        <v>Moderately Deprived</v>
      </c>
      <c r="H246">
        <v>11.9</v>
      </c>
      <c r="I246" t="s">
        <v>30</v>
      </c>
      <c r="J246" t="s">
        <v>19</v>
      </c>
      <c r="K246" s="1">
        <v>45667</v>
      </c>
      <c r="L246" s="1">
        <v>45720</v>
      </c>
      <c r="M246" s="1" t="str">
        <f>TEXT(Table1[[#This Row],[appointment_date]],"MM/YYYY")</f>
        <v>03/2025</v>
      </c>
      <c r="N246">
        <v>53</v>
      </c>
      <c r="O246" t="str" cm="1">
        <f t="array" ref="O246">_xlfn.IFS(Table1[[#This Row],[lead_time_days]]&lt;=7,"0-7 days",N246&lt;=14,"8-14 days",N246&lt;=30,"15-30 days",N246&lt;=60,"31-60 days",TRUE,"61+ days")</f>
        <v>31-60 days</v>
      </c>
      <c r="P246" t="s">
        <v>71</v>
      </c>
      <c r="Q246" t="s">
        <v>21</v>
      </c>
      <c r="R246">
        <v>0</v>
      </c>
      <c r="S246" t="str">
        <f>IF(Table1[prior_dna_count]&gt;=1,"Has prior DNA history","No prior DNA history")</f>
        <v>No prior DNA history</v>
      </c>
      <c r="T246" t="s">
        <v>22</v>
      </c>
      <c r="U246" t="str">
        <f t="shared" si="3"/>
        <v>1</v>
      </c>
      <c r="V246" t="str">
        <f>IF(Table1[appointment_status]="Attended","1","0")</f>
        <v>1</v>
      </c>
      <c r="W246" t="str">
        <f>IF(Table1[appointment_status]="Cancelled","1","0")</f>
        <v>0</v>
      </c>
    </row>
    <row r="247" spans="1:23">
      <c r="A247" t="s">
        <v>519</v>
      </c>
      <c r="B247" t="s">
        <v>520</v>
      </c>
      <c r="C247">
        <v>34</v>
      </c>
      <c r="D247" t="str" cm="1">
        <f t="array" ref="D247">_xlfn.IFS(Table1[[#This Row],[age]]&lt;=17,"0-17",C247&lt;=29,"18-29",C247&lt;=44,"30-44",C247&lt;=59,"45-59",C247&lt;=74,"60-74",TRUE,"75+")</f>
        <v>30-44</v>
      </c>
      <c r="E247" t="s">
        <v>29</v>
      </c>
      <c r="F247">
        <v>5</v>
      </c>
      <c r="G247" t="str" cm="1">
        <f t="array" ref="G247">_xlfn.IFS(_xlfn.SINGLE(Table1[imd_decile])&lt;=3,"Most Deprived",F247&lt;=7,"Moderately Deprived",F247&lt;=10,"Least Deprived")</f>
        <v>Moderately Deprived</v>
      </c>
      <c r="H247">
        <v>8.5</v>
      </c>
      <c r="I247" t="s">
        <v>42</v>
      </c>
      <c r="J247" t="s">
        <v>19</v>
      </c>
      <c r="K247" s="1">
        <v>45664</v>
      </c>
      <c r="L247" s="1">
        <v>45720</v>
      </c>
      <c r="M247" s="1" t="str">
        <f>TEXT(Table1[[#This Row],[appointment_date]],"MM/YYYY")</f>
        <v>03/2025</v>
      </c>
      <c r="N247">
        <v>56</v>
      </c>
      <c r="O247" t="str" cm="1">
        <f t="array" ref="O247">_xlfn.IFS(Table1[[#This Row],[lead_time_days]]&lt;=7,"0-7 days",N247&lt;=14,"8-14 days",N247&lt;=30,"15-30 days",N247&lt;=60,"31-60 days",TRUE,"61+ days")</f>
        <v>31-60 days</v>
      </c>
      <c r="P247" t="s">
        <v>71</v>
      </c>
      <c r="Q247" t="s">
        <v>32</v>
      </c>
      <c r="R247">
        <v>0</v>
      </c>
      <c r="S247" t="str">
        <f>IF(Table1[prior_dna_count]&gt;=1,"Has prior DNA history","No prior DNA history")</f>
        <v>No prior DNA history</v>
      </c>
      <c r="T247" t="s">
        <v>22</v>
      </c>
      <c r="U247" t="str">
        <f t="shared" si="3"/>
        <v>1</v>
      </c>
      <c r="V247" t="str">
        <f>IF(Table1[appointment_status]="Attended","1","0")</f>
        <v>1</v>
      </c>
      <c r="W247" t="str">
        <f>IF(Table1[appointment_status]="Cancelled","1","0")</f>
        <v>0</v>
      </c>
    </row>
    <row r="248" spans="1:23">
      <c r="A248" t="s">
        <v>521</v>
      </c>
      <c r="B248" t="s">
        <v>522</v>
      </c>
      <c r="C248">
        <v>43</v>
      </c>
      <c r="D248" t="str" cm="1">
        <f t="array" ref="D248">_xlfn.IFS(Table1[[#This Row],[age]]&lt;=17,"0-17",C248&lt;=29,"18-29",C248&lt;=44,"30-44",C248&lt;=59,"45-59",C248&lt;=74,"60-74",TRUE,"75+")</f>
        <v>30-44</v>
      </c>
      <c r="E248" t="s">
        <v>17</v>
      </c>
      <c r="F248">
        <v>3</v>
      </c>
      <c r="G248" t="str" cm="1">
        <f t="array" ref="G248">_xlfn.IFS(_xlfn.SINGLE(Table1[imd_decile])&lt;=3,"Most Deprived",F248&lt;=7,"Moderately Deprived",F248&lt;=10,"Least Deprived")</f>
        <v>Most Deprived</v>
      </c>
      <c r="H248">
        <v>3.8</v>
      </c>
      <c r="I248" t="s">
        <v>25</v>
      </c>
      <c r="J248" t="s">
        <v>26</v>
      </c>
      <c r="K248" s="1">
        <v>45707</v>
      </c>
      <c r="L248" s="1">
        <v>45720</v>
      </c>
      <c r="M248" s="1" t="str">
        <f>TEXT(Table1[[#This Row],[appointment_date]],"MM/YYYY")</f>
        <v>03/2025</v>
      </c>
      <c r="N248">
        <v>13</v>
      </c>
      <c r="O248" t="str" cm="1">
        <f t="array" ref="O248">_xlfn.IFS(Table1[[#This Row],[lead_time_days]]&lt;=7,"0-7 days",N248&lt;=14,"8-14 days",N248&lt;=30,"15-30 days",N248&lt;=60,"31-60 days",TRUE,"61+ days")</f>
        <v>8-14 days</v>
      </c>
      <c r="P248" t="s">
        <v>71</v>
      </c>
      <c r="Q248" t="s">
        <v>21</v>
      </c>
      <c r="R248">
        <v>0</v>
      </c>
      <c r="S248" t="str">
        <f>IF(Table1[prior_dna_count]&gt;=1,"Has prior DNA history","No prior DNA history")</f>
        <v>No prior DNA history</v>
      </c>
      <c r="T248" t="s">
        <v>46</v>
      </c>
      <c r="U248" t="str">
        <f t="shared" si="3"/>
        <v>1</v>
      </c>
      <c r="V248" t="str">
        <f>IF(Table1[appointment_status]="Attended","1","0")</f>
        <v>0</v>
      </c>
      <c r="W248" t="str">
        <f>IF(Table1[appointment_status]="Cancelled","1","0")</f>
        <v>1</v>
      </c>
    </row>
    <row r="249" spans="1:23">
      <c r="A249" t="s">
        <v>523</v>
      </c>
      <c r="B249" t="s">
        <v>524</v>
      </c>
      <c r="C249">
        <v>45</v>
      </c>
      <c r="D249" t="str" cm="1">
        <f t="array" ref="D249">_xlfn.IFS(Table1[[#This Row],[age]]&lt;=17,"0-17",C249&lt;=29,"18-29",C249&lt;=44,"30-44",C249&lt;=59,"45-59",C249&lt;=74,"60-74",TRUE,"75+")</f>
        <v>45-59</v>
      </c>
      <c r="E249" t="s">
        <v>17</v>
      </c>
      <c r="F249">
        <v>8</v>
      </c>
      <c r="G249" t="str" cm="1">
        <f t="array" ref="G249">_xlfn.IFS(_xlfn.SINGLE(Table1[imd_decile])&lt;=3,"Most Deprived",F249&lt;=7,"Moderately Deprived",F249&lt;=10,"Least Deprived")</f>
        <v>Least Deprived</v>
      </c>
      <c r="H249">
        <v>7.7</v>
      </c>
      <c r="I249" t="s">
        <v>58</v>
      </c>
      <c r="J249" t="s">
        <v>19</v>
      </c>
      <c r="K249" s="1">
        <v>45685</v>
      </c>
      <c r="L249" s="1">
        <v>45720</v>
      </c>
      <c r="M249" s="1" t="str">
        <f>TEXT(Table1[[#This Row],[appointment_date]],"MM/YYYY")</f>
        <v>03/2025</v>
      </c>
      <c r="N249">
        <v>35</v>
      </c>
      <c r="O249" t="str" cm="1">
        <f t="array" ref="O249">_xlfn.IFS(Table1[[#This Row],[lead_time_days]]&lt;=7,"0-7 days",N249&lt;=14,"8-14 days",N249&lt;=30,"15-30 days",N249&lt;=60,"31-60 days",TRUE,"61+ days")</f>
        <v>31-60 days</v>
      </c>
      <c r="P249" t="s">
        <v>71</v>
      </c>
      <c r="Q249" t="s">
        <v>21</v>
      </c>
      <c r="R249">
        <v>0</v>
      </c>
      <c r="S249" t="str">
        <f>IF(Table1[prior_dna_count]&gt;=1,"Has prior DNA history","No prior DNA history")</f>
        <v>No prior DNA history</v>
      </c>
      <c r="T249" t="s">
        <v>22</v>
      </c>
      <c r="U249" t="str">
        <f t="shared" si="3"/>
        <v>0</v>
      </c>
      <c r="V249" t="str">
        <f>IF(Table1[appointment_status]="Attended","1","0")</f>
        <v>1</v>
      </c>
      <c r="W249" t="str">
        <f>IF(Table1[appointment_status]="Cancelled","1","0")</f>
        <v>0</v>
      </c>
    </row>
    <row r="250" spans="1:23">
      <c r="A250" t="s">
        <v>525</v>
      </c>
      <c r="B250" t="s">
        <v>526</v>
      </c>
      <c r="C250">
        <v>18</v>
      </c>
      <c r="D250" t="str" cm="1">
        <f t="array" ref="D250">_xlfn.IFS(Table1[[#This Row],[age]]&lt;=17,"0-17",C250&lt;=29,"18-29",C250&lt;=44,"30-44",C250&lt;=59,"45-59",C250&lt;=74,"60-74",TRUE,"75+")</f>
        <v>18-29</v>
      </c>
      <c r="E250" t="s">
        <v>17</v>
      </c>
      <c r="F250">
        <v>3</v>
      </c>
      <c r="G250" t="str" cm="1">
        <f t="array" ref="G250">_xlfn.IFS(_xlfn.SINGLE(Table1[imd_decile])&lt;=3,"Most Deprived",F250&lt;=7,"Moderately Deprived",F250&lt;=10,"Least Deprived")</f>
        <v>Most Deprived</v>
      </c>
      <c r="H250">
        <v>15.9</v>
      </c>
      <c r="I250" t="s">
        <v>18</v>
      </c>
      <c r="J250" t="s">
        <v>26</v>
      </c>
      <c r="K250" s="1">
        <v>45712</v>
      </c>
      <c r="L250" s="1">
        <v>45720</v>
      </c>
      <c r="M250" s="1" t="str">
        <f>TEXT(Table1[[#This Row],[appointment_date]],"MM/YYYY")</f>
        <v>03/2025</v>
      </c>
      <c r="N250">
        <v>8</v>
      </c>
      <c r="O250" t="str" cm="1">
        <f t="array" ref="O250">_xlfn.IFS(Table1[[#This Row],[lead_time_days]]&lt;=7,"0-7 days",N250&lt;=14,"8-14 days",N250&lt;=30,"15-30 days",N250&lt;=60,"31-60 days",TRUE,"61+ days")</f>
        <v>8-14 days</v>
      </c>
      <c r="P250" t="s">
        <v>71</v>
      </c>
      <c r="Q250" t="s">
        <v>32</v>
      </c>
      <c r="R250">
        <v>0</v>
      </c>
      <c r="S250" t="str">
        <f>IF(Table1[prior_dna_count]&gt;=1,"Has prior DNA history","No prior DNA history")</f>
        <v>No prior DNA history</v>
      </c>
      <c r="T250" t="s">
        <v>46</v>
      </c>
      <c r="U250" t="str">
        <f t="shared" si="3"/>
        <v>1</v>
      </c>
      <c r="V250" t="str">
        <f>IF(Table1[appointment_status]="Attended","1","0")</f>
        <v>0</v>
      </c>
      <c r="W250" t="str">
        <f>IF(Table1[appointment_status]="Cancelled","1","0")</f>
        <v>1</v>
      </c>
    </row>
    <row r="251" spans="1:23">
      <c r="A251" t="s">
        <v>527</v>
      </c>
      <c r="B251" t="s">
        <v>304</v>
      </c>
      <c r="C251">
        <v>68</v>
      </c>
      <c r="D251" t="str" cm="1">
        <f t="array" ref="D251">_xlfn.IFS(Table1[[#This Row],[age]]&lt;=17,"0-17",C251&lt;=29,"18-29",C251&lt;=44,"30-44",C251&lt;=59,"45-59",C251&lt;=74,"60-74",TRUE,"75+")</f>
        <v>60-74</v>
      </c>
      <c r="E251" t="s">
        <v>17</v>
      </c>
      <c r="F251">
        <v>6</v>
      </c>
      <c r="G251" t="str" cm="1">
        <f t="array" ref="G251">_xlfn.IFS(_xlfn.SINGLE(Table1[imd_decile])&lt;=3,"Most Deprived",F251&lt;=7,"Moderately Deprived",F251&lt;=10,"Least Deprived")</f>
        <v>Moderately Deprived</v>
      </c>
      <c r="H251">
        <v>14.4</v>
      </c>
      <c r="I251" t="s">
        <v>58</v>
      </c>
      <c r="J251" t="s">
        <v>19</v>
      </c>
      <c r="K251" s="1">
        <v>45689</v>
      </c>
      <c r="L251" s="1">
        <v>45720</v>
      </c>
      <c r="M251" s="1" t="str">
        <f>TEXT(Table1[[#This Row],[appointment_date]],"MM/YYYY")</f>
        <v>03/2025</v>
      </c>
      <c r="N251">
        <v>31</v>
      </c>
      <c r="O251" t="str" cm="1">
        <f t="array" ref="O251">_xlfn.IFS(Table1[[#This Row],[lead_time_days]]&lt;=7,"0-7 days",N251&lt;=14,"8-14 days",N251&lt;=30,"15-30 days",N251&lt;=60,"31-60 days",TRUE,"61+ days")</f>
        <v>31-60 days</v>
      </c>
      <c r="P251" t="s">
        <v>71</v>
      </c>
      <c r="Q251" t="s">
        <v>21</v>
      </c>
      <c r="R251">
        <v>0</v>
      </c>
      <c r="S251" t="str">
        <f>IF(Table1[prior_dna_count]&gt;=1,"Has prior DNA history","No prior DNA history")</f>
        <v>No prior DNA history</v>
      </c>
      <c r="T251" t="s">
        <v>22</v>
      </c>
      <c r="U251" t="str">
        <f t="shared" si="3"/>
        <v>0</v>
      </c>
      <c r="V251" t="str">
        <f>IF(Table1[appointment_status]="Attended","1","0")</f>
        <v>1</v>
      </c>
      <c r="W251" t="str">
        <f>IF(Table1[appointment_status]="Cancelled","1","0")</f>
        <v>0</v>
      </c>
    </row>
    <row r="252" spans="1:23">
      <c r="A252" t="s">
        <v>528</v>
      </c>
      <c r="B252" t="s">
        <v>529</v>
      </c>
      <c r="C252">
        <v>50</v>
      </c>
      <c r="D252" t="str" cm="1">
        <f t="array" ref="D252">_xlfn.IFS(Table1[[#This Row],[age]]&lt;=17,"0-17",C252&lt;=29,"18-29",C252&lt;=44,"30-44",C252&lt;=59,"45-59",C252&lt;=74,"60-74",TRUE,"75+")</f>
        <v>45-59</v>
      </c>
      <c r="E252" t="s">
        <v>17</v>
      </c>
      <c r="F252">
        <v>3</v>
      </c>
      <c r="G252" t="str" cm="1">
        <f t="array" ref="G252">_xlfn.IFS(_xlfn.SINGLE(Table1[imd_decile])&lt;=3,"Most Deprived",F252&lt;=7,"Moderately Deprived",F252&lt;=10,"Least Deprived")</f>
        <v>Most Deprived</v>
      </c>
      <c r="H252">
        <v>3.6</v>
      </c>
      <c r="I252" t="s">
        <v>49</v>
      </c>
      <c r="J252" t="s">
        <v>26</v>
      </c>
      <c r="K252" s="1">
        <v>45680</v>
      </c>
      <c r="L252" s="1">
        <v>45720</v>
      </c>
      <c r="M252" s="1" t="str">
        <f>TEXT(Table1[[#This Row],[appointment_date]],"MM/YYYY")</f>
        <v>03/2025</v>
      </c>
      <c r="N252">
        <v>40</v>
      </c>
      <c r="O252" t="str" cm="1">
        <f t="array" ref="O252">_xlfn.IFS(Table1[[#This Row],[lead_time_days]]&lt;=7,"0-7 days",N252&lt;=14,"8-14 days",N252&lt;=30,"15-30 days",N252&lt;=60,"31-60 days",TRUE,"61+ days")</f>
        <v>31-60 days</v>
      </c>
      <c r="P252" t="s">
        <v>71</v>
      </c>
      <c r="Q252" t="s">
        <v>21</v>
      </c>
      <c r="R252">
        <v>0</v>
      </c>
      <c r="S252" t="str">
        <f>IF(Table1[prior_dna_count]&gt;=1,"Has prior DNA history","No prior DNA history")</f>
        <v>No prior DNA history</v>
      </c>
      <c r="T252" t="s">
        <v>22</v>
      </c>
      <c r="U252" t="str">
        <f t="shared" si="3"/>
        <v>1</v>
      </c>
      <c r="V252" t="str">
        <f>IF(Table1[appointment_status]="Attended","1","0")</f>
        <v>1</v>
      </c>
      <c r="W252" t="str">
        <f>IF(Table1[appointment_status]="Cancelled","1","0")</f>
        <v>0</v>
      </c>
    </row>
    <row r="253" spans="1:23">
      <c r="A253" t="s">
        <v>530</v>
      </c>
      <c r="B253" t="s">
        <v>531</v>
      </c>
      <c r="C253">
        <v>26</v>
      </c>
      <c r="D253" t="str" cm="1">
        <f t="array" ref="D253">_xlfn.IFS(Table1[[#This Row],[age]]&lt;=17,"0-17",C253&lt;=29,"18-29",C253&lt;=44,"30-44",C253&lt;=59,"45-59",C253&lt;=74,"60-74",TRUE,"75+")</f>
        <v>18-29</v>
      </c>
      <c r="E253" t="s">
        <v>29</v>
      </c>
      <c r="F253">
        <v>5</v>
      </c>
      <c r="G253" t="str" cm="1">
        <f t="array" ref="G253">_xlfn.IFS(_xlfn.SINGLE(Table1[imd_decile])&lt;=3,"Most Deprived",F253&lt;=7,"Moderately Deprived",F253&lt;=10,"Least Deprived")</f>
        <v>Moderately Deprived</v>
      </c>
      <c r="H253">
        <v>1.8</v>
      </c>
      <c r="I253" t="s">
        <v>155</v>
      </c>
      <c r="J253" t="s">
        <v>19</v>
      </c>
      <c r="K253" s="1">
        <v>45677</v>
      </c>
      <c r="L253" s="1">
        <v>45720</v>
      </c>
      <c r="M253" s="1" t="str">
        <f>TEXT(Table1[[#This Row],[appointment_date]],"MM/YYYY")</f>
        <v>03/2025</v>
      </c>
      <c r="N253">
        <v>43</v>
      </c>
      <c r="O253" t="str" cm="1">
        <f t="array" ref="O253">_xlfn.IFS(Table1[[#This Row],[lead_time_days]]&lt;=7,"0-7 days",N253&lt;=14,"8-14 days",N253&lt;=30,"15-30 days",N253&lt;=60,"31-60 days",TRUE,"61+ days")</f>
        <v>31-60 days</v>
      </c>
      <c r="P253" t="s">
        <v>71</v>
      </c>
      <c r="Q253" t="s">
        <v>32</v>
      </c>
      <c r="R253">
        <v>0</v>
      </c>
      <c r="S253" t="str">
        <f>IF(Table1[prior_dna_count]&gt;=1,"Has prior DNA history","No prior DNA history")</f>
        <v>No prior DNA history</v>
      </c>
      <c r="T253" t="s">
        <v>22</v>
      </c>
      <c r="U253" t="str">
        <f t="shared" si="3"/>
        <v>1</v>
      </c>
      <c r="V253" t="str">
        <f>IF(Table1[appointment_status]="Attended","1","0")</f>
        <v>1</v>
      </c>
      <c r="W253" t="str">
        <f>IF(Table1[appointment_status]="Cancelled","1","0")</f>
        <v>0</v>
      </c>
    </row>
    <row r="254" spans="1:23">
      <c r="A254" t="s">
        <v>532</v>
      </c>
      <c r="B254" t="s">
        <v>533</v>
      </c>
      <c r="C254">
        <v>50</v>
      </c>
      <c r="D254" t="str" cm="1">
        <f t="array" ref="D254">_xlfn.IFS(Table1[[#This Row],[age]]&lt;=17,"0-17",C254&lt;=29,"18-29",C254&lt;=44,"30-44",C254&lt;=59,"45-59",C254&lt;=74,"60-74",TRUE,"75+")</f>
        <v>45-59</v>
      </c>
      <c r="E254" t="s">
        <v>29</v>
      </c>
      <c r="F254">
        <v>4</v>
      </c>
      <c r="G254" t="str" cm="1">
        <f t="array" ref="G254">_xlfn.IFS(_xlfn.SINGLE(Table1[imd_decile])&lt;=3,"Most Deprived",F254&lt;=7,"Moderately Deprived",F254&lt;=10,"Least Deprived")</f>
        <v>Moderately Deprived</v>
      </c>
      <c r="H254">
        <v>6.4</v>
      </c>
      <c r="I254" t="s">
        <v>18</v>
      </c>
      <c r="J254" t="s">
        <v>26</v>
      </c>
      <c r="K254" s="1">
        <v>45681</v>
      </c>
      <c r="L254" s="1">
        <v>45721</v>
      </c>
      <c r="M254" s="1" t="str">
        <f>TEXT(Table1[[#This Row],[appointment_date]],"MM/YYYY")</f>
        <v>03/2025</v>
      </c>
      <c r="N254">
        <v>40</v>
      </c>
      <c r="O254" t="str" cm="1">
        <f t="array" ref="O254">_xlfn.IFS(Table1[[#This Row],[lead_time_days]]&lt;=7,"0-7 days",N254&lt;=14,"8-14 days",N254&lt;=30,"15-30 days",N254&lt;=60,"31-60 days",TRUE,"61+ days")</f>
        <v>31-60 days</v>
      </c>
      <c r="P254" t="s">
        <v>80</v>
      </c>
      <c r="Q254" t="s">
        <v>21</v>
      </c>
      <c r="R254">
        <v>0</v>
      </c>
      <c r="S254" t="str">
        <f>IF(Table1[prior_dna_count]&gt;=1,"Has prior DNA history","No prior DNA history")</f>
        <v>No prior DNA history</v>
      </c>
      <c r="T254" t="s">
        <v>22</v>
      </c>
      <c r="U254" t="str">
        <f t="shared" si="3"/>
        <v>1</v>
      </c>
      <c r="V254" t="str">
        <f>IF(Table1[appointment_status]="Attended","1","0")</f>
        <v>1</v>
      </c>
      <c r="W254" t="str">
        <f>IF(Table1[appointment_status]="Cancelled","1","0")</f>
        <v>0</v>
      </c>
    </row>
    <row r="255" spans="1:23">
      <c r="A255" t="s">
        <v>534</v>
      </c>
      <c r="B255" t="s">
        <v>535</v>
      </c>
      <c r="C255">
        <v>77</v>
      </c>
      <c r="D255" t="str" cm="1">
        <f t="array" ref="D255">_xlfn.IFS(Table1[[#This Row],[age]]&lt;=17,"0-17",C255&lt;=29,"18-29",C255&lt;=44,"30-44",C255&lt;=59,"45-59",C255&lt;=74,"60-74",TRUE,"75+")</f>
        <v>75+</v>
      </c>
      <c r="E255" t="s">
        <v>17</v>
      </c>
      <c r="F255">
        <v>1</v>
      </c>
      <c r="G255" t="str" cm="1">
        <f t="array" ref="G255">_xlfn.IFS(_xlfn.SINGLE(Table1[imd_decile])&lt;=3,"Most Deprived",F255&lt;=7,"Moderately Deprived",F255&lt;=10,"Least Deprived")</f>
        <v>Most Deprived</v>
      </c>
      <c r="H255">
        <v>6.4</v>
      </c>
      <c r="I255" t="s">
        <v>18</v>
      </c>
      <c r="J255" t="s">
        <v>19</v>
      </c>
      <c r="K255" s="1">
        <v>45689</v>
      </c>
      <c r="L255" s="1">
        <v>45721</v>
      </c>
      <c r="M255" s="1" t="str">
        <f>TEXT(Table1[[#This Row],[appointment_date]],"MM/YYYY")</f>
        <v>03/2025</v>
      </c>
      <c r="N255">
        <v>32</v>
      </c>
      <c r="O255" t="str" cm="1">
        <f t="array" ref="O255">_xlfn.IFS(Table1[[#This Row],[lead_time_days]]&lt;=7,"0-7 days",N255&lt;=14,"8-14 days",N255&lt;=30,"15-30 days",N255&lt;=60,"31-60 days",TRUE,"61+ days")</f>
        <v>31-60 days</v>
      </c>
      <c r="P255" t="s">
        <v>80</v>
      </c>
      <c r="Q255" t="s">
        <v>32</v>
      </c>
      <c r="R255">
        <v>0</v>
      </c>
      <c r="S255" t="str">
        <f>IF(Table1[prior_dna_count]&gt;=1,"Has prior DNA history","No prior DNA history")</f>
        <v>No prior DNA history</v>
      </c>
      <c r="T255" t="s">
        <v>46</v>
      </c>
      <c r="U255" t="str">
        <f t="shared" si="3"/>
        <v>1</v>
      </c>
      <c r="V255" t="str">
        <f>IF(Table1[appointment_status]="Attended","1","0")</f>
        <v>0</v>
      </c>
      <c r="W255" t="str">
        <f>IF(Table1[appointment_status]="Cancelled","1","0")</f>
        <v>1</v>
      </c>
    </row>
    <row r="256" spans="1:23">
      <c r="A256" t="s">
        <v>536</v>
      </c>
      <c r="B256" t="s">
        <v>537</v>
      </c>
      <c r="C256">
        <v>25</v>
      </c>
      <c r="D256" t="str" cm="1">
        <f t="array" ref="D256">_xlfn.IFS(Table1[[#This Row],[age]]&lt;=17,"0-17",C256&lt;=29,"18-29",C256&lt;=44,"30-44",C256&lt;=59,"45-59",C256&lt;=74,"60-74",TRUE,"75+")</f>
        <v>18-29</v>
      </c>
      <c r="E256" t="s">
        <v>29</v>
      </c>
      <c r="F256">
        <v>1</v>
      </c>
      <c r="G256" t="str" cm="1">
        <f t="array" ref="G256">_xlfn.IFS(_xlfn.SINGLE(Table1[imd_decile])&lt;=3,"Most Deprived",F256&lt;=7,"Moderately Deprived",F256&lt;=10,"Least Deprived")</f>
        <v>Most Deprived</v>
      </c>
      <c r="H256">
        <v>18.3</v>
      </c>
      <c r="I256" t="s">
        <v>25</v>
      </c>
      <c r="J256" t="s">
        <v>19</v>
      </c>
      <c r="K256" s="1">
        <v>45703</v>
      </c>
      <c r="L256" s="1">
        <v>45721</v>
      </c>
      <c r="M256" s="1" t="str">
        <f>TEXT(Table1[[#This Row],[appointment_date]],"MM/YYYY")</f>
        <v>03/2025</v>
      </c>
      <c r="N256">
        <v>18</v>
      </c>
      <c r="O256" t="str" cm="1">
        <f t="array" ref="O256">_xlfn.IFS(Table1[[#This Row],[lead_time_days]]&lt;=7,"0-7 days",N256&lt;=14,"8-14 days",N256&lt;=30,"15-30 days",N256&lt;=60,"31-60 days",TRUE,"61+ days")</f>
        <v>15-30 days</v>
      </c>
      <c r="P256" t="s">
        <v>80</v>
      </c>
      <c r="Q256" t="s">
        <v>21</v>
      </c>
      <c r="R256">
        <v>0</v>
      </c>
      <c r="S256" t="str">
        <f>IF(Table1[prior_dna_count]&gt;=1,"Has prior DNA history","No prior DNA history")</f>
        <v>No prior DNA history</v>
      </c>
      <c r="T256" t="s">
        <v>39</v>
      </c>
      <c r="U256" t="str">
        <f t="shared" si="3"/>
        <v>0</v>
      </c>
      <c r="V256" t="str">
        <f>IF(Table1[appointment_status]="Attended","1","0")</f>
        <v>0</v>
      </c>
      <c r="W256" t="str">
        <f>IF(Table1[appointment_status]="Cancelled","1","0")</f>
        <v>0</v>
      </c>
    </row>
    <row r="257" spans="1:23">
      <c r="A257" t="s">
        <v>538</v>
      </c>
      <c r="B257" t="s">
        <v>426</v>
      </c>
      <c r="C257">
        <v>76</v>
      </c>
      <c r="D257" t="str" cm="1">
        <f t="array" ref="D257">_xlfn.IFS(Table1[[#This Row],[age]]&lt;=17,"0-17",C257&lt;=29,"18-29",C257&lt;=44,"30-44",C257&lt;=59,"45-59",C257&lt;=74,"60-74",TRUE,"75+")</f>
        <v>75+</v>
      </c>
      <c r="E257" t="s">
        <v>17</v>
      </c>
      <c r="F257">
        <v>3</v>
      </c>
      <c r="G257" t="str" cm="1">
        <f t="array" ref="G257">_xlfn.IFS(_xlfn.SINGLE(Table1[imd_decile])&lt;=3,"Most Deprived",F257&lt;=7,"Moderately Deprived",F257&lt;=10,"Least Deprived")</f>
        <v>Most Deprived</v>
      </c>
      <c r="H257">
        <v>1.4</v>
      </c>
      <c r="I257" t="s">
        <v>49</v>
      </c>
      <c r="J257" t="s">
        <v>26</v>
      </c>
      <c r="K257" s="1">
        <v>45714</v>
      </c>
      <c r="L257" s="1">
        <v>45721</v>
      </c>
      <c r="M257" s="1" t="str">
        <f>TEXT(Table1[[#This Row],[appointment_date]],"MM/YYYY")</f>
        <v>03/2025</v>
      </c>
      <c r="N257">
        <v>7</v>
      </c>
      <c r="O257" t="str" cm="1">
        <f t="array" ref="O257">_xlfn.IFS(Table1[[#This Row],[lead_time_days]]&lt;=7,"0-7 days",N257&lt;=14,"8-14 days",N257&lt;=30,"15-30 days",N257&lt;=60,"31-60 days",TRUE,"61+ days")</f>
        <v>0-7 days</v>
      </c>
      <c r="P257" t="s">
        <v>80</v>
      </c>
      <c r="Q257" t="s">
        <v>32</v>
      </c>
      <c r="R257">
        <v>1</v>
      </c>
      <c r="S257" t="str">
        <f>IF(Table1[prior_dna_count]&gt;=1,"Has prior DNA history","No prior DNA history")</f>
        <v>Has prior DNA history</v>
      </c>
      <c r="T257" t="s">
        <v>46</v>
      </c>
      <c r="U257" t="str">
        <f t="shared" si="3"/>
        <v>0</v>
      </c>
      <c r="V257" t="str">
        <f>IF(Table1[appointment_status]="Attended","1","0")</f>
        <v>0</v>
      </c>
      <c r="W257" t="str">
        <f>IF(Table1[appointment_status]="Cancelled","1","0")</f>
        <v>1</v>
      </c>
    </row>
    <row r="258" spans="1:23">
      <c r="A258" t="s">
        <v>539</v>
      </c>
      <c r="B258" t="s">
        <v>540</v>
      </c>
      <c r="C258">
        <v>41</v>
      </c>
      <c r="D258" t="str" cm="1">
        <f t="array" ref="D258">_xlfn.IFS(Table1[[#This Row],[age]]&lt;=17,"0-17",C258&lt;=29,"18-29",C258&lt;=44,"30-44",C258&lt;=59,"45-59",C258&lt;=74,"60-74",TRUE,"75+")</f>
        <v>30-44</v>
      </c>
      <c r="E258" t="s">
        <v>17</v>
      </c>
      <c r="F258">
        <v>7</v>
      </c>
      <c r="G258" t="str" cm="1">
        <f t="array" ref="G258">_xlfn.IFS(_xlfn.SINGLE(Table1[imd_decile])&lt;=3,"Most Deprived",F258&lt;=7,"Moderately Deprived",F258&lt;=10,"Least Deprived")</f>
        <v>Moderately Deprived</v>
      </c>
      <c r="H258">
        <v>1.1000000000000001</v>
      </c>
      <c r="I258" t="s">
        <v>18</v>
      </c>
      <c r="J258" t="s">
        <v>19</v>
      </c>
      <c r="K258" s="1">
        <v>45678</v>
      </c>
      <c r="L258" s="1">
        <v>45721</v>
      </c>
      <c r="M258" s="1" t="str">
        <f>TEXT(Table1[[#This Row],[appointment_date]],"MM/YYYY")</f>
        <v>03/2025</v>
      </c>
      <c r="N258">
        <v>43</v>
      </c>
      <c r="O258" t="str" cm="1">
        <f t="array" ref="O258">_xlfn.IFS(Table1[[#This Row],[lead_time_days]]&lt;=7,"0-7 days",N258&lt;=14,"8-14 days",N258&lt;=30,"15-30 days",N258&lt;=60,"31-60 days",TRUE,"61+ days")</f>
        <v>31-60 days</v>
      </c>
      <c r="P258" t="s">
        <v>80</v>
      </c>
      <c r="Q258" t="s">
        <v>21</v>
      </c>
      <c r="R258">
        <v>0</v>
      </c>
      <c r="S258" t="str">
        <f>IF(Table1[prior_dna_count]&gt;=1,"Has prior DNA history","No prior DNA history")</f>
        <v>No prior DNA history</v>
      </c>
      <c r="T258" t="s">
        <v>22</v>
      </c>
      <c r="U258" t="str">
        <f t="shared" ref="U258:U321" si="4">V257</f>
        <v>0</v>
      </c>
      <c r="V258" t="str">
        <f>IF(Table1[appointment_status]="Attended","1","0")</f>
        <v>1</v>
      </c>
      <c r="W258" t="str">
        <f>IF(Table1[appointment_status]="Cancelled","1","0")</f>
        <v>0</v>
      </c>
    </row>
    <row r="259" spans="1:23">
      <c r="A259" t="s">
        <v>541</v>
      </c>
      <c r="B259" t="s">
        <v>542</v>
      </c>
      <c r="C259">
        <v>24</v>
      </c>
      <c r="D259" t="str" cm="1">
        <f t="array" ref="D259">_xlfn.IFS(Table1[[#This Row],[age]]&lt;=17,"0-17",C259&lt;=29,"18-29",C259&lt;=44,"30-44",C259&lt;=59,"45-59",C259&lt;=74,"60-74",TRUE,"75+")</f>
        <v>18-29</v>
      </c>
      <c r="E259" t="s">
        <v>29</v>
      </c>
      <c r="F259">
        <v>9</v>
      </c>
      <c r="G259" t="str" cm="1">
        <f t="array" ref="G259">_xlfn.IFS(_xlfn.SINGLE(Table1[imd_decile])&lt;=3,"Most Deprived",F259&lt;=7,"Moderately Deprived",F259&lt;=10,"Least Deprived")</f>
        <v>Least Deprived</v>
      </c>
      <c r="H259">
        <v>5.0999999999999996</v>
      </c>
      <c r="I259" t="s">
        <v>155</v>
      </c>
      <c r="J259" t="s">
        <v>19</v>
      </c>
      <c r="K259" s="1">
        <v>45669</v>
      </c>
      <c r="L259" s="1">
        <v>45721</v>
      </c>
      <c r="M259" s="1" t="str">
        <f>TEXT(Table1[[#This Row],[appointment_date]],"MM/YYYY")</f>
        <v>03/2025</v>
      </c>
      <c r="N259">
        <v>52</v>
      </c>
      <c r="O259" t="str" cm="1">
        <f t="array" ref="O259">_xlfn.IFS(Table1[[#This Row],[lead_time_days]]&lt;=7,"0-7 days",N259&lt;=14,"8-14 days",N259&lt;=30,"15-30 days",N259&lt;=60,"31-60 days",TRUE,"61+ days")</f>
        <v>31-60 days</v>
      </c>
      <c r="P259" t="s">
        <v>80</v>
      </c>
      <c r="Q259" t="s">
        <v>21</v>
      </c>
      <c r="R259">
        <v>0</v>
      </c>
      <c r="S259" t="str">
        <f>IF(Table1[prior_dna_count]&gt;=1,"Has prior DNA history","No prior DNA history")</f>
        <v>No prior DNA history</v>
      </c>
      <c r="T259" t="s">
        <v>22</v>
      </c>
      <c r="U259" t="str">
        <f t="shared" si="4"/>
        <v>1</v>
      </c>
      <c r="V259" t="str">
        <f>IF(Table1[appointment_status]="Attended","1","0")</f>
        <v>1</v>
      </c>
      <c r="W259" t="str">
        <f>IF(Table1[appointment_status]="Cancelled","1","0")</f>
        <v>0</v>
      </c>
    </row>
    <row r="260" spans="1:23">
      <c r="A260" t="s">
        <v>543</v>
      </c>
      <c r="B260" t="s">
        <v>544</v>
      </c>
      <c r="C260">
        <v>69</v>
      </c>
      <c r="D260" t="str" cm="1">
        <f t="array" ref="D260">_xlfn.IFS(Table1[[#This Row],[age]]&lt;=17,"0-17",C260&lt;=29,"18-29",C260&lt;=44,"30-44",C260&lt;=59,"45-59",C260&lt;=74,"60-74",TRUE,"75+")</f>
        <v>60-74</v>
      </c>
      <c r="E260" t="s">
        <v>29</v>
      </c>
      <c r="F260">
        <v>4</v>
      </c>
      <c r="G260" t="str" cm="1">
        <f t="array" ref="G260">_xlfn.IFS(_xlfn.SINGLE(Table1[imd_decile])&lt;=3,"Most Deprived",F260&lt;=7,"Moderately Deprived",F260&lt;=10,"Least Deprived")</f>
        <v>Moderately Deprived</v>
      </c>
      <c r="H260">
        <v>17.899999999999999</v>
      </c>
      <c r="I260" t="s">
        <v>38</v>
      </c>
      <c r="J260" t="s">
        <v>26</v>
      </c>
      <c r="K260" s="1">
        <v>45715</v>
      </c>
      <c r="L260" s="1">
        <v>45721</v>
      </c>
      <c r="M260" s="1" t="str">
        <f>TEXT(Table1[[#This Row],[appointment_date]],"MM/YYYY")</f>
        <v>03/2025</v>
      </c>
      <c r="N260">
        <v>6</v>
      </c>
      <c r="O260" t="str" cm="1">
        <f t="array" ref="O260">_xlfn.IFS(Table1[[#This Row],[lead_time_days]]&lt;=7,"0-7 days",N260&lt;=14,"8-14 days",N260&lt;=30,"15-30 days",N260&lt;=60,"31-60 days",TRUE,"61+ days")</f>
        <v>0-7 days</v>
      </c>
      <c r="P260" t="s">
        <v>80</v>
      </c>
      <c r="Q260" t="s">
        <v>21</v>
      </c>
      <c r="R260">
        <v>0</v>
      </c>
      <c r="S260" t="str">
        <f>IF(Table1[prior_dna_count]&gt;=1,"Has prior DNA history","No prior DNA history")</f>
        <v>No prior DNA history</v>
      </c>
      <c r="T260" t="s">
        <v>22</v>
      </c>
      <c r="U260" t="str">
        <f t="shared" si="4"/>
        <v>1</v>
      </c>
      <c r="V260" t="str">
        <f>IF(Table1[appointment_status]="Attended","1","0")</f>
        <v>1</v>
      </c>
      <c r="W260" t="str">
        <f>IF(Table1[appointment_status]="Cancelled","1","0")</f>
        <v>0</v>
      </c>
    </row>
    <row r="261" spans="1:23">
      <c r="A261" t="s">
        <v>545</v>
      </c>
      <c r="B261" t="s">
        <v>544</v>
      </c>
      <c r="C261">
        <v>69</v>
      </c>
      <c r="D261" t="str" cm="1">
        <f t="array" ref="D261">_xlfn.IFS(Table1[[#This Row],[age]]&lt;=17,"0-17",C261&lt;=29,"18-29",C261&lt;=44,"30-44",C261&lt;=59,"45-59",C261&lt;=74,"60-74",TRUE,"75+")</f>
        <v>60-74</v>
      </c>
      <c r="E261" t="s">
        <v>29</v>
      </c>
      <c r="F261">
        <v>4</v>
      </c>
      <c r="G261" t="str" cm="1">
        <f t="array" ref="G261">_xlfn.IFS(_xlfn.SINGLE(Table1[imd_decile])&lt;=3,"Most Deprived",F261&lt;=7,"Moderately Deprived",F261&lt;=10,"Least Deprived")</f>
        <v>Moderately Deprived</v>
      </c>
      <c r="H261">
        <v>17.899999999999999</v>
      </c>
      <c r="I261" t="s">
        <v>25</v>
      </c>
      <c r="J261" t="s">
        <v>26</v>
      </c>
      <c r="K261" s="1">
        <v>45697</v>
      </c>
      <c r="L261" s="1">
        <v>45722</v>
      </c>
      <c r="M261" s="1" t="str">
        <f>TEXT(Table1[[#This Row],[appointment_date]],"MM/YYYY")</f>
        <v>03/2025</v>
      </c>
      <c r="N261">
        <v>25</v>
      </c>
      <c r="O261" t="str" cm="1">
        <f t="array" ref="O261">_xlfn.IFS(Table1[[#This Row],[lead_time_days]]&lt;=7,"0-7 days",N261&lt;=14,"8-14 days",N261&lt;=30,"15-30 days",N261&lt;=60,"31-60 days",TRUE,"61+ days")</f>
        <v>15-30 days</v>
      </c>
      <c r="P261" t="s">
        <v>20</v>
      </c>
      <c r="Q261" t="s">
        <v>32</v>
      </c>
      <c r="R261">
        <v>0</v>
      </c>
      <c r="S261" t="str">
        <f>IF(Table1[prior_dna_count]&gt;=1,"Has prior DNA history","No prior DNA history")</f>
        <v>No prior DNA history</v>
      </c>
      <c r="T261" t="s">
        <v>39</v>
      </c>
      <c r="U261" t="str">
        <f t="shared" si="4"/>
        <v>1</v>
      </c>
      <c r="V261" t="str">
        <f>IF(Table1[appointment_status]="Attended","1","0")</f>
        <v>0</v>
      </c>
      <c r="W261" t="str">
        <f>IF(Table1[appointment_status]="Cancelled","1","0")</f>
        <v>0</v>
      </c>
    </row>
    <row r="262" spans="1:23">
      <c r="A262" t="s">
        <v>546</v>
      </c>
      <c r="B262" t="s">
        <v>547</v>
      </c>
      <c r="C262">
        <v>43</v>
      </c>
      <c r="D262" t="str" cm="1">
        <f t="array" ref="D262">_xlfn.IFS(Table1[[#This Row],[age]]&lt;=17,"0-17",C262&lt;=29,"18-29",C262&lt;=44,"30-44",C262&lt;=59,"45-59",C262&lt;=74,"60-74",TRUE,"75+")</f>
        <v>30-44</v>
      </c>
      <c r="E262" t="s">
        <v>29</v>
      </c>
      <c r="F262">
        <v>8</v>
      </c>
      <c r="G262" t="str" cm="1">
        <f t="array" ref="G262">_xlfn.IFS(_xlfn.SINGLE(Table1[imd_decile])&lt;=3,"Most Deprived",F262&lt;=7,"Moderately Deprived",F262&lt;=10,"Least Deprived")</f>
        <v>Least Deprived</v>
      </c>
      <c r="H262">
        <v>10.199999999999999</v>
      </c>
      <c r="I262" t="s">
        <v>91</v>
      </c>
      <c r="J262" t="s">
        <v>19</v>
      </c>
      <c r="K262" s="1">
        <v>45700</v>
      </c>
      <c r="L262" s="1">
        <v>45722</v>
      </c>
      <c r="M262" s="1" t="str">
        <f>TEXT(Table1[[#This Row],[appointment_date]],"MM/YYYY")</f>
        <v>03/2025</v>
      </c>
      <c r="N262">
        <v>22</v>
      </c>
      <c r="O262" t="str" cm="1">
        <f t="array" ref="O262">_xlfn.IFS(Table1[[#This Row],[lead_time_days]]&lt;=7,"0-7 days",N262&lt;=14,"8-14 days",N262&lt;=30,"15-30 days",N262&lt;=60,"31-60 days",TRUE,"61+ days")</f>
        <v>15-30 days</v>
      </c>
      <c r="P262" t="s">
        <v>20</v>
      </c>
      <c r="Q262" t="s">
        <v>21</v>
      </c>
      <c r="R262">
        <v>0</v>
      </c>
      <c r="S262" t="str">
        <f>IF(Table1[prior_dna_count]&gt;=1,"Has prior DNA history","No prior DNA history")</f>
        <v>No prior DNA history</v>
      </c>
      <c r="T262" t="s">
        <v>22</v>
      </c>
      <c r="U262" t="str">
        <f t="shared" si="4"/>
        <v>0</v>
      </c>
      <c r="V262" t="str">
        <f>IF(Table1[appointment_status]="Attended","1","0")</f>
        <v>1</v>
      </c>
      <c r="W262" t="str">
        <f>IF(Table1[appointment_status]="Cancelled","1","0")</f>
        <v>0</v>
      </c>
    </row>
    <row r="263" spans="1:23">
      <c r="A263" t="s">
        <v>548</v>
      </c>
      <c r="B263" t="s">
        <v>549</v>
      </c>
      <c r="C263">
        <v>50</v>
      </c>
      <c r="D263" t="str" cm="1">
        <f t="array" ref="D263">_xlfn.IFS(Table1[[#This Row],[age]]&lt;=17,"0-17",C263&lt;=29,"18-29",C263&lt;=44,"30-44",C263&lt;=59,"45-59",C263&lt;=74,"60-74",TRUE,"75+")</f>
        <v>45-59</v>
      </c>
      <c r="E263" t="s">
        <v>29</v>
      </c>
      <c r="F263">
        <v>8</v>
      </c>
      <c r="G263" t="str" cm="1">
        <f t="array" ref="G263">_xlfn.IFS(_xlfn.SINGLE(Table1[imd_decile])&lt;=3,"Most Deprived",F263&lt;=7,"Moderately Deprived",F263&lt;=10,"Least Deprived")</f>
        <v>Least Deprived</v>
      </c>
      <c r="H263">
        <v>6.1</v>
      </c>
      <c r="I263" t="s">
        <v>49</v>
      </c>
      <c r="J263" t="s">
        <v>19</v>
      </c>
      <c r="K263" s="1">
        <v>45692</v>
      </c>
      <c r="L263" s="1">
        <v>45722</v>
      </c>
      <c r="M263" s="1" t="str">
        <f>TEXT(Table1[[#This Row],[appointment_date]],"MM/YYYY")</f>
        <v>03/2025</v>
      </c>
      <c r="N263">
        <v>30</v>
      </c>
      <c r="O263" t="str" cm="1">
        <f t="array" ref="O263">_xlfn.IFS(Table1[[#This Row],[lead_time_days]]&lt;=7,"0-7 days",N263&lt;=14,"8-14 days",N263&lt;=30,"15-30 days",N263&lt;=60,"31-60 days",TRUE,"61+ days")</f>
        <v>15-30 days</v>
      </c>
      <c r="P263" t="s">
        <v>20</v>
      </c>
      <c r="Q263" t="s">
        <v>21</v>
      </c>
      <c r="R263">
        <v>0</v>
      </c>
      <c r="S263" t="str">
        <f>IF(Table1[prior_dna_count]&gt;=1,"Has prior DNA history","No prior DNA history")</f>
        <v>No prior DNA history</v>
      </c>
      <c r="T263" t="s">
        <v>22</v>
      </c>
      <c r="U263" t="str">
        <f t="shared" si="4"/>
        <v>1</v>
      </c>
      <c r="V263" t="str">
        <f>IF(Table1[appointment_status]="Attended","1","0")</f>
        <v>1</v>
      </c>
      <c r="W263" t="str">
        <f>IF(Table1[appointment_status]="Cancelled","1","0")</f>
        <v>0</v>
      </c>
    </row>
    <row r="264" spans="1:23">
      <c r="A264" t="s">
        <v>550</v>
      </c>
      <c r="B264" t="s">
        <v>551</v>
      </c>
      <c r="C264">
        <v>29</v>
      </c>
      <c r="D264" t="str" cm="1">
        <f t="array" ref="D264">_xlfn.IFS(Table1[[#This Row],[age]]&lt;=17,"0-17",C264&lt;=29,"18-29",C264&lt;=44,"30-44",C264&lt;=59,"45-59",C264&lt;=74,"60-74",TRUE,"75+")</f>
        <v>18-29</v>
      </c>
      <c r="E264" t="s">
        <v>17</v>
      </c>
      <c r="F264">
        <v>8</v>
      </c>
      <c r="G264" t="str" cm="1">
        <f t="array" ref="G264">_xlfn.IFS(_xlfn.SINGLE(Table1[imd_decile])&lt;=3,"Most Deprived",F264&lt;=7,"Moderately Deprived",F264&lt;=10,"Least Deprived")</f>
        <v>Least Deprived</v>
      </c>
      <c r="H264">
        <v>23.5</v>
      </c>
      <c r="I264" t="s">
        <v>45</v>
      </c>
      <c r="J264" t="s">
        <v>19</v>
      </c>
      <c r="K264" s="1">
        <v>45696</v>
      </c>
      <c r="L264" s="1">
        <v>45722</v>
      </c>
      <c r="M264" s="1" t="str">
        <f>TEXT(Table1[[#This Row],[appointment_date]],"MM/YYYY")</f>
        <v>03/2025</v>
      </c>
      <c r="N264">
        <v>26</v>
      </c>
      <c r="O264" t="str" cm="1">
        <f t="array" ref="O264">_xlfn.IFS(Table1[[#This Row],[lead_time_days]]&lt;=7,"0-7 days",N264&lt;=14,"8-14 days",N264&lt;=30,"15-30 days",N264&lt;=60,"31-60 days",TRUE,"61+ days")</f>
        <v>15-30 days</v>
      </c>
      <c r="P264" t="s">
        <v>20</v>
      </c>
      <c r="Q264" t="s">
        <v>21</v>
      </c>
      <c r="R264">
        <v>0</v>
      </c>
      <c r="S264" t="str">
        <f>IF(Table1[prior_dna_count]&gt;=1,"Has prior DNA history","No prior DNA history")</f>
        <v>No prior DNA history</v>
      </c>
      <c r="T264" t="s">
        <v>22</v>
      </c>
      <c r="U264" t="str">
        <f t="shared" si="4"/>
        <v>1</v>
      </c>
      <c r="V264" t="str">
        <f>IF(Table1[appointment_status]="Attended","1","0")</f>
        <v>1</v>
      </c>
      <c r="W264" t="str">
        <f>IF(Table1[appointment_status]="Cancelled","1","0")</f>
        <v>0</v>
      </c>
    </row>
    <row r="265" spans="1:23">
      <c r="A265" t="s">
        <v>552</v>
      </c>
      <c r="B265" t="s">
        <v>553</v>
      </c>
      <c r="C265">
        <v>48</v>
      </c>
      <c r="D265" t="str" cm="1">
        <f t="array" ref="D265">_xlfn.IFS(Table1[[#This Row],[age]]&lt;=17,"0-17",C265&lt;=29,"18-29",C265&lt;=44,"30-44",C265&lt;=59,"45-59",C265&lt;=74,"60-74",TRUE,"75+")</f>
        <v>45-59</v>
      </c>
      <c r="E265" t="s">
        <v>17</v>
      </c>
      <c r="F265">
        <v>3</v>
      </c>
      <c r="G265" t="str" cm="1">
        <f t="array" ref="G265">_xlfn.IFS(_xlfn.SINGLE(Table1[imd_decile])&lt;=3,"Most Deprived",F265&lt;=7,"Moderately Deprived",F265&lt;=10,"Least Deprived")</f>
        <v>Most Deprived</v>
      </c>
      <c r="H265">
        <v>6.2</v>
      </c>
      <c r="I265" t="s">
        <v>38</v>
      </c>
      <c r="J265" t="s">
        <v>26</v>
      </c>
      <c r="K265" s="1">
        <v>45698</v>
      </c>
      <c r="L265" s="1">
        <v>45722</v>
      </c>
      <c r="M265" s="1" t="str">
        <f>TEXT(Table1[[#This Row],[appointment_date]],"MM/YYYY")</f>
        <v>03/2025</v>
      </c>
      <c r="N265">
        <v>24</v>
      </c>
      <c r="O265" t="str" cm="1">
        <f t="array" ref="O265">_xlfn.IFS(Table1[[#This Row],[lead_time_days]]&lt;=7,"0-7 days",N265&lt;=14,"8-14 days",N265&lt;=30,"15-30 days",N265&lt;=60,"31-60 days",TRUE,"61+ days")</f>
        <v>15-30 days</v>
      </c>
      <c r="P265" t="s">
        <v>20</v>
      </c>
      <c r="Q265" t="s">
        <v>21</v>
      </c>
      <c r="R265">
        <v>0</v>
      </c>
      <c r="S265" t="str">
        <f>IF(Table1[prior_dna_count]&gt;=1,"Has prior DNA history","No prior DNA history")</f>
        <v>No prior DNA history</v>
      </c>
      <c r="T265" t="s">
        <v>22</v>
      </c>
      <c r="U265" t="str">
        <f t="shared" si="4"/>
        <v>1</v>
      </c>
      <c r="V265" t="str">
        <f>IF(Table1[appointment_status]="Attended","1","0")</f>
        <v>1</v>
      </c>
      <c r="W265" t="str">
        <f>IF(Table1[appointment_status]="Cancelled","1","0")</f>
        <v>0</v>
      </c>
    </row>
    <row r="266" spans="1:23">
      <c r="A266" t="s">
        <v>554</v>
      </c>
      <c r="B266" t="s">
        <v>555</v>
      </c>
      <c r="C266">
        <v>29</v>
      </c>
      <c r="D266" t="str" cm="1">
        <f t="array" ref="D266">_xlfn.IFS(Table1[[#This Row],[age]]&lt;=17,"0-17",C266&lt;=29,"18-29",C266&lt;=44,"30-44",C266&lt;=59,"45-59",C266&lt;=74,"60-74",TRUE,"75+")</f>
        <v>18-29</v>
      </c>
      <c r="E266" t="s">
        <v>17</v>
      </c>
      <c r="F266">
        <v>2</v>
      </c>
      <c r="G266" t="str" cm="1">
        <f t="array" ref="G266">_xlfn.IFS(_xlfn.SINGLE(Table1[imd_decile])&lt;=3,"Most Deprived",F266&lt;=7,"Moderately Deprived",F266&lt;=10,"Least Deprived")</f>
        <v>Most Deprived</v>
      </c>
      <c r="H266">
        <v>5.0999999999999996</v>
      </c>
      <c r="I266" t="s">
        <v>38</v>
      </c>
      <c r="J266" t="s">
        <v>19</v>
      </c>
      <c r="K266" s="1">
        <v>45707</v>
      </c>
      <c r="L266" s="1">
        <v>45723</v>
      </c>
      <c r="M266" s="1" t="str">
        <f>TEXT(Table1[[#This Row],[appointment_date]],"MM/YYYY")</f>
        <v>03/2025</v>
      </c>
      <c r="N266">
        <v>16</v>
      </c>
      <c r="O266" t="str" cm="1">
        <f t="array" ref="O266">_xlfn.IFS(Table1[[#This Row],[lead_time_days]]&lt;=7,"0-7 days",N266&lt;=14,"8-14 days",N266&lt;=30,"15-30 days",N266&lt;=60,"31-60 days",TRUE,"61+ days")</f>
        <v>15-30 days</v>
      </c>
      <c r="P266" t="s">
        <v>52</v>
      </c>
      <c r="Q266" t="s">
        <v>21</v>
      </c>
      <c r="R266">
        <v>0</v>
      </c>
      <c r="S266" t="str">
        <f>IF(Table1[prior_dna_count]&gt;=1,"Has prior DNA history","No prior DNA history")</f>
        <v>No prior DNA history</v>
      </c>
      <c r="T266" t="s">
        <v>22</v>
      </c>
      <c r="U266" t="str">
        <f t="shared" si="4"/>
        <v>1</v>
      </c>
      <c r="V266" t="str">
        <f>IF(Table1[appointment_status]="Attended","1","0")</f>
        <v>1</v>
      </c>
      <c r="W266" t="str">
        <f>IF(Table1[appointment_status]="Cancelled","1","0")</f>
        <v>0</v>
      </c>
    </row>
    <row r="267" spans="1:23">
      <c r="A267" t="s">
        <v>556</v>
      </c>
      <c r="B267" t="s">
        <v>64</v>
      </c>
      <c r="C267">
        <v>73</v>
      </c>
      <c r="D267" t="str" cm="1">
        <f t="array" ref="D267">_xlfn.IFS(Table1[[#This Row],[age]]&lt;=17,"0-17",C267&lt;=29,"18-29",C267&lt;=44,"30-44",C267&lt;=59,"45-59",C267&lt;=74,"60-74",TRUE,"75+")</f>
        <v>60-74</v>
      </c>
      <c r="E267" t="s">
        <v>17</v>
      </c>
      <c r="F267">
        <v>2</v>
      </c>
      <c r="G267" t="str" cm="1">
        <f t="array" ref="G267">_xlfn.IFS(_xlfn.SINGLE(Table1[imd_decile])&lt;=3,"Most Deprived",F267&lt;=7,"Moderately Deprived",F267&lt;=10,"Least Deprived")</f>
        <v>Most Deprived</v>
      </c>
      <c r="H267">
        <v>19.7</v>
      </c>
      <c r="I267" t="s">
        <v>45</v>
      </c>
      <c r="J267" t="s">
        <v>26</v>
      </c>
      <c r="K267" s="1">
        <v>45698</v>
      </c>
      <c r="L267" s="1">
        <v>45723</v>
      </c>
      <c r="M267" s="1" t="str">
        <f>TEXT(Table1[[#This Row],[appointment_date]],"MM/YYYY")</f>
        <v>03/2025</v>
      </c>
      <c r="N267">
        <v>25</v>
      </c>
      <c r="O267" t="str" cm="1">
        <f t="array" ref="O267">_xlfn.IFS(Table1[[#This Row],[lead_time_days]]&lt;=7,"0-7 days",N267&lt;=14,"8-14 days",N267&lt;=30,"15-30 days",N267&lt;=60,"31-60 days",TRUE,"61+ days")</f>
        <v>15-30 days</v>
      </c>
      <c r="P267" t="s">
        <v>52</v>
      </c>
      <c r="Q267" t="s">
        <v>21</v>
      </c>
      <c r="R267">
        <v>0</v>
      </c>
      <c r="S267" t="str">
        <f>IF(Table1[prior_dna_count]&gt;=1,"Has prior DNA history","No prior DNA history")</f>
        <v>No prior DNA history</v>
      </c>
      <c r="T267" t="s">
        <v>22</v>
      </c>
      <c r="U267" t="str">
        <f t="shared" si="4"/>
        <v>1</v>
      </c>
      <c r="V267" t="str">
        <f>IF(Table1[appointment_status]="Attended","1","0")</f>
        <v>1</v>
      </c>
      <c r="W267" t="str">
        <f>IF(Table1[appointment_status]="Cancelled","1","0")</f>
        <v>0</v>
      </c>
    </row>
    <row r="268" spans="1:23">
      <c r="A268" t="s">
        <v>557</v>
      </c>
      <c r="B268" t="s">
        <v>558</v>
      </c>
      <c r="C268">
        <v>1</v>
      </c>
      <c r="D268" t="str" cm="1">
        <f t="array" ref="D268">_xlfn.IFS(Table1[[#This Row],[age]]&lt;=17,"0-17",C268&lt;=29,"18-29",C268&lt;=44,"30-44",C268&lt;=59,"45-59",C268&lt;=74,"60-74",TRUE,"75+")</f>
        <v>0-17</v>
      </c>
      <c r="E268" t="s">
        <v>29</v>
      </c>
      <c r="F268">
        <v>6</v>
      </c>
      <c r="G268" t="str" cm="1">
        <f t="array" ref="G268">_xlfn.IFS(_xlfn.SINGLE(Table1[imd_decile])&lt;=3,"Most Deprived",F268&lt;=7,"Moderately Deprived",F268&lt;=10,"Least Deprived")</f>
        <v>Moderately Deprived</v>
      </c>
      <c r="H268">
        <v>2.7</v>
      </c>
      <c r="I268" t="s">
        <v>42</v>
      </c>
      <c r="J268" t="s">
        <v>26</v>
      </c>
      <c r="K268" s="1">
        <v>45721</v>
      </c>
      <c r="L268" s="1">
        <v>45723</v>
      </c>
      <c r="M268" s="1" t="str">
        <f>TEXT(Table1[[#This Row],[appointment_date]],"MM/YYYY")</f>
        <v>03/2025</v>
      </c>
      <c r="N268">
        <v>2</v>
      </c>
      <c r="O268" t="str" cm="1">
        <f t="array" ref="O268">_xlfn.IFS(Table1[[#This Row],[lead_time_days]]&lt;=7,"0-7 days",N268&lt;=14,"8-14 days",N268&lt;=30,"15-30 days",N268&lt;=60,"31-60 days",TRUE,"61+ days")</f>
        <v>0-7 days</v>
      </c>
      <c r="P268" t="s">
        <v>52</v>
      </c>
      <c r="Q268" t="s">
        <v>21</v>
      </c>
      <c r="R268">
        <v>0</v>
      </c>
      <c r="S268" t="str">
        <f>IF(Table1[prior_dna_count]&gt;=1,"Has prior DNA history","No prior DNA history")</f>
        <v>No prior DNA history</v>
      </c>
      <c r="T268" t="s">
        <v>22</v>
      </c>
      <c r="U268" t="str">
        <f t="shared" si="4"/>
        <v>1</v>
      </c>
      <c r="V268" t="str">
        <f>IF(Table1[appointment_status]="Attended","1","0")</f>
        <v>1</v>
      </c>
      <c r="W268" t="str">
        <f>IF(Table1[appointment_status]="Cancelled","1","0")</f>
        <v>0</v>
      </c>
    </row>
    <row r="269" spans="1:23">
      <c r="A269" t="s">
        <v>559</v>
      </c>
      <c r="B269" t="s">
        <v>560</v>
      </c>
      <c r="C269">
        <v>48</v>
      </c>
      <c r="D269" t="str" cm="1">
        <f t="array" ref="D269">_xlfn.IFS(Table1[[#This Row],[age]]&lt;=17,"0-17",C269&lt;=29,"18-29",C269&lt;=44,"30-44",C269&lt;=59,"45-59",C269&lt;=74,"60-74",TRUE,"75+")</f>
        <v>45-59</v>
      </c>
      <c r="E269" t="s">
        <v>29</v>
      </c>
      <c r="F269">
        <v>6</v>
      </c>
      <c r="G269" t="str" cm="1">
        <f t="array" ref="G269">_xlfn.IFS(_xlfn.SINGLE(Table1[imd_decile])&lt;=3,"Most Deprived",F269&lt;=7,"Moderately Deprived",F269&lt;=10,"Least Deprived")</f>
        <v>Moderately Deprived</v>
      </c>
      <c r="H269">
        <v>8.9</v>
      </c>
      <c r="I269" t="s">
        <v>25</v>
      </c>
      <c r="J269" t="s">
        <v>19</v>
      </c>
      <c r="K269" s="1">
        <v>45704</v>
      </c>
      <c r="L269" s="1">
        <v>45723</v>
      </c>
      <c r="M269" s="1" t="str">
        <f>TEXT(Table1[[#This Row],[appointment_date]],"MM/YYYY")</f>
        <v>03/2025</v>
      </c>
      <c r="N269">
        <v>19</v>
      </c>
      <c r="O269" t="str" cm="1">
        <f t="array" ref="O269">_xlfn.IFS(Table1[[#This Row],[lead_time_days]]&lt;=7,"0-7 days",N269&lt;=14,"8-14 days",N269&lt;=30,"15-30 days",N269&lt;=60,"31-60 days",TRUE,"61+ days")</f>
        <v>15-30 days</v>
      </c>
      <c r="P269" t="s">
        <v>52</v>
      </c>
      <c r="Q269" t="s">
        <v>21</v>
      </c>
      <c r="R269">
        <v>0</v>
      </c>
      <c r="S269" t="str">
        <f>IF(Table1[prior_dna_count]&gt;=1,"Has prior DNA history","No prior DNA history")</f>
        <v>No prior DNA history</v>
      </c>
      <c r="T269" t="s">
        <v>22</v>
      </c>
      <c r="U269" t="str">
        <f t="shared" si="4"/>
        <v>1</v>
      </c>
      <c r="V269" t="str">
        <f>IF(Table1[appointment_status]="Attended","1","0")</f>
        <v>1</v>
      </c>
      <c r="W269" t="str">
        <f>IF(Table1[appointment_status]="Cancelled","1","0")</f>
        <v>0</v>
      </c>
    </row>
    <row r="270" spans="1:23">
      <c r="A270" t="s">
        <v>561</v>
      </c>
      <c r="B270" t="s">
        <v>562</v>
      </c>
      <c r="C270">
        <v>22</v>
      </c>
      <c r="D270" t="str" cm="1">
        <f t="array" ref="D270">_xlfn.IFS(Table1[[#This Row],[age]]&lt;=17,"0-17",C270&lt;=29,"18-29",C270&lt;=44,"30-44",C270&lt;=59,"45-59",C270&lt;=74,"60-74",TRUE,"75+")</f>
        <v>18-29</v>
      </c>
      <c r="E270" t="s">
        <v>17</v>
      </c>
      <c r="F270">
        <v>9</v>
      </c>
      <c r="G270" t="str" cm="1">
        <f t="array" ref="G270">_xlfn.IFS(_xlfn.SINGLE(Table1[imd_decile])&lt;=3,"Most Deprived",F270&lt;=7,"Moderately Deprived",F270&lt;=10,"Least Deprived")</f>
        <v>Least Deprived</v>
      </c>
      <c r="H270">
        <v>4.3</v>
      </c>
      <c r="I270" t="s">
        <v>45</v>
      </c>
      <c r="J270" t="s">
        <v>26</v>
      </c>
      <c r="K270" s="1">
        <v>45718</v>
      </c>
      <c r="L270" s="1">
        <v>45723</v>
      </c>
      <c r="M270" s="1" t="str">
        <f>TEXT(Table1[[#This Row],[appointment_date]],"MM/YYYY")</f>
        <v>03/2025</v>
      </c>
      <c r="N270">
        <v>5</v>
      </c>
      <c r="O270" t="str" cm="1">
        <f t="array" ref="O270">_xlfn.IFS(Table1[[#This Row],[lead_time_days]]&lt;=7,"0-7 days",N270&lt;=14,"8-14 days",N270&lt;=30,"15-30 days",N270&lt;=60,"31-60 days",TRUE,"61+ days")</f>
        <v>0-7 days</v>
      </c>
      <c r="P270" t="s">
        <v>52</v>
      </c>
      <c r="Q270" t="s">
        <v>21</v>
      </c>
      <c r="R270">
        <v>0</v>
      </c>
      <c r="S270" t="str">
        <f>IF(Table1[prior_dna_count]&gt;=1,"Has prior DNA history","No prior DNA history")</f>
        <v>No prior DNA history</v>
      </c>
      <c r="T270" t="s">
        <v>22</v>
      </c>
      <c r="U270" t="str">
        <f t="shared" si="4"/>
        <v>1</v>
      </c>
      <c r="V270" t="str">
        <f>IF(Table1[appointment_status]="Attended","1","0")</f>
        <v>1</v>
      </c>
      <c r="W270" t="str">
        <f>IF(Table1[appointment_status]="Cancelled","1","0")</f>
        <v>0</v>
      </c>
    </row>
    <row r="271" spans="1:23">
      <c r="A271" t="s">
        <v>563</v>
      </c>
      <c r="B271" t="s">
        <v>564</v>
      </c>
      <c r="C271">
        <v>72</v>
      </c>
      <c r="D271" t="str" cm="1">
        <f t="array" ref="D271">_xlfn.IFS(Table1[[#This Row],[age]]&lt;=17,"0-17",C271&lt;=29,"18-29",C271&lt;=44,"30-44",C271&lt;=59,"45-59",C271&lt;=74,"60-74",TRUE,"75+")</f>
        <v>60-74</v>
      </c>
      <c r="E271" t="s">
        <v>29</v>
      </c>
      <c r="F271">
        <v>2</v>
      </c>
      <c r="G271" t="str" cm="1">
        <f t="array" ref="G271">_xlfn.IFS(_xlfn.SINGLE(Table1[imd_decile])&lt;=3,"Most Deprived",F271&lt;=7,"Moderately Deprived",F271&lt;=10,"Least Deprived")</f>
        <v>Most Deprived</v>
      </c>
      <c r="H271">
        <v>3.9</v>
      </c>
      <c r="I271" t="s">
        <v>45</v>
      </c>
      <c r="J271" t="s">
        <v>26</v>
      </c>
      <c r="K271" s="1">
        <v>45699</v>
      </c>
      <c r="L271" s="1">
        <v>45723</v>
      </c>
      <c r="M271" s="1" t="str">
        <f>TEXT(Table1[[#This Row],[appointment_date]],"MM/YYYY")</f>
        <v>03/2025</v>
      </c>
      <c r="N271">
        <v>24</v>
      </c>
      <c r="O271" t="str" cm="1">
        <f t="array" ref="O271">_xlfn.IFS(Table1[[#This Row],[lead_time_days]]&lt;=7,"0-7 days",N271&lt;=14,"8-14 days",N271&lt;=30,"15-30 days",N271&lt;=60,"31-60 days",TRUE,"61+ days")</f>
        <v>15-30 days</v>
      </c>
      <c r="P271" t="s">
        <v>52</v>
      </c>
      <c r="Q271" t="s">
        <v>21</v>
      </c>
      <c r="R271">
        <v>0</v>
      </c>
      <c r="S271" t="str">
        <f>IF(Table1[prior_dna_count]&gt;=1,"Has prior DNA history","No prior DNA history")</f>
        <v>No prior DNA history</v>
      </c>
      <c r="T271" t="s">
        <v>22</v>
      </c>
      <c r="U271" t="str">
        <f t="shared" si="4"/>
        <v>1</v>
      </c>
      <c r="V271" t="str">
        <f>IF(Table1[appointment_status]="Attended","1","0")</f>
        <v>1</v>
      </c>
      <c r="W271" t="str">
        <f>IF(Table1[appointment_status]="Cancelled","1","0")</f>
        <v>0</v>
      </c>
    </row>
    <row r="272" spans="1:23">
      <c r="A272" t="s">
        <v>565</v>
      </c>
      <c r="B272" t="s">
        <v>566</v>
      </c>
      <c r="C272">
        <v>34</v>
      </c>
      <c r="D272" t="str" cm="1">
        <f t="array" ref="D272">_xlfn.IFS(Table1[[#This Row],[age]]&lt;=17,"0-17",C272&lt;=29,"18-29",C272&lt;=44,"30-44",C272&lt;=59,"45-59",C272&lt;=74,"60-74",TRUE,"75+")</f>
        <v>30-44</v>
      </c>
      <c r="E272" t="s">
        <v>17</v>
      </c>
      <c r="F272">
        <v>8</v>
      </c>
      <c r="G272" t="str" cm="1">
        <f t="array" ref="G272">_xlfn.IFS(_xlfn.SINGLE(Table1[imd_decile])&lt;=3,"Most Deprived",F272&lt;=7,"Moderately Deprived",F272&lt;=10,"Least Deprived")</f>
        <v>Least Deprived</v>
      </c>
      <c r="H272">
        <v>6.5</v>
      </c>
      <c r="I272" t="s">
        <v>25</v>
      </c>
      <c r="J272" t="s">
        <v>19</v>
      </c>
      <c r="K272" s="1">
        <v>45699</v>
      </c>
      <c r="L272" s="1">
        <v>45723</v>
      </c>
      <c r="M272" s="1" t="str">
        <f>TEXT(Table1[[#This Row],[appointment_date]],"MM/YYYY")</f>
        <v>03/2025</v>
      </c>
      <c r="N272">
        <v>24</v>
      </c>
      <c r="O272" t="str" cm="1">
        <f t="array" ref="O272">_xlfn.IFS(Table1[[#This Row],[lead_time_days]]&lt;=7,"0-7 days",N272&lt;=14,"8-14 days",N272&lt;=30,"15-30 days",N272&lt;=60,"31-60 days",TRUE,"61+ days")</f>
        <v>15-30 days</v>
      </c>
      <c r="P272" t="s">
        <v>52</v>
      </c>
      <c r="Q272" t="s">
        <v>21</v>
      </c>
      <c r="R272">
        <v>0</v>
      </c>
      <c r="S272" t="str">
        <f>IF(Table1[prior_dna_count]&gt;=1,"Has prior DNA history","No prior DNA history")</f>
        <v>No prior DNA history</v>
      </c>
      <c r="T272" t="s">
        <v>22</v>
      </c>
      <c r="U272" t="str">
        <f t="shared" si="4"/>
        <v>1</v>
      </c>
      <c r="V272" t="str">
        <f>IF(Table1[appointment_status]="Attended","1","0")</f>
        <v>1</v>
      </c>
      <c r="W272" t="str">
        <f>IF(Table1[appointment_status]="Cancelled","1","0")</f>
        <v>0</v>
      </c>
    </row>
    <row r="273" spans="1:23">
      <c r="A273" t="s">
        <v>567</v>
      </c>
      <c r="B273" t="s">
        <v>568</v>
      </c>
      <c r="C273">
        <v>62</v>
      </c>
      <c r="D273" t="str" cm="1">
        <f t="array" ref="D273">_xlfn.IFS(Table1[[#This Row],[age]]&lt;=17,"0-17",C273&lt;=29,"18-29",C273&lt;=44,"30-44",C273&lt;=59,"45-59",C273&lt;=74,"60-74",TRUE,"75+")</f>
        <v>60-74</v>
      </c>
      <c r="E273" t="s">
        <v>29</v>
      </c>
      <c r="F273">
        <v>7</v>
      </c>
      <c r="G273" t="str" cm="1">
        <f t="array" ref="G273">_xlfn.IFS(_xlfn.SINGLE(Table1[imd_decile])&lt;=3,"Most Deprived",F273&lt;=7,"Moderately Deprived",F273&lt;=10,"Least Deprived")</f>
        <v>Moderately Deprived</v>
      </c>
      <c r="H273">
        <v>1.9</v>
      </c>
      <c r="I273" t="s">
        <v>25</v>
      </c>
      <c r="J273" t="s">
        <v>19</v>
      </c>
      <c r="K273" s="1">
        <v>45671</v>
      </c>
      <c r="L273" s="1">
        <v>45723</v>
      </c>
      <c r="M273" s="1" t="str">
        <f>TEXT(Table1[[#This Row],[appointment_date]],"MM/YYYY")</f>
        <v>03/2025</v>
      </c>
      <c r="N273">
        <v>52</v>
      </c>
      <c r="O273" t="str" cm="1">
        <f t="array" ref="O273">_xlfn.IFS(Table1[[#This Row],[lead_time_days]]&lt;=7,"0-7 days",N273&lt;=14,"8-14 days",N273&lt;=30,"15-30 days",N273&lt;=60,"31-60 days",TRUE,"61+ days")</f>
        <v>31-60 days</v>
      </c>
      <c r="P273" t="s">
        <v>52</v>
      </c>
      <c r="Q273" t="s">
        <v>32</v>
      </c>
      <c r="R273">
        <v>0</v>
      </c>
      <c r="S273" t="str">
        <f>IF(Table1[prior_dna_count]&gt;=1,"Has prior DNA history","No prior DNA history")</f>
        <v>No prior DNA history</v>
      </c>
      <c r="T273" t="s">
        <v>22</v>
      </c>
      <c r="U273" t="str">
        <f t="shared" si="4"/>
        <v>1</v>
      </c>
      <c r="V273" t="str">
        <f>IF(Table1[appointment_status]="Attended","1","0")</f>
        <v>1</v>
      </c>
      <c r="W273" t="str">
        <f>IF(Table1[appointment_status]="Cancelled","1","0")</f>
        <v>0</v>
      </c>
    </row>
    <row r="274" spans="1:23">
      <c r="A274" t="s">
        <v>569</v>
      </c>
      <c r="B274" t="s">
        <v>570</v>
      </c>
      <c r="C274">
        <v>56</v>
      </c>
      <c r="D274" t="str" cm="1">
        <f t="array" ref="D274">_xlfn.IFS(Table1[[#This Row],[age]]&lt;=17,"0-17",C274&lt;=29,"18-29",C274&lt;=44,"30-44",C274&lt;=59,"45-59",C274&lt;=74,"60-74",TRUE,"75+")</f>
        <v>45-59</v>
      </c>
      <c r="E274" t="s">
        <v>29</v>
      </c>
      <c r="F274">
        <v>1</v>
      </c>
      <c r="G274" t="str" cm="1">
        <f t="array" ref="G274">_xlfn.IFS(_xlfn.SINGLE(Table1[imd_decile])&lt;=3,"Most Deprived",F274&lt;=7,"Moderately Deprived",F274&lt;=10,"Least Deprived")</f>
        <v>Most Deprived</v>
      </c>
      <c r="H274">
        <v>5.2</v>
      </c>
      <c r="I274" t="s">
        <v>25</v>
      </c>
      <c r="J274" t="s">
        <v>19</v>
      </c>
      <c r="K274" s="1">
        <v>45708</v>
      </c>
      <c r="L274" s="1">
        <v>45723</v>
      </c>
      <c r="M274" s="1" t="str">
        <f>TEXT(Table1[[#This Row],[appointment_date]],"MM/YYYY")</f>
        <v>03/2025</v>
      </c>
      <c r="N274">
        <v>15</v>
      </c>
      <c r="O274" t="str" cm="1">
        <f t="array" ref="O274">_xlfn.IFS(Table1[[#This Row],[lead_time_days]]&lt;=7,"0-7 days",N274&lt;=14,"8-14 days",N274&lt;=30,"15-30 days",N274&lt;=60,"31-60 days",TRUE,"61+ days")</f>
        <v>15-30 days</v>
      </c>
      <c r="P274" t="s">
        <v>52</v>
      </c>
      <c r="Q274" t="s">
        <v>21</v>
      </c>
      <c r="R274">
        <v>0</v>
      </c>
      <c r="S274" t="str">
        <f>IF(Table1[prior_dna_count]&gt;=1,"Has prior DNA history","No prior DNA history")</f>
        <v>No prior DNA history</v>
      </c>
      <c r="T274" t="s">
        <v>22</v>
      </c>
      <c r="U274" t="str">
        <f t="shared" si="4"/>
        <v>1</v>
      </c>
      <c r="V274" t="str">
        <f>IF(Table1[appointment_status]="Attended","1","0")</f>
        <v>1</v>
      </c>
      <c r="W274" t="str">
        <f>IF(Table1[appointment_status]="Cancelled","1","0")</f>
        <v>0</v>
      </c>
    </row>
    <row r="275" spans="1:23">
      <c r="A275" t="s">
        <v>571</v>
      </c>
      <c r="B275" t="s">
        <v>572</v>
      </c>
      <c r="C275">
        <v>53</v>
      </c>
      <c r="D275" t="str" cm="1">
        <f t="array" ref="D275">_xlfn.IFS(Table1[[#This Row],[age]]&lt;=17,"0-17",C275&lt;=29,"18-29",C275&lt;=44,"30-44",C275&lt;=59,"45-59",C275&lt;=74,"60-74",TRUE,"75+")</f>
        <v>45-59</v>
      </c>
      <c r="E275" t="s">
        <v>17</v>
      </c>
      <c r="F275">
        <v>10</v>
      </c>
      <c r="G275" t="str" cm="1">
        <f t="array" ref="G275">_xlfn.IFS(_xlfn.SINGLE(Table1[imd_decile])&lt;=3,"Most Deprived",F275&lt;=7,"Moderately Deprived",F275&lt;=10,"Least Deprived")</f>
        <v>Least Deprived</v>
      </c>
      <c r="H275">
        <v>18.399999999999999</v>
      </c>
      <c r="I275" t="s">
        <v>49</v>
      </c>
      <c r="J275" t="s">
        <v>19</v>
      </c>
      <c r="K275" s="1">
        <v>45713</v>
      </c>
      <c r="L275" s="1">
        <v>45723</v>
      </c>
      <c r="M275" s="1" t="str">
        <f>TEXT(Table1[[#This Row],[appointment_date]],"MM/YYYY")</f>
        <v>03/2025</v>
      </c>
      <c r="N275">
        <v>10</v>
      </c>
      <c r="O275" t="str" cm="1">
        <f t="array" ref="O275">_xlfn.IFS(Table1[[#This Row],[lead_time_days]]&lt;=7,"0-7 days",N275&lt;=14,"8-14 days",N275&lt;=30,"15-30 days",N275&lt;=60,"31-60 days",TRUE,"61+ days")</f>
        <v>8-14 days</v>
      </c>
      <c r="P275" t="s">
        <v>52</v>
      </c>
      <c r="Q275" t="s">
        <v>32</v>
      </c>
      <c r="R275">
        <v>0</v>
      </c>
      <c r="S275" t="str">
        <f>IF(Table1[prior_dna_count]&gt;=1,"Has prior DNA history","No prior DNA history")</f>
        <v>No prior DNA history</v>
      </c>
      <c r="T275" t="s">
        <v>22</v>
      </c>
      <c r="U275" t="str">
        <f t="shared" si="4"/>
        <v>1</v>
      </c>
      <c r="V275" t="str">
        <f>IF(Table1[appointment_status]="Attended","1","0")</f>
        <v>1</v>
      </c>
      <c r="W275" t="str">
        <f>IF(Table1[appointment_status]="Cancelled","1","0")</f>
        <v>0</v>
      </c>
    </row>
    <row r="276" spans="1:23">
      <c r="A276" t="s">
        <v>573</v>
      </c>
      <c r="B276" t="s">
        <v>60</v>
      </c>
      <c r="C276">
        <v>46</v>
      </c>
      <c r="D276" t="str" cm="1">
        <f t="array" ref="D276">_xlfn.IFS(Table1[[#This Row],[age]]&lt;=17,"0-17",C276&lt;=29,"18-29",C276&lt;=44,"30-44",C276&lt;=59,"45-59",C276&lt;=74,"60-74",TRUE,"75+")</f>
        <v>45-59</v>
      </c>
      <c r="E276" t="s">
        <v>17</v>
      </c>
      <c r="F276">
        <v>10</v>
      </c>
      <c r="G276" t="str" cm="1">
        <f t="array" ref="G276">_xlfn.IFS(_xlfn.SINGLE(Table1[imd_decile])&lt;=3,"Most Deprived",F276&lt;=7,"Moderately Deprived",F276&lt;=10,"Least Deprived")</f>
        <v>Least Deprived</v>
      </c>
      <c r="H276">
        <v>1.5</v>
      </c>
      <c r="I276" t="s">
        <v>18</v>
      </c>
      <c r="J276" t="s">
        <v>26</v>
      </c>
      <c r="K276" s="1">
        <v>45688</v>
      </c>
      <c r="L276" s="1">
        <v>45723</v>
      </c>
      <c r="M276" s="1" t="str">
        <f>TEXT(Table1[[#This Row],[appointment_date]],"MM/YYYY")</f>
        <v>03/2025</v>
      </c>
      <c r="N276">
        <v>35</v>
      </c>
      <c r="O276" t="str" cm="1">
        <f t="array" ref="O276">_xlfn.IFS(Table1[[#This Row],[lead_time_days]]&lt;=7,"0-7 days",N276&lt;=14,"8-14 days",N276&lt;=30,"15-30 days",N276&lt;=60,"31-60 days",TRUE,"61+ days")</f>
        <v>31-60 days</v>
      </c>
      <c r="P276" t="s">
        <v>52</v>
      </c>
      <c r="Q276" t="s">
        <v>32</v>
      </c>
      <c r="R276">
        <v>0</v>
      </c>
      <c r="S276" t="str">
        <f>IF(Table1[prior_dna_count]&gt;=1,"Has prior DNA history","No prior DNA history")</f>
        <v>No prior DNA history</v>
      </c>
      <c r="T276" t="s">
        <v>22</v>
      </c>
      <c r="U276" t="str">
        <f t="shared" si="4"/>
        <v>1</v>
      </c>
      <c r="V276" t="str">
        <f>IF(Table1[appointment_status]="Attended","1","0")</f>
        <v>1</v>
      </c>
      <c r="W276" t="str">
        <f>IF(Table1[appointment_status]="Cancelled","1","0")</f>
        <v>0</v>
      </c>
    </row>
    <row r="277" spans="1:23">
      <c r="A277" t="s">
        <v>574</v>
      </c>
      <c r="B277" t="s">
        <v>514</v>
      </c>
      <c r="C277">
        <v>43</v>
      </c>
      <c r="D277" t="str" cm="1">
        <f t="array" ref="D277">_xlfn.IFS(Table1[[#This Row],[age]]&lt;=17,"0-17",C277&lt;=29,"18-29",C277&lt;=44,"30-44",C277&lt;=59,"45-59",C277&lt;=74,"60-74",TRUE,"75+")</f>
        <v>30-44</v>
      </c>
      <c r="E277" t="s">
        <v>17</v>
      </c>
      <c r="F277">
        <v>9</v>
      </c>
      <c r="G277" t="str" cm="1">
        <f t="array" ref="G277">_xlfn.IFS(_xlfn.SINGLE(Table1[imd_decile])&lt;=3,"Most Deprived",F277&lt;=7,"Moderately Deprived",F277&lt;=10,"Least Deprived")</f>
        <v>Least Deprived</v>
      </c>
      <c r="H277">
        <v>14.1</v>
      </c>
      <c r="I277" t="s">
        <v>42</v>
      </c>
      <c r="J277" t="s">
        <v>19</v>
      </c>
      <c r="K277" s="1">
        <v>45695</v>
      </c>
      <c r="L277" s="1">
        <v>45724</v>
      </c>
      <c r="M277" s="1" t="str">
        <f>TEXT(Table1[[#This Row],[appointment_date]],"MM/YYYY")</f>
        <v>03/2025</v>
      </c>
      <c r="N277">
        <v>29</v>
      </c>
      <c r="O277" t="str" cm="1">
        <f t="array" ref="O277">_xlfn.IFS(Table1[[#This Row],[lead_time_days]]&lt;=7,"0-7 days",N277&lt;=14,"8-14 days",N277&lt;=30,"15-30 days",N277&lt;=60,"31-60 days",TRUE,"61+ days")</f>
        <v>15-30 days</v>
      </c>
      <c r="P277" t="s">
        <v>55</v>
      </c>
      <c r="Q277" t="s">
        <v>21</v>
      </c>
      <c r="R277">
        <v>0</v>
      </c>
      <c r="S277" t="str">
        <f>IF(Table1[prior_dna_count]&gt;=1,"Has prior DNA history","No prior DNA history")</f>
        <v>No prior DNA history</v>
      </c>
      <c r="T277" t="s">
        <v>22</v>
      </c>
      <c r="U277" t="str">
        <f t="shared" si="4"/>
        <v>1</v>
      </c>
      <c r="V277" t="str">
        <f>IF(Table1[appointment_status]="Attended","1","0")</f>
        <v>1</v>
      </c>
      <c r="W277" t="str">
        <f>IF(Table1[appointment_status]="Cancelled","1","0")</f>
        <v>0</v>
      </c>
    </row>
    <row r="278" spans="1:23">
      <c r="A278" t="s">
        <v>575</v>
      </c>
      <c r="B278" t="s">
        <v>576</v>
      </c>
      <c r="C278">
        <v>28</v>
      </c>
      <c r="D278" t="str" cm="1">
        <f t="array" ref="D278">_xlfn.IFS(Table1[[#This Row],[age]]&lt;=17,"0-17",C278&lt;=29,"18-29",C278&lt;=44,"30-44",C278&lt;=59,"45-59",C278&lt;=74,"60-74",TRUE,"75+")</f>
        <v>18-29</v>
      </c>
      <c r="E278" t="s">
        <v>29</v>
      </c>
      <c r="F278">
        <v>6</v>
      </c>
      <c r="G278" t="str" cm="1">
        <f t="array" ref="G278">_xlfn.IFS(_xlfn.SINGLE(Table1[imd_decile])&lt;=3,"Most Deprived",F278&lt;=7,"Moderately Deprived",F278&lt;=10,"Least Deprived")</f>
        <v>Moderately Deprived</v>
      </c>
      <c r="H278">
        <v>6.7</v>
      </c>
      <c r="I278" t="s">
        <v>38</v>
      </c>
      <c r="J278" t="s">
        <v>26</v>
      </c>
      <c r="K278" s="1">
        <v>45704</v>
      </c>
      <c r="L278" s="1">
        <v>45724</v>
      </c>
      <c r="M278" s="1" t="str">
        <f>TEXT(Table1[[#This Row],[appointment_date]],"MM/YYYY")</f>
        <v>03/2025</v>
      </c>
      <c r="N278">
        <v>20</v>
      </c>
      <c r="O278" t="str" cm="1">
        <f t="array" ref="O278">_xlfn.IFS(Table1[[#This Row],[lead_time_days]]&lt;=7,"0-7 days",N278&lt;=14,"8-14 days",N278&lt;=30,"15-30 days",N278&lt;=60,"31-60 days",TRUE,"61+ days")</f>
        <v>15-30 days</v>
      </c>
      <c r="P278" t="s">
        <v>55</v>
      </c>
      <c r="Q278" t="s">
        <v>32</v>
      </c>
      <c r="R278">
        <v>0</v>
      </c>
      <c r="S278" t="str">
        <f>IF(Table1[prior_dna_count]&gt;=1,"Has prior DNA history","No prior DNA history")</f>
        <v>No prior DNA history</v>
      </c>
      <c r="T278" t="s">
        <v>22</v>
      </c>
      <c r="U278" t="str">
        <f t="shared" si="4"/>
        <v>1</v>
      </c>
      <c r="V278" t="str">
        <f>IF(Table1[appointment_status]="Attended","1","0")</f>
        <v>1</v>
      </c>
      <c r="W278" t="str">
        <f>IF(Table1[appointment_status]="Cancelled","1","0")</f>
        <v>0</v>
      </c>
    </row>
    <row r="279" spans="1:23">
      <c r="A279" t="s">
        <v>577</v>
      </c>
      <c r="B279" t="s">
        <v>578</v>
      </c>
      <c r="C279">
        <v>84</v>
      </c>
      <c r="D279" t="str" cm="1">
        <f t="array" ref="D279">_xlfn.IFS(Table1[[#This Row],[age]]&lt;=17,"0-17",C279&lt;=29,"18-29",C279&lt;=44,"30-44",C279&lt;=59,"45-59",C279&lt;=74,"60-74",TRUE,"75+")</f>
        <v>75+</v>
      </c>
      <c r="E279" t="s">
        <v>29</v>
      </c>
      <c r="F279">
        <v>10</v>
      </c>
      <c r="G279" t="str" cm="1">
        <f t="array" ref="G279">_xlfn.IFS(_xlfn.SINGLE(Table1[imd_decile])&lt;=3,"Most Deprived",F279&lt;=7,"Moderately Deprived",F279&lt;=10,"Least Deprived")</f>
        <v>Least Deprived</v>
      </c>
      <c r="H279">
        <v>11.9</v>
      </c>
      <c r="I279" t="s">
        <v>25</v>
      </c>
      <c r="J279" t="s">
        <v>19</v>
      </c>
      <c r="K279" s="1">
        <v>45697</v>
      </c>
      <c r="L279" s="1">
        <v>45724</v>
      </c>
      <c r="M279" s="1" t="str">
        <f>TEXT(Table1[[#This Row],[appointment_date]],"MM/YYYY")</f>
        <v>03/2025</v>
      </c>
      <c r="N279">
        <v>27</v>
      </c>
      <c r="O279" t="str" cm="1">
        <f t="array" ref="O279">_xlfn.IFS(Table1[[#This Row],[lead_time_days]]&lt;=7,"0-7 days",N279&lt;=14,"8-14 days",N279&lt;=30,"15-30 days",N279&lt;=60,"31-60 days",TRUE,"61+ days")</f>
        <v>15-30 days</v>
      </c>
      <c r="P279" t="s">
        <v>55</v>
      </c>
      <c r="Q279" t="s">
        <v>21</v>
      </c>
      <c r="R279">
        <v>0</v>
      </c>
      <c r="S279" t="str">
        <f>IF(Table1[prior_dna_count]&gt;=1,"Has prior DNA history","No prior DNA history")</f>
        <v>No prior DNA history</v>
      </c>
      <c r="T279" t="s">
        <v>22</v>
      </c>
      <c r="U279" t="str">
        <f t="shared" si="4"/>
        <v>1</v>
      </c>
      <c r="V279" t="str">
        <f>IF(Table1[appointment_status]="Attended","1","0")</f>
        <v>1</v>
      </c>
      <c r="W279" t="str">
        <f>IF(Table1[appointment_status]="Cancelled","1","0")</f>
        <v>0</v>
      </c>
    </row>
    <row r="280" spans="1:23">
      <c r="A280" t="s">
        <v>579</v>
      </c>
      <c r="B280" t="s">
        <v>580</v>
      </c>
      <c r="C280">
        <v>41</v>
      </c>
      <c r="D280" t="str" cm="1">
        <f t="array" ref="D280">_xlfn.IFS(Table1[[#This Row],[age]]&lt;=17,"0-17",C280&lt;=29,"18-29",C280&lt;=44,"30-44",C280&lt;=59,"45-59",C280&lt;=74,"60-74",TRUE,"75+")</f>
        <v>30-44</v>
      </c>
      <c r="E280" t="s">
        <v>29</v>
      </c>
      <c r="F280">
        <v>3</v>
      </c>
      <c r="G280" t="str" cm="1">
        <f t="array" ref="G280">_xlfn.IFS(_xlfn.SINGLE(Table1[imd_decile])&lt;=3,"Most Deprived",F280&lt;=7,"Moderately Deprived",F280&lt;=10,"Least Deprived")</f>
        <v>Most Deprived</v>
      </c>
      <c r="H280">
        <v>13.4</v>
      </c>
      <c r="I280" t="s">
        <v>25</v>
      </c>
      <c r="J280" t="s">
        <v>19</v>
      </c>
      <c r="K280" s="1">
        <v>45693</v>
      </c>
      <c r="L280" s="1">
        <v>45724</v>
      </c>
      <c r="M280" s="1" t="str">
        <f>TEXT(Table1[[#This Row],[appointment_date]],"MM/YYYY")</f>
        <v>03/2025</v>
      </c>
      <c r="N280">
        <v>31</v>
      </c>
      <c r="O280" t="str" cm="1">
        <f t="array" ref="O280">_xlfn.IFS(Table1[[#This Row],[lead_time_days]]&lt;=7,"0-7 days",N280&lt;=14,"8-14 days",N280&lt;=30,"15-30 days",N280&lt;=60,"31-60 days",TRUE,"61+ days")</f>
        <v>31-60 days</v>
      </c>
      <c r="P280" t="s">
        <v>55</v>
      </c>
      <c r="Q280" t="s">
        <v>21</v>
      </c>
      <c r="R280">
        <v>0</v>
      </c>
      <c r="S280" t="str">
        <f>IF(Table1[prior_dna_count]&gt;=1,"Has prior DNA history","No prior DNA history")</f>
        <v>No prior DNA history</v>
      </c>
      <c r="T280" t="s">
        <v>39</v>
      </c>
      <c r="U280" t="str">
        <f t="shared" si="4"/>
        <v>1</v>
      </c>
      <c r="V280" t="str">
        <f>IF(Table1[appointment_status]="Attended","1","0")</f>
        <v>0</v>
      </c>
      <c r="W280" t="str">
        <f>IF(Table1[appointment_status]="Cancelled","1","0")</f>
        <v>0</v>
      </c>
    </row>
    <row r="281" spans="1:23">
      <c r="A281" t="s">
        <v>581</v>
      </c>
      <c r="B281" t="s">
        <v>582</v>
      </c>
      <c r="C281">
        <v>66</v>
      </c>
      <c r="D281" t="str" cm="1">
        <f t="array" ref="D281">_xlfn.IFS(Table1[[#This Row],[age]]&lt;=17,"0-17",C281&lt;=29,"18-29",C281&lt;=44,"30-44",C281&lt;=59,"45-59",C281&lt;=74,"60-74",TRUE,"75+")</f>
        <v>60-74</v>
      </c>
      <c r="E281" t="s">
        <v>29</v>
      </c>
      <c r="F281">
        <v>5</v>
      </c>
      <c r="G281" t="str" cm="1">
        <f t="array" ref="G281">_xlfn.IFS(_xlfn.SINGLE(Table1[imd_decile])&lt;=3,"Most Deprived",F281&lt;=7,"Moderately Deprived",F281&lt;=10,"Least Deprived")</f>
        <v>Moderately Deprived</v>
      </c>
      <c r="H281">
        <v>8.4</v>
      </c>
      <c r="I281" t="s">
        <v>25</v>
      </c>
      <c r="J281" t="s">
        <v>26</v>
      </c>
      <c r="K281" s="1">
        <v>45718</v>
      </c>
      <c r="L281" s="1">
        <v>45724</v>
      </c>
      <c r="M281" s="1" t="str">
        <f>TEXT(Table1[[#This Row],[appointment_date]],"MM/YYYY")</f>
        <v>03/2025</v>
      </c>
      <c r="N281">
        <v>6</v>
      </c>
      <c r="O281" t="str" cm="1">
        <f t="array" ref="O281">_xlfn.IFS(Table1[[#This Row],[lead_time_days]]&lt;=7,"0-7 days",N281&lt;=14,"8-14 days",N281&lt;=30,"15-30 days",N281&lt;=60,"31-60 days",TRUE,"61+ days")</f>
        <v>0-7 days</v>
      </c>
      <c r="P281" t="s">
        <v>55</v>
      </c>
      <c r="Q281" t="s">
        <v>32</v>
      </c>
      <c r="R281">
        <v>0</v>
      </c>
      <c r="S281" t="str">
        <f>IF(Table1[prior_dna_count]&gt;=1,"Has prior DNA history","No prior DNA history")</f>
        <v>No prior DNA history</v>
      </c>
      <c r="T281" t="s">
        <v>22</v>
      </c>
      <c r="U281" t="str">
        <f t="shared" si="4"/>
        <v>0</v>
      </c>
      <c r="V281" t="str">
        <f>IF(Table1[appointment_status]="Attended","1","0")</f>
        <v>1</v>
      </c>
      <c r="W281" t="str">
        <f>IF(Table1[appointment_status]="Cancelled","1","0")</f>
        <v>0</v>
      </c>
    </row>
    <row r="282" spans="1:23">
      <c r="A282" t="s">
        <v>583</v>
      </c>
      <c r="B282" t="s">
        <v>584</v>
      </c>
      <c r="C282">
        <v>21</v>
      </c>
      <c r="D282" t="str" cm="1">
        <f t="array" ref="D282">_xlfn.IFS(Table1[[#This Row],[age]]&lt;=17,"0-17",C282&lt;=29,"18-29",C282&lt;=44,"30-44",C282&lt;=59,"45-59",C282&lt;=74,"60-74",TRUE,"75+")</f>
        <v>18-29</v>
      </c>
      <c r="E282" t="s">
        <v>17</v>
      </c>
      <c r="F282">
        <v>5</v>
      </c>
      <c r="G282" t="str" cm="1">
        <f t="array" ref="G282">_xlfn.IFS(_xlfn.SINGLE(Table1[imd_decile])&lt;=3,"Most Deprived",F282&lt;=7,"Moderately Deprived",F282&lt;=10,"Least Deprived")</f>
        <v>Moderately Deprived</v>
      </c>
      <c r="H282">
        <v>7.8</v>
      </c>
      <c r="I282" t="s">
        <v>42</v>
      </c>
      <c r="J282" t="s">
        <v>19</v>
      </c>
      <c r="K282" s="1">
        <v>45693</v>
      </c>
      <c r="L282" s="1">
        <v>45724</v>
      </c>
      <c r="M282" s="1" t="str">
        <f>TEXT(Table1[[#This Row],[appointment_date]],"MM/YYYY")</f>
        <v>03/2025</v>
      </c>
      <c r="N282">
        <v>31</v>
      </c>
      <c r="O282" t="str" cm="1">
        <f t="array" ref="O282">_xlfn.IFS(Table1[[#This Row],[lead_time_days]]&lt;=7,"0-7 days",N282&lt;=14,"8-14 days",N282&lt;=30,"15-30 days",N282&lt;=60,"31-60 days",TRUE,"61+ days")</f>
        <v>31-60 days</v>
      </c>
      <c r="P282" t="s">
        <v>55</v>
      </c>
      <c r="Q282" t="s">
        <v>21</v>
      </c>
      <c r="R282">
        <v>1</v>
      </c>
      <c r="S282" t="str">
        <f>IF(Table1[prior_dna_count]&gt;=1,"Has prior DNA history","No prior DNA history")</f>
        <v>Has prior DNA history</v>
      </c>
      <c r="T282" t="s">
        <v>39</v>
      </c>
      <c r="U282" t="str">
        <f t="shared" si="4"/>
        <v>1</v>
      </c>
      <c r="V282" t="str">
        <f>IF(Table1[appointment_status]="Attended","1","0")</f>
        <v>0</v>
      </c>
      <c r="W282" t="str">
        <f>IF(Table1[appointment_status]="Cancelled","1","0")</f>
        <v>0</v>
      </c>
    </row>
    <row r="283" spans="1:23">
      <c r="A283" t="s">
        <v>585</v>
      </c>
      <c r="B283" t="s">
        <v>586</v>
      </c>
      <c r="C283">
        <v>22</v>
      </c>
      <c r="D283" t="str" cm="1">
        <f t="array" ref="D283">_xlfn.IFS(Table1[[#This Row],[age]]&lt;=17,"0-17",C283&lt;=29,"18-29",C283&lt;=44,"30-44",C283&lt;=59,"45-59",C283&lt;=74,"60-74",TRUE,"75+")</f>
        <v>18-29</v>
      </c>
      <c r="E283" t="s">
        <v>17</v>
      </c>
      <c r="F283">
        <v>7</v>
      </c>
      <c r="G283" t="str" cm="1">
        <f t="array" ref="G283">_xlfn.IFS(_xlfn.SINGLE(Table1[imd_decile])&lt;=3,"Most Deprived",F283&lt;=7,"Moderately Deprived",F283&lt;=10,"Least Deprived")</f>
        <v>Moderately Deprived</v>
      </c>
      <c r="H283">
        <v>2.2999999999999998</v>
      </c>
      <c r="I283" t="s">
        <v>42</v>
      </c>
      <c r="J283" t="s">
        <v>19</v>
      </c>
      <c r="K283" s="1">
        <v>45681</v>
      </c>
      <c r="L283" s="1">
        <v>45724</v>
      </c>
      <c r="M283" s="1" t="str">
        <f>TEXT(Table1[[#This Row],[appointment_date]],"MM/YYYY")</f>
        <v>03/2025</v>
      </c>
      <c r="N283">
        <v>43</v>
      </c>
      <c r="O283" t="str" cm="1">
        <f t="array" ref="O283">_xlfn.IFS(Table1[[#This Row],[lead_time_days]]&lt;=7,"0-7 days",N283&lt;=14,"8-14 days",N283&lt;=30,"15-30 days",N283&lt;=60,"31-60 days",TRUE,"61+ days")</f>
        <v>31-60 days</v>
      </c>
      <c r="P283" t="s">
        <v>55</v>
      </c>
      <c r="Q283" t="s">
        <v>32</v>
      </c>
      <c r="R283">
        <v>0</v>
      </c>
      <c r="S283" t="str">
        <f>IF(Table1[prior_dna_count]&gt;=1,"Has prior DNA history","No prior DNA history")</f>
        <v>No prior DNA history</v>
      </c>
      <c r="T283" t="s">
        <v>39</v>
      </c>
      <c r="U283" t="str">
        <f t="shared" si="4"/>
        <v>0</v>
      </c>
      <c r="V283" t="str">
        <f>IF(Table1[appointment_status]="Attended","1","0")</f>
        <v>0</v>
      </c>
      <c r="W283" t="str">
        <f>IF(Table1[appointment_status]="Cancelled","1","0")</f>
        <v>0</v>
      </c>
    </row>
    <row r="284" spans="1:23">
      <c r="A284" t="s">
        <v>587</v>
      </c>
      <c r="B284" t="s">
        <v>588</v>
      </c>
      <c r="C284">
        <v>75</v>
      </c>
      <c r="D284" t="str" cm="1">
        <f t="array" ref="D284">_xlfn.IFS(Table1[[#This Row],[age]]&lt;=17,"0-17",C284&lt;=29,"18-29",C284&lt;=44,"30-44",C284&lt;=59,"45-59",C284&lt;=74,"60-74",TRUE,"75+")</f>
        <v>75+</v>
      </c>
      <c r="E284" t="s">
        <v>17</v>
      </c>
      <c r="F284">
        <v>8</v>
      </c>
      <c r="G284" t="str" cm="1">
        <f t="array" ref="G284">_xlfn.IFS(_xlfn.SINGLE(Table1[imd_decile])&lt;=3,"Most Deprived",F284&lt;=7,"Moderately Deprived",F284&lt;=10,"Least Deprived")</f>
        <v>Least Deprived</v>
      </c>
      <c r="H284">
        <v>5.7</v>
      </c>
      <c r="I284" t="s">
        <v>42</v>
      </c>
      <c r="J284" t="s">
        <v>19</v>
      </c>
      <c r="K284" s="1">
        <v>45705</v>
      </c>
      <c r="L284" s="1">
        <v>45725</v>
      </c>
      <c r="M284" s="1" t="str">
        <f>TEXT(Table1[[#This Row],[appointment_date]],"MM/YYYY")</f>
        <v>03/2025</v>
      </c>
      <c r="N284">
        <v>20</v>
      </c>
      <c r="O284" t="str" cm="1">
        <f t="array" ref="O284">_xlfn.IFS(Table1[[#This Row],[lead_time_days]]&lt;=7,"0-7 days",N284&lt;=14,"8-14 days",N284&lt;=30,"15-30 days",N284&lt;=60,"31-60 days",TRUE,"61+ days")</f>
        <v>15-30 days</v>
      </c>
      <c r="P284" t="s">
        <v>31</v>
      </c>
      <c r="Q284" t="s">
        <v>32</v>
      </c>
      <c r="R284">
        <v>0</v>
      </c>
      <c r="S284" t="str">
        <f>IF(Table1[prior_dna_count]&gt;=1,"Has prior DNA history","No prior DNA history")</f>
        <v>No prior DNA history</v>
      </c>
      <c r="T284" t="s">
        <v>22</v>
      </c>
      <c r="U284" t="str">
        <f t="shared" si="4"/>
        <v>0</v>
      </c>
      <c r="V284" t="str">
        <f>IF(Table1[appointment_status]="Attended","1","0")</f>
        <v>1</v>
      </c>
      <c r="W284" t="str">
        <f>IF(Table1[appointment_status]="Cancelled","1","0")</f>
        <v>0</v>
      </c>
    </row>
    <row r="285" spans="1:23">
      <c r="A285" t="s">
        <v>589</v>
      </c>
      <c r="B285" t="s">
        <v>590</v>
      </c>
      <c r="C285">
        <v>59</v>
      </c>
      <c r="D285" t="str" cm="1">
        <f t="array" ref="D285">_xlfn.IFS(Table1[[#This Row],[age]]&lt;=17,"0-17",C285&lt;=29,"18-29",C285&lt;=44,"30-44",C285&lt;=59,"45-59",C285&lt;=74,"60-74",TRUE,"75+")</f>
        <v>45-59</v>
      </c>
      <c r="E285" t="s">
        <v>17</v>
      </c>
      <c r="F285">
        <v>7</v>
      </c>
      <c r="G285" t="str" cm="1">
        <f t="array" ref="G285">_xlfn.IFS(_xlfn.SINGLE(Table1[imd_decile])&lt;=3,"Most Deprived",F285&lt;=7,"Moderately Deprived",F285&lt;=10,"Least Deprived")</f>
        <v>Moderately Deprived</v>
      </c>
      <c r="H285">
        <v>6</v>
      </c>
      <c r="I285" t="s">
        <v>155</v>
      </c>
      <c r="J285" t="s">
        <v>26</v>
      </c>
      <c r="K285" s="1">
        <v>45724</v>
      </c>
      <c r="L285" s="1">
        <v>45725</v>
      </c>
      <c r="M285" s="1" t="str">
        <f>TEXT(Table1[[#This Row],[appointment_date]],"MM/YYYY")</f>
        <v>03/2025</v>
      </c>
      <c r="N285">
        <v>1</v>
      </c>
      <c r="O285" t="str" cm="1">
        <f t="array" ref="O285">_xlfn.IFS(Table1[[#This Row],[lead_time_days]]&lt;=7,"0-7 days",N285&lt;=14,"8-14 days",N285&lt;=30,"15-30 days",N285&lt;=60,"31-60 days",TRUE,"61+ days")</f>
        <v>0-7 days</v>
      </c>
      <c r="P285" t="s">
        <v>31</v>
      </c>
      <c r="Q285" t="s">
        <v>21</v>
      </c>
      <c r="R285">
        <v>0</v>
      </c>
      <c r="S285" t="str">
        <f>IF(Table1[prior_dna_count]&gt;=1,"Has prior DNA history","No prior DNA history")</f>
        <v>No prior DNA history</v>
      </c>
      <c r="T285" t="s">
        <v>22</v>
      </c>
      <c r="U285" t="str">
        <f t="shared" si="4"/>
        <v>1</v>
      </c>
      <c r="V285" t="str">
        <f>IF(Table1[appointment_status]="Attended","1","0")</f>
        <v>1</v>
      </c>
      <c r="W285" t="str">
        <f>IF(Table1[appointment_status]="Cancelled","1","0")</f>
        <v>0</v>
      </c>
    </row>
    <row r="286" spans="1:23">
      <c r="A286" t="s">
        <v>591</v>
      </c>
      <c r="B286" t="s">
        <v>592</v>
      </c>
      <c r="C286">
        <v>59</v>
      </c>
      <c r="D286" t="str" cm="1">
        <f t="array" ref="D286">_xlfn.IFS(Table1[[#This Row],[age]]&lt;=17,"0-17",C286&lt;=29,"18-29",C286&lt;=44,"30-44",C286&lt;=59,"45-59",C286&lt;=74,"60-74",TRUE,"75+")</f>
        <v>45-59</v>
      </c>
      <c r="E286" t="s">
        <v>29</v>
      </c>
      <c r="F286">
        <v>3</v>
      </c>
      <c r="G286" t="str" cm="1">
        <f t="array" ref="G286">_xlfn.IFS(_xlfn.SINGLE(Table1[imd_decile])&lt;=3,"Most Deprived",F286&lt;=7,"Moderately Deprived",F286&lt;=10,"Least Deprived")</f>
        <v>Most Deprived</v>
      </c>
      <c r="H286">
        <v>2.6</v>
      </c>
      <c r="I286" t="s">
        <v>38</v>
      </c>
      <c r="J286" t="s">
        <v>26</v>
      </c>
      <c r="K286" s="1">
        <v>45712</v>
      </c>
      <c r="L286" s="1">
        <v>45725</v>
      </c>
      <c r="M286" s="1" t="str">
        <f>TEXT(Table1[[#This Row],[appointment_date]],"MM/YYYY")</f>
        <v>03/2025</v>
      </c>
      <c r="N286">
        <v>13</v>
      </c>
      <c r="O286" t="str" cm="1">
        <f t="array" ref="O286">_xlfn.IFS(Table1[[#This Row],[lead_time_days]]&lt;=7,"0-7 days",N286&lt;=14,"8-14 days",N286&lt;=30,"15-30 days",N286&lt;=60,"31-60 days",TRUE,"61+ days")</f>
        <v>8-14 days</v>
      </c>
      <c r="P286" t="s">
        <v>31</v>
      </c>
      <c r="Q286" t="s">
        <v>21</v>
      </c>
      <c r="R286">
        <v>0</v>
      </c>
      <c r="S286" t="str">
        <f>IF(Table1[prior_dna_count]&gt;=1,"Has prior DNA history","No prior DNA history")</f>
        <v>No prior DNA history</v>
      </c>
      <c r="T286" t="s">
        <v>22</v>
      </c>
      <c r="U286" t="str">
        <f t="shared" si="4"/>
        <v>1</v>
      </c>
      <c r="V286" t="str">
        <f>IF(Table1[appointment_status]="Attended","1","0")</f>
        <v>1</v>
      </c>
      <c r="W286" t="str">
        <f>IF(Table1[appointment_status]="Cancelled","1","0")</f>
        <v>0</v>
      </c>
    </row>
    <row r="287" spans="1:23">
      <c r="A287" t="s">
        <v>593</v>
      </c>
      <c r="B287" t="s">
        <v>594</v>
      </c>
      <c r="C287">
        <v>26</v>
      </c>
      <c r="D287" t="str" cm="1">
        <f t="array" ref="D287">_xlfn.IFS(Table1[[#This Row],[age]]&lt;=17,"0-17",C287&lt;=29,"18-29",C287&lt;=44,"30-44",C287&lt;=59,"45-59",C287&lt;=74,"60-74",TRUE,"75+")</f>
        <v>18-29</v>
      </c>
      <c r="E287" t="s">
        <v>17</v>
      </c>
      <c r="F287">
        <v>10</v>
      </c>
      <c r="G287" t="str" cm="1">
        <f t="array" ref="G287">_xlfn.IFS(_xlfn.SINGLE(Table1[imd_decile])&lt;=3,"Most Deprived",F287&lt;=7,"Moderately Deprived",F287&lt;=10,"Least Deprived")</f>
        <v>Least Deprived</v>
      </c>
      <c r="H287">
        <v>17.2</v>
      </c>
      <c r="I287" t="s">
        <v>18</v>
      </c>
      <c r="J287" t="s">
        <v>26</v>
      </c>
      <c r="K287" s="1">
        <v>45710</v>
      </c>
      <c r="L287" s="1">
        <v>45725</v>
      </c>
      <c r="M287" s="1" t="str">
        <f>TEXT(Table1[[#This Row],[appointment_date]],"MM/YYYY")</f>
        <v>03/2025</v>
      </c>
      <c r="N287">
        <v>15</v>
      </c>
      <c r="O287" t="str" cm="1">
        <f t="array" ref="O287">_xlfn.IFS(Table1[[#This Row],[lead_time_days]]&lt;=7,"0-7 days",N287&lt;=14,"8-14 days",N287&lt;=30,"15-30 days",N287&lt;=60,"31-60 days",TRUE,"61+ days")</f>
        <v>15-30 days</v>
      </c>
      <c r="P287" t="s">
        <v>31</v>
      </c>
      <c r="Q287" t="s">
        <v>32</v>
      </c>
      <c r="R287">
        <v>0</v>
      </c>
      <c r="S287" t="str">
        <f>IF(Table1[prior_dna_count]&gt;=1,"Has prior DNA history","No prior DNA history")</f>
        <v>No prior DNA history</v>
      </c>
      <c r="T287" t="s">
        <v>22</v>
      </c>
      <c r="U287" t="str">
        <f t="shared" si="4"/>
        <v>1</v>
      </c>
      <c r="V287" t="str">
        <f>IF(Table1[appointment_status]="Attended","1","0")</f>
        <v>1</v>
      </c>
      <c r="W287" t="str">
        <f>IF(Table1[appointment_status]="Cancelled","1","0")</f>
        <v>0</v>
      </c>
    </row>
    <row r="288" spans="1:23">
      <c r="A288" t="s">
        <v>595</v>
      </c>
      <c r="B288" t="s">
        <v>596</v>
      </c>
      <c r="C288">
        <v>85</v>
      </c>
      <c r="D288" t="str" cm="1">
        <f t="array" ref="D288">_xlfn.IFS(Table1[[#This Row],[age]]&lt;=17,"0-17",C288&lt;=29,"18-29",C288&lt;=44,"30-44",C288&lt;=59,"45-59",C288&lt;=74,"60-74",TRUE,"75+")</f>
        <v>75+</v>
      </c>
      <c r="E288" t="s">
        <v>29</v>
      </c>
      <c r="F288">
        <v>1</v>
      </c>
      <c r="G288" t="str" cm="1">
        <f t="array" ref="G288">_xlfn.IFS(_xlfn.SINGLE(Table1[imd_decile])&lt;=3,"Most Deprived",F288&lt;=7,"Moderately Deprived",F288&lt;=10,"Least Deprived")</f>
        <v>Most Deprived</v>
      </c>
      <c r="H288">
        <v>5.0999999999999996</v>
      </c>
      <c r="I288" t="s">
        <v>42</v>
      </c>
      <c r="J288" t="s">
        <v>19</v>
      </c>
      <c r="K288" s="1">
        <v>45690</v>
      </c>
      <c r="L288" s="1">
        <v>45725</v>
      </c>
      <c r="M288" s="1" t="str">
        <f>TEXT(Table1[[#This Row],[appointment_date]],"MM/YYYY")</f>
        <v>03/2025</v>
      </c>
      <c r="N288">
        <v>35</v>
      </c>
      <c r="O288" t="str" cm="1">
        <f t="array" ref="O288">_xlfn.IFS(Table1[[#This Row],[lead_time_days]]&lt;=7,"0-7 days",N288&lt;=14,"8-14 days",N288&lt;=30,"15-30 days",N288&lt;=60,"31-60 days",TRUE,"61+ days")</f>
        <v>31-60 days</v>
      </c>
      <c r="P288" t="s">
        <v>31</v>
      </c>
      <c r="Q288" t="s">
        <v>32</v>
      </c>
      <c r="R288">
        <v>0</v>
      </c>
      <c r="S288" t="str">
        <f>IF(Table1[prior_dna_count]&gt;=1,"Has prior DNA history","No prior DNA history")</f>
        <v>No prior DNA history</v>
      </c>
      <c r="T288" t="s">
        <v>46</v>
      </c>
      <c r="U288" t="str">
        <f t="shared" si="4"/>
        <v>1</v>
      </c>
      <c r="V288" t="str">
        <f>IF(Table1[appointment_status]="Attended","1","0")</f>
        <v>0</v>
      </c>
      <c r="W288" t="str">
        <f>IF(Table1[appointment_status]="Cancelled","1","0")</f>
        <v>1</v>
      </c>
    </row>
    <row r="289" spans="1:23">
      <c r="A289" t="s">
        <v>597</v>
      </c>
      <c r="B289" t="s">
        <v>598</v>
      </c>
      <c r="C289">
        <v>34</v>
      </c>
      <c r="D289" t="str" cm="1">
        <f t="array" ref="D289">_xlfn.IFS(Table1[[#This Row],[age]]&lt;=17,"0-17",C289&lt;=29,"18-29",C289&lt;=44,"30-44",C289&lt;=59,"45-59",C289&lt;=74,"60-74",TRUE,"75+")</f>
        <v>30-44</v>
      </c>
      <c r="E289" t="s">
        <v>17</v>
      </c>
      <c r="F289">
        <v>7</v>
      </c>
      <c r="G289" t="str" cm="1">
        <f t="array" ref="G289">_xlfn.IFS(_xlfn.SINGLE(Table1[imd_decile])&lt;=3,"Most Deprived",F289&lt;=7,"Moderately Deprived",F289&lt;=10,"Least Deprived")</f>
        <v>Moderately Deprived</v>
      </c>
      <c r="H289">
        <v>6.2</v>
      </c>
      <c r="I289" t="s">
        <v>91</v>
      </c>
      <c r="J289" t="s">
        <v>19</v>
      </c>
      <c r="K289" s="1">
        <v>45685</v>
      </c>
      <c r="L289" s="1">
        <v>45725</v>
      </c>
      <c r="M289" s="1" t="str">
        <f>TEXT(Table1[[#This Row],[appointment_date]],"MM/YYYY")</f>
        <v>03/2025</v>
      </c>
      <c r="N289">
        <v>40</v>
      </c>
      <c r="O289" t="str" cm="1">
        <f t="array" ref="O289">_xlfn.IFS(Table1[[#This Row],[lead_time_days]]&lt;=7,"0-7 days",N289&lt;=14,"8-14 days",N289&lt;=30,"15-30 days",N289&lt;=60,"31-60 days",TRUE,"61+ days")</f>
        <v>31-60 days</v>
      </c>
      <c r="P289" t="s">
        <v>31</v>
      </c>
      <c r="Q289" t="s">
        <v>21</v>
      </c>
      <c r="R289">
        <v>0</v>
      </c>
      <c r="S289" t="str">
        <f>IF(Table1[prior_dna_count]&gt;=1,"Has prior DNA history","No prior DNA history")</f>
        <v>No prior DNA history</v>
      </c>
      <c r="T289" t="s">
        <v>22</v>
      </c>
      <c r="U289" t="str">
        <f t="shared" si="4"/>
        <v>0</v>
      </c>
      <c r="V289" t="str">
        <f>IF(Table1[appointment_status]="Attended","1","0")</f>
        <v>1</v>
      </c>
      <c r="W289" t="str">
        <f>IF(Table1[appointment_status]="Cancelled","1","0")</f>
        <v>0</v>
      </c>
    </row>
    <row r="290" spans="1:23">
      <c r="A290" t="s">
        <v>599</v>
      </c>
      <c r="B290" t="s">
        <v>514</v>
      </c>
      <c r="C290">
        <v>43</v>
      </c>
      <c r="D290" t="str" cm="1">
        <f t="array" ref="D290">_xlfn.IFS(Table1[[#This Row],[age]]&lt;=17,"0-17",C290&lt;=29,"18-29",C290&lt;=44,"30-44",C290&lt;=59,"45-59",C290&lt;=74,"60-74",TRUE,"75+")</f>
        <v>30-44</v>
      </c>
      <c r="E290" t="s">
        <v>17</v>
      </c>
      <c r="F290">
        <v>9</v>
      </c>
      <c r="G290" t="str" cm="1">
        <f t="array" ref="G290">_xlfn.IFS(_xlfn.SINGLE(Table1[imd_decile])&lt;=3,"Most Deprived",F290&lt;=7,"Moderately Deprived",F290&lt;=10,"Least Deprived")</f>
        <v>Least Deprived</v>
      </c>
      <c r="H290">
        <v>14.1</v>
      </c>
      <c r="I290" t="s">
        <v>42</v>
      </c>
      <c r="J290" t="s">
        <v>26</v>
      </c>
      <c r="K290" s="1">
        <v>45706</v>
      </c>
      <c r="L290" s="1">
        <v>45725</v>
      </c>
      <c r="M290" s="1" t="str">
        <f>TEXT(Table1[[#This Row],[appointment_date]],"MM/YYYY")</f>
        <v>03/2025</v>
      </c>
      <c r="N290">
        <v>19</v>
      </c>
      <c r="O290" t="str" cm="1">
        <f t="array" ref="O290">_xlfn.IFS(Table1[[#This Row],[lead_time_days]]&lt;=7,"0-7 days",N290&lt;=14,"8-14 days",N290&lt;=30,"15-30 days",N290&lt;=60,"31-60 days",TRUE,"61+ days")</f>
        <v>15-30 days</v>
      </c>
      <c r="P290" t="s">
        <v>31</v>
      </c>
      <c r="Q290" t="s">
        <v>21</v>
      </c>
      <c r="R290">
        <v>0</v>
      </c>
      <c r="S290" t="str">
        <f>IF(Table1[prior_dna_count]&gt;=1,"Has prior DNA history","No prior DNA history")</f>
        <v>No prior DNA history</v>
      </c>
      <c r="T290" t="s">
        <v>22</v>
      </c>
      <c r="U290" t="str">
        <f t="shared" si="4"/>
        <v>1</v>
      </c>
      <c r="V290" t="str">
        <f>IF(Table1[appointment_status]="Attended","1","0")</f>
        <v>1</v>
      </c>
      <c r="W290" t="str">
        <f>IF(Table1[appointment_status]="Cancelled","1","0")</f>
        <v>0</v>
      </c>
    </row>
    <row r="291" spans="1:23">
      <c r="A291" t="s">
        <v>600</v>
      </c>
      <c r="B291" t="s">
        <v>601</v>
      </c>
      <c r="C291">
        <v>71</v>
      </c>
      <c r="D291" t="str" cm="1">
        <f t="array" ref="D291">_xlfn.IFS(Table1[[#This Row],[age]]&lt;=17,"0-17",C291&lt;=29,"18-29",C291&lt;=44,"30-44",C291&lt;=59,"45-59",C291&lt;=74,"60-74",TRUE,"75+")</f>
        <v>60-74</v>
      </c>
      <c r="E291" t="s">
        <v>17</v>
      </c>
      <c r="F291">
        <v>7</v>
      </c>
      <c r="G291" t="str" cm="1">
        <f t="array" ref="G291">_xlfn.IFS(_xlfn.SINGLE(Table1[imd_decile])&lt;=3,"Most Deprived",F291&lt;=7,"Moderately Deprived",F291&lt;=10,"Least Deprived")</f>
        <v>Moderately Deprived</v>
      </c>
      <c r="H291">
        <v>3.5</v>
      </c>
      <c r="I291" t="s">
        <v>38</v>
      </c>
      <c r="J291" t="s">
        <v>26</v>
      </c>
      <c r="K291" s="1">
        <v>45709</v>
      </c>
      <c r="L291" s="1">
        <v>45726</v>
      </c>
      <c r="M291" s="1" t="str">
        <f>TEXT(Table1[[#This Row],[appointment_date]],"MM/YYYY")</f>
        <v>03/2025</v>
      </c>
      <c r="N291">
        <v>17</v>
      </c>
      <c r="O291" t="str" cm="1">
        <f t="array" ref="O291">_xlfn.IFS(Table1[[#This Row],[lead_time_days]]&lt;=7,"0-7 days",N291&lt;=14,"8-14 days",N291&lt;=30,"15-30 days",N291&lt;=60,"31-60 days",TRUE,"61+ days")</f>
        <v>15-30 days</v>
      </c>
      <c r="P291" t="s">
        <v>35</v>
      </c>
      <c r="Q291" t="s">
        <v>21</v>
      </c>
      <c r="R291">
        <v>0</v>
      </c>
      <c r="S291" t="str">
        <f>IF(Table1[prior_dna_count]&gt;=1,"Has prior DNA history","No prior DNA history")</f>
        <v>No prior DNA history</v>
      </c>
      <c r="T291" t="s">
        <v>22</v>
      </c>
      <c r="U291" t="str">
        <f t="shared" si="4"/>
        <v>1</v>
      </c>
      <c r="V291" t="str">
        <f>IF(Table1[appointment_status]="Attended","1","0")</f>
        <v>1</v>
      </c>
      <c r="W291" t="str">
        <f>IF(Table1[appointment_status]="Cancelled","1","0")</f>
        <v>0</v>
      </c>
    </row>
    <row r="292" spans="1:23">
      <c r="A292" t="s">
        <v>602</v>
      </c>
      <c r="B292" t="s">
        <v>603</v>
      </c>
      <c r="C292">
        <v>48</v>
      </c>
      <c r="D292" t="str" cm="1">
        <f t="array" ref="D292">_xlfn.IFS(Table1[[#This Row],[age]]&lt;=17,"0-17",C292&lt;=29,"18-29",C292&lt;=44,"30-44",C292&lt;=59,"45-59",C292&lt;=74,"60-74",TRUE,"75+")</f>
        <v>45-59</v>
      </c>
      <c r="E292" t="s">
        <v>29</v>
      </c>
      <c r="F292">
        <v>3</v>
      </c>
      <c r="G292" t="str" cm="1">
        <f t="array" ref="G292">_xlfn.IFS(_xlfn.SINGLE(Table1[imd_decile])&lt;=3,"Most Deprived",F292&lt;=7,"Moderately Deprived",F292&lt;=10,"Least Deprived")</f>
        <v>Most Deprived</v>
      </c>
      <c r="H292">
        <v>12.4</v>
      </c>
      <c r="I292" t="s">
        <v>18</v>
      </c>
      <c r="J292" t="s">
        <v>26</v>
      </c>
      <c r="K292" s="1">
        <v>45714</v>
      </c>
      <c r="L292" s="1">
        <v>45726</v>
      </c>
      <c r="M292" s="1" t="str">
        <f>TEXT(Table1[[#This Row],[appointment_date]],"MM/YYYY")</f>
        <v>03/2025</v>
      </c>
      <c r="N292">
        <v>12</v>
      </c>
      <c r="O292" t="str" cm="1">
        <f t="array" ref="O292">_xlfn.IFS(Table1[[#This Row],[lead_time_days]]&lt;=7,"0-7 days",N292&lt;=14,"8-14 days",N292&lt;=30,"15-30 days",N292&lt;=60,"31-60 days",TRUE,"61+ days")</f>
        <v>8-14 days</v>
      </c>
      <c r="P292" t="s">
        <v>35</v>
      </c>
      <c r="Q292" t="s">
        <v>21</v>
      </c>
      <c r="R292">
        <v>0</v>
      </c>
      <c r="S292" t="str">
        <f>IF(Table1[prior_dna_count]&gt;=1,"Has prior DNA history","No prior DNA history")</f>
        <v>No prior DNA history</v>
      </c>
      <c r="T292" t="s">
        <v>22</v>
      </c>
      <c r="U292" t="str">
        <f t="shared" si="4"/>
        <v>1</v>
      </c>
      <c r="V292" t="str">
        <f>IF(Table1[appointment_status]="Attended","1","0")</f>
        <v>1</v>
      </c>
      <c r="W292" t="str">
        <f>IF(Table1[appointment_status]="Cancelled","1","0")</f>
        <v>0</v>
      </c>
    </row>
    <row r="293" spans="1:23">
      <c r="A293" t="s">
        <v>604</v>
      </c>
      <c r="B293" t="s">
        <v>605</v>
      </c>
      <c r="C293">
        <v>51</v>
      </c>
      <c r="D293" t="str" cm="1">
        <f t="array" ref="D293">_xlfn.IFS(Table1[[#This Row],[age]]&lt;=17,"0-17",C293&lt;=29,"18-29",C293&lt;=44,"30-44",C293&lt;=59,"45-59",C293&lt;=74,"60-74",TRUE,"75+")</f>
        <v>45-59</v>
      </c>
      <c r="E293" t="s">
        <v>29</v>
      </c>
      <c r="F293">
        <v>10</v>
      </c>
      <c r="G293" t="str" cm="1">
        <f t="array" ref="G293">_xlfn.IFS(_xlfn.SINGLE(Table1[imd_decile])&lt;=3,"Most Deprived",F293&lt;=7,"Moderately Deprived",F293&lt;=10,"Least Deprived")</f>
        <v>Least Deprived</v>
      </c>
      <c r="H293">
        <v>7.2</v>
      </c>
      <c r="I293" t="s">
        <v>58</v>
      </c>
      <c r="J293" t="s">
        <v>19</v>
      </c>
      <c r="K293" s="1">
        <v>45703</v>
      </c>
      <c r="L293" s="1">
        <v>45726</v>
      </c>
      <c r="M293" s="1" t="str">
        <f>TEXT(Table1[[#This Row],[appointment_date]],"MM/YYYY")</f>
        <v>03/2025</v>
      </c>
      <c r="N293">
        <v>23</v>
      </c>
      <c r="O293" t="str" cm="1">
        <f t="array" ref="O293">_xlfn.IFS(Table1[[#This Row],[lead_time_days]]&lt;=7,"0-7 days",N293&lt;=14,"8-14 days",N293&lt;=30,"15-30 days",N293&lt;=60,"31-60 days",TRUE,"61+ days")</f>
        <v>15-30 days</v>
      </c>
      <c r="P293" t="s">
        <v>35</v>
      </c>
      <c r="Q293" t="s">
        <v>21</v>
      </c>
      <c r="R293">
        <v>0</v>
      </c>
      <c r="S293" t="str">
        <f>IF(Table1[prior_dna_count]&gt;=1,"Has prior DNA history","No prior DNA history")</f>
        <v>No prior DNA history</v>
      </c>
      <c r="T293" t="s">
        <v>22</v>
      </c>
      <c r="U293" t="str">
        <f t="shared" si="4"/>
        <v>1</v>
      </c>
      <c r="V293" t="str">
        <f>IF(Table1[appointment_status]="Attended","1","0")</f>
        <v>1</v>
      </c>
      <c r="W293" t="str">
        <f>IF(Table1[appointment_status]="Cancelled","1","0")</f>
        <v>0</v>
      </c>
    </row>
    <row r="294" spans="1:23">
      <c r="A294" t="s">
        <v>606</v>
      </c>
      <c r="B294" t="s">
        <v>607</v>
      </c>
      <c r="C294">
        <v>58</v>
      </c>
      <c r="D294" t="str" cm="1">
        <f t="array" ref="D294">_xlfn.IFS(Table1[[#This Row],[age]]&lt;=17,"0-17",C294&lt;=29,"18-29",C294&lt;=44,"30-44",C294&lt;=59,"45-59",C294&lt;=74,"60-74",TRUE,"75+")</f>
        <v>45-59</v>
      </c>
      <c r="E294" t="s">
        <v>29</v>
      </c>
      <c r="F294">
        <v>1</v>
      </c>
      <c r="G294" t="str" cm="1">
        <f t="array" ref="G294">_xlfn.IFS(_xlfn.SINGLE(Table1[imd_decile])&lt;=3,"Most Deprived",F294&lt;=7,"Moderately Deprived",F294&lt;=10,"Least Deprived")</f>
        <v>Most Deprived</v>
      </c>
      <c r="H294">
        <v>17.399999999999999</v>
      </c>
      <c r="I294" t="s">
        <v>30</v>
      </c>
      <c r="J294" t="s">
        <v>26</v>
      </c>
      <c r="K294" s="1">
        <v>45722</v>
      </c>
      <c r="L294" s="1">
        <v>45726</v>
      </c>
      <c r="M294" s="1" t="str">
        <f>TEXT(Table1[[#This Row],[appointment_date]],"MM/YYYY")</f>
        <v>03/2025</v>
      </c>
      <c r="N294">
        <v>4</v>
      </c>
      <c r="O294" t="str" cm="1">
        <f t="array" ref="O294">_xlfn.IFS(Table1[[#This Row],[lead_time_days]]&lt;=7,"0-7 days",N294&lt;=14,"8-14 days",N294&lt;=30,"15-30 days",N294&lt;=60,"31-60 days",TRUE,"61+ days")</f>
        <v>0-7 days</v>
      </c>
      <c r="P294" t="s">
        <v>35</v>
      </c>
      <c r="Q294" t="s">
        <v>21</v>
      </c>
      <c r="R294">
        <v>0</v>
      </c>
      <c r="S294" t="str">
        <f>IF(Table1[prior_dna_count]&gt;=1,"Has prior DNA history","No prior DNA history")</f>
        <v>No prior DNA history</v>
      </c>
      <c r="T294" t="s">
        <v>22</v>
      </c>
      <c r="U294" t="str">
        <f t="shared" si="4"/>
        <v>1</v>
      </c>
      <c r="V294" t="str">
        <f>IF(Table1[appointment_status]="Attended","1","0")</f>
        <v>1</v>
      </c>
      <c r="W294" t="str">
        <f>IF(Table1[appointment_status]="Cancelled","1","0")</f>
        <v>0</v>
      </c>
    </row>
    <row r="295" spans="1:23">
      <c r="A295" t="s">
        <v>608</v>
      </c>
      <c r="B295" t="s">
        <v>154</v>
      </c>
      <c r="C295">
        <v>59</v>
      </c>
      <c r="D295" t="str" cm="1">
        <f t="array" ref="D295">_xlfn.IFS(Table1[[#This Row],[age]]&lt;=17,"0-17",C295&lt;=29,"18-29",C295&lt;=44,"30-44",C295&lt;=59,"45-59",C295&lt;=74,"60-74",TRUE,"75+")</f>
        <v>45-59</v>
      </c>
      <c r="E295" t="s">
        <v>29</v>
      </c>
      <c r="F295">
        <v>7</v>
      </c>
      <c r="G295" t="str" cm="1">
        <f t="array" ref="G295">_xlfn.IFS(_xlfn.SINGLE(Table1[imd_decile])&lt;=3,"Most Deprived",F295&lt;=7,"Moderately Deprived",F295&lt;=10,"Least Deprived")</f>
        <v>Moderately Deprived</v>
      </c>
      <c r="H295">
        <v>4.5</v>
      </c>
      <c r="I295" t="s">
        <v>38</v>
      </c>
      <c r="J295" t="s">
        <v>19</v>
      </c>
      <c r="K295" s="1">
        <v>45684</v>
      </c>
      <c r="L295" s="1">
        <v>45726</v>
      </c>
      <c r="M295" s="1" t="str">
        <f>TEXT(Table1[[#This Row],[appointment_date]],"MM/YYYY")</f>
        <v>03/2025</v>
      </c>
      <c r="N295">
        <v>42</v>
      </c>
      <c r="O295" t="str" cm="1">
        <f t="array" ref="O295">_xlfn.IFS(Table1[[#This Row],[lead_time_days]]&lt;=7,"0-7 days",N295&lt;=14,"8-14 days",N295&lt;=30,"15-30 days",N295&lt;=60,"31-60 days",TRUE,"61+ days")</f>
        <v>31-60 days</v>
      </c>
      <c r="P295" t="s">
        <v>35</v>
      </c>
      <c r="Q295" t="s">
        <v>21</v>
      </c>
      <c r="R295">
        <v>0</v>
      </c>
      <c r="S295" t="str">
        <f>IF(Table1[prior_dna_count]&gt;=1,"Has prior DNA history","No prior DNA history")</f>
        <v>No prior DNA history</v>
      </c>
      <c r="T295" t="s">
        <v>22</v>
      </c>
      <c r="U295" t="str">
        <f t="shared" si="4"/>
        <v>1</v>
      </c>
      <c r="V295" t="str">
        <f>IF(Table1[appointment_status]="Attended","1","0")</f>
        <v>1</v>
      </c>
      <c r="W295" t="str">
        <f>IF(Table1[appointment_status]="Cancelled","1","0")</f>
        <v>0</v>
      </c>
    </row>
    <row r="296" spans="1:23">
      <c r="A296" t="s">
        <v>609</v>
      </c>
      <c r="B296" t="s">
        <v>397</v>
      </c>
      <c r="C296">
        <v>74</v>
      </c>
      <c r="D296" t="str" cm="1">
        <f t="array" ref="D296">_xlfn.IFS(Table1[[#This Row],[age]]&lt;=17,"0-17",C296&lt;=29,"18-29",C296&lt;=44,"30-44",C296&lt;=59,"45-59",C296&lt;=74,"60-74",TRUE,"75+")</f>
        <v>60-74</v>
      </c>
      <c r="E296" t="s">
        <v>29</v>
      </c>
      <c r="F296">
        <v>9</v>
      </c>
      <c r="G296" t="str" cm="1">
        <f t="array" ref="G296">_xlfn.IFS(_xlfn.SINGLE(Table1[imd_decile])&lt;=3,"Most Deprived",F296&lt;=7,"Moderately Deprived",F296&lt;=10,"Least Deprived")</f>
        <v>Least Deprived</v>
      </c>
      <c r="H296">
        <v>4.0999999999999996</v>
      </c>
      <c r="I296" t="s">
        <v>45</v>
      </c>
      <c r="J296" t="s">
        <v>26</v>
      </c>
      <c r="K296" s="1">
        <v>45698</v>
      </c>
      <c r="L296" s="1">
        <v>45727</v>
      </c>
      <c r="M296" s="1" t="str">
        <f>TEXT(Table1[[#This Row],[appointment_date]],"MM/YYYY")</f>
        <v>03/2025</v>
      </c>
      <c r="N296">
        <v>29</v>
      </c>
      <c r="O296" t="str" cm="1">
        <f t="array" ref="O296">_xlfn.IFS(Table1[[#This Row],[lead_time_days]]&lt;=7,"0-7 days",N296&lt;=14,"8-14 days",N296&lt;=30,"15-30 days",N296&lt;=60,"31-60 days",TRUE,"61+ days")</f>
        <v>15-30 days</v>
      </c>
      <c r="P296" t="s">
        <v>71</v>
      </c>
      <c r="Q296" t="s">
        <v>32</v>
      </c>
      <c r="R296">
        <v>0</v>
      </c>
      <c r="S296" t="str">
        <f>IF(Table1[prior_dna_count]&gt;=1,"Has prior DNA history","No prior DNA history")</f>
        <v>No prior DNA history</v>
      </c>
      <c r="T296" t="s">
        <v>22</v>
      </c>
      <c r="U296" t="str">
        <f t="shared" si="4"/>
        <v>1</v>
      </c>
      <c r="V296" t="str">
        <f>IF(Table1[appointment_status]="Attended","1","0")</f>
        <v>1</v>
      </c>
      <c r="W296" t="str">
        <f>IF(Table1[appointment_status]="Cancelled","1","0")</f>
        <v>0</v>
      </c>
    </row>
    <row r="297" spans="1:23">
      <c r="A297" t="s">
        <v>610</v>
      </c>
      <c r="B297" t="s">
        <v>611</v>
      </c>
      <c r="C297">
        <v>20</v>
      </c>
      <c r="D297" t="str" cm="1">
        <f t="array" ref="D297">_xlfn.IFS(Table1[[#This Row],[age]]&lt;=17,"0-17",C297&lt;=29,"18-29",C297&lt;=44,"30-44",C297&lt;=59,"45-59",C297&lt;=74,"60-74",TRUE,"75+")</f>
        <v>18-29</v>
      </c>
      <c r="E297" t="s">
        <v>17</v>
      </c>
      <c r="F297">
        <v>3</v>
      </c>
      <c r="G297" t="str" cm="1">
        <f t="array" ref="G297">_xlfn.IFS(_xlfn.SINGLE(Table1[imd_decile])&lt;=3,"Most Deprived",F297&lt;=7,"Moderately Deprived",F297&lt;=10,"Least Deprived")</f>
        <v>Most Deprived</v>
      </c>
      <c r="H297">
        <v>3.7</v>
      </c>
      <c r="I297" t="s">
        <v>25</v>
      </c>
      <c r="J297" t="s">
        <v>19</v>
      </c>
      <c r="K297" s="1">
        <v>45684</v>
      </c>
      <c r="L297" s="1">
        <v>45727</v>
      </c>
      <c r="M297" s="1" t="str">
        <f>TEXT(Table1[[#This Row],[appointment_date]],"MM/YYYY")</f>
        <v>03/2025</v>
      </c>
      <c r="N297">
        <v>43</v>
      </c>
      <c r="O297" t="str" cm="1">
        <f t="array" ref="O297">_xlfn.IFS(Table1[[#This Row],[lead_time_days]]&lt;=7,"0-7 days",N297&lt;=14,"8-14 days",N297&lt;=30,"15-30 days",N297&lt;=60,"31-60 days",TRUE,"61+ days")</f>
        <v>31-60 days</v>
      </c>
      <c r="P297" t="s">
        <v>71</v>
      </c>
      <c r="Q297" t="s">
        <v>21</v>
      </c>
      <c r="R297">
        <v>1</v>
      </c>
      <c r="S297" t="str">
        <f>IF(Table1[prior_dna_count]&gt;=1,"Has prior DNA history","No prior DNA history")</f>
        <v>Has prior DNA history</v>
      </c>
      <c r="T297" t="s">
        <v>22</v>
      </c>
      <c r="U297" t="str">
        <f t="shared" si="4"/>
        <v>1</v>
      </c>
      <c r="V297" t="str">
        <f>IF(Table1[appointment_status]="Attended","1","0")</f>
        <v>1</v>
      </c>
      <c r="W297" t="str">
        <f>IF(Table1[appointment_status]="Cancelled","1","0")</f>
        <v>0</v>
      </c>
    </row>
    <row r="298" spans="1:23">
      <c r="A298" t="s">
        <v>612</v>
      </c>
      <c r="B298" t="s">
        <v>613</v>
      </c>
      <c r="C298">
        <v>14</v>
      </c>
      <c r="D298" t="str" cm="1">
        <f t="array" ref="D298">_xlfn.IFS(Table1[[#This Row],[age]]&lt;=17,"0-17",C298&lt;=29,"18-29",C298&lt;=44,"30-44",C298&lt;=59,"45-59",C298&lt;=74,"60-74",TRUE,"75+")</f>
        <v>0-17</v>
      </c>
      <c r="E298" t="s">
        <v>17</v>
      </c>
      <c r="F298">
        <v>2</v>
      </c>
      <c r="G298" t="str" cm="1">
        <f t="array" ref="G298">_xlfn.IFS(_xlfn.SINGLE(Table1[imd_decile])&lt;=3,"Most Deprived",F298&lt;=7,"Moderately Deprived",F298&lt;=10,"Least Deprived")</f>
        <v>Most Deprived</v>
      </c>
      <c r="H298">
        <v>8.6999999999999993</v>
      </c>
      <c r="I298" t="s">
        <v>155</v>
      </c>
      <c r="J298" t="s">
        <v>19</v>
      </c>
      <c r="K298" s="1">
        <v>45708</v>
      </c>
      <c r="L298" s="1">
        <v>45727</v>
      </c>
      <c r="M298" s="1" t="str">
        <f>TEXT(Table1[[#This Row],[appointment_date]],"MM/YYYY")</f>
        <v>03/2025</v>
      </c>
      <c r="N298">
        <v>19</v>
      </c>
      <c r="O298" t="str" cm="1">
        <f t="array" ref="O298">_xlfn.IFS(Table1[[#This Row],[lead_time_days]]&lt;=7,"0-7 days",N298&lt;=14,"8-14 days",N298&lt;=30,"15-30 days",N298&lt;=60,"31-60 days",TRUE,"61+ days")</f>
        <v>15-30 days</v>
      </c>
      <c r="P298" t="s">
        <v>71</v>
      </c>
      <c r="Q298" t="s">
        <v>21</v>
      </c>
      <c r="R298">
        <v>0</v>
      </c>
      <c r="S298" t="str">
        <f>IF(Table1[prior_dna_count]&gt;=1,"Has prior DNA history","No prior DNA history")</f>
        <v>No prior DNA history</v>
      </c>
      <c r="T298" t="s">
        <v>22</v>
      </c>
      <c r="U298" t="str">
        <f t="shared" si="4"/>
        <v>1</v>
      </c>
      <c r="V298" t="str">
        <f>IF(Table1[appointment_status]="Attended","1","0")</f>
        <v>1</v>
      </c>
      <c r="W298" t="str">
        <f>IF(Table1[appointment_status]="Cancelled","1","0")</f>
        <v>0</v>
      </c>
    </row>
    <row r="299" spans="1:23">
      <c r="A299" t="s">
        <v>614</v>
      </c>
      <c r="B299" t="s">
        <v>615</v>
      </c>
      <c r="C299">
        <v>53</v>
      </c>
      <c r="D299" t="str" cm="1">
        <f t="array" ref="D299">_xlfn.IFS(Table1[[#This Row],[age]]&lt;=17,"0-17",C299&lt;=29,"18-29",C299&lt;=44,"30-44",C299&lt;=59,"45-59",C299&lt;=74,"60-74",TRUE,"75+")</f>
        <v>45-59</v>
      </c>
      <c r="E299" t="s">
        <v>29</v>
      </c>
      <c r="F299">
        <v>9</v>
      </c>
      <c r="G299" t="str" cm="1">
        <f t="array" ref="G299">_xlfn.IFS(_xlfn.SINGLE(Table1[imd_decile])&lt;=3,"Most Deprived",F299&lt;=7,"Moderately Deprived",F299&lt;=10,"Least Deprived")</f>
        <v>Least Deprived</v>
      </c>
      <c r="H299">
        <v>5.9</v>
      </c>
      <c r="I299" t="s">
        <v>42</v>
      </c>
      <c r="J299" t="s">
        <v>26</v>
      </c>
      <c r="K299" s="1">
        <v>45699</v>
      </c>
      <c r="L299" s="1">
        <v>45727</v>
      </c>
      <c r="M299" s="1" t="str">
        <f>TEXT(Table1[[#This Row],[appointment_date]],"MM/YYYY")</f>
        <v>03/2025</v>
      </c>
      <c r="N299">
        <v>28</v>
      </c>
      <c r="O299" t="str" cm="1">
        <f t="array" ref="O299">_xlfn.IFS(Table1[[#This Row],[lead_time_days]]&lt;=7,"0-7 days",N299&lt;=14,"8-14 days",N299&lt;=30,"15-30 days",N299&lt;=60,"31-60 days",TRUE,"61+ days")</f>
        <v>15-30 days</v>
      </c>
      <c r="P299" t="s">
        <v>71</v>
      </c>
      <c r="Q299" t="s">
        <v>21</v>
      </c>
      <c r="R299">
        <v>0</v>
      </c>
      <c r="S299" t="str">
        <f>IF(Table1[prior_dna_count]&gt;=1,"Has prior DNA history","No prior DNA history")</f>
        <v>No prior DNA history</v>
      </c>
      <c r="T299" t="s">
        <v>22</v>
      </c>
      <c r="U299" t="str">
        <f t="shared" si="4"/>
        <v>1</v>
      </c>
      <c r="V299" t="str">
        <f>IF(Table1[appointment_status]="Attended","1","0")</f>
        <v>1</v>
      </c>
      <c r="W299" t="str">
        <f>IF(Table1[appointment_status]="Cancelled","1","0")</f>
        <v>0</v>
      </c>
    </row>
    <row r="300" spans="1:23">
      <c r="A300" t="s">
        <v>616</v>
      </c>
      <c r="B300" t="s">
        <v>617</v>
      </c>
      <c r="C300">
        <v>32</v>
      </c>
      <c r="D300" t="str" cm="1">
        <f t="array" ref="D300">_xlfn.IFS(Table1[[#This Row],[age]]&lt;=17,"0-17",C300&lt;=29,"18-29",C300&lt;=44,"30-44",C300&lt;=59,"45-59",C300&lt;=74,"60-74",TRUE,"75+")</f>
        <v>30-44</v>
      </c>
      <c r="E300" t="s">
        <v>17</v>
      </c>
      <c r="F300">
        <v>2</v>
      </c>
      <c r="G300" t="str" cm="1">
        <f t="array" ref="G300">_xlfn.IFS(_xlfn.SINGLE(Table1[imd_decile])&lt;=3,"Most Deprived",F300&lt;=7,"Moderately Deprived",F300&lt;=10,"Least Deprived")</f>
        <v>Most Deprived</v>
      </c>
      <c r="H300">
        <v>10.9</v>
      </c>
      <c r="I300" t="s">
        <v>155</v>
      </c>
      <c r="J300" t="s">
        <v>19</v>
      </c>
      <c r="K300" s="1">
        <v>45720</v>
      </c>
      <c r="L300" s="1">
        <v>45727</v>
      </c>
      <c r="M300" s="1" t="str">
        <f>TEXT(Table1[[#This Row],[appointment_date]],"MM/YYYY")</f>
        <v>03/2025</v>
      </c>
      <c r="N300">
        <v>7</v>
      </c>
      <c r="O300" t="str" cm="1">
        <f t="array" ref="O300">_xlfn.IFS(Table1[[#This Row],[lead_time_days]]&lt;=7,"0-7 days",N300&lt;=14,"8-14 days",N300&lt;=30,"15-30 days",N300&lt;=60,"31-60 days",TRUE,"61+ days")</f>
        <v>0-7 days</v>
      </c>
      <c r="P300" t="s">
        <v>71</v>
      </c>
      <c r="Q300" t="s">
        <v>21</v>
      </c>
      <c r="R300">
        <v>1</v>
      </c>
      <c r="S300" t="str">
        <f>IF(Table1[prior_dna_count]&gt;=1,"Has prior DNA history","No prior DNA history")</f>
        <v>Has prior DNA history</v>
      </c>
      <c r="T300" t="s">
        <v>22</v>
      </c>
      <c r="U300" t="str">
        <f t="shared" si="4"/>
        <v>1</v>
      </c>
      <c r="V300" t="str">
        <f>IF(Table1[appointment_status]="Attended","1","0")</f>
        <v>1</v>
      </c>
      <c r="W300" t="str">
        <f>IF(Table1[appointment_status]="Cancelled","1","0")</f>
        <v>0</v>
      </c>
    </row>
    <row r="301" spans="1:23">
      <c r="A301" t="s">
        <v>618</v>
      </c>
      <c r="B301" t="s">
        <v>619</v>
      </c>
      <c r="C301">
        <v>57</v>
      </c>
      <c r="D301" t="str" cm="1">
        <f t="array" ref="D301">_xlfn.IFS(Table1[[#This Row],[age]]&lt;=17,"0-17",C301&lt;=29,"18-29",C301&lt;=44,"30-44",C301&lt;=59,"45-59",C301&lt;=74,"60-74",TRUE,"75+")</f>
        <v>45-59</v>
      </c>
      <c r="E301" t="s">
        <v>17</v>
      </c>
      <c r="F301">
        <v>8</v>
      </c>
      <c r="G301" t="str" cm="1">
        <f t="array" ref="G301">_xlfn.IFS(_xlfn.SINGLE(Table1[imd_decile])&lt;=3,"Most Deprived",F301&lt;=7,"Moderately Deprived",F301&lt;=10,"Least Deprived")</f>
        <v>Least Deprived</v>
      </c>
      <c r="H301">
        <v>3.1</v>
      </c>
      <c r="I301" t="s">
        <v>42</v>
      </c>
      <c r="J301" t="s">
        <v>26</v>
      </c>
      <c r="K301" s="1">
        <v>45713</v>
      </c>
      <c r="L301" s="1">
        <v>45728</v>
      </c>
      <c r="M301" s="1" t="str">
        <f>TEXT(Table1[[#This Row],[appointment_date]],"MM/YYYY")</f>
        <v>03/2025</v>
      </c>
      <c r="N301">
        <v>15</v>
      </c>
      <c r="O301" t="str" cm="1">
        <f t="array" ref="O301">_xlfn.IFS(Table1[[#This Row],[lead_time_days]]&lt;=7,"0-7 days",N301&lt;=14,"8-14 days",N301&lt;=30,"15-30 days",N301&lt;=60,"31-60 days",TRUE,"61+ days")</f>
        <v>15-30 days</v>
      </c>
      <c r="P301" t="s">
        <v>80</v>
      </c>
      <c r="Q301" t="s">
        <v>21</v>
      </c>
      <c r="R301">
        <v>0</v>
      </c>
      <c r="S301" t="str">
        <f>IF(Table1[prior_dna_count]&gt;=1,"Has prior DNA history","No prior DNA history")</f>
        <v>No prior DNA history</v>
      </c>
      <c r="T301" t="s">
        <v>22</v>
      </c>
      <c r="U301" t="str">
        <f t="shared" si="4"/>
        <v>1</v>
      </c>
      <c r="V301" t="str">
        <f>IF(Table1[appointment_status]="Attended","1","0")</f>
        <v>1</v>
      </c>
      <c r="W301" t="str">
        <f>IF(Table1[appointment_status]="Cancelled","1","0")</f>
        <v>0</v>
      </c>
    </row>
    <row r="302" spans="1:23">
      <c r="A302" t="s">
        <v>620</v>
      </c>
      <c r="B302" t="s">
        <v>621</v>
      </c>
      <c r="C302">
        <v>45</v>
      </c>
      <c r="D302" t="str" cm="1">
        <f t="array" ref="D302">_xlfn.IFS(Table1[[#This Row],[age]]&lt;=17,"0-17",C302&lt;=29,"18-29",C302&lt;=44,"30-44",C302&lt;=59,"45-59",C302&lt;=74,"60-74",TRUE,"75+")</f>
        <v>45-59</v>
      </c>
      <c r="E302" t="s">
        <v>17</v>
      </c>
      <c r="F302">
        <v>6</v>
      </c>
      <c r="G302" t="str" cm="1">
        <f t="array" ref="G302">_xlfn.IFS(_xlfn.SINGLE(Table1[imd_decile])&lt;=3,"Most Deprived",F302&lt;=7,"Moderately Deprived",F302&lt;=10,"Least Deprived")</f>
        <v>Moderately Deprived</v>
      </c>
      <c r="H302">
        <v>5.2</v>
      </c>
      <c r="I302" t="s">
        <v>91</v>
      </c>
      <c r="J302" t="s">
        <v>19</v>
      </c>
      <c r="K302" s="1">
        <v>45693</v>
      </c>
      <c r="L302" s="1">
        <v>45728</v>
      </c>
      <c r="M302" s="1" t="str">
        <f>TEXT(Table1[[#This Row],[appointment_date]],"MM/YYYY")</f>
        <v>03/2025</v>
      </c>
      <c r="N302">
        <v>35</v>
      </c>
      <c r="O302" t="str" cm="1">
        <f t="array" ref="O302">_xlfn.IFS(Table1[[#This Row],[lead_time_days]]&lt;=7,"0-7 days",N302&lt;=14,"8-14 days",N302&lt;=30,"15-30 days",N302&lt;=60,"31-60 days",TRUE,"61+ days")</f>
        <v>31-60 days</v>
      </c>
      <c r="P302" t="s">
        <v>80</v>
      </c>
      <c r="Q302" t="s">
        <v>21</v>
      </c>
      <c r="R302">
        <v>0</v>
      </c>
      <c r="S302" t="str">
        <f>IF(Table1[prior_dna_count]&gt;=1,"Has prior DNA history","No prior DNA history")</f>
        <v>No prior DNA history</v>
      </c>
      <c r="T302" t="s">
        <v>39</v>
      </c>
      <c r="U302" t="str">
        <f t="shared" si="4"/>
        <v>1</v>
      </c>
      <c r="V302" t="str">
        <f>IF(Table1[appointment_status]="Attended","1","0")</f>
        <v>0</v>
      </c>
      <c r="W302" t="str">
        <f>IF(Table1[appointment_status]="Cancelled","1","0")</f>
        <v>0</v>
      </c>
    </row>
    <row r="303" spans="1:23">
      <c r="A303" t="s">
        <v>622</v>
      </c>
      <c r="B303" t="s">
        <v>623</v>
      </c>
      <c r="C303">
        <v>34</v>
      </c>
      <c r="D303" t="str" cm="1">
        <f t="array" ref="D303">_xlfn.IFS(Table1[[#This Row],[age]]&lt;=17,"0-17",C303&lt;=29,"18-29",C303&lt;=44,"30-44",C303&lt;=59,"45-59",C303&lt;=74,"60-74",TRUE,"75+")</f>
        <v>30-44</v>
      </c>
      <c r="E303" t="s">
        <v>17</v>
      </c>
      <c r="F303">
        <v>8</v>
      </c>
      <c r="G303" t="str" cm="1">
        <f t="array" ref="G303">_xlfn.IFS(_xlfn.SINGLE(Table1[imd_decile])&lt;=3,"Most Deprived",F303&lt;=7,"Moderately Deprived",F303&lt;=10,"Least Deprived")</f>
        <v>Least Deprived</v>
      </c>
      <c r="H303">
        <v>10</v>
      </c>
      <c r="I303" t="s">
        <v>42</v>
      </c>
      <c r="J303" t="s">
        <v>19</v>
      </c>
      <c r="K303" s="1">
        <v>45670</v>
      </c>
      <c r="L303" s="1">
        <v>45728</v>
      </c>
      <c r="M303" s="1" t="str">
        <f>TEXT(Table1[[#This Row],[appointment_date]],"MM/YYYY")</f>
        <v>03/2025</v>
      </c>
      <c r="N303">
        <v>58</v>
      </c>
      <c r="O303" t="str" cm="1">
        <f t="array" ref="O303">_xlfn.IFS(Table1[[#This Row],[lead_time_days]]&lt;=7,"0-7 days",N303&lt;=14,"8-14 days",N303&lt;=30,"15-30 days",N303&lt;=60,"31-60 days",TRUE,"61+ days")</f>
        <v>31-60 days</v>
      </c>
      <c r="P303" t="s">
        <v>80</v>
      </c>
      <c r="Q303" t="s">
        <v>21</v>
      </c>
      <c r="R303">
        <v>0</v>
      </c>
      <c r="S303" t="str">
        <f>IF(Table1[prior_dna_count]&gt;=1,"Has prior DNA history","No prior DNA history")</f>
        <v>No prior DNA history</v>
      </c>
      <c r="T303" t="s">
        <v>22</v>
      </c>
      <c r="U303" t="str">
        <f t="shared" si="4"/>
        <v>0</v>
      </c>
      <c r="V303" t="str">
        <f>IF(Table1[appointment_status]="Attended","1","0")</f>
        <v>1</v>
      </c>
      <c r="W303" t="str">
        <f>IF(Table1[appointment_status]="Cancelled","1","0")</f>
        <v>0</v>
      </c>
    </row>
    <row r="304" spans="1:23">
      <c r="A304" t="s">
        <v>624</v>
      </c>
      <c r="B304" t="s">
        <v>625</v>
      </c>
      <c r="C304">
        <v>38</v>
      </c>
      <c r="D304" t="str" cm="1">
        <f t="array" ref="D304">_xlfn.IFS(Table1[[#This Row],[age]]&lt;=17,"0-17",C304&lt;=29,"18-29",C304&lt;=44,"30-44",C304&lt;=59,"45-59",C304&lt;=74,"60-74",TRUE,"75+")</f>
        <v>30-44</v>
      </c>
      <c r="E304" t="s">
        <v>29</v>
      </c>
      <c r="F304">
        <v>8</v>
      </c>
      <c r="G304" t="str" cm="1">
        <f t="array" ref="G304">_xlfn.IFS(_xlfn.SINGLE(Table1[imd_decile])&lt;=3,"Most Deprived",F304&lt;=7,"Moderately Deprived",F304&lt;=10,"Least Deprived")</f>
        <v>Least Deprived</v>
      </c>
      <c r="H304">
        <v>12.2</v>
      </c>
      <c r="I304" t="s">
        <v>38</v>
      </c>
      <c r="J304" t="s">
        <v>19</v>
      </c>
      <c r="K304" s="1">
        <v>45671</v>
      </c>
      <c r="L304" s="1">
        <v>45728</v>
      </c>
      <c r="M304" s="1" t="str">
        <f>TEXT(Table1[[#This Row],[appointment_date]],"MM/YYYY")</f>
        <v>03/2025</v>
      </c>
      <c r="N304">
        <v>57</v>
      </c>
      <c r="O304" t="str" cm="1">
        <f t="array" ref="O304">_xlfn.IFS(Table1[[#This Row],[lead_time_days]]&lt;=7,"0-7 days",N304&lt;=14,"8-14 days",N304&lt;=30,"15-30 days",N304&lt;=60,"31-60 days",TRUE,"61+ days")</f>
        <v>31-60 days</v>
      </c>
      <c r="P304" t="s">
        <v>80</v>
      </c>
      <c r="Q304" t="s">
        <v>32</v>
      </c>
      <c r="R304">
        <v>0</v>
      </c>
      <c r="S304" t="str">
        <f>IF(Table1[prior_dna_count]&gt;=1,"Has prior DNA history","No prior DNA history")</f>
        <v>No prior DNA history</v>
      </c>
      <c r="T304" t="s">
        <v>22</v>
      </c>
      <c r="U304" t="str">
        <f t="shared" si="4"/>
        <v>1</v>
      </c>
      <c r="V304" t="str">
        <f>IF(Table1[appointment_status]="Attended","1","0")</f>
        <v>1</v>
      </c>
      <c r="W304" t="str">
        <f>IF(Table1[appointment_status]="Cancelled","1","0")</f>
        <v>0</v>
      </c>
    </row>
    <row r="305" spans="1:23">
      <c r="A305" t="s">
        <v>626</v>
      </c>
      <c r="B305" t="s">
        <v>442</v>
      </c>
      <c r="C305">
        <v>37</v>
      </c>
      <c r="D305" t="str" cm="1">
        <f t="array" ref="D305">_xlfn.IFS(Table1[[#This Row],[age]]&lt;=17,"0-17",C305&lt;=29,"18-29",C305&lt;=44,"30-44",C305&lt;=59,"45-59",C305&lt;=74,"60-74",TRUE,"75+")</f>
        <v>30-44</v>
      </c>
      <c r="E305" t="s">
        <v>17</v>
      </c>
      <c r="F305">
        <v>5</v>
      </c>
      <c r="G305" t="str" cm="1">
        <f t="array" ref="G305">_xlfn.IFS(_xlfn.SINGLE(Table1[imd_decile])&lt;=3,"Most Deprived",F305&lt;=7,"Moderately Deprived",F305&lt;=10,"Least Deprived")</f>
        <v>Moderately Deprived</v>
      </c>
      <c r="H305">
        <v>2.6</v>
      </c>
      <c r="I305" t="s">
        <v>18</v>
      </c>
      <c r="J305" t="s">
        <v>19</v>
      </c>
      <c r="K305" s="1">
        <v>45692</v>
      </c>
      <c r="L305" s="1">
        <v>45728</v>
      </c>
      <c r="M305" s="1" t="str">
        <f>TEXT(Table1[[#This Row],[appointment_date]],"MM/YYYY")</f>
        <v>03/2025</v>
      </c>
      <c r="N305">
        <v>36</v>
      </c>
      <c r="O305" t="str" cm="1">
        <f t="array" ref="O305">_xlfn.IFS(Table1[[#This Row],[lead_time_days]]&lt;=7,"0-7 days",N305&lt;=14,"8-14 days",N305&lt;=30,"15-30 days",N305&lt;=60,"31-60 days",TRUE,"61+ days")</f>
        <v>31-60 days</v>
      </c>
      <c r="P305" t="s">
        <v>80</v>
      </c>
      <c r="Q305" t="s">
        <v>21</v>
      </c>
      <c r="R305">
        <v>1</v>
      </c>
      <c r="S305" t="str">
        <f>IF(Table1[prior_dna_count]&gt;=1,"Has prior DNA history","No prior DNA history")</f>
        <v>Has prior DNA history</v>
      </c>
      <c r="T305" t="s">
        <v>22</v>
      </c>
      <c r="U305" t="str">
        <f t="shared" si="4"/>
        <v>1</v>
      </c>
      <c r="V305" t="str">
        <f>IF(Table1[appointment_status]="Attended","1","0")</f>
        <v>1</v>
      </c>
      <c r="W305" t="str">
        <f>IF(Table1[appointment_status]="Cancelled","1","0")</f>
        <v>0</v>
      </c>
    </row>
    <row r="306" spans="1:23">
      <c r="A306" t="s">
        <v>627</v>
      </c>
      <c r="B306" t="s">
        <v>628</v>
      </c>
      <c r="C306">
        <v>28</v>
      </c>
      <c r="D306" t="str" cm="1">
        <f t="array" ref="D306">_xlfn.IFS(Table1[[#This Row],[age]]&lt;=17,"0-17",C306&lt;=29,"18-29",C306&lt;=44,"30-44",C306&lt;=59,"45-59",C306&lt;=74,"60-74",TRUE,"75+")</f>
        <v>18-29</v>
      </c>
      <c r="E306" t="s">
        <v>17</v>
      </c>
      <c r="F306">
        <v>1</v>
      </c>
      <c r="G306" t="str" cm="1">
        <f t="array" ref="G306">_xlfn.IFS(_xlfn.SINGLE(Table1[imd_decile])&lt;=3,"Most Deprived",F306&lt;=7,"Moderately Deprived",F306&lt;=10,"Least Deprived")</f>
        <v>Most Deprived</v>
      </c>
      <c r="H306">
        <v>7.9</v>
      </c>
      <c r="I306" t="s">
        <v>91</v>
      </c>
      <c r="J306" t="s">
        <v>26</v>
      </c>
      <c r="K306" s="1">
        <v>45721</v>
      </c>
      <c r="L306" s="1">
        <v>45728</v>
      </c>
      <c r="M306" s="1" t="str">
        <f>TEXT(Table1[[#This Row],[appointment_date]],"MM/YYYY")</f>
        <v>03/2025</v>
      </c>
      <c r="N306">
        <v>7</v>
      </c>
      <c r="O306" t="str" cm="1">
        <f t="array" ref="O306">_xlfn.IFS(Table1[[#This Row],[lead_time_days]]&lt;=7,"0-7 days",N306&lt;=14,"8-14 days",N306&lt;=30,"15-30 days",N306&lt;=60,"31-60 days",TRUE,"61+ days")</f>
        <v>0-7 days</v>
      </c>
      <c r="P306" t="s">
        <v>80</v>
      </c>
      <c r="Q306" t="s">
        <v>21</v>
      </c>
      <c r="R306">
        <v>0</v>
      </c>
      <c r="S306" t="str">
        <f>IF(Table1[prior_dna_count]&gt;=1,"Has prior DNA history","No prior DNA history")</f>
        <v>No prior DNA history</v>
      </c>
      <c r="T306" t="s">
        <v>22</v>
      </c>
      <c r="U306" t="str">
        <f t="shared" si="4"/>
        <v>1</v>
      </c>
      <c r="V306" t="str">
        <f>IF(Table1[appointment_status]="Attended","1","0")</f>
        <v>1</v>
      </c>
      <c r="W306" t="str">
        <f>IF(Table1[appointment_status]="Cancelled","1","0")</f>
        <v>0</v>
      </c>
    </row>
    <row r="307" spans="1:23">
      <c r="A307" t="s">
        <v>629</v>
      </c>
      <c r="B307" t="s">
        <v>630</v>
      </c>
      <c r="C307">
        <v>86</v>
      </c>
      <c r="D307" t="str" cm="1">
        <f t="array" ref="D307">_xlfn.IFS(Table1[[#This Row],[age]]&lt;=17,"0-17",C307&lt;=29,"18-29",C307&lt;=44,"30-44",C307&lt;=59,"45-59",C307&lt;=74,"60-74",TRUE,"75+")</f>
        <v>75+</v>
      </c>
      <c r="E307" t="s">
        <v>17</v>
      </c>
      <c r="F307">
        <v>7</v>
      </c>
      <c r="G307" t="str" cm="1">
        <f t="array" ref="G307">_xlfn.IFS(_xlfn.SINGLE(Table1[imd_decile])&lt;=3,"Most Deprived",F307&lt;=7,"Moderately Deprived",F307&lt;=10,"Least Deprived")</f>
        <v>Moderately Deprived</v>
      </c>
      <c r="H307">
        <v>3.3</v>
      </c>
      <c r="I307" t="s">
        <v>58</v>
      </c>
      <c r="J307" t="s">
        <v>26</v>
      </c>
      <c r="K307" s="1">
        <v>45705</v>
      </c>
      <c r="L307" s="1">
        <v>45728</v>
      </c>
      <c r="M307" s="1" t="str">
        <f>TEXT(Table1[[#This Row],[appointment_date]],"MM/YYYY")</f>
        <v>03/2025</v>
      </c>
      <c r="N307">
        <v>23</v>
      </c>
      <c r="O307" t="str" cm="1">
        <f t="array" ref="O307">_xlfn.IFS(Table1[[#This Row],[lead_time_days]]&lt;=7,"0-7 days",N307&lt;=14,"8-14 days",N307&lt;=30,"15-30 days",N307&lt;=60,"31-60 days",TRUE,"61+ days")</f>
        <v>15-30 days</v>
      </c>
      <c r="P307" t="s">
        <v>80</v>
      </c>
      <c r="Q307" t="s">
        <v>21</v>
      </c>
      <c r="R307">
        <v>0</v>
      </c>
      <c r="S307" t="str">
        <f>IF(Table1[prior_dna_count]&gt;=1,"Has prior DNA history","No prior DNA history")</f>
        <v>No prior DNA history</v>
      </c>
      <c r="T307" t="s">
        <v>22</v>
      </c>
      <c r="U307" t="str">
        <f t="shared" si="4"/>
        <v>1</v>
      </c>
      <c r="V307" t="str">
        <f>IF(Table1[appointment_status]="Attended","1","0")</f>
        <v>1</v>
      </c>
      <c r="W307" t="str">
        <f>IF(Table1[appointment_status]="Cancelled","1","0")</f>
        <v>0</v>
      </c>
    </row>
    <row r="308" spans="1:23">
      <c r="A308" t="s">
        <v>631</v>
      </c>
      <c r="B308" t="s">
        <v>632</v>
      </c>
      <c r="C308">
        <v>43</v>
      </c>
      <c r="D308" t="str" cm="1">
        <f t="array" ref="D308">_xlfn.IFS(Table1[[#This Row],[age]]&lt;=17,"0-17",C308&lt;=29,"18-29",C308&lt;=44,"30-44",C308&lt;=59,"45-59",C308&lt;=74,"60-74",TRUE,"75+")</f>
        <v>30-44</v>
      </c>
      <c r="E308" t="s">
        <v>29</v>
      </c>
      <c r="F308">
        <v>1</v>
      </c>
      <c r="G308" t="str" cm="1">
        <f t="array" ref="G308">_xlfn.IFS(_xlfn.SINGLE(Table1[imd_decile])&lt;=3,"Most Deprived",F308&lt;=7,"Moderately Deprived",F308&lt;=10,"Least Deprived")</f>
        <v>Most Deprived</v>
      </c>
      <c r="H308">
        <v>8.3000000000000007</v>
      </c>
      <c r="I308" t="s">
        <v>91</v>
      </c>
      <c r="J308" t="s">
        <v>19</v>
      </c>
      <c r="K308" s="1">
        <v>45702</v>
      </c>
      <c r="L308" s="1">
        <v>45728</v>
      </c>
      <c r="M308" s="1" t="str">
        <f>TEXT(Table1[[#This Row],[appointment_date]],"MM/YYYY")</f>
        <v>03/2025</v>
      </c>
      <c r="N308">
        <v>26</v>
      </c>
      <c r="O308" t="str" cm="1">
        <f t="array" ref="O308">_xlfn.IFS(Table1[[#This Row],[lead_time_days]]&lt;=7,"0-7 days",N308&lt;=14,"8-14 days",N308&lt;=30,"15-30 days",N308&lt;=60,"31-60 days",TRUE,"61+ days")</f>
        <v>15-30 days</v>
      </c>
      <c r="P308" t="s">
        <v>80</v>
      </c>
      <c r="Q308" t="s">
        <v>21</v>
      </c>
      <c r="R308">
        <v>0</v>
      </c>
      <c r="S308" t="str">
        <f>IF(Table1[prior_dna_count]&gt;=1,"Has prior DNA history","No prior DNA history")</f>
        <v>No prior DNA history</v>
      </c>
      <c r="T308" t="s">
        <v>22</v>
      </c>
      <c r="U308" t="str">
        <f t="shared" si="4"/>
        <v>1</v>
      </c>
      <c r="V308" t="str">
        <f>IF(Table1[appointment_status]="Attended","1","0")</f>
        <v>1</v>
      </c>
      <c r="W308" t="str">
        <f>IF(Table1[appointment_status]="Cancelled","1","0")</f>
        <v>0</v>
      </c>
    </row>
    <row r="309" spans="1:23">
      <c r="A309" t="s">
        <v>633</v>
      </c>
      <c r="B309" t="s">
        <v>634</v>
      </c>
      <c r="C309">
        <v>30</v>
      </c>
      <c r="D309" t="str" cm="1">
        <f t="array" ref="D309">_xlfn.IFS(Table1[[#This Row],[age]]&lt;=17,"0-17",C309&lt;=29,"18-29",C309&lt;=44,"30-44",C309&lt;=59,"45-59",C309&lt;=74,"60-74",TRUE,"75+")</f>
        <v>30-44</v>
      </c>
      <c r="E309" t="s">
        <v>29</v>
      </c>
      <c r="F309">
        <v>5</v>
      </c>
      <c r="G309" t="str" cm="1">
        <f t="array" ref="G309">_xlfn.IFS(_xlfn.SINGLE(Table1[imd_decile])&lt;=3,"Most Deprived",F309&lt;=7,"Moderately Deprived",F309&lt;=10,"Least Deprived")</f>
        <v>Moderately Deprived</v>
      </c>
      <c r="H309">
        <v>6.3</v>
      </c>
      <c r="I309" t="s">
        <v>45</v>
      </c>
      <c r="J309" t="s">
        <v>26</v>
      </c>
      <c r="K309" s="1">
        <v>45692</v>
      </c>
      <c r="L309" s="1">
        <v>45728</v>
      </c>
      <c r="M309" s="1" t="str">
        <f>TEXT(Table1[[#This Row],[appointment_date]],"MM/YYYY")</f>
        <v>03/2025</v>
      </c>
      <c r="N309">
        <v>36</v>
      </c>
      <c r="O309" t="str" cm="1">
        <f t="array" ref="O309">_xlfn.IFS(Table1[[#This Row],[lead_time_days]]&lt;=7,"0-7 days",N309&lt;=14,"8-14 days",N309&lt;=30,"15-30 days",N309&lt;=60,"31-60 days",TRUE,"61+ days")</f>
        <v>31-60 days</v>
      </c>
      <c r="P309" t="s">
        <v>80</v>
      </c>
      <c r="Q309" t="s">
        <v>21</v>
      </c>
      <c r="R309">
        <v>0</v>
      </c>
      <c r="S309" t="str">
        <f>IF(Table1[prior_dna_count]&gt;=1,"Has prior DNA history","No prior DNA history")</f>
        <v>No prior DNA history</v>
      </c>
      <c r="T309" t="s">
        <v>22</v>
      </c>
      <c r="U309" t="str">
        <f t="shared" si="4"/>
        <v>1</v>
      </c>
      <c r="V309" t="str">
        <f>IF(Table1[appointment_status]="Attended","1","0")</f>
        <v>1</v>
      </c>
      <c r="W309" t="str">
        <f>IF(Table1[appointment_status]="Cancelled","1","0")</f>
        <v>0</v>
      </c>
    </row>
    <row r="310" spans="1:23">
      <c r="A310" t="s">
        <v>635</v>
      </c>
      <c r="B310" t="s">
        <v>636</v>
      </c>
      <c r="C310">
        <v>31</v>
      </c>
      <c r="D310" t="str" cm="1">
        <f t="array" ref="D310">_xlfn.IFS(Table1[[#This Row],[age]]&lt;=17,"0-17",C310&lt;=29,"18-29",C310&lt;=44,"30-44",C310&lt;=59,"45-59",C310&lt;=74,"60-74",TRUE,"75+")</f>
        <v>30-44</v>
      </c>
      <c r="E310" t="s">
        <v>17</v>
      </c>
      <c r="F310">
        <v>1</v>
      </c>
      <c r="G310" t="str" cm="1">
        <f t="array" ref="G310">_xlfn.IFS(_xlfn.SINGLE(Table1[imd_decile])&lt;=3,"Most Deprived",F310&lt;=7,"Moderately Deprived",F310&lt;=10,"Least Deprived")</f>
        <v>Most Deprived</v>
      </c>
      <c r="H310">
        <v>4.5999999999999996</v>
      </c>
      <c r="I310" t="s">
        <v>45</v>
      </c>
      <c r="J310" t="s">
        <v>26</v>
      </c>
      <c r="K310" s="1">
        <v>45718</v>
      </c>
      <c r="L310" s="1">
        <v>45728</v>
      </c>
      <c r="M310" s="1" t="str">
        <f>TEXT(Table1[[#This Row],[appointment_date]],"MM/YYYY")</f>
        <v>03/2025</v>
      </c>
      <c r="N310">
        <v>10</v>
      </c>
      <c r="O310" t="str" cm="1">
        <f t="array" ref="O310">_xlfn.IFS(Table1[[#This Row],[lead_time_days]]&lt;=7,"0-7 days",N310&lt;=14,"8-14 days",N310&lt;=30,"15-30 days",N310&lt;=60,"31-60 days",TRUE,"61+ days")</f>
        <v>8-14 days</v>
      </c>
      <c r="P310" t="s">
        <v>80</v>
      </c>
      <c r="Q310" t="s">
        <v>32</v>
      </c>
      <c r="R310">
        <v>0</v>
      </c>
      <c r="S310" t="str">
        <f>IF(Table1[prior_dna_count]&gt;=1,"Has prior DNA history","No prior DNA history")</f>
        <v>No prior DNA history</v>
      </c>
      <c r="T310" t="s">
        <v>46</v>
      </c>
      <c r="U310" t="str">
        <f t="shared" si="4"/>
        <v>1</v>
      </c>
      <c r="V310" t="str">
        <f>IF(Table1[appointment_status]="Attended","1","0")</f>
        <v>0</v>
      </c>
      <c r="W310" t="str">
        <f>IF(Table1[appointment_status]="Cancelled","1","0")</f>
        <v>1</v>
      </c>
    </row>
    <row r="311" spans="1:23">
      <c r="A311" t="s">
        <v>637</v>
      </c>
      <c r="B311" t="s">
        <v>638</v>
      </c>
      <c r="C311">
        <v>78</v>
      </c>
      <c r="D311" t="str" cm="1">
        <f t="array" ref="D311">_xlfn.IFS(Table1[[#This Row],[age]]&lt;=17,"0-17",C311&lt;=29,"18-29",C311&lt;=44,"30-44",C311&lt;=59,"45-59",C311&lt;=74,"60-74",TRUE,"75+")</f>
        <v>75+</v>
      </c>
      <c r="E311" t="s">
        <v>29</v>
      </c>
      <c r="F311">
        <v>9</v>
      </c>
      <c r="G311" t="str" cm="1">
        <f t="array" ref="G311">_xlfn.IFS(_xlfn.SINGLE(Table1[imd_decile])&lt;=3,"Most Deprived",F311&lt;=7,"Moderately Deprived",F311&lt;=10,"Least Deprived")</f>
        <v>Least Deprived</v>
      </c>
      <c r="H311">
        <v>7.1</v>
      </c>
      <c r="I311" t="s">
        <v>30</v>
      </c>
      <c r="J311" t="s">
        <v>19</v>
      </c>
      <c r="K311" s="1">
        <v>45721</v>
      </c>
      <c r="L311" s="1">
        <v>45728</v>
      </c>
      <c r="M311" s="1" t="str">
        <f>TEXT(Table1[[#This Row],[appointment_date]],"MM/YYYY")</f>
        <v>03/2025</v>
      </c>
      <c r="N311">
        <v>7</v>
      </c>
      <c r="O311" t="str" cm="1">
        <f t="array" ref="O311">_xlfn.IFS(Table1[[#This Row],[lead_time_days]]&lt;=7,"0-7 days",N311&lt;=14,"8-14 days",N311&lt;=30,"15-30 days",N311&lt;=60,"31-60 days",TRUE,"61+ days")</f>
        <v>0-7 days</v>
      </c>
      <c r="P311" t="s">
        <v>80</v>
      </c>
      <c r="Q311" t="s">
        <v>32</v>
      </c>
      <c r="R311">
        <v>0</v>
      </c>
      <c r="S311" t="str">
        <f>IF(Table1[prior_dna_count]&gt;=1,"Has prior DNA history","No prior DNA history")</f>
        <v>No prior DNA history</v>
      </c>
      <c r="T311" t="s">
        <v>22</v>
      </c>
      <c r="U311" t="str">
        <f t="shared" si="4"/>
        <v>0</v>
      </c>
      <c r="V311" t="str">
        <f>IF(Table1[appointment_status]="Attended","1","0")</f>
        <v>1</v>
      </c>
      <c r="W311" t="str">
        <f>IF(Table1[appointment_status]="Cancelled","1","0")</f>
        <v>0</v>
      </c>
    </row>
    <row r="312" spans="1:23">
      <c r="A312" t="s">
        <v>639</v>
      </c>
      <c r="B312" t="s">
        <v>640</v>
      </c>
      <c r="C312">
        <v>41</v>
      </c>
      <c r="D312" t="str" cm="1">
        <f t="array" ref="D312">_xlfn.IFS(Table1[[#This Row],[age]]&lt;=17,"0-17",C312&lt;=29,"18-29",C312&lt;=44,"30-44",C312&lt;=59,"45-59",C312&lt;=74,"60-74",TRUE,"75+")</f>
        <v>30-44</v>
      </c>
      <c r="E312" t="s">
        <v>29</v>
      </c>
      <c r="F312">
        <v>5</v>
      </c>
      <c r="G312" t="str" cm="1">
        <f t="array" ref="G312">_xlfn.IFS(_xlfn.SINGLE(Table1[imd_decile])&lt;=3,"Most Deprived",F312&lt;=7,"Moderately Deprived",F312&lt;=10,"Least Deprived")</f>
        <v>Moderately Deprived</v>
      </c>
      <c r="H312">
        <v>6.3</v>
      </c>
      <c r="I312" t="s">
        <v>58</v>
      </c>
      <c r="J312" t="s">
        <v>19</v>
      </c>
      <c r="K312" s="1">
        <v>45709</v>
      </c>
      <c r="L312" s="1">
        <v>45729</v>
      </c>
      <c r="M312" s="1" t="str">
        <f>TEXT(Table1[[#This Row],[appointment_date]],"MM/YYYY")</f>
        <v>03/2025</v>
      </c>
      <c r="N312">
        <v>20</v>
      </c>
      <c r="O312" t="str" cm="1">
        <f t="array" ref="O312">_xlfn.IFS(Table1[[#This Row],[lead_time_days]]&lt;=7,"0-7 days",N312&lt;=14,"8-14 days",N312&lt;=30,"15-30 days",N312&lt;=60,"31-60 days",TRUE,"61+ days")</f>
        <v>15-30 days</v>
      </c>
      <c r="P312" t="s">
        <v>20</v>
      </c>
      <c r="Q312" t="s">
        <v>21</v>
      </c>
      <c r="R312">
        <v>0</v>
      </c>
      <c r="S312" t="str">
        <f>IF(Table1[prior_dna_count]&gt;=1,"Has prior DNA history","No prior DNA history")</f>
        <v>No prior DNA history</v>
      </c>
      <c r="T312" t="s">
        <v>22</v>
      </c>
      <c r="U312" t="str">
        <f t="shared" si="4"/>
        <v>1</v>
      </c>
      <c r="V312" t="str">
        <f>IF(Table1[appointment_status]="Attended","1","0")</f>
        <v>1</v>
      </c>
      <c r="W312" t="str">
        <f>IF(Table1[appointment_status]="Cancelled","1","0")</f>
        <v>0</v>
      </c>
    </row>
    <row r="313" spans="1:23">
      <c r="A313" t="s">
        <v>641</v>
      </c>
      <c r="B313" t="s">
        <v>642</v>
      </c>
      <c r="C313">
        <v>54</v>
      </c>
      <c r="D313" t="str" cm="1">
        <f t="array" ref="D313">_xlfn.IFS(Table1[[#This Row],[age]]&lt;=17,"0-17",C313&lt;=29,"18-29",C313&lt;=44,"30-44",C313&lt;=59,"45-59",C313&lt;=74,"60-74",TRUE,"75+")</f>
        <v>45-59</v>
      </c>
      <c r="E313" t="s">
        <v>29</v>
      </c>
      <c r="F313">
        <v>5</v>
      </c>
      <c r="G313" t="str" cm="1">
        <f t="array" ref="G313">_xlfn.IFS(_xlfn.SINGLE(Table1[imd_decile])&lt;=3,"Most Deprived",F313&lt;=7,"Moderately Deprived",F313&lt;=10,"Least Deprived")</f>
        <v>Moderately Deprived</v>
      </c>
      <c r="H313">
        <v>21.9</v>
      </c>
      <c r="I313" t="s">
        <v>91</v>
      </c>
      <c r="J313" t="s">
        <v>19</v>
      </c>
      <c r="K313" s="1">
        <v>45718</v>
      </c>
      <c r="L313" s="1">
        <v>45729</v>
      </c>
      <c r="M313" s="1" t="str">
        <f>TEXT(Table1[[#This Row],[appointment_date]],"MM/YYYY")</f>
        <v>03/2025</v>
      </c>
      <c r="N313">
        <v>11</v>
      </c>
      <c r="O313" t="str" cm="1">
        <f t="array" ref="O313">_xlfn.IFS(Table1[[#This Row],[lead_time_days]]&lt;=7,"0-7 days",N313&lt;=14,"8-14 days",N313&lt;=30,"15-30 days",N313&lt;=60,"31-60 days",TRUE,"61+ days")</f>
        <v>8-14 days</v>
      </c>
      <c r="P313" t="s">
        <v>20</v>
      </c>
      <c r="Q313" t="s">
        <v>21</v>
      </c>
      <c r="R313">
        <v>1</v>
      </c>
      <c r="S313" t="str">
        <f>IF(Table1[prior_dna_count]&gt;=1,"Has prior DNA history","No prior DNA history")</f>
        <v>Has prior DNA history</v>
      </c>
      <c r="T313" t="s">
        <v>22</v>
      </c>
      <c r="U313" t="str">
        <f t="shared" si="4"/>
        <v>1</v>
      </c>
      <c r="V313" t="str">
        <f>IF(Table1[appointment_status]="Attended","1","0")</f>
        <v>1</v>
      </c>
      <c r="W313" t="str">
        <f>IF(Table1[appointment_status]="Cancelled","1","0")</f>
        <v>0</v>
      </c>
    </row>
    <row r="314" spans="1:23">
      <c r="A314" t="s">
        <v>643</v>
      </c>
      <c r="B314" t="s">
        <v>644</v>
      </c>
      <c r="C314">
        <v>45</v>
      </c>
      <c r="D314" t="str" cm="1">
        <f t="array" ref="D314">_xlfn.IFS(Table1[[#This Row],[age]]&lt;=17,"0-17",C314&lt;=29,"18-29",C314&lt;=44,"30-44",C314&lt;=59,"45-59",C314&lt;=74,"60-74",TRUE,"75+")</f>
        <v>45-59</v>
      </c>
      <c r="E314" t="s">
        <v>29</v>
      </c>
      <c r="F314">
        <v>3</v>
      </c>
      <c r="G314" t="str" cm="1">
        <f t="array" ref="G314">_xlfn.IFS(_xlfn.SINGLE(Table1[imd_decile])&lt;=3,"Most Deprived",F314&lt;=7,"Moderately Deprived",F314&lt;=10,"Least Deprived")</f>
        <v>Most Deprived</v>
      </c>
      <c r="H314">
        <v>13.1</v>
      </c>
      <c r="I314" t="s">
        <v>38</v>
      </c>
      <c r="J314" t="s">
        <v>26</v>
      </c>
      <c r="K314" s="1">
        <v>45720</v>
      </c>
      <c r="L314" s="1">
        <v>45729</v>
      </c>
      <c r="M314" s="1" t="str">
        <f>TEXT(Table1[[#This Row],[appointment_date]],"MM/YYYY")</f>
        <v>03/2025</v>
      </c>
      <c r="N314">
        <v>9</v>
      </c>
      <c r="O314" t="str" cm="1">
        <f t="array" ref="O314">_xlfn.IFS(Table1[[#This Row],[lead_time_days]]&lt;=7,"0-7 days",N314&lt;=14,"8-14 days",N314&lt;=30,"15-30 days",N314&lt;=60,"31-60 days",TRUE,"61+ days")</f>
        <v>8-14 days</v>
      </c>
      <c r="P314" t="s">
        <v>20</v>
      </c>
      <c r="Q314" t="s">
        <v>21</v>
      </c>
      <c r="R314">
        <v>0</v>
      </c>
      <c r="S314" t="str">
        <f>IF(Table1[prior_dna_count]&gt;=1,"Has prior DNA history","No prior DNA history")</f>
        <v>No prior DNA history</v>
      </c>
      <c r="T314" t="s">
        <v>22</v>
      </c>
      <c r="U314" t="str">
        <f t="shared" si="4"/>
        <v>1</v>
      </c>
      <c r="V314" t="str">
        <f>IF(Table1[appointment_status]="Attended","1","0")</f>
        <v>1</v>
      </c>
      <c r="W314" t="str">
        <f>IF(Table1[appointment_status]="Cancelled","1","0")</f>
        <v>0</v>
      </c>
    </row>
    <row r="315" spans="1:23">
      <c r="A315" t="s">
        <v>645</v>
      </c>
      <c r="B315" t="s">
        <v>646</v>
      </c>
      <c r="C315">
        <v>70</v>
      </c>
      <c r="D315" t="str" cm="1">
        <f t="array" ref="D315">_xlfn.IFS(Table1[[#This Row],[age]]&lt;=17,"0-17",C315&lt;=29,"18-29",C315&lt;=44,"30-44",C315&lt;=59,"45-59",C315&lt;=74,"60-74",TRUE,"75+")</f>
        <v>60-74</v>
      </c>
      <c r="E315" t="s">
        <v>29</v>
      </c>
      <c r="F315">
        <v>2</v>
      </c>
      <c r="G315" t="str" cm="1">
        <f t="array" ref="G315">_xlfn.IFS(_xlfn.SINGLE(Table1[imd_decile])&lt;=3,"Most Deprived",F315&lt;=7,"Moderately Deprived",F315&lt;=10,"Least Deprived")</f>
        <v>Most Deprived</v>
      </c>
      <c r="H315">
        <v>1.3</v>
      </c>
      <c r="I315" t="s">
        <v>30</v>
      </c>
      <c r="J315" t="s">
        <v>26</v>
      </c>
      <c r="K315" s="1">
        <v>45721</v>
      </c>
      <c r="L315" s="1">
        <v>45729</v>
      </c>
      <c r="M315" s="1" t="str">
        <f>TEXT(Table1[[#This Row],[appointment_date]],"MM/YYYY")</f>
        <v>03/2025</v>
      </c>
      <c r="N315">
        <v>8</v>
      </c>
      <c r="O315" t="str" cm="1">
        <f t="array" ref="O315">_xlfn.IFS(Table1[[#This Row],[lead_time_days]]&lt;=7,"0-7 days",N315&lt;=14,"8-14 days",N315&lt;=30,"15-30 days",N315&lt;=60,"31-60 days",TRUE,"61+ days")</f>
        <v>8-14 days</v>
      </c>
      <c r="P315" t="s">
        <v>20</v>
      </c>
      <c r="Q315" t="s">
        <v>21</v>
      </c>
      <c r="R315">
        <v>0</v>
      </c>
      <c r="S315" t="str">
        <f>IF(Table1[prior_dna_count]&gt;=1,"Has prior DNA history","No prior DNA history")</f>
        <v>No prior DNA history</v>
      </c>
      <c r="T315" t="s">
        <v>22</v>
      </c>
      <c r="U315" t="str">
        <f t="shared" si="4"/>
        <v>1</v>
      </c>
      <c r="V315" t="str">
        <f>IF(Table1[appointment_status]="Attended","1","0")</f>
        <v>1</v>
      </c>
      <c r="W315" t="str">
        <f>IF(Table1[appointment_status]="Cancelled","1","0")</f>
        <v>0</v>
      </c>
    </row>
    <row r="316" spans="1:23">
      <c r="A316" t="s">
        <v>647</v>
      </c>
      <c r="B316" t="s">
        <v>648</v>
      </c>
      <c r="C316">
        <v>26</v>
      </c>
      <c r="D316" t="str" cm="1">
        <f t="array" ref="D316">_xlfn.IFS(Table1[[#This Row],[age]]&lt;=17,"0-17",C316&lt;=29,"18-29",C316&lt;=44,"30-44",C316&lt;=59,"45-59",C316&lt;=74,"60-74",TRUE,"75+")</f>
        <v>18-29</v>
      </c>
      <c r="E316" t="s">
        <v>17</v>
      </c>
      <c r="F316">
        <v>5</v>
      </c>
      <c r="G316" t="str" cm="1">
        <f t="array" ref="G316">_xlfn.IFS(_xlfn.SINGLE(Table1[imd_decile])&lt;=3,"Most Deprived",F316&lt;=7,"Moderately Deprived",F316&lt;=10,"Least Deprived")</f>
        <v>Moderately Deprived</v>
      </c>
      <c r="H316">
        <v>5.4</v>
      </c>
      <c r="I316" t="s">
        <v>25</v>
      </c>
      <c r="J316" t="s">
        <v>19</v>
      </c>
      <c r="K316" s="1">
        <v>45694</v>
      </c>
      <c r="L316" s="1">
        <v>45729</v>
      </c>
      <c r="M316" s="1" t="str">
        <f>TEXT(Table1[[#This Row],[appointment_date]],"MM/YYYY")</f>
        <v>03/2025</v>
      </c>
      <c r="N316">
        <v>35</v>
      </c>
      <c r="O316" t="str" cm="1">
        <f t="array" ref="O316">_xlfn.IFS(Table1[[#This Row],[lead_time_days]]&lt;=7,"0-7 days",N316&lt;=14,"8-14 days",N316&lt;=30,"15-30 days",N316&lt;=60,"31-60 days",TRUE,"61+ days")</f>
        <v>31-60 days</v>
      </c>
      <c r="P316" t="s">
        <v>20</v>
      </c>
      <c r="Q316" t="s">
        <v>21</v>
      </c>
      <c r="R316">
        <v>0</v>
      </c>
      <c r="S316" t="str">
        <f>IF(Table1[prior_dna_count]&gt;=1,"Has prior DNA history","No prior DNA history")</f>
        <v>No prior DNA history</v>
      </c>
      <c r="T316" t="s">
        <v>39</v>
      </c>
      <c r="U316" t="str">
        <f t="shared" si="4"/>
        <v>1</v>
      </c>
      <c r="V316" t="str">
        <f>IF(Table1[appointment_status]="Attended","1","0")</f>
        <v>0</v>
      </c>
      <c r="W316" t="str">
        <f>IF(Table1[appointment_status]="Cancelled","1","0")</f>
        <v>0</v>
      </c>
    </row>
    <row r="317" spans="1:23">
      <c r="A317" t="s">
        <v>649</v>
      </c>
      <c r="B317" t="s">
        <v>607</v>
      </c>
      <c r="C317">
        <v>58</v>
      </c>
      <c r="D317" t="str" cm="1">
        <f t="array" ref="D317">_xlfn.IFS(Table1[[#This Row],[age]]&lt;=17,"0-17",C317&lt;=29,"18-29",C317&lt;=44,"30-44",C317&lt;=59,"45-59",C317&lt;=74,"60-74",TRUE,"75+")</f>
        <v>45-59</v>
      </c>
      <c r="E317" t="s">
        <v>29</v>
      </c>
      <c r="F317">
        <v>1</v>
      </c>
      <c r="G317" t="str" cm="1">
        <f t="array" ref="G317">_xlfn.IFS(_xlfn.SINGLE(Table1[imd_decile])&lt;=3,"Most Deprived",F317&lt;=7,"Moderately Deprived",F317&lt;=10,"Least Deprived")</f>
        <v>Most Deprived</v>
      </c>
      <c r="H317">
        <v>17.399999999999999</v>
      </c>
      <c r="I317" t="s">
        <v>155</v>
      </c>
      <c r="J317" t="s">
        <v>26</v>
      </c>
      <c r="K317" s="1">
        <v>45704</v>
      </c>
      <c r="L317" s="1">
        <v>45729</v>
      </c>
      <c r="M317" s="1" t="str">
        <f>TEXT(Table1[[#This Row],[appointment_date]],"MM/YYYY")</f>
        <v>03/2025</v>
      </c>
      <c r="N317">
        <v>25</v>
      </c>
      <c r="O317" t="str" cm="1">
        <f t="array" ref="O317">_xlfn.IFS(Table1[[#This Row],[lead_time_days]]&lt;=7,"0-7 days",N317&lt;=14,"8-14 days",N317&lt;=30,"15-30 days",N317&lt;=60,"31-60 days",TRUE,"61+ days")</f>
        <v>15-30 days</v>
      </c>
      <c r="P317" t="s">
        <v>20</v>
      </c>
      <c r="Q317" t="s">
        <v>21</v>
      </c>
      <c r="R317">
        <v>0</v>
      </c>
      <c r="S317" t="str">
        <f>IF(Table1[prior_dna_count]&gt;=1,"Has prior DNA history","No prior DNA history")</f>
        <v>No prior DNA history</v>
      </c>
      <c r="T317" t="s">
        <v>22</v>
      </c>
      <c r="U317" t="str">
        <f t="shared" si="4"/>
        <v>0</v>
      </c>
      <c r="V317" t="str">
        <f>IF(Table1[appointment_status]="Attended","1","0")</f>
        <v>1</v>
      </c>
      <c r="W317" t="str">
        <f>IF(Table1[appointment_status]="Cancelled","1","0")</f>
        <v>0</v>
      </c>
    </row>
    <row r="318" spans="1:23">
      <c r="A318" t="s">
        <v>650</v>
      </c>
      <c r="B318" t="s">
        <v>651</v>
      </c>
      <c r="C318">
        <v>58</v>
      </c>
      <c r="D318" t="str" cm="1">
        <f t="array" ref="D318">_xlfn.IFS(Table1[[#This Row],[age]]&lt;=17,"0-17",C318&lt;=29,"18-29",C318&lt;=44,"30-44",C318&lt;=59,"45-59",C318&lt;=74,"60-74",TRUE,"75+")</f>
        <v>45-59</v>
      </c>
      <c r="E318" t="s">
        <v>29</v>
      </c>
      <c r="F318">
        <v>6</v>
      </c>
      <c r="G318" t="str" cm="1">
        <f t="array" ref="G318">_xlfn.IFS(_xlfn.SINGLE(Table1[imd_decile])&lt;=3,"Most Deprived",F318&lt;=7,"Moderately Deprived",F318&lt;=10,"Least Deprived")</f>
        <v>Moderately Deprived</v>
      </c>
      <c r="H318">
        <v>3.5</v>
      </c>
      <c r="I318" t="s">
        <v>58</v>
      </c>
      <c r="J318" t="s">
        <v>19</v>
      </c>
      <c r="K318" s="1">
        <v>45715</v>
      </c>
      <c r="L318" s="1">
        <v>45729</v>
      </c>
      <c r="M318" s="1" t="str">
        <f>TEXT(Table1[[#This Row],[appointment_date]],"MM/YYYY")</f>
        <v>03/2025</v>
      </c>
      <c r="N318">
        <v>14</v>
      </c>
      <c r="O318" t="str" cm="1">
        <f t="array" ref="O318">_xlfn.IFS(Table1[[#This Row],[lead_time_days]]&lt;=7,"0-7 days",N318&lt;=14,"8-14 days",N318&lt;=30,"15-30 days",N318&lt;=60,"31-60 days",TRUE,"61+ days")</f>
        <v>8-14 days</v>
      </c>
      <c r="P318" t="s">
        <v>20</v>
      </c>
      <c r="Q318" t="s">
        <v>21</v>
      </c>
      <c r="R318">
        <v>0</v>
      </c>
      <c r="S318" t="str">
        <f>IF(Table1[prior_dna_count]&gt;=1,"Has prior DNA history","No prior DNA history")</f>
        <v>No prior DNA history</v>
      </c>
      <c r="T318" t="s">
        <v>22</v>
      </c>
      <c r="U318" t="str">
        <f t="shared" si="4"/>
        <v>1</v>
      </c>
      <c r="V318" t="str">
        <f>IF(Table1[appointment_status]="Attended","1","0")</f>
        <v>1</v>
      </c>
      <c r="W318" t="str">
        <f>IF(Table1[appointment_status]="Cancelled","1","0")</f>
        <v>0</v>
      </c>
    </row>
    <row r="319" spans="1:23">
      <c r="A319" t="s">
        <v>652</v>
      </c>
      <c r="B319" t="s">
        <v>653</v>
      </c>
      <c r="C319">
        <v>48</v>
      </c>
      <c r="D319" t="str" cm="1">
        <f t="array" ref="D319">_xlfn.IFS(Table1[[#This Row],[age]]&lt;=17,"0-17",C319&lt;=29,"18-29",C319&lt;=44,"30-44",C319&lt;=59,"45-59",C319&lt;=74,"60-74",TRUE,"75+")</f>
        <v>45-59</v>
      </c>
      <c r="E319" t="s">
        <v>29</v>
      </c>
      <c r="F319">
        <v>5</v>
      </c>
      <c r="G319" t="str" cm="1">
        <f t="array" ref="G319">_xlfn.IFS(_xlfn.SINGLE(Table1[imd_decile])&lt;=3,"Most Deprived",F319&lt;=7,"Moderately Deprived",F319&lt;=10,"Least Deprived")</f>
        <v>Moderately Deprived</v>
      </c>
      <c r="H319">
        <v>3.4</v>
      </c>
      <c r="I319" t="s">
        <v>38</v>
      </c>
      <c r="J319" t="s">
        <v>19</v>
      </c>
      <c r="K319" s="1">
        <v>45687</v>
      </c>
      <c r="L319" s="1">
        <v>45729</v>
      </c>
      <c r="M319" s="1" t="str">
        <f>TEXT(Table1[[#This Row],[appointment_date]],"MM/YYYY")</f>
        <v>03/2025</v>
      </c>
      <c r="N319">
        <v>42</v>
      </c>
      <c r="O319" t="str" cm="1">
        <f t="array" ref="O319">_xlfn.IFS(Table1[[#This Row],[lead_time_days]]&lt;=7,"0-7 days",N319&lt;=14,"8-14 days",N319&lt;=30,"15-30 days",N319&lt;=60,"31-60 days",TRUE,"61+ days")</f>
        <v>31-60 days</v>
      </c>
      <c r="P319" t="s">
        <v>20</v>
      </c>
      <c r="Q319" t="s">
        <v>32</v>
      </c>
      <c r="R319">
        <v>0</v>
      </c>
      <c r="S319" t="str">
        <f>IF(Table1[prior_dna_count]&gt;=1,"Has prior DNA history","No prior DNA history")</f>
        <v>No prior DNA history</v>
      </c>
      <c r="T319" t="s">
        <v>22</v>
      </c>
      <c r="U319" t="str">
        <f t="shared" si="4"/>
        <v>1</v>
      </c>
      <c r="V319" t="str">
        <f>IF(Table1[appointment_status]="Attended","1","0")</f>
        <v>1</v>
      </c>
      <c r="W319" t="str">
        <f>IF(Table1[appointment_status]="Cancelled","1","0")</f>
        <v>0</v>
      </c>
    </row>
    <row r="320" spans="1:23">
      <c r="A320" t="s">
        <v>654</v>
      </c>
      <c r="B320" t="s">
        <v>655</v>
      </c>
      <c r="C320">
        <v>29</v>
      </c>
      <c r="D320" t="str" cm="1">
        <f t="array" ref="D320">_xlfn.IFS(Table1[[#This Row],[age]]&lt;=17,"0-17",C320&lt;=29,"18-29",C320&lt;=44,"30-44",C320&lt;=59,"45-59",C320&lt;=74,"60-74",TRUE,"75+")</f>
        <v>18-29</v>
      </c>
      <c r="E320" t="s">
        <v>29</v>
      </c>
      <c r="F320">
        <v>4</v>
      </c>
      <c r="G320" t="str" cm="1">
        <f t="array" ref="G320">_xlfn.IFS(_xlfn.SINGLE(Table1[imd_decile])&lt;=3,"Most Deprived",F320&lt;=7,"Moderately Deprived",F320&lt;=10,"Least Deprived")</f>
        <v>Moderately Deprived</v>
      </c>
      <c r="H320">
        <v>4.5</v>
      </c>
      <c r="I320" t="s">
        <v>38</v>
      </c>
      <c r="J320" t="s">
        <v>19</v>
      </c>
      <c r="K320" s="1">
        <v>45675</v>
      </c>
      <c r="L320" s="1">
        <v>45730</v>
      </c>
      <c r="M320" s="1" t="str">
        <f>TEXT(Table1[[#This Row],[appointment_date]],"MM/YYYY")</f>
        <v>03/2025</v>
      </c>
      <c r="N320">
        <v>55</v>
      </c>
      <c r="O320" t="str" cm="1">
        <f t="array" ref="O320">_xlfn.IFS(Table1[[#This Row],[lead_time_days]]&lt;=7,"0-7 days",N320&lt;=14,"8-14 days",N320&lt;=30,"15-30 days",N320&lt;=60,"31-60 days",TRUE,"61+ days")</f>
        <v>31-60 days</v>
      </c>
      <c r="P320" t="s">
        <v>52</v>
      </c>
      <c r="Q320" t="s">
        <v>32</v>
      </c>
      <c r="R320">
        <v>0</v>
      </c>
      <c r="S320" t="str">
        <f>IF(Table1[prior_dna_count]&gt;=1,"Has prior DNA history","No prior DNA history")</f>
        <v>No prior DNA history</v>
      </c>
      <c r="T320" t="s">
        <v>22</v>
      </c>
      <c r="U320" t="str">
        <f t="shared" si="4"/>
        <v>1</v>
      </c>
      <c r="V320" t="str">
        <f>IF(Table1[appointment_status]="Attended","1","0")</f>
        <v>1</v>
      </c>
      <c r="W320" t="str">
        <f>IF(Table1[appointment_status]="Cancelled","1","0")</f>
        <v>0</v>
      </c>
    </row>
    <row r="321" spans="1:23">
      <c r="A321" t="s">
        <v>656</v>
      </c>
      <c r="B321" t="s">
        <v>657</v>
      </c>
      <c r="C321">
        <v>41</v>
      </c>
      <c r="D321" t="str" cm="1">
        <f t="array" ref="D321">_xlfn.IFS(Table1[[#This Row],[age]]&lt;=17,"0-17",C321&lt;=29,"18-29",C321&lt;=44,"30-44",C321&lt;=59,"45-59",C321&lt;=74,"60-74",TRUE,"75+")</f>
        <v>30-44</v>
      </c>
      <c r="E321" t="s">
        <v>17</v>
      </c>
      <c r="F321">
        <v>10</v>
      </c>
      <c r="G321" t="str" cm="1">
        <f t="array" ref="G321">_xlfn.IFS(_xlfn.SINGLE(Table1[imd_decile])&lt;=3,"Most Deprived",F321&lt;=7,"Moderately Deprived",F321&lt;=10,"Least Deprived")</f>
        <v>Least Deprived</v>
      </c>
      <c r="H321">
        <v>4.9000000000000004</v>
      </c>
      <c r="I321" t="s">
        <v>91</v>
      </c>
      <c r="J321" t="s">
        <v>26</v>
      </c>
      <c r="K321" s="1">
        <v>45703</v>
      </c>
      <c r="L321" s="1">
        <v>45730</v>
      </c>
      <c r="M321" s="1" t="str">
        <f>TEXT(Table1[[#This Row],[appointment_date]],"MM/YYYY")</f>
        <v>03/2025</v>
      </c>
      <c r="N321">
        <v>27</v>
      </c>
      <c r="O321" t="str" cm="1">
        <f t="array" ref="O321">_xlfn.IFS(Table1[[#This Row],[lead_time_days]]&lt;=7,"0-7 days",N321&lt;=14,"8-14 days",N321&lt;=30,"15-30 days",N321&lt;=60,"31-60 days",TRUE,"61+ days")</f>
        <v>15-30 days</v>
      </c>
      <c r="P321" t="s">
        <v>52</v>
      </c>
      <c r="Q321" t="s">
        <v>21</v>
      </c>
      <c r="R321">
        <v>0</v>
      </c>
      <c r="S321" t="str">
        <f>IF(Table1[prior_dna_count]&gt;=1,"Has prior DNA history","No prior DNA history")</f>
        <v>No prior DNA history</v>
      </c>
      <c r="T321" t="s">
        <v>22</v>
      </c>
      <c r="U321" t="str">
        <f t="shared" si="4"/>
        <v>1</v>
      </c>
      <c r="V321" t="str">
        <f>IF(Table1[appointment_status]="Attended","1","0")</f>
        <v>1</v>
      </c>
      <c r="W321" t="str">
        <f>IF(Table1[appointment_status]="Cancelled","1","0")</f>
        <v>0</v>
      </c>
    </row>
    <row r="322" spans="1:23">
      <c r="A322" t="s">
        <v>658</v>
      </c>
      <c r="B322" t="s">
        <v>659</v>
      </c>
      <c r="C322">
        <v>43</v>
      </c>
      <c r="D322" t="str" cm="1">
        <f t="array" ref="D322">_xlfn.IFS(Table1[[#This Row],[age]]&lt;=17,"0-17",C322&lt;=29,"18-29",C322&lt;=44,"30-44",C322&lt;=59,"45-59",C322&lt;=74,"60-74",TRUE,"75+")</f>
        <v>30-44</v>
      </c>
      <c r="E322" t="s">
        <v>17</v>
      </c>
      <c r="F322">
        <v>9</v>
      </c>
      <c r="G322" t="str" cm="1">
        <f t="array" ref="G322">_xlfn.IFS(_xlfn.SINGLE(Table1[imd_decile])&lt;=3,"Most Deprived",F322&lt;=7,"Moderately Deprived",F322&lt;=10,"Least Deprived")</f>
        <v>Least Deprived</v>
      </c>
      <c r="H322">
        <v>6.5</v>
      </c>
      <c r="I322" t="s">
        <v>25</v>
      </c>
      <c r="J322" t="s">
        <v>19</v>
      </c>
      <c r="K322" s="1">
        <v>45695</v>
      </c>
      <c r="L322" s="1">
        <v>45730</v>
      </c>
      <c r="M322" s="1" t="str">
        <f>TEXT(Table1[[#This Row],[appointment_date]],"MM/YYYY")</f>
        <v>03/2025</v>
      </c>
      <c r="N322">
        <v>35</v>
      </c>
      <c r="O322" t="str" cm="1">
        <f t="array" ref="O322">_xlfn.IFS(Table1[[#This Row],[lead_time_days]]&lt;=7,"0-7 days",N322&lt;=14,"8-14 days",N322&lt;=30,"15-30 days",N322&lt;=60,"31-60 days",TRUE,"61+ days")</f>
        <v>31-60 days</v>
      </c>
      <c r="P322" t="s">
        <v>52</v>
      </c>
      <c r="Q322" t="s">
        <v>21</v>
      </c>
      <c r="R322">
        <v>0</v>
      </c>
      <c r="S322" t="str">
        <f>IF(Table1[prior_dna_count]&gt;=1,"Has prior DNA history","No prior DNA history")</f>
        <v>No prior DNA history</v>
      </c>
      <c r="T322" t="s">
        <v>22</v>
      </c>
      <c r="U322" t="str">
        <f t="shared" ref="U322:U385" si="5">V321</f>
        <v>1</v>
      </c>
      <c r="V322" t="str">
        <f>IF(Table1[appointment_status]="Attended","1","0")</f>
        <v>1</v>
      </c>
      <c r="W322" t="str">
        <f>IF(Table1[appointment_status]="Cancelled","1","0")</f>
        <v>0</v>
      </c>
    </row>
    <row r="323" spans="1:23">
      <c r="A323" t="s">
        <v>660</v>
      </c>
      <c r="B323" t="s">
        <v>661</v>
      </c>
      <c r="C323">
        <v>23</v>
      </c>
      <c r="D323" t="str" cm="1">
        <f t="array" ref="D323">_xlfn.IFS(Table1[[#This Row],[age]]&lt;=17,"0-17",C323&lt;=29,"18-29",C323&lt;=44,"30-44",C323&lt;=59,"45-59",C323&lt;=74,"60-74",TRUE,"75+")</f>
        <v>18-29</v>
      </c>
      <c r="E323" t="s">
        <v>29</v>
      </c>
      <c r="F323">
        <v>1</v>
      </c>
      <c r="G323" t="str" cm="1">
        <f t="array" ref="G323">_xlfn.IFS(_xlfn.SINGLE(Table1[imd_decile])&lt;=3,"Most Deprived",F323&lt;=7,"Moderately Deprived",F323&lt;=10,"Least Deprived")</f>
        <v>Most Deprived</v>
      </c>
      <c r="H323">
        <v>4.5999999999999996</v>
      </c>
      <c r="I323" t="s">
        <v>38</v>
      </c>
      <c r="J323" t="s">
        <v>19</v>
      </c>
      <c r="K323" s="1">
        <v>45694</v>
      </c>
      <c r="L323" s="1">
        <v>45730</v>
      </c>
      <c r="M323" s="1" t="str">
        <f>TEXT(Table1[[#This Row],[appointment_date]],"MM/YYYY")</f>
        <v>03/2025</v>
      </c>
      <c r="N323">
        <v>36</v>
      </c>
      <c r="O323" t="str" cm="1">
        <f t="array" ref="O323">_xlfn.IFS(Table1[[#This Row],[lead_time_days]]&lt;=7,"0-7 days",N323&lt;=14,"8-14 days",N323&lt;=30,"15-30 days",N323&lt;=60,"31-60 days",TRUE,"61+ days")</f>
        <v>31-60 days</v>
      </c>
      <c r="P323" t="s">
        <v>52</v>
      </c>
      <c r="Q323" t="s">
        <v>32</v>
      </c>
      <c r="R323">
        <v>1</v>
      </c>
      <c r="S323" t="str">
        <f>IF(Table1[prior_dna_count]&gt;=1,"Has prior DNA history","No prior DNA history")</f>
        <v>Has prior DNA history</v>
      </c>
      <c r="T323" t="s">
        <v>22</v>
      </c>
      <c r="U323" t="str">
        <f t="shared" si="5"/>
        <v>1</v>
      </c>
      <c r="V323" t="str">
        <f>IF(Table1[appointment_status]="Attended","1","0")</f>
        <v>1</v>
      </c>
      <c r="W323" t="str">
        <f>IF(Table1[appointment_status]="Cancelled","1","0")</f>
        <v>0</v>
      </c>
    </row>
    <row r="324" spans="1:23">
      <c r="A324" t="s">
        <v>662</v>
      </c>
      <c r="B324" t="s">
        <v>663</v>
      </c>
      <c r="C324">
        <v>68</v>
      </c>
      <c r="D324" t="str" cm="1">
        <f t="array" ref="D324">_xlfn.IFS(Table1[[#This Row],[age]]&lt;=17,"0-17",C324&lt;=29,"18-29",C324&lt;=44,"30-44",C324&lt;=59,"45-59",C324&lt;=74,"60-74",TRUE,"75+")</f>
        <v>60-74</v>
      </c>
      <c r="E324" t="s">
        <v>17</v>
      </c>
      <c r="F324">
        <v>2</v>
      </c>
      <c r="G324" t="str" cm="1">
        <f t="array" ref="G324">_xlfn.IFS(_xlfn.SINGLE(Table1[imd_decile])&lt;=3,"Most Deprived",F324&lt;=7,"Moderately Deprived",F324&lt;=10,"Least Deprived")</f>
        <v>Most Deprived</v>
      </c>
      <c r="H324">
        <v>15</v>
      </c>
      <c r="I324" t="s">
        <v>38</v>
      </c>
      <c r="J324" t="s">
        <v>19</v>
      </c>
      <c r="K324" s="1">
        <v>45673</v>
      </c>
      <c r="L324" s="1">
        <v>45730</v>
      </c>
      <c r="M324" s="1" t="str">
        <f>TEXT(Table1[[#This Row],[appointment_date]],"MM/YYYY")</f>
        <v>03/2025</v>
      </c>
      <c r="N324">
        <v>57</v>
      </c>
      <c r="O324" t="str" cm="1">
        <f t="array" ref="O324">_xlfn.IFS(Table1[[#This Row],[lead_time_days]]&lt;=7,"0-7 days",N324&lt;=14,"8-14 days",N324&lt;=30,"15-30 days",N324&lt;=60,"31-60 days",TRUE,"61+ days")</f>
        <v>31-60 days</v>
      </c>
      <c r="P324" t="s">
        <v>52</v>
      </c>
      <c r="Q324" t="s">
        <v>21</v>
      </c>
      <c r="R324">
        <v>0</v>
      </c>
      <c r="S324" t="str">
        <f>IF(Table1[prior_dna_count]&gt;=1,"Has prior DNA history","No prior DNA history")</f>
        <v>No prior DNA history</v>
      </c>
      <c r="T324" t="s">
        <v>46</v>
      </c>
      <c r="U324" t="str">
        <f t="shared" si="5"/>
        <v>1</v>
      </c>
      <c r="V324" t="str">
        <f>IF(Table1[appointment_status]="Attended","1","0")</f>
        <v>0</v>
      </c>
      <c r="W324" t="str">
        <f>IF(Table1[appointment_status]="Cancelled","1","0")</f>
        <v>1</v>
      </c>
    </row>
    <row r="325" spans="1:23">
      <c r="A325" t="s">
        <v>664</v>
      </c>
      <c r="B325" t="s">
        <v>665</v>
      </c>
      <c r="C325">
        <v>53</v>
      </c>
      <c r="D325" t="str" cm="1">
        <f t="array" ref="D325">_xlfn.IFS(Table1[[#This Row],[age]]&lt;=17,"0-17",C325&lt;=29,"18-29",C325&lt;=44,"30-44",C325&lt;=59,"45-59",C325&lt;=74,"60-74",TRUE,"75+")</f>
        <v>45-59</v>
      </c>
      <c r="E325" t="s">
        <v>29</v>
      </c>
      <c r="F325">
        <v>9</v>
      </c>
      <c r="G325" t="str" cm="1">
        <f t="array" ref="G325">_xlfn.IFS(_xlfn.SINGLE(Table1[imd_decile])&lt;=3,"Most Deprived",F325&lt;=7,"Moderately Deprived",F325&lt;=10,"Least Deprived")</f>
        <v>Least Deprived</v>
      </c>
      <c r="H325">
        <v>9.5</v>
      </c>
      <c r="I325" t="s">
        <v>25</v>
      </c>
      <c r="J325" t="s">
        <v>19</v>
      </c>
      <c r="K325" s="1">
        <v>45719</v>
      </c>
      <c r="L325" s="1">
        <v>45730</v>
      </c>
      <c r="M325" s="1" t="str">
        <f>TEXT(Table1[[#This Row],[appointment_date]],"MM/YYYY")</f>
        <v>03/2025</v>
      </c>
      <c r="N325">
        <v>11</v>
      </c>
      <c r="O325" t="str" cm="1">
        <f t="array" ref="O325">_xlfn.IFS(Table1[[#This Row],[lead_time_days]]&lt;=7,"0-7 days",N325&lt;=14,"8-14 days",N325&lt;=30,"15-30 days",N325&lt;=60,"31-60 days",TRUE,"61+ days")</f>
        <v>8-14 days</v>
      </c>
      <c r="P325" t="s">
        <v>52</v>
      </c>
      <c r="Q325" t="s">
        <v>21</v>
      </c>
      <c r="R325">
        <v>1</v>
      </c>
      <c r="S325" t="str">
        <f>IF(Table1[prior_dna_count]&gt;=1,"Has prior DNA history","No prior DNA history")</f>
        <v>Has prior DNA history</v>
      </c>
      <c r="T325" t="s">
        <v>22</v>
      </c>
      <c r="U325" t="str">
        <f t="shared" si="5"/>
        <v>0</v>
      </c>
      <c r="V325" t="str">
        <f>IF(Table1[appointment_status]="Attended","1","0")</f>
        <v>1</v>
      </c>
      <c r="W325" t="str">
        <f>IF(Table1[appointment_status]="Cancelled","1","0")</f>
        <v>0</v>
      </c>
    </row>
    <row r="326" spans="1:23">
      <c r="A326" t="s">
        <v>666</v>
      </c>
      <c r="B326" t="s">
        <v>667</v>
      </c>
      <c r="C326">
        <v>63</v>
      </c>
      <c r="D326" t="str" cm="1">
        <f t="array" ref="D326">_xlfn.IFS(Table1[[#This Row],[age]]&lt;=17,"0-17",C326&lt;=29,"18-29",C326&lt;=44,"30-44",C326&lt;=59,"45-59",C326&lt;=74,"60-74",TRUE,"75+")</f>
        <v>60-74</v>
      </c>
      <c r="E326" t="s">
        <v>17</v>
      </c>
      <c r="F326">
        <v>4</v>
      </c>
      <c r="G326" t="str" cm="1">
        <f t="array" ref="G326">_xlfn.IFS(_xlfn.SINGLE(Table1[imd_decile])&lt;=3,"Most Deprived",F326&lt;=7,"Moderately Deprived",F326&lt;=10,"Least Deprived")</f>
        <v>Moderately Deprived</v>
      </c>
      <c r="H326">
        <v>6.8</v>
      </c>
      <c r="I326" t="s">
        <v>25</v>
      </c>
      <c r="J326" t="s">
        <v>26</v>
      </c>
      <c r="K326" s="1">
        <v>45714</v>
      </c>
      <c r="L326" s="1">
        <v>45731</v>
      </c>
      <c r="M326" s="1" t="str">
        <f>TEXT(Table1[[#This Row],[appointment_date]],"MM/YYYY")</f>
        <v>03/2025</v>
      </c>
      <c r="N326">
        <v>17</v>
      </c>
      <c r="O326" t="str" cm="1">
        <f t="array" ref="O326">_xlfn.IFS(Table1[[#This Row],[lead_time_days]]&lt;=7,"0-7 days",N326&lt;=14,"8-14 days",N326&lt;=30,"15-30 days",N326&lt;=60,"31-60 days",TRUE,"61+ days")</f>
        <v>15-30 days</v>
      </c>
      <c r="P326" t="s">
        <v>55</v>
      </c>
      <c r="Q326" t="s">
        <v>32</v>
      </c>
      <c r="R326">
        <v>0</v>
      </c>
      <c r="S326" t="str">
        <f>IF(Table1[prior_dna_count]&gt;=1,"Has prior DNA history","No prior DNA history")</f>
        <v>No prior DNA history</v>
      </c>
      <c r="T326" t="s">
        <v>22</v>
      </c>
      <c r="U326" t="str">
        <f t="shared" si="5"/>
        <v>1</v>
      </c>
      <c r="V326" t="str">
        <f>IF(Table1[appointment_status]="Attended","1","0")</f>
        <v>1</v>
      </c>
      <c r="W326" t="str">
        <f>IF(Table1[appointment_status]="Cancelled","1","0")</f>
        <v>0</v>
      </c>
    </row>
    <row r="327" spans="1:23">
      <c r="A327" t="s">
        <v>668</v>
      </c>
      <c r="B327" t="s">
        <v>669</v>
      </c>
      <c r="C327">
        <v>42</v>
      </c>
      <c r="D327" t="str" cm="1">
        <f t="array" ref="D327">_xlfn.IFS(Table1[[#This Row],[age]]&lt;=17,"0-17",C327&lt;=29,"18-29",C327&lt;=44,"30-44",C327&lt;=59,"45-59",C327&lt;=74,"60-74",TRUE,"75+")</f>
        <v>30-44</v>
      </c>
      <c r="E327" t="s">
        <v>29</v>
      </c>
      <c r="F327">
        <v>5</v>
      </c>
      <c r="G327" t="str" cm="1">
        <f t="array" ref="G327">_xlfn.IFS(_xlfn.SINGLE(Table1[imd_decile])&lt;=3,"Most Deprived",F327&lt;=7,"Moderately Deprived",F327&lt;=10,"Least Deprived")</f>
        <v>Moderately Deprived</v>
      </c>
      <c r="H327">
        <v>3.1</v>
      </c>
      <c r="I327" t="s">
        <v>58</v>
      </c>
      <c r="J327" t="s">
        <v>26</v>
      </c>
      <c r="K327" s="1">
        <v>45716</v>
      </c>
      <c r="L327" s="1">
        <v>45731</v>
      </c>
      <c r="M327" s="1" t="str">
        <f>TEXT(Table1[[#This Row],[appointment_date]],"MM/YYYY")</f>
        <v>03/2025</v>
      </c>
      <c r="N327">
        <v>15</v>
      </c>
      <c r="O327" t="str" cm="1">
        <f t="array" ref="O327">_xlfn.IFS(Table1[[#This Row],[lead_time_days]]&lt;=7,"0-7 days",N327&lt;=14,"8-14 days",N327&lt;=30,"15-30 days",N327&lt;=60,"31-60 days",TRUE,"61+ days")</f>
        <v>15-30 days</v>
      </c>
      <c r="P327" t="s">
        <v>55</v>
      </c>
      <c r="Q327" t="s">
        <v>32</v>
      </c>
      <c r="R327">
        <v>0</v>
      </c>
      <c r="S327" t="str">
        <f>IF(Table1[prior_dna_count]&gt;=1,"Has prior DNA history","No prior DNA history")</f>
        <v>No prior DNA history</v>
      </c>
      <c r="T327" t="s">
        <v>22</v>
      </c>
      <c r="U327" t="str">
        <f t="shared" si="5"/>
        <v>1</v>
      </c>
      <c r="V327" t="str">
        <f>IF(Table1[appointment_status]="Attended","1","0")</f>
        <v>1</v>
      </c>
      <c r="W327" t="str">
        <f>IF(Table1[appointment_status]="Cancelled","1","0")</f>
        <v>0</v>
      </c>
    </row>
    <row r="328" spans="1:23">
      <c r="A328" t="s">
        <v>670</v>
      </c>
      <c r="B328" t="s">
        <v>671</v>
      </c>
      <c r="C328">
        <v>14</v>
      </c>
      <c r="D328" t="str" cm="1">
        <f t="array" ref="D328">_xlfn.IFS(Table1[[#This Row],[age]]&lt;=17,"0-17",C328&lt;=29,"18-29",C328&lt;=44,"30-44",C328&lt;=59,"45-59",C328&lt;=74,"60-74",TRUE,"75+")</f>
        <v>0-17</v>
      </c>
      <c r="E328" t="s">
        <v>29</v>
      </c>
      <c r="F328">
        <v>1</v>
      </c>
      <c r="G328" t="str" cm="1">
        <f t="array" ref="G328">_xlfn.IFS(_xlfn.SINGLE(Table1[imd_decile])&lt;=3,"Most Deprived",F328&lt;=7,"Moderately Deprived",F328&lt;=10,"Least Deprived")</f>
        <v>Most Deprived</v>
      </c>
      <c r="H328">
        <v>7.3</v>
      </c>
      <c r="I328" t="s">
        <v>42</v>
      </c>
      <c r="J328" t="s">
        <v>26</v>
      </c>
      <c r="K328" s="1">
        <v>45688</v>
      </c>
      <c r="L328" s="1">
        <v>45731</v>
      </c>
      <c r="M328" s="1" t="str">
        <f>TEXT(Table1[[#This Row],[appointment_date]],"MM/YYYY")</f>
        <v>03/2025</v>
      </c>
      <c r="N328">
        <v>43</v>
      </c>
      <c r="O328" t="str" cm="1">
        <f t="array" ref="O328">_xlfn.IFS(Table1[[#This Row],[lead_time_days]]&lt;=7,"0-7 days",N328&lt;=14,"8-14 days",N328&lt;=30,"15-30 days",N328&lt;=60,"31-60 days",TRUE,"61+ days")</f>
        <v>31-60 days</v>
      </c>
      <c r="P328" t="s">
        <v>55</v>
      </c>
      <c r="Q328" t="s">
        <v>21</v>
      </c>
      <c r="R328">
        <v>0</v>
      </c>
      <c r="S328" t="str">
        <f>IF(Table1[prior_dna_count]&gt;=1,"Has prior DNA history","No prior DNA history")</f>
        <v>No prior DNA history</v>
      </c>
      <c r="T328" t="s">
        <v>39</v>
      </c>
      <c r="U328" t="str">
        <f t="shared" si="5"/>
        <v>1</v>
      </c>
      <c r="V328" t="str">
        <f>IF(Table1[appointment_status]="Attended","1","0")</f>
        <v>0</v>
      </c>
      <c r="W328" t="str">
        <f>IF(Table1[appointment_status]="Cancelled","1","0")</f>
        <v>0</v>
      </c>
    </row>
    <row r="329" spans="1:23">
      <c r="A329" t="s">
        <v>672</v>
      </c>
      <c r="B329" t="s">
        <v>673</v>
      </c>
      <c r="C329">
        <v>25</v>
      </c>
      <c r="D329" t="str" cm="1">
        <f t="array" ref="D329">_xlfn.IFS(Table1[[#This Row],[age]]&lt;=17,"0-17",C329&lt;=29,"18-29",C329&lt;=44,"30-44",C329&lt;=59,"45-59",C329&lt;=74,"60-74",TRUE,"75+")</f>
        <v>18-29</v>
      </c>
      <c r="E329" t="s">
        <v>17</v>
      </c>
      <c r="F329">
        <v>4</v>
      </c>
      <c r="G329" t="str" cm="1">
        <f t="array" ref="G329">_xlfn.IFS(_xlfn.SINGLE(Table1[imd_decile])&lt;=3,"Most Deprived",F329&lt;=7,"Moderately Deprived",F329&lt;=10,"Least Deprived")</f>
        <v>Moderately Deprived</v>
      </c>
      <c r="H329">
        <v>2.8</v>
      </c>
      <c r="I329" t="s">
        <v>30</v>
      </c>
      <c r="J329" t="s">
        <v>19</v>
      </c>
      <c r="K329" s="1">
        <v>45694</v>
      </c>
      <c r="L329" s="1">
        <v>45731</v>
      </c>
      <c r="M329" s="1" t="str">
        <f>TEXT(Table1[[#This Row],[appointment_date]],"MM/YYYY")</f>
        <v>03/2025</v>
      </c>
      <c r="N329">
        <v>37</v>
      </c>
      <c r="O329" t="str" cm="1">
        <f t="array" ref="O329">_xlfn.IFS(Table1[[#This Row],[lead_time_days]]&lt;=7,"0-7 days",N329&lt;=14,"8-14 days",N329&lt;=30,"15-30 days",N329&lt;=60,"31-60 days",TRUE,"61+ days")</f>
        <v>31-60 days</v>
      </c>
      <c r="P329" t="s">
        <v>55</v>
      </c>
      <c r="Q329" t="s">
        <v>21</v>
      </c>
      <c r="R329">
        <v>0</v>
      </c>
      <c r="S329" t="str">
        <f>IF(Table1[prior_dna_count]&gt;=1,"Has prior DNA history","No prior DNA history")</f>
        <v>No prior DNA history</v>
      </c>
      <c r="T329" t="s">
        <v>22</v>
      </c>
      <c r="U329" t="str">
        <f t="shared" si="5"/>
        <v>0</v>
      </c>
      <c r="V329" t="str">
        <f>IF(Table1[appointment_status]="Attended","1","0")</f>
        <v>1</v>
      </c>
      <c r="W329" t="str">
        <f>IF(Table1[appointment_status]="Cancelled","1","0")</f>
        <v>0</v>
      </c>
    </row>
    <row r="330" spans="1:23">
      <c r="A330" t="s">
        <v>674</v>
      </c>
      <c r="B330" t="s">
        <v>675</v>
      </c>
      <c r="C330">
        <v>82</v>
      </c>
      <c r="D330" t="str" cm="1">
        <f t="array" ref="D330">_xlfn.IFS(Table1[[#This Row],[age]]&lt;=17,"0-17",C330&lt;=29,"18-29",C330&lt;=44,"30-44",C330&lt;=59,"45-59",C330&lt;=74,"60-74",TRUE,"75+")</f>
        <v>75+</v>
      </c>
      <c r="E330" t="s">
        <v>29</v>
      </c>
      <c r="F330">
        <v>1</v>
      </c>
      <c r="G330" t="str" cm="1">
        <f t="array" ref="G330">_xlfn.IFS(_xlfn.SINGLE(Table1[imd_decile])&lt;=3,"Most Deprived",F330&lt;=7,"Moderately Deprived",F330&lt;=10,"Least Deprived")</f>
        <v>Most Deprived</v>
      </c>
      <c r="H330">
        <v>5.8</v>
      </c>
      <c r="I330" t="s">
        <v>18</v>
      </c>
      <c r="J330" t="s">
        <v>19</v>
      </c>
      <c r="K330" s="1">
        <v>45715</v>
      </c>
      <c r="L330" s="1">
        <v>45731</v>
      </c>
      <c r="M330" s="1" t="str">
        <f>TEXT(Table1[[#This Row],[appointment_date]],"MM/YYYY")</f>
        <v>03/2025</v>
      </c>
      <c r="N330">
        <v>16</v>
      </c>
      <c r="O330" t="str" cm="1">
        <f t="array" ref="O330">_xlfn.IFS(Table1[[#This Row],[lead_time_days]]&lt;=7,"0-7 days",N330&lt;=14,"8-14 days",N330&lt;=30,"15-30 days",N330&lt;=60,"31-60 days",TRUE,"61+ days")</f>
        <v>15-30 days</v>
      </c>
      <c r="P330" t="s">
        <v>55</v>
      </c>
      <c r="Q330" t="s">
        <v>32</v>
      </c>
      <c r="R330">
        <v>0</v>
      </c>
      <c r="S330" t="str">
        <f>IF(Table1[prior_dna_count]&gt;=1,"Has prior DNA history","No prior DNA history")</f>
        <v>No prior DNA history</v>
      </c>
      <c r="T330" t="s">
        <v>39</v>
      </c>
      <c r="U330" t="str">
        <f t="shared" si="5"/>
        <v>1</v>
      </c>
      <c r="V330" t="str">
        <f>IF(Table1[appointment_status]="Attended","1","0")</f>
        <v>0</v>
      </c>
      <c r="W330" t="str">
        <f>IF(Table1[appointment_status]="Cancelled","1","0")</f>
        <v>0</v>
      </c>
    </row>
    <row r="331" spans="1:23">
      <c r="A331" t="s">
        <v>676</v>
      </c>
      <c r="B331" t="s">
        <v>359</v>
      </c>
      <c r="C331">
        <v>45</v>
      </c>
      <c r="D331" t="str" cm="1">
        <f t="array" ref="D331">_xlfn.IFS(Table1[[#This Row],[age]]&lt;=17,"0-17",C331&lt;=29,"18-29",C331&lt;=44,"30-44",C331&lt;=59,"45-59",C331&lt;=74,"60-74",TRUE,"75+")</f>
        <v>45-59</v>
      </c>
      <c r="E331" t="s">
        <v>17</v>
      </c>
      <c r="F331">
        <v>3</v>
      </c>
      <c r="G331" t="str" cm="1">
        <f t="array" ref="G331">_xlfn.IFS(_xlfn.SINGLE(Table1[imd_decile])&lt;=3,"Most Deprived",F331&lt;=7,"Moderately Deprived",F331&lt;=10,"Least Deprived")</f>
        <v>Most Deprived</v>
      </c>
      <c r="H331">
        <v>5</v>
      </c>
      <c r="I331" t="s">
        <v>25</v>
      </c>
      <c r="J331" t="s">
        <v>26</v>
      </c>
      <c r="K331" s="1">
        <v>45724</v>
      </c>
      <c r="L331" s="1">
        <v>45731</v>
      </c>
      <c r="M331" s="1" t="str">
        <f>TEXT(Table1[[#This Row],[appointment_date]],"MM/YYYY")</f>
        <v>03/2025</v>
      </c>
      <c r="N331">
        <v>7</v>
      </c>
      <c r="O331" t="str" cm="1">
        <f t="array" ref="O331">_xlfn.IFS(Table1[[#This Row],[lead_time_days]]&lt;=7,"0-7 days",N331&lt;=14,"8-14 days",N331&lt;=30,"15-30 days",N331&lt;=60,"31-60 days",TRUE,"61+ days")</f>
        <v>0-7 days</v>
      </c>
      <c r="P331" t="s">
        <v>55</v>
      </c>
      <c r="Q331" t="s">
        <v>21</v>
      </c>
      <c r="R331">
        <v>0</v>
      </c>
      <c r="S331" t="str">
        <f>IF(Table1[prior_dna_count]&gt;=1,"Has prior DNA history","No prior DNA history")</f>
        <v>No prior DNA history</v>
      </c>
      <c r="T331" t="s">
        <v>22</v>
      </c>
      <c r="U331" t="str">
        <f t="shared" si="5"/>
        <v>0</v>
      </c>
      <c r="V331" t="str">
        <f>IF(Table1[appointment_status]="Attended","1","0")</f>
        <v>1</v>
      </c>
      <c r="W331" t="str">
        <f>IF(Table1[appointment_status]="Cancelled","1","0")</f>
        <v>0</v>
      </c>
    </row>
    <row r="332" spans="1:23">
      <c r="A332" t="s">
        <v>677</v>
      </c>
      <c r="B332" t="s">
        <v>678</v>
      </c>
      <c r="C332">
        <v>66</v>
      </c>
      <c r="D332" t="str" cm="1">
        <f t="array" ref="D332">_xlfn.IFS(Table1[[#This Row],[age]]&lt;=17,"0-17",C332&lt;=29,"18-29",C332&lt;=44,"30-44",C332&lt;=59,"45-59",C332&lt;=74,"60-74",TRUE,"75+")</f>
        <v>60-74</v>
      </c>
      <c r="E332" t="s">
        <v>17</v>
      </c>
      <c r="F332">
        <v>9</v>
      </c>
      <c r="G332" t="str" cm="1">
        <f t="array" ref="G332">_xlfn.IFS(_xlfn.SINGLE(Table1[imd_decile])&lt;=3,"Most Deprived",F332&lt;=7,"Moderately Deprived",F332&lt;=10,"Least Deprived")</f>
        <v>Least Deprived</v>
      </c>
      <c r="H332">
        <v>3.4</v>
      </c>
      <c r="I332" t="s">
        <v>42</v>
      </c>
      <c r="J332" t="s">
        <v>26</v>
      </c>
      <c r="K332" s="1">
        <v>45716</v>
      </c>
      <c r="L332" s="1">
        <v>45731</v>
      </c>
      <c r="M332" s="1" t="str">
        <f>TEXT(Table1[[#This Row],[appointment_date]],"MM/YYYY")</f>
        <v>03/2025</v>
      </c>
      <c r="N332">
        <v>15</v>
      </c>
      <c r="O332" t="str" cm="1">
        <f t="array" ref="O332">_xlfn.IFS(Table1[[#This Row],[lead_time_days]]&lt;=7,"0-7 days",N332&lt;=14,"8-14 days",N332&lt;=30,"15-30 days",N332&lt;=60,"31-60 days",TRUE,"61+ days")</f>
        <v>15-30 days</v>
      </c>
      <c r="P332" t="s">
        <v>55</v>
      </c>
      <c r="Q332" t="s">
        <v>21</v>
      </c>
      <c r="R332">
        <v>0</v>
      </c>
      <c r="S332" t="str">
        <f>IF(Table1[prior_dna_count]&gt;=1,"Has prior DNA history","No prior DNA history")</f>
        <v>No prior DNA history</v>
      </c>
      <c r="T332" t="s">
        <v>22</v>
      </c>
      <c r="U332" t="str">
        <f t="shared" si="5"/>
        <v>1</v>
      </c>
      <c r="V332" t="str">
        <f>IF(Table1[appointment_status]="Attended","1","0")</f>
        <v>1</v>
      </c>
      <c r="W332" t="str">
        <f>IF(Table1[appointment_status]="Cancelled","1","0")</f>
        <v>0</v>
      </c>
    </row>
    <row r="333" spans="1:23">
      <c r="A333" t="s">
        <v>679</v>
      </c>
      <c r="B333" t="s">
        <v>680</v>
      </c>
      <c r="C333">
        <v>7</v>
      </c>
      <c r="D333" t="str" cm="1">
        <f t="array" ref="D333">_xlfn.IFS(Table1[[#This Row],[age]]&lt;=17,"0-17",C333&lt;=29,"18-29",C333&lt;=44,"30-44",C333&lt;=59,"45-59",C333&lt;=74,"60-74",TRUE,"75+")</f>
        <v>0-17</v>
      </c>
      <c r="E333" t="s">
        <v>17</v>
      </c>
      <c r="F333">
        <v>9</v>
      </c>
      <c r="G333" t="str" cm="1">
        <f t="array" ref="G333">_xlfn.IFS(_xlfn.SINGLE(Table1[imd_decile])&lt;=3,"Most Deprived",F333&lt;=7,"Moderately Deprived",F333&lt;=10,"Least Deprived")</f>
        <v>Least Deprived</v>
      </c>
      <c r="H333">
        <v>3.8</v>
      </c>
      <c r="I333" t="s">
        <v>30</v>
      </c>
      <c r="J333" t="s">
        <v>26</v>
      </c>
      <c r="K333" s="1">
        <v>45723</v>
      </c>
      <c r="L333" s="1">
        <v>45731</v>
      </c>
      <c r="M333" s="1" t="str">
        <f>TEXT(Table1[[#This Row],[appointment_date]],"MM/YYYY")</f>
        <v>03/2025</v>
      </c>
      <c r="N333">
        <v>8</v>
      </c>
      <c r="O333" t="str" cm="1">
        <f t="array" ref="O333">_xlfn.IFS(Table1[[#This Row],[lead_time_days]]&lt;=7,"0-7 days",N333&lt;=14,"8-14 days",N333&lt;=30,"15-30 days",N333&lt;=60,"31-60 days",TRUE,"61+ days")</f>
        <v>8-14 days</v>
      </c>
      <c r="P333" t="s">
        <v>55</v>
      </c>
      <c r="Q333" t="s">
        <v>32</v>
      </c>
      <c r="R333">
        <v>0</v>
      </c>
      <c r="S333" t="str">
        <f>IF(Table1[prior_dna_count]&gt;=1,"Has prior DNA history","No prior DNA history")</f>
        <v>No prior DNA history</v>
      </c>
      <c r="T333" t="s">
        <v>22</v>
      </c>
      <c r="U333" t="str">
        <f t="shared" si="5"/>
        <v>1</v>
      </c>
      <c r="V333" t="str">
        <f>IF(Table1[appointment_status]="Attended","1","0")</f>
        <v>1</v>
      </c>
      <c r="W333" t="str">
        <f>IF(Table1[appointment_status]="Cancelled","1","0")</f>
        <v>0</v>
      </c>
    </row>
    <row r="334" spans="1:23">
      <c r="A334" t="s">
        <v>681</v>
      </c>
      <c r="B334" t="s">
        <v>682</v>
      </c>
      <c r="C334">
        <v>80</v>
      </c>
      <c r="D334" t="str" cm="1">
        <f t="array" ref="D334">_xlfn.IFS(Table1[[#This Row],[age]]&lt;=17,"0-17",C334&lt;=29,"18-29",C334&lt;=44,"30-44",C334&lt;=59,"45-59",C334&lt;=74,"60-74",TRUE,"75+")</f>
        <v>75+</v>
      </c>
      <c r="E334" t="s">
        <v>17</v>
      </c>
      <c r="F334">
        <v>7</v>
      </c>
      <c r="G334" t="str" cm="1">
        <f t="array" ref="G334">_xlfn.IFS(_xlfn.SINGLE(Table1[imd_decile])&lt;=3,"Most Deprived",F334&lt;=7,"Moderately Deprived",F334&lt;=10,"Least Deprived")</f>
        <v>Moderately Deprived</v>
      </c>
      <c r="H334">
        <v>2.6</v>
      </c>
      <c r="I334" t="s">
        <v>91</v>
      </c>
      <c r="J334" t="s">
        <v>26</v>
      </c>
      <c r="K334" s="1">
        <v>45709</v>
      </c>
      <c r="L334" s="1">
        <v>45731</v>
      </c>
      <c r="M334" s="1" t="str">
        <f>TEXT(Table1[[#This Row],[appointment_date]],"MM/YYYY")</f>
        <v>03/2025</v>
      </c>
      <c r="N334">
        <v>22</v>
      </c>
      <c r="O334" t="str" cm="1">
        <f t="array" ref="O334">_xlfn.IFS(Table1[[#This Row],[lead_time_days]]&lt;=7,"0-7 days",N334&lt;=14,"8-14 days",N334&lt;=30,"15-30 days",N334&lt;=60,"31-60 days",TRUE,"61+ days")</f>
        <v>15-30 days</v>
      </c>
      <c r="P334" t="s">
        <v>55</v>
      </c>
      <c r="Q334" t="s">
        <v>21</v>
      </c>
      <c r="R334">
        <v>0</v>
      </c>
      <c r="S334" t="str">
        <f>IF(Table1[prior_dna_count]&gt;=1,"Has prior DNA history","No prior DNA history")</f>
        <v>No prior DNA history</v>
      </c>
      <c r="T334" t="s">
        <v>22</v>
      </c>
      <c r="U334" t="str">
        <f t="shared" si="5"/>
        <v>1</v>
      </c>
      <c r="V334" t="str">
        <f>IF(Table1[appointment_status]="Attended","1","0")</f>
        <v>1</v>
      </c>
      <c r="W334" t="str">
        <f>IF(Table1[appointment_status]="Cancelled","1","0")</f>
        <v>0</v>
      </c>
    </row>
    <row r="335" spans="1:23">
      <c r="A335" t="s">
        <v>683</v>
      </c>
      <c r="B335" t="s">
        <v>684</v>
      </c>
      <c r="C335">
        <v>15</v>
      </c>
      <c r="D335" t="str" cm="1">
        <f t="array" ref="D335">_xlfn.IFS(Table1[[#This Row],[age]]&lt;=17,"0-17",C335&lt;=29,"18-29",C335&lt;=44,"30-44",C335&lt;=59,"45-59",C335&lt;=74,"60-74",TRUE,"75+")</f>
        <v>0-17</v>
      </c>
      <c r="E335" t="s">
        <v>17</v>
      </c>
      <c r="F335">
        <v>9</v>
      </c>
      <c r="G335" t="str" cm="1">
        <f t="array" ref="G335">_xlfn.IFS(_xlfn.SINGLE(Table1[imd_decile])&lt;=3,"Most Deprived",F335&lt;=7,"Moderately Deprived",F335&lt;=10,"Least Deprived")</f>
        <v>Least Deprived</v>
      </c>
      <c r="H335">
        <v>4.7</v>
      </c>
      <c r="I335" t="s">
        <v>58</v>
      </c>
      <c r="J335" t="s">
        <v>19</v>
      </c>
      <c r="K335" s="1">
        <v>45712</v>
      </c>
      <c r="L335" s="1">
        <v>45731</v>
      </c>
      <c r="M335" s="1" t="str">
        <f>TEXT(Table1[[#This Row],[appointment_date]],"MM/YYYY")</f>
        <v>03/2025</v>
      </c>
      <c r="N335">
        <v>19</v>
      </c>
      <c r="O335" t="str" cm="1">
        <f t="array" ref="O335">_xlfn.IFS(Table1[[#This Row],[lead_time_days]]&lt;=7,"0-7 days",N335&lt;=14,"8-14 days",N335&lt;=30,"15-30 days",N335&lt;=60,"31-60 days",TRUE,"61+ days")</f>
        <v>15-30 days</v>
      </c>
      <c r="P335" t="s">
        <v>55</v>
      </c>
      <c r="Q335" t="s">
        <v>32</v>
      </c>
      <c r="R335">
        <v>0</v>
      </c>
      <c r="S335" t="str">
        <f>IF(Table1[prior_dna_count]&gt;=1,"Has prior DNA history","No prior DNA history")</f>
        <v>No prior DNA history</v>
      </c>
      <c r="T335" t="s">
        <v>22</v>
      </c>
      <c r="U335" t="str">
        <f t="shared" si="5"/>
        <v>1</v>
      </c>
      <c r="V335" t="str">
        <f>IF(Table1[appointment_status]="Attended","1","0")</f>
        <v>1</v>
      </c>
      <c r="W335" t="str">
        <f>IF(Table1[appointment_status]="Cancelled","1","0")</f>
        <v>0</v>
      </c>
    </row>
    <row r="336" spans="1:23">
      <c r="A336" t="s">
        <v>685</v>
      </c>
      <c r="B336" t="s">
        <v>389</v>
      </c>
      <c r="C336">
        <v>66</v>
      </c>
      <c r="D336" t="str" cm="1">
        <f t="array" ref="D336">_xlfn.IFS(Table1[[#This Row],[age]]&lt;=17,"0-17",C336&lt;=29,"18-29",C336&lt;=44,"30-44",C336&lt;=59,"45-59",C336&lt;=74,"60-74",TRUE,"75+")</f>
        <v>60-74</v>
      </c>
      <c r="E336" t="s">
        <v>29</v>
      </c>
      <c r="F336">
        <v>2</v>
      </c>
      <c r="G336" t="str" cm="1">
        <f t="array" ref="G336">_xlfn.IFS(_xlfn.SINGLE(Table1[imd_decile])&lt;=3,"Most Deprived",F336&lt;=7,"Moderately Deprived",F336&lt;=10,"Least Deprived")</f>
        <v>Most Deprived</v>
      </c>
      <c r="H336">
        <v>7.6</v>
      </c>
      <c r="I336" t="s">
        <v>30</v>
      </c>
      <c r="J336" t="s">
        <v>19</v>
      </c>
      <c r="K336" s="1">
        <v>45711</v>
      </c>
      <c r="L336" s="1">
        <v>45732</v>
      </c>
      <c r="M336" s="1" t="str">
        <f>TEXT(Table1[[#This Row],[appointment_date]],"MM/YYYY")</f>
        <v>03/2025</v>
      </c>
      <c r="N336">
        <v>21</v>
      </c>
      <c r="O336" t="str" cm="1">
        <f t="array" ref="O336">_xlfn.IFS(Table1[[#This Row],[lead_time_days]]&lt;=7,"0-7 days",N336&lt;=14,"8-14 days",N336&lt;=30,"15-30 days",N336&lt;=60,"31-60 days",TRUE,"61+ days")</f>
        <v>15-30 days</v>
      </c>
      <c r="P336" t="s">
        <v>31</v>
      </c>
      <c r="Q336" t="s">
        <v>32</v>
      </c>
      <c r="R336">
        <v>0</v>
      </c>
      <c r="S336" t="str">
        <f>IF(Table1[prior_dna_count]&gt;=1,"Has prior DNA history","No prior DNA history")</f>
        <v>No prior DNA history</v>
      </c>
      <c r="T336" t="s">
        <v>22</v>
      </c>
      <c r="U336" t="str">
        <f t="shared" si="5"/>
        <v>1</v>
      </c>
      <c r="V336" t="str">
        <f>IF(Table1[appointment_status]="Attended","1","0")</f>
        <v>1</v>
      </c>
      <c r="W336" t="str">
        <f>IF(Table1[appointment_status]="Cancelled","1","0")</f>
        <v>0</v>
      </c>
    </row>
    <row r="337" spans="1:23">
      <c r="A337" t="s">
        <v>686</v>
      </c>
      <c r="B337" t="s">
        <v>687</v>
      </c>
      <c r="C337">
        <v>1</v>
      </c>
      <c r="D337" t="str" cm="1">
        <f t="array" ref="D337">_xlfn.IFS(Table1[[#This Row],[age]]&lt;=17,"0-17",C337&lt;=29,"18-29",C337&lt;=44,"30-44",C337&lt;=59,"45-59",C337&lt;=74,"60-74",TRUE,"75+")</f>
        <v>0-17</v>
      </c>
      <c r="E337" t="s">
        <v>17</v>
      </c>
      <c r="F337">
        <v>4</v>
      </c>
      <c r="G337" t="str" cm="1">
        <f t="array" ref="G337">_xlfn.IFS(_xlfn.SINGLE(Table1[imd_decile])&lt;=3,"Most Deprived",F337&lt;=7,"Moderately Deprived",F337&lt;=10,"Least Deprived")</f>
        <v>Moderately Deprived</v>
      </c>
      <c r="H337">
        <v>5.7</v>
      </c>
      <c r="I337" t="s">
        <v>42</v>
      </c>
      <c r="J337" t="s">
        <v>26</v>
      </c>
      <c r="K337" s="1">
        <v>45718</v>
      </c>
      <c r="L337" s="1">
        <v>45732</v>
      </c>
      <c r="M337" s="1" t="str">
        <f>TEXT(Table1[[#This Row],[appointment_date]],"MM/YYYY")</f>
        <v>03/2025</v>
      </c>
      <c r="N337">
        <v>14</v>
      </c>
      <c r="O337" t="str" cm="1">
        <f t="array" ref="O337">_xlfn.IFS(Table1[[#This Row],[lead_time_days]]&lt;=7,"0-7 days",N337&lt;=14,"8-14 days",N337&lt;=30,"15-30 days",N337&lt;=60,"31-60 days",TRUE,"61+ days")</f>
        <v>8-14 days</v>
      </c>
      <c r="P337" t="s">
        <v>31</v>
      </c>
      <c r="Q337" t="s">
        <v>21</v>
      </c>
      <c r="R337">
        <v>0</v>
      </c>
      <c r="S337" t="str">
        <f>IF(Table1[prior_dna_count]&gt;=1,"Has prior DNA history","No prior DNA history")</f>
        <v>No prior DNA history</v>
      </c>
      <c r="T337" t="s">
        <v>22</v>
      </c>
      <c r="U337" t="str">
        <f t="shared" si="5"/>
        <v>1</v>
      </c>
      <c r="V337" t="str">
        <f>IF(Table1[appointment_status]="Attended","1","0")</f>
        <v>1</v>
      </c>
      <c r="W337" t="str">
        <f>IF(Table1[appointment_status]="Cancelled","1","0")</f>
        <v>0</v>
      </c>
    </row>
    <row r="338" spans="1:23">
      <c r="A338" t="s">
        <v>688</v>
      </c>
      <c r="B338" t="s">
        <v>689</v>
      </c>
      <c r="C338">
        <v>48</v>
      </c>
      <c r="D338" t="str" cm="1">
        <f t="array" ref="D338">_xlfn.IFS(Table1[[#This Row],[age]]&lt;=17,"0-17",C338&lt;=29,"18-29",C338&lt;=44,"30-44",C338&lt;=59,"45-59",C338&lt;=74,"60-74",TRUE,"75+")</f>
        <v>45-59</v>
      </c>
      <c r="E338" t="s">
        <v>17</v>
      </c>
      <c r="F338">
        <v>8</v>
      </c>
      <c r="G338" t="str" cm="1">
        <f t="array" ref="G338">_xlfn.IFS(_xlfn.SINGLE(Table1[imd_decile])&lt;=3,"Most Deprived",F338&lt;=7,"Moderately Deprived",F338&lt;=10,"Least Deprived")</f>
        <v>Least Deprived</v>
      </c>
      <c r="H338">
        <v>5.9</v>
      </c>
      <c r="I338" t="s">
        <v>42</v>
      </c>
      <c r="J338" t="s">
        <v>19</v>
      </c>
      <c r="K338" s="1">
        <v>45707</v>
      </c>
      <c r="L338" s="1">
        <v>45732</v>
      </c>
      <c r="M338" s="1" t="str">
        <f>TEXT(Table1[[#This Row],[appointment_date]],"MM/YYYY")</f>
        <v>03/2025</v>
      </c>
      <c r="N338">
        <v>25</v>
      </c>
      <c r="O338" t="str" cm="1">
        <f t="array" ref="O338">_xlfn.IFS(Table1[[#This Row],[lead_time_days]]&lt;=7,"0-7 days",N338&lt;=14,"8-14 days",N338&lt;=30,"15-30 days",N338&lt;=60,"31-60 days",TRUE,"61+ days")</f>
        <v>15-30 days</v>
      </c>
      <c r="P338" t="s">
        <v>31</v>
      </c>
      <c r="Q338" t="s">
        <v>32</v>
      </c>
      <c r="R338">
        <v>0</v>
      </c>
      <c r="S338" t="str">
        <f>IF(Table1[prior_dna_count]&gt;=1,"Has prior DNA history","No prior DNA history")</f>
        <v>No prior DNA history</v>
      </c>
      <c r="T338" t="s">
        <v>22</v>
      </c>
      <c r="U338" t="str">
        <f t="shared" si="5"/>
        <v>1</v>
      </c>
      <c r="V338" t="str">
        <f>IF(Table1[appointment_status]="Attended","1","0")</f>
        <v>1</v>
      </c>
      <c r="W338" t="str">
        <f>IF(Table1[appointment_status]="Cancelled","1","0")</f>
        <v>0</v>
      </c>
    </row>
    <row r="339" spans="1:23">
      <c r="A339" t="s">
        <v>690</v>
      </c>
      <c r="B339" t="s">
        <v>691</v>
      </c>
      <c r="C339">
        <v>24</v>
      </c>
      <c r="D339" t="str" cm="1">
        <f t="array" ref="D339">_xlfn.IFS(Table1[[#This Row],[age]]&lt;=17,"0-17",C339&lt;=29,"18-29",C339&lt;=44,"30-44",C339&lt;=59,"45-59",C339&lt;=74,"60-74",TRUE,"75+")</f>
        <v>18-29</v>
      </c>
      <c r="E339" t="s">
        <v>29</v>
      </c>
      <c r="F339">
        <v>1</v>
      </c>
      <c r="G339" t="str" cm="1">
        <f t="array" ref="G339">_xlfn.IFS(_xlfn.SINGLE(Table1[imd_decile])&lt;=3,"Most Deprived",F339&lt;=7,"Moderately Deprived",F339&lt;=10,"Least Deprived")</f>
        <v>Most Deprived</v>
      </c>
      <c r="H339">
        <v>1.5</v>
      </c>
      <c r="I339" t="s">
        <v>49</v>
      </c>
      <c r="J339" t="s">
        <v>19</v>
      </c>
      <c r="K339" s="1">
        <v>45712</v>
      </c>
      <c r="L339" s="1">
        <v>45732</v>
      </c>
      <c r="M339" s="1" t="str">
        <f>TEXT(Table1[[#This Row],[appointment_date]],"MM/YYYY")</f>
        <v>03/2025</v>
      </c>
      <c r="N339">
        <v>20</v>
      </c>
      <c r="O339" t="str" cm="1">
        <f t="array" ref="O339">_xlfn.IFS(Table1[[#This Row],[lead_time_days]]&lt;=7,"0-7 days",N339&lt;=14,"8-14 days",N339&lt;=30,"15-30 days",N339&lt;=60,"31-60 days",TRUE,"61+ days")</f>
        <v>15-30 days</v>
      </c>
      <c r="P339" t="s">
        <v>31</v>
      </c>
      <c r="Q339" t="s">
        <v>21</v>
      </c>
      <c r="R339">
        <v>0</v>
      </c>
      <c r="S339" t="str">
        <f>IF(Table1[prior_dna_count]&gt;=1,"Has prior DNA history","No prior DNA history")</f>
        <v>No prior DNA history</v>
      </c>
      <c r="T339" t="s">
        <v>39</v>
      </c>
      <c r="U339" t="str">
        <f t="shared" si="5"/>
        <v>1</v>
      </c>
      <c r="V339" t="str">
        <f>IF(Table1[appointment_status]="Attended","1","0")</f>
        <v>0</v>
      </c>
      <c r="W339" t="str">
        <f>IF(Table1[appointment_status]="Cancelled","1","0")</f>
        <v>0</v>
      </c>
    </row>
    <row r="340" spans="1:23">
      <c r="A340" t="s">
        <v>692</v>
      </c>
      <c r="B340" t="s">
        <v>693</v>
      </c>
      <c r="C340">
        <v>45</v>
      </c>
      <c r="D340" t="str" cm="1">
        <f t="array" ref="D340">_xlfn.IFS(Table1[[#This Row],[age]]&lt;=17,"0-17",C340&lt;=29,"18-29",C340&lt;=44,"30-44",C340&lt;=59,"45-59",C340&lt;=74,"60-74",TRUE,"75+")</f>
        <v>45-59</v>
      </c>
      <c r="E340" t="s">
        <v>29</v>
      </c>
      <c r="F340">
        <v>6</v>
      </c>
      <c r="G340" t="str" cm="1">
        <f t="array" ref="G340">_xlfn.IFS(_xlfn.SINGLE(Table1[imd_decile])&lt;=3,"Most Deprived",F340&lt;=7,"Moderately Deprived",F340&lt;=10,"Least Deprived")</f>
        <v>Moderately Deprived</v>
      </c>
      <c r="H340">
        <v>11.6</v>
      </c>
      <c r="I340" t="s">
        <v>91</v>
      </c>
      <c r="J340" t="s">
        <v>19</v>
      </c>
      <c r="K340" s="1">
        <v>45702</v>
      </c>
      <c r="L340" s="1">
        <v>45733</v>
      </c>
      <c r="M340" s="1" t="str">
        <f>TEXT(Table1[[#This Row],[appointment_date]],"MM/YYYY")</f>
        <v>03/2025</v>
      </c>
      <c r="N340">
        <v>31</v>
      </c>
      <c r="O340" t="str" cm="1">
        <f t="array" ref="O340">_xlfn.IFS(Table1[[#This Row],[lead_time_days]]&lt;=7,"0-7 days",N340&lt;=14,"8-14 days",N340&lt;=30,"15-30 days",N340&lt;=60,"31-60 days",TRUE,"61+ days")</f>
        <v>31-60 days</v>
      </c>
      <c r="P340" t="s">
        <v>35</v>
      </c>
      <c r="Q340" t="s">
        <v>32</v>
      </c>
      <c r="R340">
        <v>0</v>
      </c>
      <c r="S340" t="str">
        <f>IF(Table1[prior_dna_count]&gt;=1,"Has prior DNA history","No prior DNA history")</f>
        <v>No prior DNA history</v>
      </c>
      <c r="T340" t="s">
        <v>22</v>
      </c>
      <c r="U340" t="str">
        <f t="shared" si="5"/>
        <v>0</v>
      </c>
      <c r="V340" t="str">
        <f>IF(Table1[appointment_status]="Attended","1","0")</f>
        <v>1</v>
      </c>
      <c r="W340" t="str">
        <f>IF(Table1[appointment_status]="Cancelled","1","0")</f>
        <v>0</v>
      </c>
    </row>
    <row r="341" spans="1:23">
      <c r="A341" t="s">
        <v>694</v>
      </c>
      <c r="B341" t="s">
        <v>695</v>
      </c>
      <c r="C341">
        <v>41</v>
      </c>
      <c r="D341" t="str" cm="1">
        <f t="array" ref="D341">_xlfn.IFS(Table1[[#This Row],[age]]&lt;=17,"0-17",C341&lt;=29,"18-29",C341&lt;=44,"30-44",C341&lt;=59,"45-59",C341&lt;=74,"60-74",TRUE,"75+")</f>
        <v>30-44</v>
      </c>
      <c r="E341" t="s">
        <v>29</v>
      </c>
      <c r="F341">
        <v>10</v>
      </c>
      <c r="G341" t="str" cm="1">
        <f t="array" ref="G341">_xlfn.IFS(_xlfn.SINGLE(Table1[imd_decile])&lt;=3,"Most Deprived",F341&lt;=7,"Moderately Deprived",F341&lt;=10,"Least Deprived")</f>
        <v>Least Deprived</v>
      </c>
      <c r="H341">
        <v>6.2</v>
      </c>
      <c r="I341" t="s">
        <v>45</v>
      </c>
      <c r="J341" t="s">
        <v>19</v>
      </c>
      <c r="K341" s="1">
        <v>45728</v>
      </c>
      <c r="L341" s="1">
        <v>45733</v>
      </c>
      <c r="M341" s="1" t="str">
        <f>TEXT(Table1[[#This Row],[appointment_date]],"MM/YYYY")</f>
        <v>03/2025</v>
      </c>
      <c r="N341">
        <v>5</v>
      </c>
      <c r="O341" t="str" cm="1">
        <f t="array" ref="O341">_xlfn.IFS(Table1[[#This Row],[lead_time_days]]&lt;=7,"0-7 days",N341&lt;=14,"8-14 days",N341&lt;=30,"15-30 days",N341&lt;=60,"31-60 days",TRUE,"61+ days")</f>
        <v>0-7 days</v>
      </c>
      <c r="P341" t="s">
        <v>35</v>
      </c>
      <c r="Q341" t="s">
        <v>21</v>
      </c>
      <c r="R341">
        <v>0</v>
      </c>
      <c r="S341" t="str">
        <f>IF(Table1[prior_dna_count]&gt;=1,"Has prior DNA history","No prior DNA history")</f>
        <v>No prior DNA history</v>
      </c>
      <c r="T341" t="s">
        <v>22</v>
      </c>
      <c r="U341" t="str">
        <f t="shared" si="5"/>
        <v>1</v>
      </c>
      <c r="V341" t="str">
        <f>IF(Table1[appointment_status]="Attended","1","0")</f>
        <v>1</v>
      </c>
      <c r="W341" t="str">
        <f>IF(Table1[appointment_status]="Cancelled","1","0")</f>
        <v>0</v>
      </c>
    </row>
    <row r="342" spans="1:23">
      <c r="A342" t="s">
        <v>696</v>
      </c>
      <c r="B342" t="s">
        <v>472</v>
      </c>
      <c r="C342">
        <v>55</v>
      </c>
      <c r="D342" t="str" cm="1">
        <f t="array" ref="D342">_xlfn.IFS(Table1[[#This Row],[age]]&lt;=17,"0-17",C342&lt;=29,"18-29",C342&lt;=44,"30-44",C342&lt;=59,"45-59",C342&lt;=74,"60-74",TRUE,"75+")</f>
        <v>45-59</v>
      </c>
      <c r="E342" t="s">
        <v>29</v>
      </c>
      <c r="F342">
        <v>1</v>
      </c>
      <c r="G342" t="str" cm="1">
        <f t="array" ref="G342">_xlfn.IFS(_xlfn.SINGLE(Table1[imd_decile])&lt;=3,"Most Deprived",F342&lt;=7,"Moderately Deprived",F342&lt;=10,"Least Deprived")</f>
        <v>Most Deprived</v>
      </c>
      <c r="H342">
        <v>10.7</v>
      </c>
      <c r="I342" t="s">
        <v>38</v>
      </c>
      <c r="J342" t="s">
        <v>19</v>
      </c>
      <c r="K342" s="1">
        <v>45698</v>
      </c>
      <c r="L342" s="1">
        <v>45733</v>
      </c>
      <c r="M342" s="1" t="str">
        <f>TEXT(Table1[[#This Row],[appointment_date]],"MM/YYYY")</f>
        <v>03/2025</v>
      </c>
      <c r="N342">
        <v>35</v>
      </c>
      <c r="O342" t="str" cm="1">
        <f t="array" ref="O342">_xlfn.IFS(Table1[[#This Row],[lead_time_days]]&lt;=7,"0-7 days",N342&lt;=14,"8-14 days",N342&lt;=30,"15-30 days",N342&lt;=60,"31-60 days",TRUE,"61+ days")</f>
        <v>31-60 days</v>
      </c>
      <c r="P342" t="s">
        <v>35</v>
      </c>
      <c r="Q342" t="s">
        <v>21</v>
      </c>
      <c r="R342">
        <v>0</v>
      </c>
      <c r="S342" t="str">
        <f>IF(Table1[prior_dna_count]&gt;=1,"Has prior DNA history","No prior DNA history")</f>
        <v>No prior DNA history</v>
      </c>
      <c r="T342" t="s">
        <v>39</v>
      </c>
      <c r="U342" t="str">
        <f t="shared" si="5"/>
        <v>1</v>
      </c>
      <c r="V342" t="str">
        <f>IF(Table1[appointment_status]="Attended","1","0")</f>
        <v>0</v>
      </c>
      <c r="W342" t="str">
        <f>IF(Table1[appointment_status]="Cancelled","1","0")</f>
        <v>0</v>
      </c>
    </row>
    <row r="343" spans="1:23">
      <c r="A343" t="s">
        <v>697</v>
      </c>
      <c r="B343" t="s">
        <v>698</v>
      </c>
      <c r="C343">
        <v>57</v>
      </c>
      <c r="D343" t="str" cm="1">
        <f t="array" ref="D343">_xlfn.IFS(Table1[[#This Row],[age]]&lt;=17,"0-17",C343&lt;=29,"18-29",C343&lt;=44,"30-44",C343&lt;=59,"45-59",C343&lt;=74,"60-74",TRUE,"75+")</f>
        <v>45-59</v>
      </c>
      <c r="E343" t="s">
        <v>29</v>
      </c>
      <c r="F343">
        <v>6</v>
      </c>
      <c r="G343" t="str" cm="1">
        <f t="array" ref="G343">_xlfn.IFS(_xlfn.SINGLE(Table1[imd_decile])&lt;=3,"Most Deprived",F343&lt;=7,"Moderately Deprived",F343&lt;=10,"Least Deprived")</f>
        <v>Moderately Deprived</v>
      </c>
      <c r="H343">
        <v>4.8</v>
      </c>
      <c r="I343" t="s">
        <v>155</v>
      </c>
      <c r="J343" t="s">
        <v>19</v>
      </c>
      <c r="K343" s="1">
        <v>45676</v>
      </c>
      <c r="L343" s="1">
        <v>45733</v>
      </c>
      <c r="M343" s="1" t="str">
        <f>TEXT(Table1[[#This Row],[appointment_date]],"MM/YYYY")</f>
        <v>03/2025</v>
      </c>
      <c r="N343">
        <v>57</v>
      </c>
      <c r="O343" t="str" cm="1">
        <f t="array" ref="O343">_xlfn.IFS(Table1[[#This Row],[lead_time_days]]&lt;=7,"0-7 days",N343&lt;=14,"8-14 days",N343&lt;=30,"15-30 days",N343&lt;=60,"31-60 days",TRUE,"61+ days")</f>
        <v>31-60 days</v>
      </c>
      <c r="P343" t="s">
        <v>35</v>
      </c>
      <c r="Q343" t="s">
        <v>32</v>
      </c>
      <c r="R343">
        <v>0</v>
      </c>
      <c r="S343" t="str">
        <f>IF(Table1[prior_dna_count]&gt;=1,"Has prior DNA history","No prior DNA history")</f>
        <v>No prior DNA history</v>
      </c>
      <c r="T343" t="s">
        <v>22</v>
      </c>
      <c r="U343" t="str">
        <f t="shared" si="5"/>
        <v>0</v>
      </c>
      <c r="V343" t="str">
        <f>IF(Table1[appointment_status]="Attended","1","0")</f>
        <v>1</v>
      </c>
      <c r="W343" t="str">
        <f>IF(Table1[appointment_status]="Cancelled","1","0")</f>
        <v>0</v>
      </c>
    </row>
    <row r="344" spans="1:23">
      <c r="A344" t="s">
        <v>699</v>
      </c>
      <c r="B344" t="s">
        <v>700</v>
      </c>
      <c r="C344">
        <v>57</v>
      </c>
      <c r="D344" t="str" cm="1">
        <f t="array" ref="D344">_xlfn.IFS(Table1[[#This Row],[age]]&lt;=17,"0-17",C344&lt;=29,"18-29",C344&lt;=44,"30-44",C344&lt;=59,"45-59",C344&lt;=74,"60-74",TRUE,"75+")</f>
        <v>45-59</v>
      </c>
      <c r="E344" t="s">
        <v>17</v>
      </c>
      <c r="F344">
        <v>9</v>
      </c>
      <c r="G344" t="str" cm="1">
        <f t="array" ref="G344">_xlfn.IFS(_xlfn.SINGLE(Table1[imd_decile])&lt;=3,"Most Deprived",F344&lt;=7,"Moderately Deprived",F344&lt;=10,"Least Deprived")</f>
        <v>Least Deprived</v>
      </c>
      <c r="H344">
        <v>11.1</v>
      </c>
      <c r="I344" t="s">
        <v>25</v>
      </c>
      <c r="J344" t="s">
        <v>19</v>
      </c>
      <c r="K344" s="1">
        <v>45683</v>
      </c>
      <c r="L344" s="1">
        <v>45733</v>
      </c>
      <c r="M344" s="1" t="str">
        <f>TEXT(Table1[[#This Row],[appointment_date]],"MM/YYYY")</f>
        <v>03/2025</v>
      </c>
      <c r="N344">
        <v>50</v>
      </c>
      <c r="O344" t="str" cm="1">
        <f t="array" ref="O344">_xlfn.IFS(Table1[[#This Row],[lead_time_days]]&lt;=7,"0-7 days",N344&lt;=14,"8-14 days",N344&lt;=30,"15-30 days",N344&lt;=60,"31-60 days",TRUE,"61+ days")</f>
        <v>31-60 days</v>
      </c>
      <c r="P344" t="s">
        <v>35</v>
      </c>
      <c r="Q344" t="s">
        <v>21</v>
      </c>
      <c r="R344">
        <v>1</v>
      </c>
      <c r="S344" t="str">
        <f>IF(Table1[prior_dna_count]&gt;=1,"Has prior DNA history","No prior DNA history")</f>
        <v>Has prior DNA history</v>
      </c>
      <c r="T344" t="s">
        <v>46</v>
      </c>
      <c r="U344" t="str">
        <f t="shared" si="5"/>
        <v>1</v>
      </c>
      <c r="V344" t="str">
        <f>IF(Table1[appointment_status]="Attended","1","0")</f>
        <v>0</v>
      </c>
      <c r="W344" t="str">
        <f>IF(Table1[appointment_status]="Cancelled","1","0")</f>
        <v>1</v>
      </c>
    </row>
    <row r="345" spans="1:23">
      <c r="A345" t="s">
        <v>701</v>
      </c>
      <c r="B345" t="s">
        <v>702</v>
      </c>
      <c r="C345">
        <v>65</v>
      </c>
      <c r="D345" t="str" cm="1">
        <f t="array" ref="D345">_xlfn.IFS(Table1[[#This Row],[age]]&lt;=17,"0-17",C345&lt;=29,"18-29",C345&lt;=44,"30-44",C345&lt;=59,"45-59",C345&lt;=74,"60-74",TRUE,"75+")</f>
        <v>60-74</v>
      </c>
      <c r="E345" t="s">
        <v>29</v>
      </c>
      <c r="F345">
        <v>2</v>
      </c>
      <c r="G345" t="str" cm="1">
        <f t="array" ref="G345">_xlfn.IFS(_xlfn.SINGLE(Table1[imd_decile])&lt;=3,"Most Deprived",F345&lt;=7,"Moderately Deprived",F345&lt;=10,"Least Deprived")</f>
        <v>Most Deprived</v>
      </c>
      <c r="H345">
        <v>18.8</v>
      </c>
      <c r="I345" t="s">
        <v>49</v>
      </c>
      <c r="J345" t="s">
        <v>26</v>
      </c>
      <c r="K345" s="1">
        <v>45717</v>
      </c>
      <c r="L345" s="1">
        <v>45733</v>
      </c>
      <c r="M345" s="1" t="str">
        <f>TEXT(Table1[[#This Row],[appointment_date]],"MM/YYYY")</f>
        <v>03/2025</v>
      </c>
      <c r="N345">
        <v>16</v>
      </c>
      <c r="O345" t="str" cm="1">
        <f t="array" ref="O345">_xlfn.IFS(Table1[[#This Row],[lead_time_days]]&lt;=7,"0-7 days",N345&lt;=14,"8-14 days",N345&lt;=30,"15-30 days",N345&lt;=60,"31-60 days",TRUE,"61+ days")</f>
        <v>15-30 days</v>
      </c>
      <c r="P345" t="s">
        <v>35</v>
      </c>
      <c r="Q345" t="s">
        <v>32</v>
      </c>
      <c r="R345">
        <v>0</v>
      </c>
      <c r="S345" t="str">
        <f>IF(Table1[prior_dna_count]&gt;=1,"Has prior DNA history","No prior DNA history")</f>
        <v>No prior DNA history</v>
      </c>
      <c r="T345" t="s">
        <v>22</v>
      </c>
      <c r="U345" t="str">
        <f t="shared" si="5"/>
        <v>0</v>
      </c>
      <c r="V345" t="str">
        <f>IF(Table1[appointment_status]="Attended","1","0")</f>
        <v>1</v>
      </c>
      <c r="W345" t="str">
        <f>IF(Table1[appointment_status]="Cancelled","1","0")</f>
        <v>0</v>
      </c>
    </row>
    <row r="346" spans="1:23">
      <c r="A346" t="s">
        <v>703</v>
      </c>
      <c r="B346" t="s">
        <v>704</v>
      </c>
      <c r="C346">
        <v>40</v>
      </c>
      <c r="D346" t="str" cm="1">
        <f t="array" ref="D346">_xlfn.IFS(Table1[[#This Row],[age]]&lt;=17,"0-17",C346&lt;=29,"18-29",C346&lt;=44,"30-44",C346&lt;=59,"45-59",C346&lt;=74,"60-74",TRUE,"75+")</f>
        <v>30-44</v>
      </c>
      <c r="E346" t="s">
        <v>29</v>
      </c>
      <c r="F346">
        <v>3</v>
      </c>
      <c r="G346" t="str" cm="1">
        <f t="array" ref="G346">_xlfn.IFS(_xlfn.SINGLE(Table1[imd_decile])&lt;=3,"Most Deprived",F346&lt;=7,"Moderately Deprived",F346&lt;=10,"Least Deprived")</f>
        <v>Most Deprived</v>
      </c>
      <c r="H346">
        <v>9.3000000000000007</v>
      </c>
      <c r="I346" t="s">
        <v>38</v>
      </c>
      <c r="J346" t="s">
        <v>19</v>
      </c>
      <c r="K346" s="1">
        <v>45717</v>
      </c>
      <c r="L346" s="1">
        <v>45733</v>
      </c>
      <c r="M346" s="1" t="str">
        <f>TEXT(Table1[[#This Row],[appointment_date]],"MM/YYYY")</f>
        <v>03/2025</v>
      </c>
      <c r="N346">
        <v>16</v>
      </c>
      <c r="O346" t="str" cm="1">
        <f t="array" ref="O346">_xlfn.IFS(Table1[[#This Row],[lead_time_days]]&lt;=7,"0-7 days",N346&lt;=14,"8-14 days",N346&lt;=30,"15-30 days",N346&lt;=60,"31-60 days",TRUE,"61+ days")</f>
        <v>15-30 days</v>
      </c>
      <c r="P346" t="s">
        <v>35</v>
      </c>
      <c r="Q346" t="s">
        <v>32</v>
      </c>
      <c r="R346">
        <v>0</v>
      </c>
      <c r="S346" t="str">
        <f>IF(Table1[prior_dna_count]&gt;=1,"Has prior DNA history","No prior DNA history")</f>
        <v>No prior DNA history</v>
      </c>
      <c r="T346" t="s">
        <v>22</v>
      </c>
      <c r="U346" t="str">
        <f t="shared" si="5"/>
        <v>1</v>
      </c>
      <c r="V346" t="str">
        <f>IF(Table1[appointment_status]="Attended","1","0")</f>
        <v>1</v>
      </c>
      <c r="W346" t="str">
        <f>IF(Table1[appointment_status]="Cancelled","1","0")</f>
        <v>0</v>
      </c>
    </row>
    <row r="347" spans="1:23">
      <c r="A347" t="s">
        <v>705</v>
      </c>
      <c r="B347" t="s">
        <v>706</v>
      </c>
      <c r="C347">
        <v>95</v>
      </c>
      <c r="D347" t="str" cm="1">
        <f t="array" ref="D347">_xlfn.IFS(Table1[[#This Row],[age]]&lt;=17,"0-17",C347&lt;=29,"18-29",C347&lt;=44,"30-44",C347&lt;=59,"45-59",C347&lt;=74,"60-74",TRUE,"75+")</f>
        <v>75+</v>
      </c>
      <c r="E347" t="s">
        <v>29</v>
      </c>
      <c r="F347">
        <v>3</v>
      </c>
      <c r="G347" t="str" cm="1">
        <f t="array" ref="G347">_xlfn.IFS(_xlfn.SINGLE(Table1[imd_decile])&lt;=3,"Most Deprived",F347&lt;=7,"Moderately Deprived",F347&lt;=10,"Least Deprived")</f>
        <v>Most Deprived</v>
      </c>
      <c r="H347">
        <v>10.7</v>
      </c>
      <c r="I347" t="s">
        <v>25</v>
      </c>
      <c r="J347" t="s">
        <v>19</v>
      </c>
      <c r="K347" s="1">
        <v>45686</v>
      </c>
      <c r="L347" s="1">
        <v>45733</v>
      </c>
      <c r="M347" s="1" t="str">
        <f>TEXT(Table1[[#This Row],[appointment_date]],"MM/YYYY")</f>
        <v>03/2025</v>
      </c>
      <c r="N347">
        <v>47</v>
      </c>
      <c r="O347" t="str" cm="1">
        <f t="array" ref="O347">_xlfn.IFS(Table1[[#This Row],[lead_time_days]]&lt;=7,"0-7 days",N347&lt;=14,"8-14 days",N347&lt;=30,"15-30 days",N347&lt;=60,"31-60 days",TRUE,"61+ days")</f>
        <v>31-60 days</v>
      </c>
      <c r="P347" t="s">
        <v>35</v>
      </c>
      <c r="Q347" t="s">
        <v>32</v>
      </c>
      <c r="R347">
        <v>0</v>
      </c>
      <c r="S347" t="str">
        <f>IF(Table1[prior_dna_count]&gt;=1,"Has prior DNA history","No prior DNA history")</f>
        <v>No prior DNA history</v>
      </c>
      <c r="T347" t="s">
        <v>39</v>
      </c>
      <c r="U347" t="str">
        <f t="shared" si="5"/>
        <v>1</v>
      </c>
      <c r="V347" t="str">
        <f>IF(Table1[appointment_status]="Attended","1","0")</f>
        <v>0</v>
      </c>
      <c r="W347" t="str">
        <f>IF(Table1[appointment_status]="Cancelled","1","0")</f>
        <v>0</v>
      </c>
    </row>
    <row r="348" spans="1:23">
      <c r="A348" t="s">
        <v>707</v>
      </c>
      <c r="B348" t="s">
        <v>708</v>
      </c>
      <c r="C348">
        <v>46</v>
      </c>
      <c r="D348" t="str" cm="1">
        <f t="array" ref="D348">_xlfn.IFS(Table1[[#This Row],[age]]&lt;=17,"0-17",C348&lt;=29,"18-29",C348&lt;=44,"30-44",C348&lt;=59,"45-59",C348&lt;=74,"60-74",TRUE,"75+")</f>
        <v>45-59</v>
      </c>
      <c r="E348" t="s">
        <v>17</v>
      </c>
      <c r="F348">
        <v>3</v>
      </c>
      <c r="G348" t="str" cm="1">
        <f t="array" ref="G348">_xlfn.IFS(_xlfn.SINGLE(Table1[imd_decile])&lt;=3,"Most Deprived",F348&lt;=7,"Moderately Deprived",F348&lt;=10,"Least Deprived")</f>
        <v>Most Deprived</v>
      </c>
      <c r="H348">
        <v>3.9</v>
      </c>
      <c r="I348" t="s">
        <v>45</v>
      </c>
      <c r="J348" t="s">
        <v>19</v>
      </c>
      <c r="K348" s="1">
        <v>45663</v>
      </c>
      <c r="L348" s="1">
        <v>45733</v>
      </c>
      <c r="M348" s="1" t="str">
        <f>TEXT(Table1[[#This Row],[appointment_date]],"MM/YYYY")</f>
        <v>03/2025</v>
      </c>
      <c r="N348">
        <v>70</v>
      </c>
      <c r="O348" t="str" cm="1">
        <f t="array" ref="O348">_xlfn.IFS(Table1[[#This Row],[lead_time_days]]&lt;=7,"0-7 days",N348&lt;=14,"8-14 days",N348&lt;=30,"15-30 days",N348&lt;=60,"31-60 days",TRUE,"61+ days")</f>
        <v>61+ days</v>
      </c>
      <c r="P348" t="s">
        <v>35</v>
      </c>
      <c r="Q348" t="s">
        <v>21</v>
      </c>
      <c r="R348">
        <v>0</v>
      </c>
      <c r="S348" t="str">
        <f>IF(Table1[prior_dna_count]&gt;=1,"Has prior DNA history","No prior DNA history")</f>
        <v>No prior DNA history</v>
      </c>
      <c r="T348" t="s">
        <v>22</v>
      </c>
      <c r="U348" t="str">
        <f t="shared" si="5"/>
        <v>0</v>
      </c>
      <c r="V348" t="str">
        <f>IF(Table1[appointment_status]="Attended","1","0")</f>
        <v>1</v>
      </c>
      <c r="W348" t="str">
        <f>IF(Table1[appointment_status]="Cancelled","1","0")</f>
        <v>0</v>
      </c>
    </row>
    <row r="349" spans="1:23">
      <c r="A349" t="s">
        <v>709</v>
      </c>
      <c r="B349" t="s">
        <v>710</v>
      </c>
      <c r="C349">
        <v>38</v>
      </c>
      <c r="D349" t="str" cm="1">
        <f t="array" ref="D349">_xlfn.IFS(Table1[[#This Row],[age]]&lt;=17,"0-17",C349&lt;=29,"18-29",C349&lt;=44,"30-44",C349&lt;=59,"45-59",C349&lt;=74,"60-74",TRUE,"75+")</f>
        <v>30-44</v>
      </c>
      <c r="E349" t="s">
        <v>29</v>
      </c>
      <c r="F349">
        <v>4</v>
      </c>
      <c r="G349" t="str" cm="1">
        <f t="array" ref="G349">_xlfn.IFS(_xlfn.SINGLE(Table1[imd_decile])&lt;=3,"Most Deprived",F349&lt;=7,"Moderately Deprived",F349&lt;=10,"Least Deprived")</f>
        <v>Moderately Deprived</v>
      </c>
      <c r="H349">
        <v>8</v>
      </c>
      <c r="I349" t="s">
        <v>25</v>
      </c>
      <c r="J349" t="s">
        <v>26</v>
      </c>
      <c r="K349" s="1">
        <v>45719</v>
      </c>
      <c r="L349" s="1">
        <v>45733</v>
      </c>
      <c r="M349" s="1" t="str">
        <f>TEXT(Table1[[#This Row],[appointment_date]],"MM/YYYY")</f>
        <v>03/2025</v>
      </c>
      <c r="N349">
        <v>14</v>
      </c>
      <c r="O349" t="str" cm="1">
        <f t="array" ref="O349">_xlfn.IFS(Table1[[#This Row],[lead_time_days]]&lt;=7,"0-7 days",N349&lt;=14,"8-14 days",N349&lt;=30,"15-30 days",N349&lt;=60,"31-60 days",TRUE,"61+ days")</f>
        <v>8-14 days</v>
      </c>
      <c r="P349" t="s">
        <v>35</v>
      </c>
      <c r="Q349" t="s">
        <v>21</v>
      </c>
      <c r="R349">
        <v>0</v>
      </c>
      <c r="S349" t="str">
        <f>IF(Table1[prior_dna_count]&gt;=1,"Has prior DNA history","No prior DNA history")</f>
        <v>No prior DNA history</v>
      </c>
      <c r="T349" t="s">
        <v>22</v>
      </c>
      <c r="U349" t="str">
        <f t="shared" si="5"/>
        <v>1</v>
      </c>
      <c r="V349" t="str">
        <f>IF(Table1[appointment_status]="Attended","1","0")</f>
        <v>1</v>
      </c>
      <c r="W349" t="str">
        <f>IF(Table1[appointment_status]="Cancelled","1","0")</f>
        <v>0</v>
      </c>
    </row>
    <row r="350" spans="1:23">
      <c r="A350" t="s">
        <v>711</v>
      </c>
      <c r="B350" t="s">
        <v>712</v>
      </c>
      <c r="C350">
        <v>24</v>
      </c>
      <c r="D350" t="str" cm="1">
        <f t="array" ref="D350">_xlfn.IFS(Table1[[#This Row],[age]]&lt;=17,"0-17",C350&lt;=29,"18-29",C350&lt;=44,"30-44",C350&lt;=59,"45-59",C350&lt;=74,"60-74",TRUE,"75+")</f>
        <v>18-29</v>
      </c>
      <c r="E350" t="s">
        <v>17</v>
      </c>
      <c r="F350">
        <v>2</v>
      </c>
      <c r="G350" t="str" cm="1">
        <f t="array" ref="G350">_xlfn.IFS(_xlfn.SINGLE(Table1[imd_decile])&lt;=3,"Most Deprived",F350&lt;=7,"Moderately Deprived",F350&lt;=10,"Least Deprived")</f>
        <v>Most Deprived</v>
      </c>
      <c r="H350">
        <v>6.3</v>
      </c>
      <c r="I350" t="s">
        <v>155</v>
      </c>
      <c r="J350" t="s">
        <v>26</v>
      </c>
      <c r="K350" s="1">
        <v>45726</v>
      </c>
      <c r="L350" s="1">
        <v>45733</v>
      </c>
      <c r="M350" s="1" t="str">
        <f>TEXT(Table1[[#This Row],[appointment_date]],"MM/YYYY")</f>
        <v>03/2025</v>
      </c>
      <c r="N350">
        <v>7</v>
      </c>
      <c r="O350" t="str" cm="1">
        <f t="array" ref="O350">_xlfn.IFS(Table1[[#This Row],[lead_time_days]]&lt;=7,"0-7 days",N350&lt;=14,"8-14 days",N350&lt;=30,"15-30 days",N350&lt;=60,"31-60 days",TRUE,"61+ days")</f>
        <v>0-7 days</v>
      </c>
      <c r="P350" t="s">
        <v>35</v>
      </c>
      <c r="Q350" t="s">
        <v>21</v>
      </c>
      <c r="R350">
        <v>0</v>
      </c>
      <c r="S350" t="str">
        <f>IF(Table1[prior_dna_count]&gt;=1,"Has prior DNA history","No prior DNA history")</f>
        <v>No prior DNA history</v>
      </c>
      <c r="T350" t="s">
        <v>22</v>
      </c>
      <c r="U350" t="str">
        <f t="shared" si="5"/>
        <v>1</v>
      </c>
      <c r="V350" t="str">
        <f>IF(Table1[appointment_status]="Attended","1","0")</f>
        <v>1</v>
      </c>
      <c r="W350" t="str">
        <f>IF(Table1[appointment_status]="Cancelled","1","0")</f>
        <v>0</v>
      </c>
    </row>
    <row r="351" spans="1:23">
      <c r="A351" t="s">
        <v>713</v>
      </c>
      <c r="B351" t="s">
        <v>714</v>
      </c>
      <c r="C351">
        <v>54</v>
      </c>
      <c r="D351" t="str" cm="1">
        <f t="array" ref="D351">_xlfn.IFS(Table1[[#This Row],[age]]&lt;=17,"0-17",C351&lt;=29,"18-29",C351&lt;=44,"30-44",C351&lt;=59,"45-59",C351&lt;=74,"60-74",TRUE,"75+")</f>
        <v>45-59</v>
      </c>
      <c r="E351" t="s">
        <v>17</v>
      </c>
      <c r="F351">
        <v>2</v>
      </c>
      <c r="G351" t="str" cm="1">
        <f t="array" ref="G351">_xlfn.IFS(_xlfn.SINGLE(Table1[imd_decile])&lt;=3,"Most Deprived",F351&lt;=7,"Moderately Deprived",F351&lt;=10,"Least Deprived")</f>
        <v>Most Deprived</v>
      </c>
      <c r="H351">
        <v>6.3</v>
      </c>
      <c r="I351" t="s">
        <v>58</v>
      </c>
      <c r="J351" t="s">
        <v>19</v>
      </c>
      <c r="K351" s="1">
        <v>45707</v>
      </c>
      <c r="L351" s="1">
        <v>45733</v>
      </c>
      <c r="M351" s="1" t="str">
        <f>TEXT(Table1[[#This Row],[appointment_date]],"MM/YYYY")</f>
        <v>03/2025</v>
      </c>
      <c r="N351">
        <v>26</v>
      </c>
      <c r="O351" t="str" cm="1">
        <f t="array" ref="O351">_xlfn.IFS(Table1[[#This Row],[lead_time_days]]&lt;=7,"0-7 days",N351&lt;=14,"8-14 days",N351&lt;=30,"15-30 days",N351&lt;=60,"31-60 days",TRUE,"61+ days")</f>
        <v>15-30 days</v>
      </c>
      <c r="P351" t="s">
        <v>35</v>
      </c>
      <c r="Q351" t="s">
        <v>21</v>
      </c>
      <c r="R351">
        <v>0</v>
      </c>
      <c r="S351" t="str">
        <f>IF(Table1[prior_dna_count]&gt;=1,"Has prior DNA history","No prior DNA history")</f>
        <v>No prior DNA history</v>
      </c>
      <c r="T351" t="s">
        <v>22</v>
      </c>
      <c r="U351" t="str">
        <f t="shared" si="5"/>
        <v>1</v>
      </c>
      <c r="V351" t="str">
        <f>IF(Table1[appointment_status]="Attended","1","0")</f>
        <v>1</v>
      </c>
      <c r="W351" t="str">
        <f>IF(Table1[appointment_status]="Cancelled","1","0")</f>
        <v>0</v>
      </c>
    </row>
    <row r="352" spans="1:23">
      <c r="A352" t="s">
        <v>715</v>
      </c>
      <c r="B352" t="s">
        <v>716</v>
      </c>
      <c r="C352">
        <v>31</v>
      </c>
      <c r="D352" t="str" cm="1">
        <f t="array" ref="D352">_xlfn.IFS(Table1[[#This Row],[age]]&lt;=17,"0-17",C352&lt;=29,"18-29",C352&lt;=44,"30-44",C352&lt;=59,"45-59",C352&lt;=74,"60-74",TRUE,"75+")</f>
        <v>30-44</v>
      </c>
      <c r="E352" t="s">
        <v>29</v>
      </c>
      <c r="F352">
        <v>4</v>
      </c>
      <c r="G352" t="str" cm="1">
        <f t="array" ref="G352">_xlfn.IFS(_xlfn.SINGLE(Table1[imd_decile])&lt;=3,"Most Deprived",F352&lt;=7,"Moderately Deprived",F352&lt;=10,"Least Deprived")</f>
        <v>Moderately Deprived</v>
      </c>
      <c r="H352">
        <v>12.5</v>
      </c>
      <c r="I352" t="s">
        <v>49</v>
      </c>
      <c r="J352" t="s">
        <v>19</v>
      </c>
      <c r="K352" s="1">
        <v>45664</v>
      </c>
      <c r="L352" s="1">
        <v>45733</v>
      </c>
      <c r="M352" s="1" t="str">
        <f>TEXT(Table1[[#This Row],[appointment_date]],"MM/YYYY")</f>
        <v>03/2025</v>
      </c>
      <c r="N352">
        <v>69</v>
      </c>
      <c r="O352" t="str" cm="1">
        <f t="array" ref="O352">_xlfn.IFS(Table1[[#This Row],[lead_time_days]]&lt;=7,"0-7 days",N352&lt;=14,"8-14 days",N352&lt;=30,"15-30 days",N352&lt;=60,"31-60 days",TRUE,"61+ days")</f>
        <v>61+ days</v>
      </c>
      <c r="P352" t="s">
        <v>35</v>
      </c>
      <c r="Q352" t="s">
        <v>21</v>
      </c>
      <c r="R352">
        <v>0</v>
      </c>
      <c r="S352" t="str">
        <f>IF(Table1[prior_dna_count]&gt;=1,"Has prior DNA history","No prior DNA history")</f>
        <v>No prior DNA history</v>
      </c>
      <c r="T352" t="s">
        <v>22</v>
      </c>
      <c r="U352" t="str">
        <f t="shared" si="5"/>
        <v>1</v>
      </c>
      <c r="V352" t="str">
        <f>IF(Table1[appointment_status]="Attended","1","0")</f>
        <v>1</v>
      </c>
      <c r="W352" t="str">
        <f>IF(Table1[appointment_status]="Cancelled","1","0")</f>
        <v>0</v>
      </c>
    </row>
    <row r="353" spans="1:23">
      <c r="A353" t="s">
        <v>717</v>
      </c>
      <c r="B353" t="s">
        <v>391</v>
      </c>
      <c r="C353">
        <v>8</v>
      </c>
      <c r="D353" t="str" cm="1">
        <f t="array" ref="D353">_xlfn.IFS(Table1[[#This Row],[age]]&lt;=17,"0-17",C353&lt;=29,"18-29",C353&lt;=44,"30-44",C353&lt;=59,"45-59",C353&lt;=74,"60-74",TRUE,"75+")</f>
        <v>0-17</v>
      </c>
      <c r="E353" t="s">
        <v>29</v>
      </c>
      <c r="F353">
        <v>1</v>
      </c>
      <c r="G353" t="str" cm="1">
        <f t="array" ref="G353">_xlfn.IFS(_xlfn.SINGLE(Table1[imd_decile])&lt;=3,"Most Deprived",F353&lt;=7,"Moderately Deprived",F353&lt;=10,"Least Deprived")</f>
        <v>Most Deprived</v>
      </c>
      <c r="H353">
        <v>9.8000000000000007</v>
      </c>
      <c r="I353" t="s">
        <v>18</v>
      </c>
      <c r="J353" t="s">
        <v>19</v>
      </c>
      <c r="K353" s="1">
        <v>45724</v>
      </c>
      <c r="L353" s="1">
        <v>45734</v>
      </c>
      <c r="M353" s="1" t="str">
        <f>TEXT(Table1[[#This Row],[appointment_date]],"MM/YYYY")</f>
        <v>03/2025</v>
      </c>
      <c r="N353">
        <v>10</v>
      </c>
      <c r="O353" t="str" cm="1">
        <f t="array" ref="O353">_xlfn.IFS(Table1[[#This Row],[lead_time_days]]&lt;=7,"0-7 days",N353&lt;=14,"8-14 days",N353&lt;=30,"15-30 days",N353&lt;=60,"31-60 days",TRUE,"61+ days")</f>
        <v>8-14 days</v>
      </c>
      <c r="P353" t="s">
        <v>71</v>
      </c>
      <c r="Q353" t="s">
        <v>21</v>
      </c>
      <c r="R353">
        <v>1</v>
      </c>
      <c r="S353" t="str">
        <f>IF(Table1[prior_dna_count]&gt;=1,"Has prior DNA history","No prior DNA history")</f>
        <v>Has prior DNA history</v>
      </c>
      <c r="T353" t="s">
        <v>22</v>
      </c>
      <c r="U353" t="str">
        <f t="shared" si="5"/>
        <v>1</v>
      </c>
      <c r="V353" t="str">
        <f>IF(Table1[appointment_status]="Attended","1","0")</f>
        <v>1</v>
      </c>
      <c r="W353" t="str">
        <f>IF(Table1[appointment_status]="Cancelled","1","0")</f>
        <v>0</v>
      </c>
    </row>
    <row r="354" spans="1:23">
      <c r="A354" t="s">
        <v>718</v>
      </c>
      <c r="B354" t="s">
        <v>719</v>
      </c>
      <c r="C354">
        <v>37</v>
      </c>
      <c r="D354" t="str" cm="1">
        <f t="array" ref="D354">_xlfn.IFS(Table1[[#This Row],[age]]&lt;=17,"0-17",C354&lt;=29,"18-29",C354&lt;=44,"30-44",C354&lt;=59,"45-59",C354&lt;=74,"60-74",TRUE,"75+")</f>
        <v>30-44</v>
      </c>
      <c r="E354" t="s">
        <v>17</v>
      </c>
      <c r="F354">
        <v>2</v>
      </c>
      <c r="G354" t="str" cm="1">
        <f t="array" ref="G354">_xlfn.IFS(_xlfn.SINGLE(Table1[imd_decile])&lt;=3,"Most Deprived",F354&lt;=7,"Moderately Deprived",F354&lt;=10,"Least Deprived")</f>
        <v>Most Deprived</v>
      </c>
      <c r="H354">
        <v>17.7</v>
      </c>
      <c r="I354" t="s">
        <v>38</v>
      </c>
      <c r="J354" t="s">
        <v>19</v>
      </c>
      <c r="K354" s="1">
        <v>45723</v>
      </c>
      <c r="L354" s="1">
        <v>45734</v>
      </c>
      <c r="M354" s="1" t="str">
        <f>TEXT(Table1[[#This Row],[appointment_date]],"MM/YYYY")</f>
        <v>03/2025</v>
      </c>
      <c r="N354">
        <v>11</v>
      </c>
      <c r="O354" t="str" cm="1">
        <f t="array" ref="O354">_xlfn.IFS(Table1[[#This Row],[lead_time_days]]&lt;=7,"0-7 days",N354&lt;=14,"8-14 days",N354&lt;=30,"15-30 days",N354&lt;=60,"31-60 days",TRUE,"61+ days")</f>
        <v>8-14 days</v>
      </c>
      <c r="P354" t="s">
        <v>71</v>
      </c>
      <c r="Q354" t="s">
        <v>21</v>
      </c>
      <c r="R354">
        <v>0</v>
      </c>
      <c r="S354" t="str">
        <f>IF(Table1[prior_dna_count]&gt;=1,"Has prior DNA history","No prior DNA history")</f>
        <v>No prior DNA history</v>
      </c>
      <c r="T354" t="s">
        <v>39</v>
      </c>
      <c r="U354" t="str">
        <f t="shared" si="5"/>
        <v>1</v>
      </c>
      <c r="V354" t="str">
        <f>IF(Table1[appointment_status]="Attended","1","0")</f>
        <v>0</v>
      </c>
      <c r="W354" t="str">
        <f>IF(Table1[appointment_status]="Cancelled","1","0")</f>
        <v>0</v>
      </c>
    </row>
    <row r="355" spans="1:23">
      <c r="A355" t="s">
        <v>720</v>
      </c>
      <c r="B355" t="s">
        <v>540</v>
      </c>
      <c r="C355">
        <v>41</v>
      </c>
      <c r="D355" t="str" cm="1">
        <f t="array" ref="D355">_xlfn.IFS(Table1[[#This Row],[age]]&lt;=17,"0-17",C355&lt;=29,"18-29",C355&lt;=44,"30-44",C355&lt;=59,"45-59",C355&lt;=74,"60-74",TRUE,"75+")</f>
        <v>30-44</v>
      </c>
      <c r="E355" t="s">
        <v>17</v>
      </c>
      <c r="F355">
        <v>7</v>
      </c>
      <c r="G355" t="str" cm="1">
        <f t="array" ref="G355">_xlfn.IFS(_xlfn.SINGLE(Table1[imd_decile])&lt;=3,"Most Deprived",F355&lt;=7,"Moderately Deprived",F355&lt;=10,"Least Deprived")</f>
        <v>Moderately Deprived</v>
      </c>
      <c r="H355">
        <v>1.1000000000000001</v>
      </c>
      <c r="I355" t="s">
        <v>18</v>
      </c>
      <c r="J355" t="s">
        <v>19</v>
      </c>
      <c r="K355" s="1">
        <v>45723</v>
      </c>
      <c r="L355" s="1">
        <v>45734</v>
      </c>
      <c r="M355" s="1" t="str">
        <f>TEXT(Table1[[#This Row],[appointment_date]],"MM/YYYY")</f>
        <v>03/2025</v>
      </c>
      <c r="N355">
        <v>11</v>
      </c>
      <c r="O355" t="str" cm="1">
        <f t="array" ref="O355">_xlfn.IFS(Table1[[#This Row],[lead_time_days]]&lt;=7,"0-7 days",N355&lt;=14,"8-14 days",N355&lt;=30,"15-30 days",N355&lt;=60,"31-60 days",TRUE,"61+ days")</f>
        <v>8-14 days</v>
      </c>
      <c r="P355" t="s">
        <v>71</v>
      </c>
      <c r="Q355" t="s">
        <v>21</v>
      </c>
      <c r="R355">
        <v>0</v>
      </c>
      <c r="S355" t="str">
        <f>IF(Table1[prior_dna_count]&gt;=1,"Has prior DNA history","No prior DNA history")</f>
        <v>No prior DNA history</v>
      </c>
      <c r="T355" t="s">
        <v>22</v>
      </c>
      <c r="U355" t="str">
        <f t="shared" si="5"/>
        <v>0</v>
      </c>
      <c r="V355" t="str">
        <f>IF(Table1[appointment_status]="Attended","1","0")</f>
        <v>1</v>
      </c>
      <c r="W355" t="str">
        <f>IF(Table1[appointment_status]="Cancelled","1","0")</f>
        <v>0</v>
      </c>
    </row>
    <row r="356" spans="1:23">
      <c r="A356" t="s">
        <v>721</v>
      </c>
      <c r="B356" t="s">
        <v>296</v>
      </c>
      <c r="C356">
        <v>36</v>
      </c>
      <c r="D356" t="str" cm="1">
        <f t="array" ref="D356">_xlfn.IFS(Table1[[#This Row],[age]]&lt;=17,"0-17",C356&lt;=29,"18-29",C356&lt;=44,"30-44",C356&lt;=59,"45-59",C356&lt;=74,"60-74",TRUE,"75+")</f>
        <v>30-44</v>
      </c>
      <c r="E356" t="s">
        <v>17</v>
      </c>
      <c r="F356">
        <v>6</v>
      </c>
      <c r="G356" t="str" cm="1">
        <f t="array" ref="G356">_xlfn.IFS(_xlfn.SINGLE(Table1[imd_decile])&lt;=3,"Most Deprived",F356&lt;=7,"Moderately Deprived",F356&lt;=10,"Least Deprived")</f>
        <v>Moderately Deprived</v>
      </c>
      <c r="H356">
        <v>8.9</v>
      </c>
      <c r="I356" t="s">
        <v>18</v>
      </c>
      <c r="J356" t="s">
        <v>19</v>
      </c>
      <c r="K356" s="1">
        <v>45719</v>
      </c>
      <c r="L356" s="1">
        <v>45734</v>
      </c>
      <c r="M356" s="1" t="str">
        <f>TEXT(Table1[[#This Row],[appointment_date]],"MM/YYYY")</f>
        <v>03/2025</v>
      </c>
      <c r="N356">
        <v>15</v>
      </c>
      <c r="O356" t="str" cm="1">
        <f t="array" ref="O356">_xlfn.IFS(Table1[[#This Row],[lead_time_days]]&lt;=7,"0-7 days",N356&lt;=14,"8-14 days",N356&lt;=30,"15-30 days",N356&lt;=60,"31-60 days",TRUE,"61+ days")</f>
        <v>15-30 days</v>
      </c>
      <c r="P356" t="s">
        <v>71</v>
      </c>
      <c r="Q356" t="s">
        <v>21</v>
      </c>
      <c r="R356">
        <v>0</v>
      </c>
      <c r="S356" t="str">
        <f>IF(Table1[prior_dna_count]&gt;=1,"Has prior DNA history","No prior DNA history")</f>
        <v>No prior DNA history</v>
      </c>
      <c r="T356" t="s">
        <v>22</v>
      </c>
      <c r="U356" t="str">
        <f t="shared" si="5"/>
        <v>1</v>
      </c>
      <c r="V356" t="str">
        <f>IF(Table1[appointment_status]="Attended","1","0")</f>
        <v>1</v>
      </c>
      <c r="W356" t="str">
        <f>IF(Table1[appointment_status]="Cancelled","1","0")</f>
        <v>0</v>
      </c>
    </row>
    <row r="357" spans="1:23">
      <c r="A357" t="s">
        <v>722</v>
      </c>
      <c r="B357" t="s">
        <v>723</v>
      </c>
      <c r="C357">
        <v>45</v>
      </c>
      <c r="D357" t="str" cm="1">
        <f t="array" ref="D357">_xlfn.IFS(Table1[[#This Row],[age]]&lt;=17,"0-17",C357&lt;=29,"18-29",C357&lt;=44,"30-44",C357&lt;=59,"45-59",C357&lt;=74,"60-74",TRUE,"75+")</f>
        <v>45-59</v>
      </c>
      <c r="E357" t="s">
        <v>29</v>
      </c>
      <c r="F357">
        <v>3</v>
      </c>
      <c r="G357" t="str" cm="1">
        <f t="array" ref="G357">_xlfn.IFS(_xlfn.SINGLE(Table1[imd_decile])&lt;=3,"Most Deprived",F357&lt;=7,"Moderately Deprived",F357&lt;=10,"Least Deprived")</f>
        <v>Most Deprived</v>
      </c>
      <c r="H357">
        <v>10.8</v>
      </c>
      <c r="I357" t="s">
        <v>30</v>
      </c>
      <c r="J357" t="s">
        <v>19</v>
      </c>
      <c r="K357" s="1">
        <v>45708</v>
      </c>
      <c r="L357" s="1">
        <v>45734</v>
      </c>
      <c r="M357" s="1" t="str">
        <f>TEXT(Table1[[#This Row],[appointment_date]],"MM/YYYY")</f>
        <v>03/2025</v>
      </c>
      <c r="N357">
        <v>26</v>
      </c>
      <c r="O357" t="str" cm="1">
        <f t="array" ref="O357">_xlfn.IFS(Table1[[#This Row],[lead_time_days]]&lt;=7,"0-7 days",N357&lt;=14,"8-14 days",N357&lt;=30,"15-30 days",N357&lt;=60,"31-60 days",TRUE,"61+ days")</f>
        <v>15-30 days</v>
      </c>
      <c r="P357" t="s">
        <v>71</v>
      </c>
      <c r="Q357" t="s">
        <v>21</v>
      </c>
      <c r="R357">
        <v>0</v>
      </c>
      <c r="S357" t="str">
        <f>IF(Table1[prior_dna_count]&gt;=1,"Has prior DNA history","No prior DNA history")</f>
        <v>No prior DNA history</v>
      </c>
      <c r="T357" t="s">
        <v>22</v>
      </c>
      <c r="U357" t="str">
        <f t="shared" si="5"/>
        <v>1</v>
      </c>
      <c r="V357" t="str">
        <f>IF(Table1[appointment_status]="Attended","1","0")</f>
        <v>1</v>
      </c>
      <c r="W357" t="str">
        <f>IF(Table1[appointment_status]="Cancelled","1","0")</f>
        <v>0</v>
      </c>
    </row>
    <row r="358" spans="1:23">
      <c r="A358" t="s">
        <v>724</v>
      </c>
      <c r="B358" t="s">
        <v>308</v>
      </c>
      <c r="C358">
        <v>70</v>
      </c>
      <c r="D358" t="str" cm="1">
        <f t="array" ref="D358">_xlfn.IFS(Table1[[#This Row],[age]]&lt;=17,"0-17",C358&lt;=29,"18-29",C358&lt;=44,"30-44",C358&lt;=59,"45-59",C358&lt;=74,"60-74",TRUE,"75+")</f>
        <v>60-74</v>
      </c>
      <c r="E358" t="s">
        <v>29</v>
      </c>
      <c r="F358">
        <v>7</v>
      </c>
      <c r="G358" t="str" cm="1">
        <f t="array" ref="G358">_xlfn.IFS(_xlfn.SINGLE(Table1[imd_decile])&lt;=3,"Most Deprived",F358&lt;=7,"Moderately Deprived",F358&lt;=10,"Least Deprived")</f>
        <v>Moderately Deprived</v>
      </c>
      <c r="H358">
        <v>2.7</v>
      </c>
      <c r="I358" t="s">
        <v>45</v>
      </c>
      <c r="J358" t="s">
        <v>19</v>
      </c>
      <c r="K358" s="1">
        <v>45702</v>
      </c>
      <c r="L358" s="1">
        <v>45734</v>
      </c>
      <c r="M358" s="1" t="str">
        <f>TEXT(Table1[[#This Row],[appointment_date]],"MM/YYYY")</f>
        <v>03/2025</v>
      </c>
      <c r="N358">
        <v>32</v>
      </c>
      <c r="O358" t="str" cm="1">
        <f t="array" ref="O358">_xlfn.IFS(Table1[[#This Row],[lead_time_days]]&lt;=7,"0-7 days",N358&lt;=14,"8-14 days",N358&lt;=30,"15-30 days",N358&lt;=60,"31-60 days",TRUE,"61+ days")</f>
        <v>31-60 days</v>
      </c>
      <c r="P358" t="s">
        <v>71</v>
      </c>
      <c r="Q358" t="s">
        <v>21</v>
      </c>
      <c r="R358">
        <v>0</v>
      </c>
      <c r="S358" t="str">
        <f>IF(Table1[prior_dna_count]&gt;=1,"Has prior DNA history","No prior DNA history")</f>
        <v>No prior DNA history</v>
      </c>
      <c r="T358" t="s">
        <v>46</v>
      </c>
      <c r="U358" t="str">
        <f t="shared" si="5"/>
        <v>1</v>
      </c>
      <c r="V358" t="str">
        <f>IF(Table1[appointment_status]="Attended","1","0")</f>
        <v>0</v>
      </c>
      <c r="W358" t="str">
        <f>IF(Table1[appointment_status]="Cancelled","1","0")</f>
        <v>1</v>
      </c>
    </row>
    <row r="359" spans="1:23">
      <c r="A359" t="s">
        <v>725</v>
      </c>
      <c r="B359" t="s">
        <v>726</v>
      </c>
      <c r="C359">
        <v>65</v>
      </c>
      <c r="D359" t="str" cm="1">
        <f t="array" ref="D359">_xlfn.IFS(Table1[[#This Row],[age]]&lt;=17,"0-17",C359&lt;=29,"18-29",C359&lt;=44,"30-44",C359&lt;=59,"45-59",C359&lt;=74,"60-74",TRUE,"75+")</f>
        <v>60-74</v>
      </c>
      <c r="E359" t="s">
        <v>17</v>
      </c>
      <c r="F359">
        <v>5</v>
      </c>
      <c r="G359" t="str" cm="1">
        <f t="array" ref="G359">_xlfn.IFS(_xlfn.SINGLE(Table1[imd_decile])&lt;=3,"Most Deprived",F359&lt;=7,"Moderately Deprived",F359&lt;=10,"Least Deprived")</f>
        <v>Moderately Deprived</v>
      </c>
      <c r="H359">
        <v>4.9000000000000004</v>
      </c>
      <c r="I359" t="s">
        <v>91</v>
      </c>
      <c r="J359" t="s">
        <v>19</v>
      </c>
      <c r="K359" s="1">
        <v>45722</v>
      </c>
      <c r="L359" s="1">
        <v>45734</v>
      </c>
      <c r="M359" s="1" t="str">
        <f>TEXT(Table1[[#This Row],[appointment_date]],"MM/YYYY")</f>
        <v>03/2025</v>
      </c>
      <c r="N359">
        <v>12</v>
      </c>
      <c r="O359" t="str" cm="1">
        <f t="array" ref="O359">_xlfn.IFS(Table1[[#This Row],[lead_time_days]]&lt;=7,"0-7 days",N359&lt;=14,"8-14 days",N359&lt;=30,"15-30 days",N359&lt;=60,"31-60 days",TRUE,"61+ days")</f>
        <v>8-14 days</v>
      </c>
      <c r="P359" t="s">
        <v>71</v>
      </c>
      <c r="Q359" t="s">
        <v>21</v>
      </c>
      <c r="R359">
        <v>0</v>
      </c>
      <c r="S359" t="str">
        <f>IF(Table1[prior_dna_count]&gt;=1,"Has prior DNA history","No prior DNA history")</f>
        <v>No prior DNA history</v>
      </c>
      <c r="T359" t="s">
        <v>22</v>
      </c>
      <c r="U359" t="str">
        <f t="shared" si="5"/>
        <v>0</v>
      </c>
      <c r="V359" t="str">
        <f>IF(Table1[appointment_status]="Attended","1","0")</f>
        <v>1</v>
      </c>
      <c r="W359" t="str">
        <f>IF(Table1[appointment_status]="Cancelled","1","0")</f>
        <v>0</v>
      </c>
    </row>
    <row r="360" spans="1:23">
      <c r="A360" t="s">
        <v>727</v>
      </c>
      <c r="B360" t="s">
        <v>728</v>
      </c>
      <c r="C360">
        <v>51</v>
      </c>
      <c r="D360" t="str" cm="1">
        <f t="array" ref="D360">_xlfn.IFS(Table1[[#This Row],[age]]&lt;=17,"0-17",C360&lt;=29,"18-29",C360&lt;=44,"30-44",C360&lt;=59,"45-59",C360&lt;=74,"60-74",TRUE,"75+")</f>
        <v>45-59</v>
      </c>
      <c r="E360" t="s">
        <v>29</v>
      </c>
      <c r="F360">
        <v>8</v>
      </c>
      <c r="G360" t="str" cm="1">
        <f t="array" ref="G360">_xlfn.IFS(_xlfn.SINGLE(Table1[imd_decile])&lt;=3,"Most Deprived",F360&lt;=7,"Moderately Deprived",F360&lt;=10,"Least Deprived")</f>
        <v>Least Deprived</v>
      </c>
      <c r="H360">
        <v>8.3000000000000007</v>
      </c>
      <c r="I360" t="s">
        <v>155</v>
      </c>
      <c r="J360" t="s">
        <v>26</v>
      </c>
      <c r="K360" s="1">
        <v>45697</v>
      </c>
      <c r="L360" s="1">
        <v>45734</v>
      </c>
      <c r="M360" s="1" t="str">
        <f>TEXT(Table1[[#This Row],[appointment_date]],"MM/YYYY")</f>
        <v>03/2025</v>
      </c>
      <c r="N360">
        <v>37</v>
      </c>
      <c r="O360" t="str" cm="1">
        <f t="array" ref="O360">_xlfn.IFS(Table1[[#This Row],[lead_time_days]]&lt;=7,"0-7 days",N360&lt;=14,"8-14 days",N360&lt;=30,"15-30 days",N360&lt;=60,"31-60 days",TRUE,"61+ days")</f>
        <v>31-60 days</v>
      </c>
      <c r="P360" t="s">
        <v>71</v>
      </c>
      <c r="Q360" t="s">
        <v>21</v>
      </c>
      <c r="R360">
        <v>0</v>
      </c>
      <c r="S360" t="str">
        <f>IF(Table1[prior_dna_count]&gt;=1,"Has prior DNA history","No prior DNA history")</f>
        <v>No prior DNA history</v>
      </c>
      <c r="T360" t="s">
        <v>22</v>
      </c>
      <c r="U360" t="str">
        <f t="shared" si="5"/>
        <v>1</v>
      </c>
      <c r="V360" t="str">
        <f>IF(Table1[appointment_status]="Attended","1","0")</f>
        <v>1</v>
      </c>
      <c r="W360" t="str">
        <f>IF(Table1[appointment_status]="Cancelled","1","0")</f>
        <v>0</v>
      </c>
    </row>
    <row r="361" spans="1:23">
      <c r="A361" t="s">
        <v>729</v>
      </c>
      <c r="B361" t="s">
        <v>730</v>
      </c>
      <c r="C361">
        <v>23</v>
      </c>
      <c r="D361" t="str" cm="1">
        <f t="array" ref="D361">_xlfn.IFS(Table1[[#This Row],[age]]&lt;=17,"0-17",C361&lt;=29,"18-29",C361&lt;=44,"30-44",C361&lt;=59,"45-59",C361&lt;=74,"60-74",TRUE,"75+")</f>
        <v>18-29</v>
      </c>
      <c r="E361" t="s">
        <v>29</v>
      </c>
      <c r="F361">
        <v>8</v>
      </c>
      <c r="G361" t="str" cm="1">
        <f t="array" ref="G361">_xlfn.IFS(_xlfn.SINGLE(Table1[imd_decile])&lt;=3,"Most Deprived",F361&lt;=7,"Moderately Deprived",F361&lt;=10,"Least Deprived")</f>
        <v>Least Deprived</v>
      </c>
      <c r="H361">
        <v>5.0999999999999996</v>
      </c>
      <c r="I361" t="s">
        <v>18</v>
      </c>
      <c r="J361" t="s">
        <v>19</v>
      </c>
      <c r="K361" s="1">
        <v>45711</v>
      </c>
      <c r="L361" s="1">
        <v>45734</v>
      </c>
      <c r="M361" s="1" t="str">
        <f>TEXT(Table1[[#This Row],[appointment_date]],"MM/YYYY")</f>
        <v>03/2025</v>
      </c>
      <c r="N361">
        <v>23</v>
      </c>
      <c r="O361" t="str" cm="1">
        <f t="array" ref="O361">_xlfn.IFS(Table1[[#This Row],[lead_time_days]]&lt;=7,"0-7 days",N361&lt;=14,"8-14 days",N361&lt;=30,"15-30 days",N361&lt;=60,"31-60 days",TRUE,"61+ days")</f>
        <v>15-30 days</v>
      </c>
      <c r="P361" t="s">
        <v>71</v>
      </c>
      <c r="Q361" t="s">
        <v>21</v>
      </c>
      <c r="R361">
        <v>0</v>
      </c>
      <c r="S361" t="str">
        <f>IF(Table1[prior_dna_count]&gt;=1,"Has prior DNA history","No prior DNA history")</f>
        <v>No prior DNA history</v>
      </c>
      <c r="T361" t="s">
        <v>22</v>
      </c>
      <c r="U361" t="str">
        <f t="shared" si="5"/>
        <v>1</v>
      </c>
      <c r="V361" t="str">
        <f>IF(Table1[appointment_status]="Attended","1","0")</f>
        <v>1</v>
      </c>
      <c r="W361" t="str">
        <f>IF(Table1[appointment_status]="Cancelled","1","0")</f>
        <v>0</v>
      </c>
    </row>
    <row r="362" spans="1:23">
      <c r="A362" t="s">
        <v>731</v>
      </c>
      <c r="B362" t="s">
        <v>732</v>
      </c>
      <c r="C362">
        <v>57</v>
      </c>
      <c r="D362" t="str" cm="1">
        <f t="array" ref="D362">_xlfn.IFS(Table1[[#This Row],[age]]&lt;=17,"0-17",C362&lt;=29,"18-29",C362&lt;=44,"30-44",C362&lt;=59,"45-59",C362&lt;=74,"60-74",TRUE,"75+")</f>
        <v>45-59</v>
      </c>
      <c r="E362" t="s">
        <v>17</v>
      </c>
      <c r="F362">
        <v>2</v>
      </c>
      <c r="G362" t="str" cm="1">
        <f t="array" ref="G362">_xlfn.IFS(_xlfn.SINGLE(Table1[imd_decile])&lt;=3,"Most Deprived",F362&lt;=7,"Moderately Deprived",F362&lt;=10,"Least Deprived")</f>
        <v>Most Deprived</v>
      </c>
      <c r="H362">
        <v>12.4</v>
      </c>
      <c r="I362" t="s">
        <v>38</v>
      </c>
      <c r="J362" t="s">
        <v>19</v>
      </c>
      <c r="K362" s="1">
        <v>45729</v>
      </c>
      <c r="L362" s="1">
        <v>45734</v>
      </c>
      <c r="M362" s="1" t="str">
        <f>TEXT(Table1[[#This Row],[appointment_date]],"MM/YYYY")</f>
        <v>03/2025</v>
      </c>
      <c r="N362">
        <v>5</v>
      </c>
      <c r="O362" t="str" cm="1">
        <f t="array" ref="O362">_xlfn.IFS(Table1[[#This Row],[lead_time_days]]&lt;=7,"0-7 days",N362&lt;=14,"8-14 days",N362&lt;=30,"15-30 days",N362&lt;=60,"31-60 days",TRUE,"61+ days")</f>
        <v>0-7 days</v>
      </c>
      <c r="P362" t="s">
        <v>71</v>
      </c>
      <c r="Q362" t="s">
        <v>21</v>
      </c>
      <c r="R362">
        <v>0</v>
      </c>
      <c r="S362" t="str">
        <f>IF(Table1[prior_dna_count]&gt;=1,"Has prior DNA history","No prior DNA history")</f>
        <v>No prior DNA history</v>
      </c>
      <c r="T362" t="s">
        <v>22</v>
      </c>
      <c r="U362" t="str">
        <f t="shared" si="5"/>
        <v>1</v>
      </c>
      <c r="V362" t="str">
        <f>IF(Table1[appointment_status]="Attended","1","0")</f>
        <v>1</v>
      </c>
      <c r="W362" t="str">
        <f>IF(Table1[appointment_status]="Cancelled","1","0")</f>
        <v>0</v>
      </c>
    </row>
    <row r="363" spans="1:23">
      <c r="A363" t="s">
        <v>733</v>
      </c>
      <c r="B363" t="s">
        <v>734</v>
      </c>
      <c r="C363">
        <v>48</v>
      </c>
      <c r="D363" t="str" cm="1">
        <f t="array" ref="D363">_xlfn.IFS(Table1[[#This Row],[age]]&lt;=17,"0-17",C363&lt;=29,"18-29",C363&lt;=44,"30-44",C363&lt;=59,"45-59",C363&lt;=74,"60-74",TRUE,"75+")</f>
        <v>45-59</v>
      </c>
      <c r="E363" t="s">
        <v>17</v>
      </c>
      <c r="F363">
        <v>8</v>
      </c>
      <c r="G363" t="str" cm="1">
        <f t="array" ref="G363">_xlfn.IFS(_xlfn.SINGLE(Table1[imd_decile])&lt;=3,"Most Deprived",F363&lt;=7,"Moderately Deprived",F363&lt;=10,"Least Deprived")</f>
        <v>Least Deprived</v>
      </c>
      <c r="H363">
        <v>22.2</v>
      </c>
      <c r="I363" t="s">
        <v>25</v>
      </c>
      <c r="J363" t="s">
        <v>19</v>
      </c>
      <c r="K363" s="1">
        <v>45699</v>
      </c>
      <c r="L363" s="1">
        <v>45734</v>
      </c>
      <c r="M363" s="1" t="str">
        <f>TEXT(Table1[[#This Row],[appointment_date]],"MM/YYYY")</f>
        <v>03/2025</v>
      </c>
      <c r="N363">
        <v>35</v>
      </c>
      <c r="O363" t="str" cm="1">
        <f t="array" ref="O363">_xlfn.IFS(Table1[[#This Row],[lead_time_days]]&lt;=7,"0-7 days",N363&lt;=14,"8-14 days",N363&lt;=30,"15-30 days",N363&lt;=60,"31-60 days",TRUE,"61+ days")</f>
        <v>31-60 days</v>
      </c>
      <c r="P363" t="s">
        <v>71</v>
      </c>
      <c r="Q363" t="s">
        <v>32</v>
      </c>
      <c r="R363">
        <v>0</v>
      </c>
      <c r="S363" t="str">
        <f>IF(Table1[prior_dna_count]&gt;=1,"Has prior DNA history","No prior DNA history")</f>
        <v>No prior DNA history</v>
      </c>
      <c r="T363" t="s">
        <v>22</v>
      </c>
      <c r="U363" t="str">
        <f t="shared" si="5"/>
        <v>1</v>
      </c>
      <c r="V363" t="str">
        <f>IF(Table1[appointment_status]="Attended","1","0")</f>
        <v>1</v>
      </c>
      <c r="W363" t="str">
        <f>IF(Table1[appointment_status]="Cancelled","1","0")</f>
        <v>0</v>
      </c>
    </row>
    <row r="364" spans="1:23">
      <c r="A364" t="s">
        <v>735</v>
      </c>
      <c r="B364" t="s">
        <v>736</v>
      </c>
      <c r="C364">
        <v>26</v>
      </c>
      <c r="D364" t="str" cm="1">
        <f t="array" ref="D364">_xlfn.IFS(Table1[[#This Row],[age]]&lt;=17,"0-17",C364&lt;=29,"18-29",C364&lt;=44,"30-44",C364&lt;=59,"45-59",C364&lt;=74,"60-74",TRUE,"75+")</f>
        <v>18-29</v>
      </c>
      <c r="E364" t="s">
        <v>17</v>
      </c>
      <c r="F364">
        <v>1</v>
      </c>
      <c r="G364" t="str" cm="1">
        <f t="array" ref="G364">_xlfn.IFS(_xlfn.SINGLE(Table1[imd_decile])&lt;=3,"Most Deprived",F364&lt;=7,"Moderately Deprived",F364&lt;=10,"Least Deprived")</f>
        <v>Most Deprived</v>
      </c>
      <c r="H364">
        <v>10.7</v>
      </c>
      <c r="I364" t="s">
        <v>58</v>
      </c>
      <c r="J364" t="s">
        <v>19</v>
      </c>
      <c r="K364" s="1">
        <v>45668</v>
      </c>
      <c r="L364" s="1">
        <v>45735</v>
      </c>
      <c r="M364" s="1" t="str">
        <f>TEXT(Table1[[#This Row],[appointment_date]],"MM/YYYY")</f>
        <v>03/2025</v>
      </c>
      <c r="N364">
        <v>67</v>
      </c>
      <c r="O364" t="str" cm="1">
        <f t="array" ref="O364">_xlfn.IFS(Table1[[#This Row],[lead_time_days]]&lt;=7,"0-7 days",N364&lt;=14,"8-14 days",N364&lt;=30,"15-30 days",N364&lt;=60,"31-60 days",TRUE,"61+ days")</f>
        <v>61+ days</v>
      </c>
      <c r="P364" t="s">
        <v>80</v>
      </c>
      <c r="Q364" t="s">
        <v>21</v>
      </c>
      <c r="R364">
        <v>0</v>
      </c>
      <c r="S364" t="str">
        <f>IF(Table1[prior_dna_count]&gt;=1,"Has prior DNA history","No prior DNA history")</f>
        <v>No prior DNA history</v>
      </c>
      <c r="T364" t="s">
        <v>22</v>
      </c>
      <c r="U364" t="str">
        <f t="shared" si="5"/>
        <v>1</v>
      </c>
      <c r="V364" t="str">
        <f>IF(Table1[appointment_status]="Attended","1","0")</f>
        <v>1</v>
      </c>
      <c r="W364" t="str">
        <f>IF(Table1[appointment_status]="Cancelled","1","0")</f>
        <v>0</v>
      </c>
    </row>
    <row r="365" spans="1:23">
      <c r="A365" t="s">
        <v>737</v>
      </c>
      <c r="B365" t="s">
        <v>738</v>
      </c>
      <c r="C365">
        <v>50</v>
      </c>
      <c r="D365" t="str" cm="1">
        <f t="array" ref="D365">_xlfn.IFS(Table1[[#This Row],[age]]&lt;=17,"0-17",C365&lt;=29,"18-29",C365&lt;=44,"30-44",C365&lt;=59,"45-59",C365&lt;=74,"60-74",TRUE,"75+")</f>
        <v>45-59</v>
      </c>
      <c r="E365" t="s">
        <v>29</v>
      </c>
      <c r="F365">
        <v>10</v>
      </c>
      <c r="G365" t="str" cm="1">
        <f t="array" ref="G365">_xlfn.IFS(_xlfn.SINGLE(Table1[imd_decile])&lt;=3,"Most Deprived",F365&lt;=7,"Moderately Deprived",F365&lt;=10,"Least Deprived")</f>
        <v>Least Deprived</v>
      </c>
      <c r="H365">
        <v>7.1</v>
      </c>
      <c r="I365" t="s">
        <v>58</v>
      </c>
      <c r="J365" t="s">
        <v>19</v>
      </c>
      <c r="K365" s="1">
        <v>45701</v>
      </c>
      <c r="L365" s="1">
        <v>45735</v>
      </c>
      <c r="M365" s="1" t="str">
        <f>TEXT(Table1[[#This Row],[appointment_date]],"MM/YYYY")</f>
        <v>03/2025</v>
      </c>
      <c r="N365">
        <v>34</v>
      </c>
      <c r="O365" t="str" cm="1">
        <f t="array" ref="O365">_xlfn.IFS(Table1[[#This Row],[lead_time_days]]&lt;=7,"0-7 days",N365&lt;=14,"8-14 days",N365&lt;=30,"15-30 days",N365&lt;=60,"31-60 days",TRUE,"61+ days")</f>
        <v>31-60 days</v>
      </c>
      <c r="P365" t="s">
        <v>80</v>
      </c>
      <c r="Q365" t="s">
        <v>21</v>
      </c>
      <c r="R365">
        <v>0</v>
      </c>
      <c r="S365" t="str">
        <f>IF(Table1[prior_dna_count]&gt;=1,"Has prior DNA history","No prior DNA history")</f>
        <v>No prior DNA history</v>
      </c>
      <c r="T365" t="s">
        <v>46</v>
      </c>
      <c r="U365" t="str">
        <f t="shared" si="5"/>
        <v>1</v>
      </c>
      <c r="V365" t="str">
        <f>IF(Table1[appointment_status]="Attended","1","0")</f>
        <v>0</v>
      </c>
      <c r="W365" t="str">
        <f>IF(Table1[appointment_status]="Cancelled","1","0")</f>
        <v>1</v>
      </c>
    </row>
    <row r="366" spans="1:23">
      <c r="A366" t="s">
        <v>739</v>
      </c>
      <c r="B366" t="s">
        <v>286</v>
      </c>
      <c r="C366">
        <v>46</v>
      </c>
      <c r="D366" t="str" cm="1">
        <f t="array" ref="D366">_xlfn.IFS(Table1[[#This Row],[age]]&lt;=17,"0-17",C366&lt;=29,"18-29",C366&lt;=44,"30-44",C366&lt;=59,"45-59",C366&lt;=74,"60-74",TRUE,"75+")</f>
        <v>45-59</v>
      </c>
      <c r="E366" t="s">
        <v>17</v>
      </c>
      <c r="F366">
        <v>7</v>
      </c>
      <c r="G366" t="str" cm="1">
        <f t="array" ref="G366">_xlfn.IFS(_xlfn.SINGLE(Table1[imd_decile])&lt;=3,"Most Deprived",F366&lt;=7,"Moderately Deprived",F366&lt;=10,"Least Deprived")</f>
        <v>Moderately Deprived</v>
      </c>
      <c r="H366">
        <v>10.4</v>
      </c>
      <c r="I366" t="s">
        <v>42</v>
      </c>
      <c r="J366" t="s">
        <v>26</v>
      </c>
      <c r="K366" s="1">
        <v>45710</v>
      </c>
      <c r="L366" s="1">
        <v>45735</v>
      </c>
      <c r="M366" s="1" t="str">
        <f>TEXT(Table1[[#This Row],[appointment_date]],"MM/YYYY")</f>
        <v>03/2025</v>
      </c>
      <c r="N366">
        <v>25</v>
      </c>
      <c r="O366" t="str" cm="1">
        <f t="array" ref="O366">_xlfn.IFS(Table1[[#This Row],[lead_time_days]]&lt;=7,"0-7 days",N366&lt;=14,"8-14 days",N366&lt;=30,"15-30 days",N366&lt;=60,"31-60 days",TRUE,"61+ days")</f>
        <v>15-30 days</v>
      </c>
      <c r="P366" t="s">
        <v>80</v>
      </c>
      <c r="Q366" t="s">
        <v>21</v>
      </c>
      <c r="R366">
        <v>0</v>
      </c>
      <c r="S366" t="str">
        <f>IF(Table1[prior_dna_count]&gt;=1,"Has prior DNA history","No prior DNA history")</f>
        <v>No prior DNA history</v>
      </c>
      <c r="T366" t="s">
        <v>22</v>
      </c>
      <c r="U366" t="str">
        <f t="shared" si="5"/>
        <v>0</v>
      </c>
      <c r="V366" t="str">
        <f>IF(Table1[appointment_status]="Attended","1","0")</f>
        <v>1</v>
      </c>
      <c r="W366" t="str">
        <f>IF(Table1[appointment_status]="Cancelled","1","0")</f>
        <v>0</v>
      </c>
    </row>
    <row r="367" spans="1:23">
      <c r="A367" t="s">
        <v>740</v>
      </c>
      <c r="B367" t="s">
        <v>508</v>
      </c>
      <c r="C367">
        <v>7</v>
      </c>
      <c r="D367" t="str" cm="1">
        <f t="array" ref="D367">_xlfn.IFS(Table1[[#This Row],[age]]&lt;=17,"0-17",C367&lt;=29,"18-29",C367&lt;=44,"30-44",C367&lt;=59,"45-59",C367&lt;=74,"60-74",TRUE,"75+")</f>
        <v>0-17</v>
      </c>
      <c r="E367" t="s">
        <v>29</v>
      </c>
      <c r="F367">
        <v>3</v>
      </c>
      <c r="G367" t="str" cm="1">
        <f t="array" ref="G367">_xlfn.IFS(_xlfn.SINGLE(Table1[imd_decile])&lt;=3,"Most Deprived",F367&lt;=7,"Moderately Deprived",F367&lt;=10,"Least Deprived")</f>
        <v>Most Deprived</v>
      </c>
      <c r="H367">
        <v>9</v>
      </c>
      <c r="I367" t="s">
        <v>91</v>
      </c>
      <c r="J367" t="s">
        <v>19</v>
      </c>
      <c r="K367" s="1">
        <v>45704</v>
      </c>
      <c r="L367" s="1">
        <v>45735</v>
      </c>
      <c r="M367" s="1" t="str">
        <f>TEXT(Table1[[#This Row],[appointment_date]],"MM/YYYY")</f>
        <v>03/2025</v>
      </c>
      <c r="N367">
        <v>31</v>
      </c>
      <c r="O367" t="str" cm="1">
        <f t="array" ref="O367">_xlfn.IFS(Table1[[#This Row],[lead_time_days]]&lt;=7,"0-7 days",N367&lt;=14,"8-14 days",N367&lt;=30,"15-30 days",N367&lt;=60,"31-60 days",TRUE,"61+ days")</f>
        <v>31-60 days</v>
      </c>
      <c r="P367" t="s">
        <v>80</v>
      </c>
      <c r="Q367" t="s">
        <v>21</v>
      </c>
      <c r="R367">
        <v>0</v>
      </c>
      <c r="S367" t="str">
        <f>IF(Table1[prior_dna_count]&gt;=1,"Has prior DNA history","No prior DNA history")</f>
        <v>No prior DNA history</v>
      </c>
      <c r="T367" t="s">
        <v>22</v>
      </c>
      <c r="U367" t="str">
        <f t="shared" si="5"/>
        <v>1</v>
      </c>
      <c r="V367" t="str">
        <f>IF(Table1[appointment_status]="Attended","1","0")</f>
        <v>1</v>
      </c>
      <c r="W367" t="str">
        <f>IF(Table1[appointment_status]="Cancelled","1","0")</f>
        <v>0</v>
      </c>
    </row>
    <row r="368" spans="1:23">
      <c r="A368" t="s">
        <v>741</v>
      </c>
      <c r="B368" t="s">
        <v>742</v>
      </c>
      <c r="C368">
        <v>53</v>
      </c>
      <c r="D368" t="str" cm="1">
        <f t="array" ref="D368">_xlfn.IFS(Table1[[#This Row],[age]]&lt;=17,"0-17",C368&lt;=29,"18-29",C368&lt;=44,"30-44",C368&lt;=59,"45-59",C368&lt;=74,"60-74",TRUE,"75+")</f>
        <v>45-59</v>
      </c>
      <c r="E368" t="s">
        <v>29</v>
      </c>
      <c r="F368">
        <v>2</v>
      </c>
      <c r="G368" t="str" cm="1">
        <f t="array" ref="G368">_xlfn.IFS(_xlfn.SINGLE(Table1[imd_decile])&lt;=3,"Most Deprived",F368&lt;=7,"Moderately Deprived",F368&lt;=10,"Least Deprived")</f>
        <v>Most Deprived</v>
      </c>
      <c r="H368">
        <v>1.3</v>
      </c>
      <c r="I368" t="s">
        <v>18</v>
      </c>
      <c r="J368" t="s">
        <v>19</v>
      </c>
      <c r="K368" s="1">
        <v>45722</v>
      </c>
      <c r="L368" s="1">
        <v>45735</v>
      </c>
      <c r="M368" s="1" t="str">
        <f>TEXT(Table1[[#This Row],[appointment_date]],"MM/YYYY")</f>
        <v>03/2025</v>
      </c>
      <c r="N368">
        <v>13</v>
      </c>
      <c r="O368" t="str" cm="1">
        <f t="array" ref="O368">_xlfn.IFS(Table1[[#This Row],[lead_time_days]]&lt;=7,"0-7 days",N368&lt;=14,"8-14 days",N368&lt;=30,"15-30 days",N368&lt;=60,"31-60 days",TRUE,"61+ days")</f>
        <v>8-14 days</v>
      </c>
      <c r="P368" t="s">
        <v>80</v>
      </c>
      <c r="Q368" t="s">
        <v>21</v>
      </c>
      <c r="R368">
        <v>0</v>
      </c>
      <c r="S368" t="str">
        <f>IF(Table1[prior_dna_count]&gt;=1,"Has prior DNA history","No prior DNA history")</f>
        <v>No prior DNA history</v>
      </c>
      <c r="T368" t="s">
        <v>22</v>
      </c>
      <c r="U368" t="str">
        <f t="shared" si="5"/>
        <v>1</v>
      </c>
      <c r="V368" t="str">
        <f>IF(Table1[appointment_status]="Attended","1","0")</f>
        <v>1</v>
      </c>
      <c r="W368" t="str">
        <f>IF(Table1[appointment_status]="Cancelled","1","0")</f>
        <v>0</v>
      </c>
    </row>
    <row r="369" spans="1:23">
      <c r="A369" t="s">
        <v>743</v>
      </c>
      <c r="B369" t="s">
        <v>744</v>
      </c>
      <c r="C369">
        <v>36</v>
      </c>
      <c r="D369" t="str" cm="1">
        <f t="array" ref="D369">_xlfn.IFS(Table1[[#This Row],[age]]&lt;=17,"0-17",C369&lt;=29,"18-29",C369&lt;=44,"30-44",C369&lt;=59,"45-59",C369&lt;=74,"60-74",TRUE,"75+")</f>
        <v>30-44</v>
      </c>
      <c r="E369" t="s">
        <v>17</v>
      </c>
      <c r="F369">
        <v>6</v>
      </c>
      <c r="G369" t="str" cm="1">
        <f t="array" ref="G369">_xlfn.IFS(_xlfn.SINGLE(Table1[imd_decile])&lt;=3,"Most Deprived",F369&lt;=7,"Moderately Deprived",F369&lt;=10,"Least Deprived")</f>
        <v>Moderately Deprived</v>
      </c>
      <c r="H369">
        <v>5.8</v>
      </c>
      <c r="I369" t="s">
        <v>38</v>
      </c>
      <c r="J369" t="s">
        <v>26</v>
      </c>
      <c r="K369" s="1">
        <v>45712</v>
      </c>
      <c r="L369" s="1">
        <v>45735</v>
      </c>
      <c r="M369" s="1" t="str">
        <f>TEXT(Table1[[#This Row],[appointment_date]],"MM/YYYY")</f>
        <v>03/2025</v>
      </c>
      <c r="N369">
        <v>23</v>
      </c>
      <c r="O369" t="str" cm="1">
        <f t="array" ref="O369">_xlfn.IFS(Table1[[#This Row],[lead_time_days]]&lt;=7,"0-7 days",N369&lt;=14,"8-14 days",N369&lt;=30,"15-30 days",N369&lt;=60,"31-60 days",TRUE,"61+ days")</f>
        <v>15-30 days</v>
      </c>
      <c r="P369" t="s">
        <v>80</v>
      </c>
      <c r="Q369" t="s">
        <v>21</v>
      </c>
      <c r="R369">
        <v>0</v>
      </c>
      <c r="S369" t="str">
        <f>IF(Table1[prior_dna_count]&gt;=1,"Has prior DNA history","No prior DNA history")</f>
        <v>No prior DNA history</v>
      </c>
      <c r="T369" t="s">
        <v>22</v>
      </c>
      <c r="U369" t="str">
        <f t="shared" si="5"/>
        <v>1</v>
      </c>
      <c r="V369" t="str">
        <f>IF(Table1[appointment_status]="Attended","1","0")</f>
        <v>1</v>
      </c>
      <c r="W369" t="str">
        <f>IF(Table1[appointment_status]="Cancelled","1","0")</f>
        <v>0</v>
      </c>
    </row>
    <row r="370" spans="1:23">
      <c r="A370" t="s">
        <v>745</v>
      </c>
      <c r="B370" t="s">
        <v>746</v>
      </c>
      <c r="C370">
        <v>35</v>
      </c>
      <c r="D370" t="str" cm="1">
        <f t="array" ref="D370">_xlfn.IFS(Table1[[#This Row],[age]]&lt;=17,"0-17",C370&lt;=29,"18-29",C370&lt;=44,"30-44",C370&lt;=59,"45-59",C370&lt;=74,"60-74",TRUE,"75+")</f>
        <v>30-44</v>
      </c>
      <c r="E370" t="s">
        <v>29</v>
      </c>
      <c r="F370">
        <v>7</v>
      </c>
      <c r="G370" t="str" cm="1">
        <f t="array" ref="G370">_xlfn.IFS(_xlfn.SINGLE(Table1[imd_decile])&lt;=3,"Most Deprived",F370&lt;=7,"Moderately Deprived",F370&lt;=10,"Least Deprived")</f>
        <v>Moderately Deprived</v>
      </c>
      <c r="H370">
        <v>8.6999999999999993</v>
      </c>
      <c r="I370" t="s">
        <v>30</v>
      </c>
      <c r="J370" t="s">
        <v>26</v>
      </c>
      <c r="K370" s="1">
        <v>45707</v>
      </c>
      <c r="L370" s="1">
        <v>45735</v>
      </c>
      <c r="M370" s="1" t="str">
        <f>TEXT(Table1[[#This Row],[appointment_date]],"MM/YYYY")</f>
        <v>03/2025</v>
      </c>
      <c r="N370">
        <v>28</v>
      </c>
      <c r="O370" t="str" cm="1">
        <f t="array" ref="O370">_xlfn.IFS(Table1[[#This Row],[lead_time_days]]&lt;=7,"0-7 days",N370&lt;=14,"8-14 days",N370&lt;=30,"15-30 days",N370&lt;=60,"31-60 days",TRUE,"61+ days")</f>
        <v>15-30 days</v>
      </c>
      <c r="P370" t="s">
        <v>80</v>
      </c>
      <c r="Q370" t="s">
        <v>32</v>
      </c>
      <c r="R370">
        <v>0</v>
      </c>
      <c r="S370" t="str">
        <f>IF(Table1[prior_dna_count]&gt;=1,"Has prior DNA history","No prior DNA history")</f>
        <v>No prior DNA history</v>
      </c>
      <c r="T370" t="s">
        <v>46</v>
      </c>
      <c r="U370" t="str">
        <f t="shared" si="5"/>
        <v>1</v>
      </c>
      <c r="V370" t="str">
        <f>IF(Table1[appointment_status]="Attended","1","0")</f>
        <v>0</v>
      </c>
      <c r="W370" t="str">
        <f>IF(Table1[appointment_status]="Cancelled","1","0")</f>
        <v>1</v>
      </c>
    </row>
    <row r="371" spans="1:23">
      <c r="A371" t="s">
        <v>747</v>
      </c>
      <c r="B371" t="s">
        <v>748</v>
      </c>
      <c r="C371">
        <v>43</v>
      </c>
      <c r="D371" t="str" cm="1">
        <f t="array" ref="D371">_xlfn.IFS(Table1[[#This Row],[age]]&lt;=17,"0-17",C371&lt;=29,"18-29",C371&lt;=44,"30-44",C371&lt;=59,"45-59",C371&lt;=74,"60-74",TRUE,"75+")</f>
        <v>30-44</v>
      </c>
      <c r="E371" t="s">
        <v>29</v>
      </c>
      <c r="F371">
        <v>1</v>
      </c>
      <c r="G371" t="str" cm="1">
        <f t="array" ref="G371">_xlfn.IFS(_xlfn.SINGLE(Table1[imd_decile])&lt;=3,"Most Deprived",F371&lt;=7,"Moderately Deprived",F371&lt;=10,"Least Deprived")</f>
        <v>Most Deprived</v>
      </c>
      <c r="H371">
        <v>27.7</v>
      </c>
      <c r="I371" t="s">
        <v>38</v>
      </c>
      <c r="J371" t="s">
        <v>19</v>
      </c>
      <c r="K371" s="1">
        <v>45710</v>
      </c>
      <c r="L371" s="1">
        <v>45735</v>
      </c>
      <c r="M371" s="1" t="str">
        <f>TEXT(Table1[[#This Row],[appointment_date]],"MM/YYYY")</f>
        <v>03/2025</v>
      </c>
      <c r="N371">
        <v>25</v>
      </c>
      <c r="O371" t="str" cm="1">
        <f t="array" ref="O371">_xlfn.IFS(Table1[[#This Row],[lead_time_days]]&lt;=7,"0-7 days",N371&lt;=14,"8-14 days",N371&lt;=30,"15-30 days",N371&lt;=60,"31-60 days",TRUE,"61+ days")</f>
        <v>15-30 days</v>
      </c>
      <c r="P371" t="s">
        <v>80</v>
      </c>
      <c r="Q371" t="s">
        <v>21</v>
      </c>
      <c r="R371">
        <v>1</v>
      </c>
      <c r="S371" t="str">
        <f>IF(Table1[prior_dna_count]&gt;=1,"Has prior DNA history","No prior DNA history")</f>
        <v>Has prior DNA history</v>
      </c>
      <c r="T371" t="s">
        <v>22</v>
      </c>
      <c r="U371" t="str">
        <f t="shared" si="5"/>
        <v>0</v>
      </c>
      <c r="V371" t="str">
        <f>IF(Table1[appointment_status]="Attended","1","0")</f>
        <v>1</v>
      </c>
      <c r="W371" t="str">
        <f>IF(Table1[appointment_status]="Cancelled","1","0")</f>
        <v>0</v>
      </c>
    </row>
    <row r="372" spans="1:23">
      <c r="A372" t="s">
        <v>749</v>
      </c>
      <c r="B372" t="s">
        <v>750</v>
      </c>
      <c r="C372">
        <v>59</v>
      </c>
      <c r="D372" t="str" cm="1">
        <f t="array" ref="D372">_xlfn.IFS(Table1[[#This Row],[age]]&lt;=17,"0-17",C372&lt;=29,"18-29",C372&lt;=44,"30-44",C372&lt;=59,"45-59",C372&lt;=74,"60-74",TRUE,"75+")</f>
        <v>45-59</v>
      </c>
      <c r="E372" t="s">
        <v>17</v>
      </c>
      <c r="F372">
        <v>2</v>
      </c>
      <c r="G372" t="str" cm="1">
        <f t="array" ref="G372">_xlfn.IFS(_xlfn.SINGLE(Table1[imd_decile])&lt;=3,"Most Deprived",F372&lt;=7,"Moderately Deprived",F372&lt;=10,"Least Deprived")</f>
        <v>Most Deprived</v>
      </c>
      <c r="H372">
        <v>23.1</v>
      </c>
      <c r="I372" t="s">
        <v>18</v>
      </c>
      <c r="J372" t="s">
        <v>19</v>
      </c>
      <c r="K372" s="1">
        <v>45695</v>
      </c>
      <c r="L372" s="1">
        <v>45735</v>
      </c>
      <c r="M372" s="1" t="str">
        <f>TEXT(Table1[[#This Row],[appointment_date]],"MM/YYYY")</f>
        <v>03/2025</v>
      </c>
      <c r="N372">
        <v>40</v>
      </c>
      <c r="O372" t="str" cm="1">
        <f t="array" ref="O372">_xlfn.IFS(Table1[[#This Row],[lead_time_days]]&lt;=7,"0-7 days",N372&lt;=14,"8-14 days",N372&lt;=30,"15-30 days",N372&lt;=60,"31-60 days",TRUE,"61+ days")</f>
        <v>31-60 days</v>
      </c>
      <c r="P372" t="s">
        <v>80</v>
      </c>
      <c r="Q372" t="s">
        <v>32</v>
      </c>
      <c r="R372">
        <v>1</v>
      </c>
      <c r="S372" t="str">
        <f>IF(Table1[prior_dna_count]&gt;=1,"Has prior DNA history","No prior DNA history")</f>
        <v>Has prior DNA history</v>
      </c>
      <c r="T372" t="s">
        <v>22</v>
      </c>
      <c r="U372" t="str">
        <f t="shared" si="5"/>
        <v>1</v>
      </c>
      <c r="V372" t="str">
        <f>IF(Table1[appointment_status]="Attended","1","0")</f>
        <v>1</v>
      </c>
      <c r="W372" t="str">
        <f>IF(Table1[appointment_status]="Cancelled","1","0")</f>
        <v>0</v>
      </c>
    </row>
    <row r="373" spans="1:23">
      <c r="A373" t="s">
        <v>751</v>
      </c>
      <c r="B373" t="s">
        <v>752</v>
      </c>
      <c r="C373">
        <v>68</v>
      </c>
      <c r="D373" t="str" cm="1">
        <f t="array" ref="D373">_xlfn.IFS(Table1[[#This Row],[age]]&lt;=17,"0-17",C373&lt;=29,"18-29",C373&lt;=44,"30-44",C373&lt;=59,"45-59",C373&lt;=74,"60-74",TRUE,"75+")</f>
        <v>60-74</v>
      </c>
      <c r="E373" t="s">
        <v>17</v>
      </c>
      <c r="F373">
        <v>5</v>
      </c>
      <c r="G373" t="str" cm="1">
        <f t="array" ref="G373">_xlfn.IFS(_xlfn.SINGLE(Table1[imd_decile])&lt;=3,"Most Deprived",F373&lt;=7,"Moderately Deprived",F373&lt;=10,"Least Deprived")</f>
        <v>Moderately Deprived</v>
      </c>
      <c r="H373">
        <v>6.4</v>
      </c>
      <c r="I373" t="s">
        <v>49</v>
      </c>
      <c r="J373" t="s">
        <v>19</v>
      </c>
      <c r="K373" s="1">
        <v>45722</v>
      </c>
      <c r="L373" s="1">
        <v>45735</v>
      </c>
      <c r="M373" s="1" t="str">
        <f>TEXT(Table1[[#This Row],[appointment_date]],"MM/YYYY")</f>
        <v>03/2025</v>
      </c>
      <c r="N373">
        <v>13</v>
      </c>
      <c r="O373" t="str" cm="1">
        <f t="array" ref="O373">_xlfn.IFS(Table1[[#This Row],[lead_time_days]]&lt;=7,"0-7 days",N373&lt;=14,"8-14 days",N373&lt;=30,"15-30 days",N373&lt;=60,"31-60 days",TRUE,"61+ days")</f>
        <v>8-14 days</v>
      </c>
      <c r="P373" t="s">
        <v>80</v>
      </c>
      <c r="Q373" t="s">
        <v>21</v>
      </c>
      <c r="R373">
        <v>0</v>
      </c>
      <c r="S373" t="str">
        <f>IF(Table1[prior_dna_count]&gt;=1,"Has prior DNA history","No prior DNA history")</f>
        <v>No prior DNA history</v>
      </c>
      <c r="T373" t="s">
        <v>46</v>
      </c>
      <c r="U373" t="str">
        <f t="shared" si="5"/>
        <v>1</v>
      </c>
      <c r="V373" t="str">
        <f>IF(Table1[appointment_status]="Attended","1","0")</f>
        <v>0</v>
      </c>
      <c r="W373" t="str">
        <f>IF(Table1[appointment_status]="Cancelled","1","0")</f>
        <v>1</v>
      </c>
    </row>
    <row r="374" spans="1:23">
      <c r="A374" t="s">
        <v>753</v>
      </c>
      <c r="B374" t="s">
        <v>754</v>
      </c>
      <c r="C374">
        <v>46</v>
      </c>
      <c r="D374" t="str" cm="1">
        <f t="array" ref="D374">_xlfn.IFS(Table1[[#This Row],[age]]&lt;=17,"0-17",C374&lt;=29,"18-29",C374&lt;=44,"30-44",C374&lt;=59,"45-59",C374&lt;=74,"60-74",TRUE,"75+")</f>
        <v>45-59</v>
      </c>
      <c r="E374" t="s">
        <v>29</v>
      </c>
      <c r="F374">
        <v>7</v>
      </c>
      <c r="G374" t="str" cm="1">
        <f t="array" ref="G374">_xlfn.IFS(_xlfn.SINGLE(Table1[imd_decile])&lt;=3,"Most Deprived",F374&lt;=7,"Moderately Deprived",F374&lt;=10,"Least Deprived")</f>
        <v>Moderately Deprived</v>
      </c>
      <c r="H374">
        <v>3.9</v>
      </c>
      <c r="I374" t="s">
        <v>18</v>
      </c>
      <c r="J374" t="s">
        <v>19</v>
      </c>
      <c r="K374" s="1">
        <v>45720</v>
      </c>
      <c r="L374" s="1">
        <v>45736</v>
      </c>
      <c r="M374" s="1" t="str">
        <f>TEXT(Table1[[#This Row],[appointment_date]],"MM/YYYY")</f>
        <v>03/2025</v>
      </c>
      <c r="N374">
        <v>16</v>
      </c>
      <c r="O374" t="str" cm="1">
        <f t="array" ref="O374">_xlfn.IFS(Table1[[#This Row],[lead_time_days]]&lt;=7,"0-7 days",N374&lt;=14,"8-14 days",N374&lt;=30,"15-30 days",N374&lt;=60,"31-60 days",TRUE,"61+ days")</f>
        <v>15-30 days</v>
      </c>
      <c r="P374" t="s">
        <v>20</v>
      </c>
      <c r="Q374" t="s">
        <v>32</v>
      </c>
      <c r="R374">
        <v>0</v>
      </c>
      <c r="S374" t="str">
        <f>IF(Table1[prior_dna_count]&gt;=1,"Has prior DNA history","No prior DNA history")</f>
        <v>No prior DNA history</v>
      </c>
      <c r="T374" t="s">
        <v>22</v>
      </c>
      <c r="U374" t="str">
        <f t="shared" si="5"/>
        <v>0</v>
      </c>
      <c r="V374" t="str">
        <f>IF(Table1[appointment_status]="Attended","1","0")</f>
        <v>1</v>
      </c>
      <c r="W374" t="str">
        <f>IF(Table1[appointment_status]="Cancelled","1","0")</f>
        <v>0</v>
      </c>
    </row>
    <row r="375" spans="1:23">
      <c r="A375" t="s">
        <v>755</v>
      </c>
      <c r="B375" t="s">
        <v>756</v>
      </c>
      <c r="C375">
        <v>44</v>
      </c>
      <c r="D375" t="str" cm="1">
        <f t="array" ref="D375">_xlfn.IFS(Table1[[#This Row],[age]]&lt;=17,"0-17",C375&lt;=29,"18-29",C375&lt;=44,"30-44",C375&lt;=59,"45-59",C375&lt;=74,"60-74",TRUE,"75+")</f>
        <v>30-44</v>
      </c>
      <c r="E375" t="s">
        <v>17</v>
      </c>
      <c r="F375">
        <v>3</v>
      </c>
      <c r="G375" t="str" cm="1">
        <f t="array" ref="G375">_xlfn.IFS(_xlfn.SINGLE(Table1[imd_decile])&lt;=3,"Most Deprived",F375&lt;=7,"Moderately Deprived",F375&lt;=10,"Least Deprived")</f>
        <v>Most Deprived</v>
      </c>
      <c r="H375">
        <v>8.6</v>
      </c>
      <c r="I375" t="s">
        <v>49</v>
      </c>
      <c r="J375" t="s">
        <v>26</v>
      </c>
      <c r="K375" s="1">
        <v>45700</v>
      </c>
      <c r="L375" s="1">
        <v>45736</v>
      </c>
      <c r="M375" s="1" t="str">
        <f>TEXT(Table1[[#This Row],[appointment_date]],"MM/YYYY")</f>
        <v>03/2025</v>
      </c>
      <c r="N375">
        <v>36</v>
      </c>
      <c r="O375" t="str" cm="1">
        <f t="array" ref="O375">_xlfn.IFS(Table1[[#This Row],[lead_time_days]]&lt;=7,"0-7 days",N375&lt;=14,"8-14 days",N375&lt;=30,"15-30 days",N375&lt;=60,"31-60 days",TRUE,"61+ days")</f>
        <v>31-60 days</v>
      </c>
      <c r="P375" t="s">
        <v>20</v>
      </c>
      <c r="Q375" t="s">
        <v>32</v>
      </c>
      <c r="R375">
        <v>3</v>
      </c>
      <c r="S375" t="str">
        <f>IF(Table1[prior_dna_count]&gt;=1,"Has prior DNA history","No prior DNA history")</f>
        <v>Has prior DNA history</v>
      </c>
      <c r="T375" t="s">
        <v>39</v>
      </c>
      <c r="U375" t="str">
        <f t="shared" si="5"/>
        <v>1</v>
      </c>
      <c r="V375" t="str">
        <f>IF(Table1[appointment_status]="Attended","1","0")</f>
        <v>0</v>
      </c>
      <c r="W375" t="str">
        <f>IF(Table1[appointment_status]="Cancelled","1","0")</f>
        <v>0</v>
      </c>
    </row>
    <row r="376" spans="1:23">
      <c r="A376" t="s">
        <v>757</v>
      </c>
      <c r="B376" t="s">
        <v>758</v>
      </c>
      <c r="C376">
        <v>80</v>
      </c>
      <c r="D376" t="str" cm="1">
        <f t="array" ref="D376">_xlfn.IFS(Table1[[#This Row],[age]]&lt;=17,"0-17",C376&lt;=29,"18-29",C376&lt;=44,"30-44",C376&lt;=59,"45-59",C376&lt;=74,"60-74",TRUE,"75+")</f>
        <v>75+</v>
      </c>
      <c r="E376" t="s">
        <v>29</v>
      </c>
      <c r="F376">
        <v>1</v>
      </c>
      <c r="G376" t="str" cm="1">
        <f t="array" ref="G376">_xlfn.IFS(_xlfn.SINGLE(Table1[imd_decile])&lt;=3,"Most Deprived",F376&lt;=7,"Moderately Deprived",F376&lt;=10,"Least Deprived")</f>
        <v>Most Deprived</v>
      </c>
      <c r="H376">
        <v>1.4</v>
      </c>
      <c r="I376" t="s">
        <v>42</v>
      </c>
      <c r="J376" t="s">
        <v>19</v>
      </c>
      <c r="K376" s="1">
        <v>45706</v>
      </c>
      <c r="L376" s="1">
        <v>45736</v>
      </c>
      <c r="M376" s="1" t="str">
        <f>TEXT(Table1[[#This Row],[appointment_date]],"MM/YYYY")</f>
        <v>03/2025</v>
      </c>
      <c r="N376">
        <v>30</v>
      </c>
      <c r="O376" t="str" cm="1">
        <f t="array" ref="O376">_xlfn.IFS(Table1[[#This Row],[lead_time_days]]&lt;=7,"0-7 days",N376&lt;=14,"8-14 days",N376&lt;=30,"15-30 days",N376&lt;=60,"31-60 days",TRUE,"61+ days")</f>
        <v>15-30 days</v>
      </c>
      <c r="P376" t="s">
        <v>20</v>
      </c>
      <c r="Q376" t="s">
        <v>21</v>
      </c>
      <c r="R376">
        <v>0</v>
      </c>
      <c r="S376" t="str">
        <f>IF(Table1[prior_dna_count]&gt;=1,"Has prior DNA history","No prior DNA history")</f>
        <v>No prior DNA history</v>
      </c>
      <c r="T376" t="s">
        <v>22</v>
      </c>
      <c r="U376" t="str">
        <f t="shared" si="5"/>
        <v>0</v>
      </c>
      <c r="V376" t="str">
        <f>IF(Table1[appointment_status]="Attended","1","0")</f>
        <v>1</v>
      </c>
      <c r="W376" t="str">
        <f>IF(Table1[appointment_status]="Cancelled","1","0")</f>
        <v>0</v>
      </c>
    </row>
    <row r="377" spans="1:23">
      <c r="A377" t="s">
        <v>759</v>
      </c>
      <c r="B377" t="s">
        <v>760</v>
      </c>
      <c r="C377">
        <v>44</v>
      </c>
      <c r="D377" t="str" cm="1">
        <f t="array" ref="D377">_xlfn.IFS(Table1[[#This Row],[age]]&lt;=17,"0-17",C377&lt;=29,"18-29",C377&lt;=44,"30-44",C377&lt;=59,"45-59",C377&lt;=74,"60-74",TRUE,"75+")</f>
        <v>30-44</v>
      </c>
      <c r="E377" t="s">
        <v>17</v>
      </c>
      <c r="F377">
        <v>8</v>
      </c>
      <c r="G377" t="str" cm="1">
        <f t="array" ref="G377">_xlfn.IFS(_xlfn.SINGLE(Table1[imd_decile])&lt;=3,"Most Deprived",F377&lt;=7,"Moderately Deprived",F377&lt;=10,"Least Deprived")</f>
        <v>Least Deprived</v>
      </c>
      <c r="H377">
        <v>3.3</v>
      </c>
      <c r="I377" t="s">
        <v>38</v>
      </c>
      <c r="J377" t="s">
        <v>19</v>
      </c>
      <c r="K377" s="1">
        <v>45715</v>
      </c>
      <c r="L377" s="1">
        <v>45736</v>
      </c>
      <c r="M377" s="1" t="str">
        <f>TEXT(Table1[[#This Row],[appointment_date]],"MM/YYYY")</f>
        <v>03/2025</v>
      </c>
      <c r="N377">
        <v>21</v>
      </c>
      <c r="O377" t="str" cm="1">
        <f t="array" ref="O377">_xlfn.IFS(Table1[[#This Row],[lead_time_days]]&lt;=7,"0-7 days",N377&lt;=14,"8-14 days",N377&lt;=30,"15-30 days",N377&lt;=60,"31-60 days",TRUE,"61+ days")</f>
        <v>15-30 days</v>
      </c>
      <c r="P377" t="s">
        <v>20</v>
      </c>
      <c r="Q377" t="s">
        <v>21</v>
      </c>
      <c r="R377">
        <v>0</v>
      </c>
      <c r="S377" t="str">
        <f>IF(Table1[prior_dna_count]&gt;=1,"Has prior DNA history","No prior DNA history")</f>
        <v>No prior DNA history</v>
      </c>
      <c r="T377" t="s">
        <v>22</v>
      </c>
      <c r="U377" t="str">
        <f t="shared" si="5"/>
        <v>1</v>
      </c>
      <c r="V377" t="str">
        <f>IF(Table1[appointment_status]="Attended","1","0")</f>
        <v>1</v>
      </c>
      <c r="W377" t="str">
        <f>IF(Table1[appointment_status]="Cancelled","1","0")</f>
        <v>0</v>
      </c>
    </row>
    <row r="378" spans="1:23">
      <c r="A378" t="s">
        <v>761</v>
      </c>
      <c r="B378" t="s">
        <v>762</v>
      </c>
      <c r="C378">
        <v>29</v>
      </c>
      <c r="D378" t="str" cm="1">
        <f t="array" ref="D378">_xlfn.IFS(Table1[[#This Row],[age]]&lt;=17,"0-17",C378&lt;=29,"18-29",C378&lt;=44,"30-44",C378&lt;=59,"45-59",C378&lt;=74,"60-74",TRUE,"75+")</f>
        <v>18-29</v>
      </c>
      <c r="E378" t="s">
        <v>29</v>
      </c>
      <c r="F378">
        <v>3</v>
      </c>
      <c r="G378" t="str" cm="1">
        <f t="array" ref="G378">_xlfn.IFS(_xlfn.SINGLE(Table1[imd_decile])&lt;=3,"Most Deprived",F378&lt;=7,"Moderately Deprived",F378&lt;=10,"Least Deprived")</f>
        <v>Most Deprived</v>
      </c>
      <c r="H378">
        <v>5.2</v>
      </c>
      <c r="I378" t="s">
        <v>25</v>
      </c>
      <c r="J378" t="s">
        <v>26</v>
      </c>
      <c r="K378" s="1">
        <v>45729</v>
      </c>
      <c r="L378" s="1">
        <v>45737</v>
      </c>
      <c r="M378" s="1" t="str">
        <f>TEXT(Table1[[#This Row],[appointment_date]],"MM/YYYY")</f>
        <v>03/2025</v>
      </c>
      <c r="N378">
        <v>8</v>
      </c>
      <c r="O378" t="str" cm="1">
        <f t="array" ref="O378">_xlfn.IFS(Table1[[#This Row],[lead_time_days]]&lt;=7,"0-7 days",N378&lt;=14,"8-14 days",N378&lt;=30,"15-30 days",N378&lt;=60,"31-60 days",TRUE,"61+ days")</f>
        <v>8-14 days</v>
      </c>
      <c r="P378" t="s">
        <v>52</v>
      </c>
      <c r="Q378" t="s">
        <v>21</v>
      </c>
      <c r="R378">
        <v>0</v>
      </c>
      <c r="S378" t="str">
        <f>IF(Table1[prior_dna_count]&gt;=1,"Has prior DNA history","No prior DNA history")</f>
        <v>No prior DNA history</v>
      </c>
      <c r="T378" t="s">
        <v>22</v>
      </c>
      <c r="U378" t="str">
        <f t="shared" si="5"/>
        <v>1</v>
      </c>
      <c r="V378" t="str">
        <f>IF(Table1[appointment_status]="Attended","1","0")</f>
        <v>1</v>
      </c>
      <c r="W378" t="str">
        <f>IF(Table1[appointment_status]="Cancelled","1","0")</f>
        <v>0</v>
      </c>
    </row>
    <row r="379" spans="1:23">
      <c r="A379" t="s">
        <v>763</v>
      </c>
      <c r="B379" t="s">
        <v>764</v>
      </c>
      <c r="C379">
        <v>30</v>
      </c>
      <c r="D379" t="str" cm="1">
        <f t="array" ref="D379">_xlfn.IFS(Table1[[#This Row],[age]]&lt;=17,"0-17",C379&lt;=29,"18-29",C379&lt;=44,"30-44",C379&lt;=59,"45-59",C379&lt;=74,"60-74",TRUE,"75+")</f>
        <v>30-44</v>
      </c>
      <c r="E379" t="s">
        <v>17</v>
      </c>
      <c r="F379">
        <v>6</v>
      </c>
      <c r="G379" t="str" cm="1">
        <f t="array" ref="G379">_xlfn.IFS(_xlfn.SINGLE(Table1[imd_decile])&lt;=3,"Most Deprived",F379&lt;=7,"Moderately Deprived",F379&lt;=10,"Least Deprived")</f>
        <v>Moderately Deprived</v>
      </c>
      <c r="H379">
        <v>5</v>
      </c>
      <c r="I379" t="s">
        <v>38</v>
      </c>
      <c r="J379" t="s">
        <v>26</v>
      </c>
      <c r="K379" s="1">
        <v>45711</v>
      </c>
      <c r="L379" s="1">
        <v>45737</v>
      </c>
      <c r="M379" s="1" t="str">
        <f>TEXT(Table1[[#This Row],[appointment_date]],"MM/YYYY")</f>
        <v>03/2025</v>
      </c>
      <c r="N379">
        <v>26</v>
      </c>
      <c r="O379" t="str" cm="1">
        <f t="array" ref="O379">_xlfn.IFS(Table1[[#This Row],[lead_time_days]]&lt;=7,"0-7 days",N379&lt;=14,"8-14 days",N379&lt;=30,"15-30 days",N379&lt;=60,"31-60 days",TRUE,"61+ days")</f>
        <v>15-30 days</v>
      </c>
      <c r="P379" t="s">
        <v>52</v>
      </c>
      <c r="Q379" t="s">
        <v>21</v>
      </c>
      <c r="R379">
        <v>0</v>
      </c>
      <c r="S379" t="str">
        <f>IF(Table1[prior_dna_count]&gt;=1,"Has prior DNA history","No prior DNA history")</f>
        <v>No prior DNA history</v>
      </c>
      <c r="T379" t="s">
        <v>39</v>
      </c>
      <c r="U379" t="str">
        <f t="shared" si="5"/>
        <v>1</v>
      </c>
      <c r="V379" t="str">
        <f>IF(Table1[appointment_status]="Attended","1","0")</f>
        <v>0</v>
      </c>
      <c r="W379" t="str">
        <f>IF(Table1[appointment_status]="Cancelled","1","0")</f>
        <v>0</v>
      </c>
    </row>
    <row r="380" spans="1:23">
      <c r="A380" t="s">
        <v>765</v>
      </c>
      <c r="B380" t="s">
        <v>766</v>
      </c>
      <c r="C380">
        <v>47</v>
      </c>
      <c r="D380" t="str" cm="1">
        <f t="array" ref="D380">_xlfn.IFS(Table1[[#This Row],[age]]&lt;=17,"0-17",C380&lt;=29,"18-29",C380&lt;=44,"30-44",C380&lt;=59,"45-59",C380&lt;=74,"60-74",TRUE,"75+")</f>
        <v>45-59</v>
      </c>
      <c r="E380" t="s">
        <v>29</v>
      </c>
      <c r="F380">
        <v>8</v>
      </c>
      <c r="G380" t="str" cm="1">
        <f t="array" ref="G380">_xlfn.IFS(_xlfn.SINGLE(Table1[imd_decile])&lt;=3,"Most Deprived",F380&lt;=7,"Moderately Deprived",F380&lt;=10,"Least Deprived")</f>
        <v>Least Deprived</v>
      </c>
      <c r="H380">
        <v>3.9</v>
      </c>
      <c r="I380" t="s">
        <v>25</v>
      </c>
      <c r="J380" t="s">
        <v>26</v>
      </c>
      <c r="K380" s="1">
        <v>45728</v>
      </c>
      <c r="L380" s="1">
        <v>45737</v>
      </c>
      <c r="M380" s="1" t="str">
        <f>TEXT(Table1[[#This Row],[appointment_date]],"MM/YYYY")</f>
        <v>03/2025</v>
      </c>
      <c r="N380">
        <v>9</v>
      </c>
      <c r="O380" t="str" cm="1">
        <f t="array" ref="O380">_xlfn.IFS(Table1[[#This Row],[lead_time_days]]&lt;=7,"0-7 days",N380&lt;=14,"8-14 days",N380&lt;=30,"15-30 days",N380&lt;=60,"31-60 days",TRUE,"61+ days")</f>
        <v>8-14 days</v>
      </c>
      <c r="P380" t="s">
        <v>52</v>
      </c>
      <c r="Q380" t="s">
        <v>21</v>
      </c>
      <c r="R380">
        <v>0</v>
      </c>
      <c r="S380" t="str">
        <f>IF(Table1[prior_dna_count]&gt;=1,"Has prior DNA history","No prior DNA history")</f>
        <v>No prior DNA history</v>
      </c>
      <c r="T380" t="s">
        <v>22</v>
      </c>
      <c r="U380" t="str">
        <f t="shared" si="5"/>
        <v>0</v>
      </c>
      <c r="V380" t="str">
        <f>IF(Table1[appointment_status]="Attended","1","0")</f>
        <v>1</v>
      </c>
      <c r="W380" t="str">
        <f>IF(Table1[appointment_status]="Cancelled","1","0")</f>
        <v>0</v>
      </c>
    </row>
    <row r="381" spans="1:23">
      <c r="A381" t="s">
        <v>767</v>
      </c>
      <c r="B381" t="s">
        <v>768</v>
      </c>
      <c r="C381">
        <v>49</v>
      </c>
      <c r="D381" t="str" cm="1">
        <f t="array" ref="D381">_xlfn.IFS(Table1[[#This Row],[age]]&lt;=17,"0-17",C381&lt;=29,"18-29",C381&lt;=44,"30-44",C381&lt;=59,"45-59",C381&lt;=74,"60-74",TRUE,"75+")</f>
        <v>45-59</v>
      </c>
      <c r="E381" t="s">
        <v>17</v>
      </c>
      <c r="F381">
        <v>7</v>
      </c>
      <c r="G381" t="str" cm="1">
        <f t="array" ref="G381">_xlfn.IFS(_xlfn.SINGLE(Table1[imd_decile])&lt;=3,"Most Deprived",F381&lt;=7,"Moderately Deprived",F381&lt;=10,"Least Deprived")</f>
        <v>Moderately Deprived</v>
      </c>
      <c r="H381">
        <v>15.4</v>
      </c>
      <c r="I381" t="s">
        <v>42</v>
      </c>
      <c r="J381" t="s">
        <v>19</v>
      </c>
      <c r="K381" s="1">
        <v>45716</v>
      </c>
      <c r="L381" s="1">
        <v>45737</v>
      </c>
      <c r="M381" s="1" t="str">
        <f>TEXT(Table1[[#This Row],[appointment_date]],"MM/YYYY")</f>
        <v>03/2025</v>
      </c>
      <c r="N381">
        <v>21</v>
      </c>
      <c r="O381" t="str" cm="1">
        <f t="array" ref="O381">_xlfn.IFS(Table1[[#This Row],[lead_time_days]]&lt;=7,"0-7 days",N381&lt;=14,"8-14 days",N381&lt;=30,"15-30 days",N381&lt;=60,"31-60 days",TRUE,"61+ days")</f>
        <v>15-30 days</v>
      </c>
      <c r="P381" t="s">
        <v>52</v>
      </c>
      <c r="Q381" t="s">
        <v>21</v>
      </c>
      <c r="R381">
        <v>1</v>
      </c>
      <c r="S381" t="str">
        <f>IF(Table1[prior_dna_count]&gt;=1,"Has prior DNA history","No prior DNA history")</f>
        <v>Has prior DNA history</v>
      </c>
      <c r="T381" t="s">
        <v>22</v>
      </c>
      <c r="U381" t="str">
        <f t="shared" si="5"/>
        <v>1</v>
      </c>
      <c r="V381" t="str">
        <f>IF(Table1[appointment_status]="Attended","1","0")</f>
        <v>1</v>
      </c>
      <c r="W381" t="str">
        <f>IF(Table1[appointment_status]="Cancelled","1","0")</f>
        <v>0</v>
      </c>
    </row>
    <row r="382" spans="1:23">
      <c r="A382" t="s">
        <v>769</v>
      </c>
      <c r="B382" t="s">
        <v>770</v>
      </c>
      <c r="C382">
        <v>37</v>
      </c>
      <c r="D382" t="str" cm="1">
        <f t="array" ref="D382">_xlfn.IFS(Table1[[#This Row],[age]]&lt;=17,"0-17",C382&lt;=29,"18-29",C382&lt;=44,"30-44",C382&lt;=59,"45-59",C382&lt;=74,"60-74",TRUE,"75+")</f>
        <v>30-44</v>
      </c>
      <c r="E382" t="s">
        <v>29</v>
      </c>
      <c r="F382">
        <v>5</v>
      </c>
      <c r="G382" t="str" cm="1">
        <f t="array" ref="G382">_xlfn.IFS(_xlfn.SINGLE(Table1[imd_decile])&lt;=3,"Most Deprived",F382&lt;=7,"Moderately Deprived",F382&lt;=10,"Least Deprived")</f>
        <v>Moderately Deprived</v>
      </c>
      <c r="H382">
        <v>14.4</v>
      </c>
      <c r="I382" t="s">
        <v>58</v>
      </c>
      <c r="J382" t="s">
        <v>19</v>
      </c>
      <c r="K382" s="1">
        <v>45689</v>
      </c>
      <c r="L382" s="1">
        <v>45737</v>
      </c>
      <c r="M382" s="1" t="str">
        <f>TEXT(Table1[[#This Row],[appointment_date]],"MM/YYYY")</f>
        <v>03/2025</v>
      </c>
      <c r="N382">
        <v>48</v>
      </c>
      <c r="O382" t="str" cm="1">
        <f t="array" ref="O382">_xlfn.IFS(Table1[[#This Row],[lead_time_days]]&lt;=7,"0-7 days",N382&lt;=14,"8-14 days",N382&lt;=30,"15-30 days",N382&lt;=60,"31-60 days",TRUE,"61+ days")</f>
        <v>31-60 days</v>
      </c>
      <c r="P382" t="s">
        <v>52</v>
      </c>
      <c r="Q382" t="s">
        <v>21</v>
      </c>
      <c r="R382">
        <v>2</v>
      </c>
      <c r="S382" t="str">
        <f>IF(Table1[prior_dna_count]&gt;=1,"Has prior DNA history","No prior DNA history")</f>
        <v>Has prior DNA history</v>
      </c>
      <c r="T382" t="s">
        <v>22</v>
      </c>
      <c r="U382" t="str">
        <f t="shared" si="5"/>
        <v>1</v>
      </c>
      <c r="V382" t="str">
        <f>IF(Table1[appointment_status]="Attended","1","0")</f>
        <v>1</v>
      </c>
      <c r="W382" t="str">
        <f>IF(Table1[appointment_status]="Cancelled","1","0")</f>
        <v>0</v>
      </c>
    </row>
    <row r="383" spans="1:23">
      <c r="A383" t="s">
        <v>771</v>
      </c>
      <c r="B383" t="s">
        <v>772</v>
      </c>
      <c r="C383">
        <v>24</v>
      </c>
      <c r="D383" t="str" cm="1">
        <f t="array" ref="D383">_xlfn.IFS(Table1[[#This Row],[age]]&lt;=17,"0-17",C383&lt;=29,"18-29",C383&lt;=44,"30-44",C383&lt;=59,"45-59",C383&lt;=74,"60-74",TRUE,"75+")</f>
        <v>18-29</v>
      </c>
      <c r="E383" t="s">
        <v>29</v>
      </c>
      <c r="F383">
        <v>5</v>
      </c>
      <c r="G383" t="str" cm="1">
        <f t="array" ref="G383">_xlfn.IFS(_xlfn.SINGLE(Table1[imd_decile])&lt;=3,"Most Deprived",F383&lt;=7,"Moderately Deprived",F383&lt;=10,"Least Deprived")</f>
        <v>Moderately Deprived</v>
      </c>
      <c r="H383">
        <v>5.2</v>
      </c>
      <c r="I383" t="s">
        <v>91</v>
      </c>
      <c r="J383" t="s">
        <v>26</v>
      </c>
      <c r="K383" s="1">
        <v>45728</v>
      </c>
      <c r="L383" s="1">
        <v>45737</v>
      </c>
      <c r="M383" s="1" t="str">
        <f>TEXT(Table1[[#This Row],[appointment_date]],"MM/YYYY")</f>
        <v>03/2025</v>
      </c>
      <c r="N383">
        <v>9</v>
      </c>
      <c r="O383" t="str" cm="1">
        <f t="array" ref="O383">_xlfn.IFS(Table1[[#This Row],[lead_time_days]]&lt;=7,"0-7 days",N383&lt;=14,"8-14 days",N383&lt;=30,"15-30 days",N383&lt;=60,"31-60 days",TRUE,"61+ days")</f>
        <v>8-14 days</v>
      </c>
      <c r="P383" t="s">
        <v>52</v>
      </c>
      <c r="Q383" t="s">
        <v>32</v>
      </c>
      <c r="R383">
        <v>0</v>
      </c>
      <c r="S383" t="str">
        <f>IF(Table1[prior_dna_count]&gt;=1,"Has prior DNA history","No prior DNA history")</f>
        <v>No prior DNA history</v>
      </c>
      <c r="T383" t="s">
        <v>46</v>
      </c>
      <c r="U383" t="str">
        <f t="shared" si="5"/>
        <v>1</v>
      </c>
      <c r="V383" t="str">
        <f>IF(Table1[appointment_status]="Attended","1","0")</f>
        <v>0</v>
      </c>
      <c r="W383" t="str">
        <f>IF(Table1[appointment_status]="Cancelled","1","0")</f>
        <v>1</v>
      </c>
    </row>
    <row r="384" spans="1:23">
      <c r="A384" t="s">
        <v>773</v>
      </c>
      <c r="B384" t="s">
        <v>756</v>
      </c>
      <c r="C384">
        <v>44</v>
      </c>
      <c r="D384" t="str" cm="1">
        <f t="array" ref="D384">_xlfn.IFS(Table1[[#This Row],[age]]&lt;=17,"0-17",C384&lt;=29,"18-29",C384&lt;=44,"30-44",C384&lt;=59,"45-59",C384&lt;=74,"60-74",TRUE,"75+")</f>
        <v>30-44</v>
      </c>
      <c r="E384" t="s">
        <v>17</v>
      </c>
      <c r="F384">
        <v>3</v>
      </c>
      <c r="G384" t="str" cm="1">
        <f t="array" ref="G384">_xlfn.IFS(_xlfn.SINGLE(Table1[imd_decile])&lt;=3,"Most Deprived",F384&lt;=7,"Moderately Deprived",F384&lt;=10,"Least Deprived")</f>
        <v>Most Deprived</v>
      </c>
      <c r="H384">
        <v>8.6</v>
      </c>
      <c r="I384" t="s">
        <v>58</v>
      </c>
      <c r="J384" t="s">
        <v>19</v>
      </c>
      <c r="K384" s="1">
        <v>45691</v>
      </c>
      <c r="L384" s="1">
        <v>45737</v>
      </c>
      <c r="M384" s="1" t="str">
        <f>TEXT(Table1[[#This Row],[appointment_date]],"MM/YYYY")</f>
        <v>03/2025</v>
      </c>
      <c r="N384">
        <v>46</v>
      </c>
      <c r="O384" t="str" cm="1">
        <f t="array" ref="O384">_xlfn.IFS(Table1[[#This Row],[lead_time_days]]&lt;=7,"0-7 days",N384&lt;=14,"8-14 days",N384&lt;=30,"15-30 days",N384&lt;=60,"31-60 days",TRUE,"61+ days")</f>
        <v>31-60 days</v>
      </c>
      <c r="P384" t="s">
        <v>52</v>
      </c>
      <c r="Q384" t="s">
        <v>32</v>
      </c>
      <c r="R384">
        <v>0</v>
      </c>
      <c r="S384" t="str">
        <f>IF(Table1[prior_dna_count]&gt;=1,"Has prior DNA history","No prior DNA history")</f>
        <v>No prior DNA history</v>
      </c>
      <c r="T384" t="s">
        <v>39</v>
      </c>
      <c r="U384" t="str">
        <f t="shared" si="5"/>
        <v>0</v>
      </c>
      <c r="V384" t="str">
        <f>IF(Table1[appointment_status]="Attended","1","0")</f>
        <v>0</v>
      </c>
      <c r="W384" t="str">
        <f>IF(Table1[appointment_status]="Cancelled","1","0")</f>
        <v>0</v>
      </c>
    </row>
    <row r="385" spans="1:23">
      <c r="A385" t="s">
        <v>774</v>
      </c>
      <c r="B385" t="s">
        <v>750</v>
      </c>
      <c r="C385">
        <v>59</v>
      </c>
      <c r="D385" t="str" cm="1">
        <f t="array" ref="D385">_xlfn.IFS(Table1[[#This Row],[age]]&lt;=17,"0-17",C385&lt;=29,"18-29",C385&lt;=44,"30-44",C385&lt;=59,"45-59",C385&lt;=74,"60-74",TRUE,"75+")</f>
        <v>45-59</v>
      </c>
      <c r="E385" t="s">
        <v>17</v>
      </c>
      <c r="F385">
        <v>2</v>
      </c>
      <c r="G385" t="str" cm="1">
        <f t="array" ref="G385">_xlfn.IFS(_xlfn.SINGLE(Table1[imd_decile])&lt;=3,"Most Deprived",F385&lt;=7,"Moderately Deprived",F385&lt;=10,"Least Deprived")</f>
        <v>Most Deprived</v>
      </c>
      <c r="H385">
        <v>23.1</v>
      </c>
      <c r="I385" t="s">
        <v>58</v>
      </c>
      <c r="J385" t="s">
        <v>19</v>
      </c>
      <c r="K385" s="1">
        <v>45667</v>
      </c>
      <c r="L385" s="1">
        <v>45737</v>
      </c>
      <c r="M385" s="1" t="str">
        <f>TEXT(Table1[[#This Row],[appointment_date]],"MM/YYYY")</f>
        <v>03/2025</v>
      </c>
      <c r="N385">
        <v>70</v>
      </c>
      <c r="O385" t="str" cm="1">
        <f t="array" ref="O385">_xlfn.IFS(Table1[[#This Row],[lead_time_days]]&lt;=7,"0-7 days",N385&lt;=14,"8-14 days",N385&lt;=30,"15-30 days",N385&lt;=60,"31-60 days",TRUE,"61+ days")</f>
        <v>61+ days</v>
      </c>
      <c r="P385" t="s">
        <v>52</v>
      </c>
      <c r="Q385" t="s">
        <v>21</v>
      </c>
      <c r="R385">
        <v>0</v>
      </c>
      <c r="S385" t="str">
        <f>IF(Table1[prior_dna_count]&gt;=1,"Has prior DNA history","No prior DNA history")</f>
        <v>No prior DNA history</v>
      </c>
      <c r="T385" t="s">
        <v>39</v>
      </c>
      <c r="U385" t="str">
        <f t="shared" si="5"/>
        <v>0</v>
      </c>
      <c r="V385" t="str">
        <f>IF(Table1[appointment_status]="Attended","1","0")</f>
        <v>0</v>
      </c>
      <c r="W385" t="str">
        <f>IF(Table1[appointment_status]="Cancelled","1","0")</f>
        <v>0</v>
      </c>
    </row>
    <row r="386" spans="1:23">
      <c r="A386" t="s">
        <v>775</v>
      </c>
      <c r="B386" t="s">
        <v>776</v>
      </c>
      <c r="C386">
        <v>31</v>
      </c>
      <c r="D386" t="str" cm="1">
        <f t="array" ref="D386">_xlfn.IFS(Table1[[#This Row],[age]]&lt;=17,"0-17",C386&lt;=29,"18-29",C386&lt;=44,"30-44",C386&lt;=59,"45-59",C386&lt;=74,"60-74",TRUE,"75+")</f>
        <v>30-44</v>
      </c>
      <c r="E386" t="s">
        <v>29</v>
      </c>
      <c r="F386">
        <v>7</v>
      </c>
      <c r="G386" t="str" cm="1">
        <f t="array" ref="G386">_xlfn.IFS(_xlfn.SINGLE(Table1[imd_decile])&lt;=3,"Most Deprived",F386&lt;=7,"Moderately Deprived",F386&lt;=10,"Least Deprived")</f>
        <v>Moderately Deprived</v>
      </c>
      <c r="H386">
        <v>3.6</v>
      </c>
      <c r="I386" t="s">
        <v>91</v>
      </c>
      <c r="J386" t="s">
        <v>19</v>
      </c>
      <c r="K386" s="1">
        <v>45697</v>
      </c>
      <c r="L386" s="1">
        <v>45737</v>
      </c>
      <c r="M386" s="1" t="str">
        <f>TEXT(Table1[[#This Row],[appointment_date]],"MM/YYYY")</f>
        <v>03/2025</v>
      </c>
      <c r="N386">
        <v>40</v>
      </c>
      <c r="O386" t="str" cm="1">
        <f t="array" ref="O386">_xlfn.IFS(Table1[[#This Row],[lead_time_days]]&lt;=7,"0-7 days",N386&lt;=14,"8-14 days",N386&lt;=30,"15-30 days",N386&lt;=60,"31-60 days",TRUE,"61+ days")</f>
        <v>31-60 days</v>
      </c>
      <c r="P386" t="s">
        <v>52</v>
      </c>
      <c r="Q386" t="s">
        <v>21</v>
      </c>
      <c r="R386">
        <v>0</v>
      </c>
      <c r="S386" t="str">
        <f>IF(Table1[prior_dna_count]&gt;=1,"Has prior DNA history","No prior DNA history")</f>
        <v>No prior DNA history</v>
      </c>
      <c r="T386" t="s">
        <v>22</v>
      </c>
      <c r="U386" t="str">
        <f t="shared" ref="U386:U449" si="6">V385</f>
        <v>0</v>
      </c>
      <c r="V386" t="str">
        <f>IF(Table1[appointment_status]="Attended","1","0")</f>
        <v>1</v>
      </c>
      <c r="W386" t="str">
        <f>IF(Table1[appointment_status]="Cancelled","1","0")</f>
        <v>0</v>
      </c>
    </row>
    <row r="387" spans="1:23">
      <c r="A387" t="s">
        <v>777</v>
      </c>
      <c r="B387" t="s">
        <v>778</v>
      </c>
      <c r="C387">
        <v>60</v>
      </c>
      <c r="D387" t="str" cm="1">
        <f t="array" ref="D387">_xlfn.IFS(Table1[[#This Row],[age]]&lt;=17,"0-17",C387&lt;=29,"18-29",C387&lt;=44,"30-44",C387&lt;=59,"45-59",C387&lt;=74,"60-74",TRUE,"75+")</f>
        <v>60-74</v>
      </c>
      <c r="E387" t="s">
        <v>29</v>
      </c>
      <c r="F387">
        <v>7</v>
      </c>
      <c r="G387" t="str" cm="1">
        <f t="array" ref="G387">_xlfn.IFS(_xlfn.SINGLE(Table1[imd_decile])&lt;=3,"Most Deprived",F387&lt;=7,"Moderately Deprived",F387&lt;=10,"Least Deprived")</f>
        <v>Moderately Deprived</v>
      </c>
      <c r="H387">
        <v>20.5</v>
      </c>
      <c r="I387" t="s">
        <v>30</v>
      </c>
      <c r="J387" t="s">
        <v>19</v>
      </c>
      <c r="K387" s="1">
        <v>45666</v>
      </c>
      <c r="L387" s="1">
        <v>45738</v>
      </c>
      <c r="M387" s="1" t="str">
        <f>TEXT(Table1[[#This Row],[appointment_date]],"MM/YYYY")</f>
        <v>03/2025</v>
      </c>
      <c r="N387">
        <v>72</v>
      </c>
      <c r="O387" t="str" cm="1">
        <f t="array" ref="O387">_xlfn.IFS(Table1[[#This Row],[lead_time_days]]&lt;=7,"0-7 days",N387&lt;=14,"8-14 days",N387&lt;=30,"15-30 days",N387&lt;=60,"31-60 days",TRUE,"61+ days")</f>
        <v>61+ days</v>
      </c>
      <c r="P387" t="s">
        <v>55</v>
      </c>
      <c r="Q387" t="s">
        <v>32</v>
      </c>
      <c r="R387">
        <v>0</v>
      </c>
      <c r="S387" t="str">
        <f>IF(Table1[prior_dna_count]&gt;=1,"Has prior DNA history","No prior DNA history")</f>
        <v>No prior DNA history</v>
      </c>
      <c r="T387" t="s">
        <v>39</v>
      </c>
      <c r="U387" t="str">
        <f t="shared" si="6"/>
        <v>1</v>
      </c>
      <c r="V387" t="str">
        <f>IF(Table1[appointment_status]="Attended","1","0")</f>
        <v>0</v>
      </c>
      <c r="W387" t="str">
        <f>IF(Table1[appointment_status]="Cancelled","1","0")</f>
        <v>0</v>
      </c>
    </row>
    <row r="388" spans="1:23">
      <c r="A388" t="s">
        <v>779</v>
      </c>
      <c r="B388" t="s">
        <v>780</v>
      </c>
      <c r="C388">
        <v>59</v>
      </c>
      <c r="D388" t="str" cm="1">
        <f t="array" ref="D388">_xlfn.IFS(Table1[[#This Row],[age]]&lt;=17,"0-17",C388&lt;=29,"18-29",C388&lt;=44,"30-44",C388&lt;=59,"45-59",C388&lt;=74,"60-74",TRUE,"75+")</f>
        <v>45-59</v>
      </c>
      <c r="E388" t="s">
        <v>29</v>
      </c>
      <c r="F388">
        <v>1</v>
      </c>
      <c r="G388" t="str" cm="1">
        <f t="array" ref="G388">_xlfn.IFS(_xlfn.SINGLE(Table1[imd_decile])&lt;=3,"Most Deprived",F388&lt;=7,"Moderately Deprived",F388&lt;=10,"Least Deprived")</f>
        <v>Most Deprived</v>
      </c>
      <c r="H388">
        <v>11.6</v>
      </c>
      <c r="I388" t="s">
        <v>30</v>
      </c>
      <c r="J388" t="s">
        <v>19</v>
      </c>
      <c r="K388" s="1">
        <v>45684</v>
      </c>
      <c r="L388" s="1">
        <v>45738</v>
      </c>
      <c r="M388" s="1" t="str">
        <f>TEXT(Table1[[#This Row],[appointment_date]],"MM/YYYY")</f>
        <v>03/2025</v>
      </c>
      <c r="N388">
        <v>54</v>
      </c>
      <c r="O388" t="str" cm="1">
        <f t="array" ref="O388">_xlfn.IFS(Table1[[#This Row],[lead_time_days]]&lt;=7,"0-7 days",N388&lt;=14,"8-14 days",N388&lt;=30,"15-30 days",N388&lt;=60,"31-60 days",TRUE,"61+ days")</f>
        <v>31-60 days</v>
      </c>
      <c r="P388" t="s">
        <v>55</v>
      </c>
      <c r="Q388" t="s">
        <v>32</v>
      </c>
      <c r="R388">
        <v>0</v>
      </c>
      <c r="S388" t="str">
        <f>IF(Table1[prior_dna_count]&gt;=1,"Has prior DNA history","No prior DNA history")</f>
        <v>No prior DNA history</v>
      </c>
      <c r="T388" t="s">
        <v>22</v>
      </c>
      <c r="U388" t="str">
        <f t="shared" si="6"/>
        <v>0</v>
      </c>
      <c r="V388" t="str">
        <f>IF(Table1[appointment_status]="Attended","1","0")</f>
        <v>1</v>
      </c>
      <c r="W388" t="str">
        <f>IF(Table1[appointment_status]="Cancelled","1","0")</f>
        <v>0</v>
      </c>
    </row>
    <row r="389" spans="1:23">
      <c r="A389" t="s">
        <v>781</v>
      </c>
      <c r="B389" t="s">
        <v>411</v>
      </c>
      <c r="C389">
        <v>3</v>
      </c>
      <c r="D389" t="str" cm="1">
        <f t="array" ref="D389">_xlfn.IFS(Table1[[#This Row],[age]]&lt;=17,"0-17",C389&lt;=29,"18-29",C389&lt;=44,"30-44",C389&lt;=59,"45-59",C389&lt;=74,"60-74",TRUE,"75+")</f>
        <v>0-17</v>
      </c>
      <c r="E389" t="s">
        <v>29</v>
      </c>
      <c r="F389">
        <v>3</v>
      </c>
      <c r="G389" t="str" cm="1">
        <f t="array" ref="G389">_xlfn.IFS(_xlfn.SINGLE(Table1[imd_decile])&lt;=3,"Most Deprived",F389&lt;=7,"Moderately Deprived",F389&lt;=10,"Least Deprived")</f>
        <v>Most Deprived</v>
      </c>
      <c r="H389">
        <v>2.2999999999999998</v>
      </c>
      <c r="I389" t="s">
        <v>45</v>
      </c>
      <c r="J389" t="s">
        <v>26</v>
      </c>
      <c r="K389" s="1">
        <v>45725</v>
      </c>
      <c r="L389" s="1">
        <v>45738</v>
      </c>
      <c r="M389" s="1" t="str">
        <f>TEXT(Table1[[#This Row],[appointment_date]],"MM/YYYY")</f>
        <v>03/2025</v>
      </c>
      <c r="N389">
        <v>13</v>
      </c>
      <c r="O389" t="str" cm="1">
        <f t="array" ref="O389">_xlfn.IFS(Table1[[#This Row],[lead_time_days]]&lt;=7,"0-7 days",N389&lt;=14,"8-14 days",N389&lt;=30,"15-30 days",N389&lt;=60,"31-60 days",TRUE,"61+ days")</f>
        <v>8-14 days</v>
      </c>
      <c r="P389" t="s">
        <v>55</v>
      </c>
      <c r="Q389" t="s">
        <v>21</v>
      </c>
      <c r="R389">
        <v>0</v>
      </c>
      <c r="S389" t="str">
        <f>IF(Table1[prior_dna_count]&gt;=1,"Has prior DNA history","No prior DNA history")</f>
        <v>No prior DNA history</v>
      </c>
      <c r="T389" t="s">
        <v>22</v>
      </c>
      <c r="U389" t="str">
        <f t="shared" si="6"/>
        <v>1</v>
      </c>
      <c r="V389" t="str">
        <f>IF(Table1[appointment_status]="Attended","1","0")</f>
        <v>1</v>
      </c>
      <c r="W389" t="str">
        <f>IF(Table1[appointment_status]="Cancelled","1","0")</f>
        <v>0</v>
      </c>
    </row>
    <row r="390" spans="1:23">
      <c r="A390" t="s">
        <v>782</v>
      </c>
      <c r="B390" t="s">
        <v>783</v>
      </c>
      <c r="C390">
        <v>37</v>
      </c>
      <c r="D390" t="str" cm="1">
        <f t="array" ref="D390">_xlfn.IFS(Table1[[#This Row],[age]]&lt;=17,"0-17",C390&lt;=29,"18-29",C390&lt;=44,"30-44",C390&lt;=59,"45-59",C390&lt;=74,"60-74",TRUE,"75+")</f>
        <v>30-44</v>
      </c>
      <c r="E390" t="s">
        <v>29</v>
      </c>
      <c r="F390">
        <v>5</v>
      </c>
      <c r="G390" t="str" cm="1">
        <f t="array" ref="G390">_xlfn.IFS(_xlfn.SINGLE(Table1[imd_decile])&lt;=3,"Most Deprived",F390&lt;=7,"Moderately Deprived",F390&lt;=10,"Least Deprived")</f>
        <v>Moderately Deprived</v>
      </c>
      <c r="H390">
        <v>4.4000000000000004</v>
      </c>
      <c r="I390" t="s">
        <v>18</v>
      </c>
      <c r="J390" t="s">
        <v>19</v>
      </c>
      <c r="K390" s="1">
        <v>45727</v>
      </c>
      <c r="L390" s="1">
        <v>45738</v>
      </c>
      <c r="M390" s="1" t="str">
        <f>TEXT(Table1[[#This Row],[appointment_date]],"MM/YYYY")</f>
        <v>03/2025</v>
      </c>
      <c r="N390">
        <v>11</v>
      </c>
      <c r="O390" t="str" cm="1">
        <f t="array" ref="O390">_xlfn.IFS(Table1[[#This Row],[lead_time_days]]&lt;=7,"0-7 days",N390&lt;=14,"8-14 days",N390&lt;=30,"15-30 days",N390&lt;=60,"31-60 days",TRUE,"61+ days")</f>
        <v>8-14 days</v>
      </c>
      <c r="P390" t="s">
        <v>55</v>
      </c>
      <c r="Q390" t="s">
        <v>21</v>
      </c>
      <c r="R390">
        <v>0</v>
      </c>
      <c r="S390" t="str">
        <f>IF(Table1[prior_dna_count]&gt;=1,"Has prior DNA history","No prior DNA history")</f>
        <v>No prior DNA history</v>
      </c>
      <c r="T390" t="s">
        <v>22</v>
      </c>
      <c r="U390" t="str">
        <f t="shared" si="6"/>
        <v>1</v>
      </c>
      <c r="V390" t="str">
        <f>IF(Table1[appointment_status]="Attended","1","0")</f>
        <v>1</v>
      </c>
      <c r="W390" t="str">
        <f>IF(Table1[appointment_status]="Cancelled","1","0")</f>
        <v>0</v>
      </c>
    </row>
    <row r="391" spans="1:23">
      <c r="A391" t="s">
        <v>784</v>
      </c>
      <c r="B391" t="s">
        <v>785</v>
      </c>
      <c r="C391">
        <v>69</v>
      </c>
      <c r="D391" t="str" cm="1">
        <f t="array" ref="D391">_xlfn.IFS(Table1[[#This Row],[age]]&lt;=17,"0-17",C391&lt;=29,"18-29",C391&lt;=44,"30-44",C391&lt;=59,"45-59",C391&lt;=74,"60-74",TRUE,"75+")</f>
        <v>60-74</v>
      </c>
      <c r="E391" t="s">
        <v>29</v>
      </c>
      <c r="F391">
        <v>3</v>
      </c>
      <c r="G391" t="str" cm="1">
        <f t="array" ref="G391">_xlfn.IFS(_xlfn.SINGLE(Table1[imd_decile])&lt;=3,"Most Deprived",F391&lt;=7,"Moderately Deprived",F391&lt;=10,"Least Deprived")</f>
        <v>Most Deprived</v>
      </c>
      <c r="H391">
        <v>8.6</v>
      </c>
      <c r="I391" t="s">
        <v>91</v>
      </c>
      <c r="J391" t="s">
        <v>19</v>
      </c>
      <c r="K391" s="1">
        <v>45694</v>
      </c>
      <c r="L391" s="1">
        <v>45738</v>
      </c>
      <c r="M391" s="1" t="str">
        <f>TEXT(Table1[[#This Row],[appointment_date]],"MM/YYYY")</f>
        <v>03/2025</v>
      </c>
      <c r="N391">
        <v>44</v>
      </c>
      <c r="O391" t="str" cm="1">
        <f t="array" ref="O391">_xlfn.IFS(Table1[[#This Row],[lead_time_days]]&lt;=7,"0-7 days",N391&lt;=14,"8-14 days",N391&lt;=30,"15-30 days",N391&lt;=60,"31-60 days",TRUE,"61+ days")</f>
        <v>31-60 days</v>
      </c>
      <c r="P391" t="s">
        <v>55</v>
      </c>
      <c r="Q391" t="s">
        <v>32</v>
      </c>
      <c r="R391">
        <v>0</v>
      </c>
      <c r="S391" t="str">
        <f>IF(Table1[prior_dna_count]&gt;=1,"Has prior DNA history","No prior DNA history")</f>
        <v>No prior DNA history</v>
      </c>
      <c r="T391" t="s">
        <v>22</v>
      </c>
      <c r="U391" t="str">
        <f t="shared" si="6"/>
        <v>1</v>
      </c>
      <c r="V391" t="str">
        <f>IF(Table1[appointment_status]="Attended","1","0")</f>
        <v>1</v>
      </c>
      <c r="W391" t="str">
        <f>IF(Table1[appointment_status]="Cancelled","1","0")</f>
        <v>0</v>
      </c>
    </row>
    <row r="392" spans="1:23">
      <c r="A392" t="s">
        <v>786</v>
      </c>
      <c r="B392" t="s">
        <v>787</v>
      </c>
      <c r="C392">
        <v>37</v>
      </c>
      <c r="D392" t="str" cm="1">
        <f t="array" ref="D392">_xlfn.IFS(Table1[[#This Row],[age]]&lt;=17,"0-17",C392&lt;=29,"18-29",C392&lt;=44,"30-44",C392&lt;=59,"45-59",C392&lt;=74,"60-74",TRUE,"75+")</f>
        <v>30-44</v>
      </c>
      <c r="E392" t="s">
        <v>29</v>
      </c>
      <c r="F392">
        <v>5</v>
      </c>
      <c r="G392" t="str" cm="1">
        <f t="array" ref="G392">_xlfn.IFS(_xlfn.SINGLE(Table1[imd_decile])&lt;=3,"Most Deprived",F392&lt;=7,"Moderately Deprived",F392&lt;=10,"Least Deprived")</f>
        <v>Moderately Deprived</v>
      </c>
      <c r="H392">
        <v>4.3</v>
      </c>
      <c r="I392" t="s">
        <v>155</v>
      </c>
      <c r="J392" t="s">
        <v>19</v>
      </c>
      <c r="K392" s="1">
        <v>45709</v>
      </c>
      <c r="L392" s="1">
        <v>45738</v>
      </c>
      <c r="M392" s="1" t="str">
        <f>TEXT(Table1[[#This Row],[appointment_date]],"MM/YYYY")</f>
        <v>03/2025</v>
      </c>
      <c r="N392">
        <v>29</v>
      </c>
      <c r="O392" t="str" cm="1">
        <f t="array" ref="O392">_xlfn.IFS(Table1[[#This Row],[lead_time_days]]&lt;=7,"0-7 days",N392&lt;=14,"8-14 days",N392&lt;=30,"15-30 days",N392&lt;=60,"31-60 days",TRUE,"61+ days")</f>
        <v>15-30 days</v>
      </c>
      <c r="P392" t="s">
        <v>55</v>
      </c>
      <c r="Q392" t="s">
        <v>21</v>
      </c>
      <c r="R392">
        <v>0</v>
      </c>
      <c r="S392" t="str">
        <f>IF(Table1[prior_dna_count]&gt;=1,"Has prior DNA history","No prior DNA history")</f>
        <v>No prior DNA history</v>
      </c>
      <c r="T392" t="s">
        <v>22</v>
      </c>
      <c r="U392" t="str">
        <f t="shared" si="6"/>
        <v>1</v>
      </c>
      <c r="V392" t="str">
        <f>IF(Table1[appointment_status]="Attended","1","0")</f>
        <v>1</v>
      </c>
      <c r="W392" t="str">
        <f>IF(Table1[appointment_status]="Cancelled","1","0")</f>
        <v>0</v>
      </c>
    </row>
    <row r="393" spans="1:23">
      <c r="A393" t="s">
        <v>788</v>
      </c>
      <c r="B393" t="s">
        <v>789</v>
      </c>
      <c r="C393">
        <v>39</v>
      </c>
      <c r="D393" t="str" cm="1">
        <f t="array" ref="D393">_xlfn.IFS(Table1[[#This Row],[age]]&lt;=17,"0-17",C393&lt;=29,"18-29",C393&lt;=44,"30-44",C393&lt;=59,"45-59",C393&lt;=74,"60-74",TRUE,"75+")</f>
        <v>30-44</v>
      </c>
      <c r="E393" t="s">
        <v>29</v>
      </c>
      <c r="F393">
        <v>10</v>
      </c>
      <c r="G393" t="str" cm="1">
        <f t="array" ref="G393">_xlfn.IFS(_xlfn.SINGLE(Table1[imd_decile])&lt;=3,"Most Deprived",F393&lt;=7,"Moderately Deprived",F393&lt;=10,"Least Deprived")</f>
        <v>Least Deprived</v>
      </c>
      <c r="H393">
        <v>10.1</v>
      </c>
      <c r="I393" t="s">
        <v>45</v>
      </c>
      <c r="J393" t="s">
        <v>19</v>
      </c>
      <c r="K393" s="1">
        <v>45719</v>
      </c>
      <c r="L393" s="1">
        <v>45738</v>
      </c>
      <c r="M393" s="1" t="str">
        <f>TEXT(Table1[[#This Row],[appointment_date]],"MM/YYYY")</f>
        <v>03/2025</v>
      </c>
      <c r="N393">
        <v>19</v>
      </c>
      <c r="O393" t="str" cm="1">
        <f t="array" ref="O393">_xlfn.IFS(Table1[[#This Row],[lead_time_days]]&lt;=7,"0-7 days",N393&lt;=14,"8-14 days",N393&lt;=30,"15-30 days",N393&lt;=60,"31-60 days",TRUE,"61+ days")</f>
        <v>15-30 days</v>
      </c>
      <c r="P393" t="s">
        <v>55</v>
      </c>
      <c r="Q393" t="s">
        <v>32</v>
      </c>
      <c r="R393">
        <v>1</v>
      </c>
      <c r="S393" t="str">
        <f>IF(Table1[prior_dna_count]&gt;=1,"Has prior DNA history","No prior DNA history")</f>
        <v>Has prior DNA history</v>
      </c>
      <c r="T393" t="s">
        <v>22</v>
      </c>
      <c r="U393" t="str">
        <f t="shared" si="6"/>
        <v>1</v>
      </c>
      <c r="V393" t="str">
        <f>IF(Table1[appointment_status]="Attended","1","0")</f>
        <v>1</v>
      </c>
      <c r="W393" t="str">
        <f>IF(Table1[appointment_status]="Cancelled","1","0")</f>
        <v>0</v>
      </c>
    </row>
    <row r="394" spans="1:23">
      <c r="A394" t="s">
        <v>790</v>
      </c>
      <c r="B394" t="s">
        <v>791</v>
      </c>
      <c r="C394">
        <v>14</v>
      </c>
      <c r="D394" t="str" cm="1">
        <f t="array" ref="D394">_xlfn.IFS(Table1[[#This Row],[age]]&lt;=17,"0-17",C394&lt;=29,"18-29",C394&lt;=44,"30-44",C394&lt;=59,"45-59",C394&lt;=74,"60-74",TRUE,"75+")</f>
        <v>0-17</v>
      </c>
      <c r="E394" t="s">
        <v>17</v>
      </c>
      <c r="F394">
        <v>3</v>
      </c>
      <c r="G394" t="str" cm="1">
        <f t="array" ref="G394">_xlfn.IFS(_xlfn.SINGLE(Table1[imd_decile])&lt;=3,"Most Deprived",F394&lt;=7,"Moderately Deprived",F394&lt;=10,"Least Deprived")</f>
        <v>Most Deprived</v>
      </c>
      <c r="H394">
        <v>11.7</v>
      </c>
      <c r="I394" t="s">
        <v>25</v>
      </c>
      <c r="J394" t="s">
        <v>26</v>
      </c>
      <c r="K394" s="1">
        <v>45725</v>
      </c>
      <c r="L394" s="1">
        <v>45739</v>
      </c>
      <c r="M394" s="1" t="str">
        <f>TEXT(Table1[[#This Row],[appointment_date]],"MM/YYYY")</f>
        <v>03/2025</v>
      </c>
      <c r="N394">
        <v>14</v>
      </c>
      <c r="O394" t="str" cm="1">
        <f t="array" ref="O394">_xlfn.IFS(Table1[[#This Row],[lead_time_days]]&lt;=7,"0-7 days",N394&lt;=14,"8-14 days",N394&lt;=30,"15-30 days",N394&lt;=60,"31-60 days",TRUE,"61+ days")</f>
        <v>8-14 days</v>
      </c>
      <c r="P394" t="s">
        <v>31</v>
      </c>
      <c r="Q394" t="s">
        <v>32</v>
      </c>
      <c r="R394">
        <v>0</v>
      </c>
      <c r="S394" t="str">
        <f>IF(Table1[prior_dna_count]&gt;=1,"Has prior DNA history","No prior DNA history")</f>
        <v>No prior DNA history</v>
      </c>
      <c r="T394" t="s">
        <v>46</v>
      </c>
      <c r="U394" t="str">
        <f t="shared" si="6"/>
        <v>1</v>
      </c>
      <c r="V394" t="str">
        <f>IF(Table1[appointment_status]="Attended","1","0")</f>
        <v>0</v>
      </c>
      <c r="W394" t="str">
        <f>IF(Table1[appointment_status]="Cancelled","1","0")</f>
        <v>1</v>
      </c>
    </row>
    <row r="395" spans="1:23">
      <c r="A395" t="s">
        <v>792</v>
      </c>
      <c r="B395" t="s">
        <v>793</v>
      </c>
      <c r="C395">
        <v>54</v>
      </c>
      <c r="D395" t="str" cm="1">
        <f t="array" ref="D395">_xlfn.IFS(Table1[[#This Row],[age]]&lt;=17,"0-17",C395&lt;=29,"18-29",C395&lt;=44,"30-44",C395&lt;=59,"45-59",C395&lt;=74,"60-74",TRUE,"75+")</f>
        <v>45-59</v>
      </c>
      <c r="E395" t="s">
        <v>29</v>
      </c>
      <c r="F395">
        <v>9</v>
      </c>
      <c r="G395" t="str" cm="1">
        <f t="array" ref="G395">_xlfn.IFS(_xlfn.SINGLE(Table1[imd_decile])&lt;=3,"Most Deprived",F395&lt;=7,"Moderately Deprived",F395&lt;=10,"Least Deprived")</f>
        <v>Least Deprived</v>
      </c>
      <c r="H395">
        <v>5.7</v>
      </c>
      <c r="I395" t="s">
        <v>42</v>
      </c>
      <c r="J395" t="s">
        <v>19</v>
      </c>
      <c r="K395" s="1">
        <v>45726</v>
      </c>
      <c r="L395" s="1">
        <v>45739</v>
      </c>
      <c r="M395" s="1" t="str">
        <f>TEXT(Table1[[#This Row],[appointment_date]],"MM/YYYY")</f>
        <v>03/2025</v>
      </c>
      <c r="N395">
        <v>13</v>
      </c>
      <c r="O395" t="str" cm="1">
        <f t="array" ref="O395">_xlfn.IFS(Table1[[#This Row],[lead_time_days]]&lt;=7,"0-7 days",N395&lt;=14,"8-14 days",N395&lt;=30,"15-30 days",N395&lt;=60,"31-60 days",TRUE,"61+ days")</f>
        <v>8-14 days</v>
      </c>
      <c r="P395" t="s">
        <v>31</v>
      </c>
      <c r="Q395" t="s">
        <v>21</v>
      </c>
      <c r="R395">
        <v>0</v>
      </c>
      <c r="S395" t="str">
        <f>IF(Table1[prior_dna_count]&gt;=1,"Has prior DNA history","No prior DNA history")</f>
        <v>No prior DNA history</v>
      </c>
      <c r="T395" t="s">
        <v>22</v>
      </c>
      <c r="U395" t="str">
        <f t="shared" si="6"/>
        <v>0</v>
      </c>
      <c r="V395" t="str">
        <f>IF(Table1[appointment_status]="Attended","1","0")</f>
        <v>1</v>
      </c>
      <c r="W395" t="str">
        <f>IF(Table1[appointment_status]="Cancelled","1","0")</f>
        <v>0</v>
      </c>
    </row>
    <row r="396" spans="1:23">
      <c r="A396" t="s">
        <v>794</v>
      </c>
      <c r="B396" t="s">
        <v>795</v>
      </c>
      <c r="C396">
        <v>52</v>
      </c>
      <c r="D396" t="str" cm="1">
        <f t="array" ref="D396">_xlfn.IFS(Table1[[#This Row],[age]]&lt;=17,"0-17",C396&lt;=29,"18-29",C396&lt;=44,"30-44",C396&lt;=59,"45-59",C396&lt;=74,"60-74",TRUE,"75+")</f>
        <v>45-59</v>
      </c>
      <c r="E396" t="s">
        <v>29</v>
      </c>
      <c r="F396">
        <v>10</v>
      </c>
      <c r="G396" t="str" cm="1">
        <f t="array" ref="G396">_xlfn.IFS(_xlfn.SINGLE(Table1[imd_decile])&lt;=3,"Most Deprived",F396&lt;=7,"Moderately Deprived",F396&lt;=10,"Least Deprived")</f>
        <v>Least Deprived</v>
      </c>
      <c r="H396">
        <v>6.7</v>
      </c>
      <c r="I396" t="s">
        <v>91</v>
      </c>
      <c r="J396" t="s">
        <v>26</v>
      </c>
      <c r="K396" s="1">
        <v>45718</v>
      </c>
      <c r="L396" s="1">
        <v>45739</v>
      </c>
      <c r="M396" s="1" t="str">
        <f>TEXT(Table1[[#This Row],[appointment_date]],"MM/YYYY")</f>
        <v>03/2025</v>
      </c>
      <c r="N396">
        <v>21</v>
      </c>
      <c r="O396" t="str" cm="1">
        <f t="array" ref="O396">_xlfn.IFS(Table1[[#This Row],[lead_time_days]]&lt;=7,"0-7 days",N396&lt;=14,"8-14 days",N396&lt;=30,"15-30 days",N396&lt;=60,"31-60 days",TRUE,"61+ days")</f>
        <v>15-30 days</v>
      </c>
      <c r="P396" t="s">
        <v>31</v>
      </c>
      <c r="Q396" t="s">
        <v>21</v>
      </c>
      <c r="R396">
        <v>0</v>
      </c>
      <c r="S396" t="str">
        <f>IF(Table1[prior_dna_count]&gt;=1,"Has prior DNA history","No prior DNA history")</f>
        <v>No prior DNA history</v>
      </c>
      <c r="T396" t="s">
        <v>22</v>
      </c>
      <c r="U396" t="str">
        <f t="shared" si="6"/>
        <v>1</v>
      </c>
      <c r="V396" t="str">
        <f>IF(Table1[appointment_status]="Attended","1","0")</f>
        <v>1</v>
      </c>
      <c r="W396" t="str">
        <f>IF(Table1[appointment_status]="Cancelled","1","0")</f>
        <v>0</v>
      </c>
    </row>
    <row r="397" spans="1:23">
      <c r="A397" t="s">
        <v>796</v>
      </c>
      <c r="B397" t="s">
        <v>797</v>
      </c>
      <c r="C397">
        <v>27</v>
      </c>
      <c r="D397" t="str" cm="1">
        <f t="array" ref="D397">_xlfn.IFS(Table1[[#This Row],[age]]&lt;=17,"0-17",C397&lt;=29,"18-29",C397&lt;=44,"30-44",C397&lt;=59,"45-59",C397&lt;=74,"60-74",TRUE,"75+")</f>
        <v>18-29</v>
      </c>
      <c r="E397" t="s">
        <v>29</v>
      </c>
      <c r="F397">
        <v>7</v>
      </c>
      <c r="G397" t="str" cm="1">
        <f t="array" ref="G397">_xlfn.IFS(_xlfn.SINGLE(Table1[imd_decile])&lt;=3,"Most Deprived",F397&lt;=7,"Moderately Deprived",F397&lt;=10,"Least Deprived")</f>
        <v>Moderately Deprived</v>
      </c>
      <c r="H397">
        <v>10.6</v>
      </c>
      <c r="I397" t="s">
        <v>49</v>
      </c>
      <c r="J397" t="s">
        <v>19</v>
      </c>
      <c r="K397" s="1">
        <v>45691</v>
      </c>
      <c r="L397" s="1">
        <v>45739</v>
      </c>
      <c r="M397" s="1" t="str">
        <f>TEXT(Table1[[#This Row],[appointment_date]],"MM/YYYY")</f>
        <v>03/2025</v>
      </c>
      <c r="N397">
        <v>48</v>
      </c>
      <c r="O397" t="str" cm="1">
        <f t="array" ref="O397">_xlfn.IFS(Table1[[#This Row],[lead_time_days]]&lt;=7,"0-7 days",N397&lt;=14,"8-14 days",N397&lt;=30,"15-30 days",N397&lt;=60,"31-60 days",TRUE,"61+ days")</f>
        <v>31-60 days</v>
      </c>
      <c r="P397" t="s">
        <v>31</v>
      </c>
      <c r="Q397" t="s">
        <v>21</v>
      </c>
      <c r="R397">
        <v>0</v>
      </c>
      <c r="S397" t="str">
        <f>IF(Table1[prior_dna_count]&gt;=1,"Has prior DNA history","No prior DNA history")</f>
        <v>No prior DNA history</v>
      </c>
      <c r="T397" t="s">
        <v>39</v>
      </c>
      <c r="U397" t="str">
        <f t="shared" si="6"/>
        <v>1</v>
      </c>
      <c r="V397" t="str">
        <f>IF(Table1[appointment_status]="Attended","1","0")</f>
        <v>0</v>
      </c>
      <c r="W397" t="str">
        <f>IF(Table1[appointment_status]="Cancelled","1","0")</f>
        <v>0</v>
      </c>
    </row>
    <row r="398" spans="1:23">
      <c r="A398" t="s">
        <v>798</v>
      </c>
      <c r="B398" t="s">
        <v>799</v>
      </c>
      <c r="C398">
        <v>41</v>
      </c>
      <c r="D398" t="str" cm="1">
        <f t="array" ref="D398">_xlfn.IFS(Table1[[#This Row],[age]]&lt;=17,"0-17",C398&lt;=29,"18-29",C398&lt;=44,"30-44",C398&lt;=59,"45-59",C398&lt;=74,"60-74",TRUE,"75+")</f>
        <v>30-44</v>
      </c>
      <c r="E398" t="s">
        <v>29</v>
      </c>
      <c r="F398">
        <v>10</v>
      </c>
      <c r="G398" t="str" cm="1">
        <f t="array" ref="G398">_xlfn.IFS(_xlfn.SINGLE(Table1[imd_decile])&lt;=3,"Most Deprived",F398&lt;=7,"Moderately Deprived",F398&lt;=10,"Least Deprived")</f>
        <v>Least Deprived</v>
      </c>
      <c r="H398">
        <v>3.9</v>
      </c>
      <c r="I398" t="s">
        <v>45</v>
      </c>
      <c r="J398" t="s">
        <v>19</v>
      </c>
      <c r="K398" s="1">
        <v>45703</v>
      </c>
      <c r="L398" s="1">
        <v>45740</v>
      </c>
      <c r="M398" s="1" t="str">
        <f>TEXT(Table1[[#This Row],[appointment_date]],"MM/YYYY")</f>
        <v>03/2025</v>
      </c>
      <c r="N398">
        <v>37</v>
      </c>
      <c r="O398" t="str" cm="1">
        <f t="array" ref="O398">_xlfn.IFS(Table1[[#This Row],[lead_time_days]]&lt;=7,"0-7 days",N398&lt;=14,"8-14 days",N398&lt;=30,"15-30 days",N398&lt;=60,"31-60 days",TRUE,"61+ days")</f>
        <v>31-60 days</v>
      </c>
      <c r="P398" t="s">
        <v>35</v>
      </c>
      <c r="Q398" t="s">
        <v>21</v>
      </c>
      <c r="R398">
        <v>0</v>
      </c>
      <c r="S398" t="str">
        <f>IF(Table1[prior_dna_count]&gt;=1,"Has prior DNA history","No prior DNA history")</f>
        <v>No prior DNA history</v>
      </c>
      <c r="T398" t="s">
        <v>22</v>
      </c>
      <c r="U398" t="str">
        <f t="shared" si="6"/>
        <v>0</v>
      </c>
      <c r="V398" t="str">
        <f>IF(Table1[appointment_status]="Attended","1","0")</f>
        <v>1</v>
      </c>
      <c r="W398" t="str">
        <f>IF(Table1[appointment_status]="Cancelled","1","0")</f>
        <v>0</v>
      </c>
    </row>
    <row r="399" spans="1:23">
      <c r="A399" t="s">
        <v>800</v>
      </c>
      <c r="B399" t="s">
        <v>801</v>
      </c>
      <c r="C399">
        <v>31</v>
      </c>
      <c r="D399" t="str" cm="1">
        <f t="array" ref="D399">_xlfn.IFS(Table1[[#This Row],[age]]&lt;=17,"0-17",C399&lt;=29,"18-29",C399&lt;=44,"30-44",C399&lt;=59,"45-59",C399&lt;=74,"60-74",TRUE,"75+")</f>
        <v>30-44</v>
      </c>
      <c r="E399" t="s">
        <v>17</v>
      </c>
      <c r="F399">
        <v>5</v>
      </c>
      <c r="G399" t="str" cm="1">
        <f t="array" ref="G399">_xlfn.IFS(_xlfn.SINGLE(Table1[imd_decile])&lt;=3,"Most Deprived",F399&lt;=7,"Moderately Deprived",F399&lt;=10,"Least Deprived")</f>
        <v>Moderately Deprived</v>
      </c>
      <c r="H399">
        <v>19.8</v>
      </c>
      <c r="I399" t="s">
        <v>155</v>
      </c>
      <c r="J399" t="s">
        <v>19</v>
      </c>
      <c r="K399" s="1">
        <v>45669</v>
      </c>
      <c r="L399" s="1">
        <v>45740</v>
      </c>
      <c r="M399" s="1" t="str">
        <f>TEXT(Table1[[#This Row],[appointment_date]],"MM/YYYY")</f>
        <v>03/2025</v>
      </c>
      <c r="N399">
        <v>71</v>
      </c>
      <c r="O399" t="str" cm="1">
        <f t="array" ref="O399">_xlfn.IFS(Table1[[#This Row],[lead_time_days]]&lt;=7,"0-7 days",N399&lt;=14,"8-14 days",N399&lt;=30,"15-30 days",N399&lt;=60,"31-60 days",TRUE,"61+ days")</f>
        <v>61+ days</v>
      </c>
      <c r="P399" t="s">
        <v>35</v>
      </c>
      <c r="Q399" t="s">
        <v>21</v>
      </c>
      <c r="R399">
        <v>0</v>
      </c>
      <c r="S399" t="str">
        <f>IF(Table1[prior_dna_count]&gt;=1,"Has prior DNA history","No prior DNA history")</f>
        <v>No prior DNA history</v>
      </c>
      <c r="T399" t="s">
        <v>22</v>
      </c>
      <c r="U399" t="str">
        <f t="shared" si="6"/>
        <v>1</v>
      </c>
      <c r="V399" t="str">
        <f>IF(Table1[appointment_status]="Attended","1","0")</f>
        <v>1</v>
      </c>
      <c r="W399" t="str">
        <f>IF(Table1[appointment_status]="Cancelled","1","0")</f>
        <v>0</v>
      </c>
    </row>
    <row r="400" spans="1:23">
      <c r="A400" t="s">
        <v>802</v>
      </c>
      <c r="B400" t="s">
        <v>123</v>
      </c>
      <c r="C400">
        <v>55</v>
      </c>
      <c r="D400" t="str" cm="1">
        <f t="array" ref="D400">_xlfn.IFS(Table1[[#This Row],[age]]&lt;=17,"0-17",C400&lt;=29,"18-29",C400&lt;=44,"30-44",C400&lt;=59,"45-59",C400&lt;=74,"60-74",TRUE,"75+")</f>
        <v>45-59</v>
      </c>
      <c r="E400" t="s">
        <v>17</v>
      </c>
      <c r="F400">
        <v>2</v>
      </c>
      <c r="G400" t="str" cm="1">
        <f t="array" ref="G400">_xlfn.IFS(_xlfn.SINGLE(Table1[imd_decile])&lt;=3,"Most Deprived",F400&lt;=7,"Moderately Deprived",F400&lt;=10,"Least Deprived")</f>
        <v>Most Deprived</v>
      </c>
      <c r="H400">
        <v>4.5999999999999996</v>
      </c>
      <c r="I400" t="s">
        <v>45</v>
      </c>
      <c r="J400" t="s">
        <v>19</v>
      </c>
      <c r="K400" s="1">
        <v>45720</v>
      </c>
      <c r="L400" s="1">
        <v>45740</v>
      </c>
      <c r="M400" s="1" t="str">
        <f>TEXT(Table1[[#This Row],[appointment_date]],"MM/YYYY")</f>
        <v>03/2025</v>
      </c>
      <c r="N400">
        <v>20</v>
      </c>
      <c r="O400" t="str" cm="1">
        <f t="array" ref="O400">_xlfn.IFS(Table1[[#This Row],[lead_time_days]]&lt;=7,"0-7 days",N400&lt;=14,"8-14 days",N400&lt;=30,"15-30 days",N400&lt;=60,"31-60 days",TRUE,"61+ days")</f>
        <v>15-30 days</v>
      </c>
      <c r="P400" t="s">
        <v>35</v>
      </c>
      <c r="Q400" t="s">
        <v>21</v>
      </c>
      <c r="R400">
        <v>2</v>
      </c>
      <c r="S400" t="str">
        <f>IF(Table1[prior_dna_count]&gt;=1,"Has prior DNA history","No prior DNA history")</f>
        <v>Has prior DNA history</v>
      </c>
      <c r="T400" t="s">
        <v>39</v>
      </c>
      <c r="U400" t="str">
        <f t="shared" si="6"/>
        <v>1</v>
      </c>
      <c r="V400" t="str">
        <f>IF(Table1[appointment_status]="Attended","1","0")</f>
        <v>0</v>
      </c>
      <c r="W400" t="str">
        <f>IF(Table1[appointment_status]="Cancelled","1","0")</f>
        <v>0</v>
      </c>
    </row>
    <row r="401" spans="1:23">
      <c r="A401" t="s">
        <v>803</v>
      </c>
      <c r="B401" t="s">
        <v>804</v>
      </c>
      <c r="C401">
        <v>74</v>
      </c>
      <c r="D401" t="str" cm="1">
        <f t="array" ref="D401">_xlfn.IFS(Table1[[#This Row],[age]]&lt;=17,"0-17",C401&lt;=29,"18-29",C401&lt;=44,"30-44",C401&lt;=59,"45-59",C401&lt;=74,"60-74",TRUE,"75+")</f>
        <v>60-74</v>
      </c>
      <c r="E401" t="s">
        <v>29</v>
      </c>
      <c r="F401">
        <v>10</v>
      </c>
      <c r="G401" t="str" cm="1">
        <f t="array" ref="G401">_xlfn.IFS(_xlfn.SINGLE(Table1[imd_decile])&lt;=3,"Most Deprived",F401&lt;=7,"Moderately Deprived",F401&lt;=10,"Least Deprived")</f>
        <v>Least Deprived</v>
      </c>
      <c r="H401">
        <v>1.6</v>
      </c>
      <c r="I401" t="s">
        <v>49</v>
      </c>
      <c r="J401" t="s">
        <v>26</v>
      </c>
      <c r="K401" s="1">
        <v>45726</v>
      </c>
      <c r="L401" s="1">
        <v>45740</v>
      </c>
      <c r="M401" s="1" t="str">
        <f>TEXT(Table1[[#This Row],[appointment_date]],"MM/YYYY")</f>
        <v>03/2025</v>
      </c>
      <c r="N401">
        <v>14</v>
      </c>
      <c r="O401" t="str" cm="1">
        <f t="array" ref="O401">_xlfn.IFS(Table1[[#This Row],[lead_time_days]]&lt;=7,"0-7 days",N401&lt;=14,"8-14 days",N401&lt;=30,"15-30 days",N401&lt;=60,"31-60 days",TRUE,"61+ days")</f>
        <v>8-14 days</v>
      </c>
      <c r="P401" t="s">
        <v>35</v>
      </c>
      <c r="Q401" t="s">
        <v>21</v>
      </c>
      <c r="R401">
        <v>0</v>
      </c>
      <c r="S401" t="str">
        <f>IF(Table1[prior_dna_count]&gt;=1,"Has prior DNA history","No prior DNA history")</f>
        <v>No prior DNA history</v>
      </c>
      <c r="T401" t="s">
        <v>22</v>
      </c>
      <c r="U401" t="str">
        <f t="shared" si="6"/>
        <v>0</v>
      </c>
      <c r="V401" t="str">
        <f>IF(Table1[appointment_status]="Attended","1","0")</f>
        <v>1</v>
      </c>
      <c r="W401" t="str">
        <f>IF(Table1[appointment_status]="Cancelled","1","0")</f>
        <v>0</v>
      </c>
    </row>
    <row r="402" spans="1:23">
      <c r="A402" t="s">
        <v>805</v>
      </c>
      <c r="B402" t="s">
        <v>806</v>
      </c>
      <c r="C402">
        <v>56</v>
      </c>
      <c r="D402" t="str" cm="1">
        <f t="array" ref="D402">_xlfn.IFS(Table1[[#This Row],[age]]&lt;=17,"0-17",C402&lt;=29,"18-29",C402&lt;=44,"30-44",C402&lt;=59,"45-59",C402&lt;=74,"60-74",TRUE,"75+")</f>
        <v>45-59</v>
      </c>
      <c r="E402" t="s">
        <v>29</v>
      </c>
      <c r="F402">
        <v>10</v>
      </c>
      <c r="G402" t="str" cm="1">
        <f t="array" ref="G402">_xlfn.IFS(_xlfn.SINGLE(Table1[imd_decile])&lt;=3,"Most Deprived",F402&lt;=7,"Moderately Deprived",F402&lt;=10,"Least Deprived")</f>
        <v>Least Deprived</v>
      </c>
      <c r="H402">
        <v>15.8</v>
      </c>
      <c r="I402" t="s">
        <v>30</v>
      </c>
      <c r="J402" t="s">
        <v>19</v>
      </c>
      <c r="K402" s="1">
        <v>45667</v>
      </c>
      <c r="L402" s="1">
        <v>45740</v>
      </c>
      <c r="M402" s="1" t="str">
        <f>TEXT(Table1[[#This Row],[appointment_date]],"MM/YYYY")</f>
        <v>03/2025</v>
      </c>
      <c r="N402">
        <v>73</v>
      </c>
      <c r="O402" t="str" cm="1">
        <f t="array" ref="O402">_xlfn.IFS(Table1[[#This Row],[lead_time_days]]&lt;=7,"0-7 days",N402&lt;=14,"8-14 days",N402&lt;=30,"15-30 days",N402&lt;=60,"31-60 days",TRUE,"61+ days")</f>
        <v>61+ days</v>
      </c>
      <c r="P402" t="s">
        <v>35</v>
      </c>
      <c r="Q402" t="s">
        <v>21</v>
      </c>
      <c r="R402">
        <v>1</v>
      </c>
      <c r="S402" t="str">
        <f>IF(Table1[prior_dna_count]&gt;=1,"Has prior DNA history","No prior DNA history")</f>
        <v>Has prior DNA history</v>
      </c>
      <c r="T402" t="s">
        <v>46</v>
      </c>
      <c r="U402" t="str">
        <f t="shared" si="6"/>
        <v>1</v>
      </c>
      <c r="V402" t="str">
        <f>IF(Table1[appointment_status]="Attended","1","0")</f>
        <v>0</v>
      </c>
      <c r="W402" t="str">
        <f>IF(Table1[appointment_status]="Cancelled","1","0")</f>
        <v>1</v>
      </c>
    </row>
    <row r="403" spans="1:23">
      <c r="A403" t="s">
        <v>807</v>
      </c>
      <c r="B403" t="s">
        <v>531</v>
      </c>
      <c r="C403">
        <v>26</v>
      </c>
      <c r="D403" t="str" cm="1">
        <f t="array" ref="D403">_xlfn.IFS(Table1[[#This Row],[age]]&lt;=17,"0-17",C403&lt;=29,"18-29",C403&lt;=44,"30-44",C403&lt;=59,"45-59",C403&lt;=74,"60-74",TRUE,"75+")</f>
        <v>18-29</v>
      </c>
      <c r="E403" t="s">
        <v>29</v>
      </c>
      <c r="F403">
        <v>5</v>
      </c>
      <c r="G403" t="str" cm="1">
        <f t="array" ref="G403">_xlfn.IFS(_xlfn.SINGLE(Table1[imd_decile])&lt;=3,"Most Deprived",F403&lt;=7,"Moderately Deprived",F403&lt;=10,"Least Deprived")</f>
        <v>Moderately Deprived</v>
      </c>
      <c r="H403">
        <v>1.8</v>
      </c>
      <c r="I403" t="s">
        <v>45</v>
      </c>
      <c r="J403" t="s">
        <v>19</v>
      </c>
      <c r="K403" s="1">
        <v>45707</v>
      </c>
      <c r="L403" s="1">
        <v>45740</v>
      </c>
      <c r="M403" s="1" t="str">
        <f>TEXT(Table1[[#This Row],[appointment_date]],"MM/YYYY")</f>
        <v>03/2025</v>
      </c>
      <c r="N403">
        <v>33</v>
      </c>
      <c r="O403" t="str" cm="1">
        <f t="array" ref="O403">_xlfn.IFS(Table1[[#This Row],[lead_time_days]]&lt;=7,"0-7 days",N403&lt;=14,"8-14 days",N403&lt;=30,"15-30 days",N403&lt;=60,"31-60 days",TRUE,"61+ days")</f>
        <v>31-60 days</v>
      </c>
      <c r="P403" t="s">
        <v>35</v>
      </c>
      <c r="Q403" t="s">
        <v>32</v>
      </c>
      <c r="R403">
        <v>0</v>
      </c>
      <c r="S403" t="str">
        <f>IF(Table1[prior_dna_count]&gt;=1,"Has prior DNA history","No prior DNA history")</f>
        <v>No prior DNA history</v>
      </c>
      <c r="T403" t="s">
        <v>22</v>
      </c>
      <c r="U403" t="str">
        <f t="shared" si="6"/>
        <v>0</v>
      </c>
      <c r="V403" t="str">
        <f>IF(Table1[appointment_status]="Attended","1","0")</f>
        <v>1</v>
      </c>
      <c r="W403" t="str">
        <f>IF(Table1[appointment_status]="Cancelled","1","0")</f>
        <v>0</v>
      </c>
    </row>
    <row r="404" spans="1:23">
      <c r="A404" t="s">
        <v>808</v>
      </c>
      <c r="B404" t="s">
        <v>809</v>
      </c>
      <c r="C404">
        <v>40</v>
      </c>
      <c r="D404" t="str" cm="1">
        <f t="array" ref="D404">_xlfn.IFS(Table1[[#This Row],[age]]&lt;=17,"0-17",C404&lt;=29,"18-29",C404&lt;=44,"30-44",C404&lt;=59,"45-59",C404&lt;=74,"60-74",TRUE,"75+")</f>
        <v>30-44</v>
      </c>
      <c r="E404" t="s">
        <v>17</v>
      </c>
      <c r="F404">
        <v>2</v>
      </c>
      <c r="G404" t="str" cm="1">
        <f t="array" ref="G404">_xlfn.IFS(_xlfn.SINGLE(Table1[imd_decile])&lt;=3,"Most Deprived",F404&lt;=7,"Moderately Deprived",F404&lt;=10,"Least Deprived")</f>
        <v>Most Deprived</v>
      </c>
      <c r="H404">
        <v>29.3</v>
      </c>
      <c r="I404" t="s">
        <v>25</v>
      </c>
      <c r="J404" t="s">
        <v>26</v>
      </c>
      <c r="K404" s="1">
        <v>45728</v>
      </c>
      <c r="L404" s="1">
        <v>45740</v>
      </c>
      <c r="M404" s="1" t="str">
        <f>TEXT(Table1[[#This Row],[appointment_date]],"MM/YYYY")</f>
        <v>03/2025</v>
      </c>
      <c r="N404">
        <v>12</v>
      </c>
      <c r="O404" t="str" cm="1">
        <f t="array" ref="O404">_xlfn.IFS(Table1[[#This Row],[lead_time_days]]&lt;=7,"0-7 days",N404&lt;=14,"8-14 days",N404&lt;=30,"15-30 days",N404&lt;=60,"31-60 days",TRUE,"61+ days")</f>
        <v>8-14 days</v>
      </c>
      <c r="P404" t="s">
        <v>35</v>
      </c>
      <c r="Q404" t="s">
        <v>21</v>
      </c>
      <c r="R404">
        <v>0</v>
      </c>
      <c r="S404" t="str">
        <f>IF(Table1[prior_dna_count]&gt;=1,"Has prior DNA history","No prior DNA history")</f>
        <v>No prior DNA history</v>
      </c>
      <c r="T404" t="s">
        <v>39</v>
      </c>
      <c r="U404" t="str">
        <f t="shared" si="6"/>
        <v>1</v>
      </c>
      <c r="V404" t="str">
        <f>IF(Table1[appointment_status]="Attended","1","0")</f>
        <v>0</v>
      </c>
      <c r="W404" t="str">
        <f>IF(Table1[appointment_status]="Cancelled","1","0")</f>
        <v>0</v>
      </c>
    </row>
    <row r="405" spans="1:23">
      <c r="A405" t="s">
        <v>810</v>
      </c>
      <c r="B405" t="s">
        <v>811</v>
      </c>
      <c r="C405">
        <v>43</v>
      </c>
      <c r="D405" t="str" cm="1">
        <f t="array" ref="D405">_xlfn.IFS(Table1[[#This Row],[age]]&lt;=17,"0-17",C405&lt;=29,"18-29",C405&lt;=44,"30-44",C405&lt;=59,"45-59",C405&lt;=74,"60-74",TRUE,"75+")</f>
        <v>30-44</v>
      </c>
      <c r="E405" t="s">
        <v>17</v>
      </c>
      <c r="F405">
        <v>3</v>
      </c>
      <c r="G405" t="str" cm="1">
        <f t="array" ref="G405">_xlfn.IFS(_xlfn.SINGLE(Table1[imd_decile])&lt;=3,"Most Deprived",F405&lt;=7,"Moderately Deprived",F405&lt;=10,"Least Deprived")</f>
        <v>Most Deprived</v>
      </c>
      <c r="H405">
        <v>0.8</v>
      </c>
      <c r="I405" t="s">
        <v>42</v>
      </c>
      <c r="J405" t="s">
        <v>19</v>
      </c>
      <c r="K405" s="1">
        <v>45708</v>
      </c>
      <c r="L405" s="1">
        <v>45740</v>
      </c>
      <c r="M405" s="1" t="str">
        <f>TEXT(Table1[[#This Row],[appointment_date]],"MM/YYYY")</f>
        <v>03/2025</v>
      </c>
      <c r="N405">
        <v>32</v>
      </c>
      <c r="O405" t="str" cm="1">
        <f t="array" ref="O405">_xlfn.IFS(Table1[[#This Row],[lead_time_days]]&lt;=7,"0-7 days",N405&lt;=14,"8-14 days",N405&lt;=30,"15-30 days",N405&lt;=60,"31-60 days",TRUE,"61+ days")</f>
        <v>31-60 days</v>
      </c>
      <c r="P405" t="s">
        <v>35</v>
      </c>
      <c r="Q405" t="s">
        <v>21</v>
      </c>
      <c r="R405">
        <v>0</v>
      </c>
      <c r="S405" t="str">
        <f>IF(Table1[prior_dna_count]&gt;=1,"Has prior DNA history","No prior DNA history")</f>
        <v>No prior DNA history</v>
      </c>
      <c r="T405" t="s">
        <v>22</v>
      </c>
      <c r="U405" t="str">
        <f t="shared" si="6"/>
        <v>0</v>
      </c>
      <c r="V405" t="str">
        <f>IF(Table1[appointment_status]="Attended","1","0")</f>
        <v>1</v>
      </c>
      <c r="W405" t="str">
        <f>IF(Table1[appointment_status]="Cancelled","1","0")</f>
        <v>0</v>
      </c>
    </row>
    <row r="406" spans="1:23">
      <c r="A406" t="s">
        <v>812</v>
      </c>
      <c r="B406" t="s">
        <v>813</v>
      </c>
      <c r="C406">
        <v>1</v>
      </c>
      <c r="D406" t="str" cm="1">
        <f t="array" ref="D406">_xlfn.IFS(Table1[[#This Row],[age]]&lt;=17,"0-17",C406&lt;=29,"18-29",C406&lt;=44,"30-44",C406&lt;=59,"45-59",C406&lt;=74,"60-74",TRUE,"75+")</f>
        <v>0-17</v>
      </c>
      <c r="E406" t="s">
        <v>29</v>
      </c>
      <c r="F406">
        <v>9</v>
      </c>
      <c r="G406" t="str" cm="1">
        <f t="array" ref="G406">_xlfn.IFS(_xlfn.SINGLE(Table1[imd_decile])&lt;=3,"Most Deprived",F406&lt;=7,"Moderately Deprived",F406&lt;=10,"Least Deprived")</f>
        <v>Least Deprived</v>
      </c>
      <c r="H406">
        <v>5.4</v>
      </c>
      <c r="I406" t="s">
        <v>38</v>
      </c>
      <c r="J406" t="s">
        <v>19</v>
      </c>
      <c r="K406" s="1">
        <v>45700</v>
      </c>
      <c r="L406" s="1">
        <v>45740</v>
      </c>
      <c r="M406" s="1" t="str">
        <f>TEXT(Table1[[#This Row],[appointment_date]],"MM/YYYY")</f>
        <v>03/2025</v>
      </c>
      <c r="N406">
        <v>40</v>
      </c>
      <c r="O406" t="str" cm="1">
        <f t="array" ref="O406">_xlfn.IFS(Table1[[#This Row],[lead_time_days]]&lt;=7,"0-7 days",N406&lt;=14,"8-14 days",N406&lt;=30,"15-30 days",N406&lt;=60,"31-60 days",TRUE,"61+ days")</f>
        <v>31-60 days</v>
      </c>
      <c r="P406" t="s">
        <v>35</v>
      </c>
      <c r="Q406" t="s">
        <v>21</v>
      </c>
      <c r="R406">
        <v>0</v>
      </c>
      <c r="S406" t="str">
        <f>IF(Table1[prior_dna_count]&gt;=1,"Has prior DNA history","No prior DNA history")</f>
        <v>No prior DNA history</v>
      </c>
      <c r="T406" t="s">
        <v>22</v>
      </c>
      <c r="U406" t="str">
        <f t="shared" si="6"/>
        <v>1</v>
      </c>
      <c r="V406" t="str">
        <f>IF(Table1[appointment_status]="Attended","1","0")</f>
        <v>1</v>
      </c>
      <c r="W406" t="str">
        <f>IF(Table1[appointment_status]="Cancelled","1","0")</f>
        <v>0</v>
      </c>
    </row>
    <row r="407" spans="1:23">
      <c r="A407" t="s">
        <v>814</v>
      </c>
      <c r="B407" t="s">
        <v>815</v>
      </c>
      <c r="C407">
        <v>42</v>
      </c>
      <c r="D407" t="str" cm="1">
        <f t="array" ref="D407">_xlfn.IFS(Table1[[#This Row],[age]]&lt;=17,"0-17",C407&lt;=29,"18-29",C407&lt;=44,"30-44",C407&lt;=59,"45-59",C407&lt;=74,"60-74",TRUE,"75+")</f>
        <v>30-44</v>
      </c>
      <c r="E407" t="s">
        <v>29</v>
      </c>
      <c r="F407">
        <v>4</v>
      </c>
      <c r="G407" t="str" cm="1">
        <f t="array" ref="G407">_xlfn.IFS(_xlfn.SINGLE(Table1[imd_decile])&lt;=3,"Most Deprived",F407&lt;=7,"Moderately Deprived",F407&lt;=10,"Least Deprived")</f>
        <v>Moderately Deprived</v>
      </c>
      <c r="H407">
        <v>13.6</v>
      </c>
      <c r="I407" t="s">
        <v>18</v>
      </c>
      <c r="J407" t="s">
        <v>19</v>
      </c>
      <c r="K407" s="1">
        <v>45731</v>
      </c>
      <c r="L407" s="1">
        <v>45741</v>
      </c>
      <c r="M407" s="1" t="str">
        <f>TEXT(Table1[[#This Row],[appointment_date]],"MM/YYYY")</f>
        <v>03/2025</v>
      </c>
      <c r="N407">
        <v>10</v>
      </c>
      <c r="O407" t="str" cm="1">
        <f t="array" ref="O407">_xlfn.IFS(Table1[[#This Row],[lead_time_days]]&lt;=7,"0-7 days",N407&lt;=14,"8-14 days",N407&lt;=30,"15-30 days",N407&lt;=60,"31-60 days",TRUE,"61+ days")</f>
        <v>8-14 days</v>
      </c>
      <c r="P407" t="s">
        <v>71</v>
      </c>
      <c r="Q407" t="s">
        <v>21</v>
      </c>
      <c r="R407">
        <v>0</v>
      </c>
      <c r="S407" t="str">
        <f>IF(Table1[prior_dna_count]&gt;=1,"Has prior DNA history","No prior DNA history")</f>
        <v>No prior DNA history</v>
      </c>
      <c r="T407" t="s">
        <v>39</v>
      </c>
      <c r="U407" t="str">
        <f t="shared" si="6"/>
        <v>1</v>
      </c>
      <c r="V407" t="str">
        <f>IF(Table1[appointment_status]="Attended","1","0")</f>
        <v>0</v>
      </c>
      <c r="W407" t="str">
        <f>IF(Table1[appointment_status]="Cancelled","1","0")</f>
        <v>0</v>
      </c>
    </row>
    <row r="408" spans="1:23">
      <c r="A408" t="s">
        <v>816</v>
      </c>
      <c r="B408" t="s">
        <v>817</v>
      </c>
      <c r="C408">
        <v>8</v>
      </c>
      <c r="D408" t="str" cm="1">
        <f t="array" ref="D408">_xlfn.IFS(Table1[[#This Row],[age]]&lt;=17,"0-17",C408&lt;=29,"18-29",C408&lt;=44,"30-44",C408&lt;=59,"45-59",C408&lt;=74,"60-74",TRUE,"75+")</f>
        <v>0-17</v>
      </c>
      <c r="E408" t="s">
        <v>29</v>
      </c>
      <c r="F408">
        <v>5</v>
      </c>
      <c r="G408" t="str" cm="1">
        <f t="array" ref="G408">_xlfn.IFS(_xlfn.SINGLE(Table1[imd_decile])&lt;=3,"Most Deprived",F408&lt;=7,"Moderately Deprived",F408&lt;=10,"Least Deprived")</f>
        <v>Moderately Deprived</v>
      </c>
      <c r="H408">
        <v>4.3</v>
      </c>
      <c r="I408" t="s">
        <v>155</v>
      </c>
      <c r="J408" t="s">
        <v>19</v>
      </c>
      <c r="K408" s="1">
        <v>45730</v>
      </c>
      <c r="L408" s="1">
        <v>45741</v>
      </c>
      <c r="M408" s="1" t="str">
        <f>TEXT(Table1[[#This Row],[appointment_date]],"MM/YYYY")</f>
        <v>03/2025</v>
      </c>
      <c r="N408">
        <v>11</v>
      </c>
      <c r="O408" t="str" cm="1">
        <f t="array" ref="O408">_xlfn.IFS(Table1[[#This Row],[lead_time_days]]&lt;=7,"0-7 days",N408&lt;=14,"8-14 days",N408&lt;=30,"15-30 days",N408&lt;=60,"31-60 days",TRUE,"61+ days")</f>
        <v>8-14 days</v>
      </c>
      <c r="P408" t="s">
        <v>71</v>
      </c>
      <c r="Q408" t="s">
        <v>21</v>
      </c>
      <c r="R408">
        <v>0</v>
      </c>
      <c r="S408" t="str">
        <f>IF(Table1[prior_dna_count]&gt;=1,"Has prior DNA history","No prior DNA history")</f>
        <v>No prior DNA history</v>
      </c>
      <c r="T408" t="s">
        <v>22</v>
      </c>
      <c r="U408" t="str">
        <f t="shared" si="6"/>
        <v>0</v>
      </c>
      <c r="V408" t="str">
        <f>IF(Table1[appointment_status]="Attended","1","0")</f>
        <v>1</v>
      </c>
      <c r="W408" t="str">
        <f>IF(Table1[appointment_status]="Cancelled","1","0")</f>
        <v>0</v>
      </c>
    </row>
    <row r="409" spans="1:23">
      <c r="A409" t="s">
        <v>818</v>
      </c>
      <c r="B409" t="s">
        <v>819</v>
      </c>
      <c r="C409">
        <v>49</v>
      </c>
      <c r="D409" t="str" cm="1">
        <f t="array" ref="D409">_xlfn.IFS(Table1[[#This Row],[age]]&lt;=17,"0-17",C409&lt;=29,"18-29",C409&lt;=44,"30-44",C409&lt;=59,"45-59",C409&lt;=74,"60-74",TRUE,"75+")</f>
        <v>45-59</v>
      </c>
      <c r="E409" t="s">
        <v>17</v>
      </c>
      <c r="F409">
        <v>4</v>
      </c>
      <c r="G409" t="str" cm="1">
        <f t="array" ref="G409">_xlfn.IFS(_xlfn.SINGLE(Table1[imd_decile])&lt;=3,"Most Deprived",F409&lt;=7,"Moderately Deprived",F409&lt;=10,"Least Deprived")</f>
        <v>Moderately Deprived</v>
      </c>
      <c r="H409">
        <v>10.4</v>
      </c>
      <c r="I409" t="s">
        <v>25</v>
      </c>
      <c r="J409" t="s">
        <v>19</v>
      </c>
      <c r="K409" s="1">
        <v>45702</v>
      </c>
      <c r="L409" s="1">
        <v>45741</v>
      </c>
      <c r="M409" s="1" t="str">
        <f>TEXT(Table1[[#This Row],[appointment_date]],"MM/YYYY")</f>
        <v>03/2025</v>
      </c>
      <c r="N409">
        <v>39</v>
      </c>
      <c r="O409" t="str" cm="1">
        <f t="array" ref="O409">_xlfn.IFS(Table1[[#This Row],[lead_time_days]]&lt;=7,"0-7 days",N409&lt;=14,"8-14 days",N409&lt;=30,"15-30 days",N409&lt;=60,"31-60 days",TRUE,"61+ days")</f>
        <v>31-60 days</v>
      </c>
      <c r="P409" t="s">
        <v>71</v>
      </c>
      <c r="Q409" t="s">
        <v>21</v>
      </c>
      <c r="R409">
        <v>1</v>
      </c>
      <c r="S409" t="str">
        <f>IF(Table1[prior_dna_count]&gt;=1,"Has prior DNA history","No prior DNA history")</f>
        <v>Has prior DNA history</v>
      </c>
      <c r="T409" t="s">
        <v>22</v>
      </c>
      <c r="U409" t="str">
        <f t="shared" si="6"/>
        <v>1</v>
      </c>
      <c r="V409" t="str">
        <f>IF(Table1[appointment_status]="Attended","1","0")</f>
        <v>1</v>
      </c>
      <c r="W409" t="str">
        <f>IF(Table1[appointment_status]="Cancelled","1","0")</f>
        <v>0</v>
      </c>
    </row>
    <row r="410" spans="1:23">
      <c r="A410" t="s">
        <v>820</v>
      </c>
      <c r="B410" t="s">
        <v>821</v>
      </c>
      <c r="C410">
        <v>44</v>
      </c>
      <c r="D410" t="str" cm="1">
        <f t="array" ref="D410">_xlfn.IFS(Table1[[#This Row],[age]]&lt;=17,"0-17",C410&lt;=29,"18-29",C410&lt;=44,"30-44",C410&lt;=59,"45-59",C410&lt;=74,"60-74",TRUE,"75+")</f>
        <v>30-44</v>
      </c>
      <c r="E410" t="s">
        <v>29</v>
      </c>
      <c r="F410">
        <v>6</v>
      </c>
      <c r="G410" t="str" cm="1">
        <f t="array" ref="G410">_xlfn.IFS(_xlfn.SINGLE(Table1[imd_decile])&lt;=3,"Most Deprived",F410&lt;=7,"Moderately Deprived",F410&lt;=10,"Least Deprived")</f>
        <v>Moderately Deprived</v>
      </c>
      <c r="H410">
        <v>5.5</v>
      </c>
      <c r="I410" t="s">
        <v>155</v>
      </c>
      <c r="J410" t="s">
        <v>19</v>
      </c>
      <c r="K410" s="1">
        <v>45724</v>
      </c>
      <c r="L410" s="1">
        <v>45741</v>
      </c>
      <c r="M410" s="1" t="str">
        <f>TEXT(Table1[[#This Row],[appointment_date]],"MM/YYYY")</f>
        <v>03/2025</v>
      </c>
      <c r="N410">
        <v>17</v>
      </c>
      <c r="O410" t="str" cm="1">
        <f t="array" ref="O410">_xlfn.IFS(Table1[[#This Row],[lead_time_days]]&lt;=7,"0-7 days",N410&lt;=14,"8-14 days",N410&lt;=30,"15-30 days",N410&lt;=60,"31-60 days",TRUE,"61+ days")</f>
        <v>15-30 days</v>
      </c>
      <c r="P410" t="s">
        <v>71</v>
      </c>
      <c r="Q410" t="s">
        <v>32</v>
      </c>
      <c r="R410">
        <v>0</v>
      </c>
      <c r="S410" t="str">
        <f>IF(Table1[prior_dna_count]&gt;=1,"Has prior DNA history","No prior DNA history")</f>
        <v>No prior DNA history</v>
      </c>
      <c r="T410" t="s">
        <v>39</v>
      </c>
      <c r="U410" t="str">
        <f t="shared" si="6"/>
        <v>1</v>
      </c>
      <c r="V410" t="str">
        <f>IF(Table1[appointment_status]="Attended","1","0")</f>
        <v>0</v>
      </c>
      <c r="W410" t="str">
        <f>IF(Table1[appointment_status]="Cancelled","1","0")</f>
        <v>0</v>
      </c>
    </row>
    <row r="411" spans="1:23">
      <c r="A411" t="s">
        <v>822</v>
      </c>
      <c r="B411" t="s">
        <v>823</v>
      </c>
      <c r="C411">
        <v>63</v>
      </c>
      <c r="D411" t="str" cm="1">
        <f t="array" ref="D411">_xlfn.IFS(Table1[[#This Row],[age]]&lt;=17,"0-17",C411&lt;=29,"18-29",C411&lt;=44,"30-44",C411&lt;=59,"45-59",C411&lt;=74,"60-74",TRUE,"75+")</f>
        <v>60-74</v>
      </c>
      <c r="E411" t="s">
        <v>17</v>
      </c>
      <c r="F411">
        <v>9</v>
      </c>
      <c r="G411" t="str" cm="1">
        <f t="array" ref="G411">_xlfn.IFS(_xlfn.SINGLE(Table1[imd_decile])&lt;=3,"Most Deprived",F411&lt;=7,"Moderately Deprived",F411&lt;=10,"Least Deprived")</f>
        <v>Least Deprived</v>
      </c>
      <c r="H411">
        <v>5.3</v>
      </c>
      <c r="I411" t="s">
        <v>25</v>
      </c>
      <c r="J411" t="s">
        <v>19</v>
      </c>
      <c r="K411" s="1">
        <v>45710</v>
      </c>
      <c r="L411" s="1">
        <v>45741</v>
      </c>
      <c r="M411" s="1" t="str">
        <f>TEXT(Table1[[#This Row],[appointment_date]],"MM/YYYY")</f>
        <v>03/2025</v>
      </c>
      <c r="N411">
        <v>31</v>
      </c>
      <c r="O411" t="str" cm="1">
        <f t="array" ref="O411">_xlfn.IFS(Table1[[#This Row],[lead_time_days]]&lt;=7,"0-7 days",N411&lt;=14,"8-14 days",N411&lt;=30,"15-30 days",N411&lt;=60,"31-60 days",TRUE,"61+ days")</f>
        <v>31-60 days</v>
      </c>
      <c r="P411" t="s">
        <v>71</v>
      </c>
      <c r="Q411" t="s">
        <v>21</v>
      </c>
      <c r="R411">
        <v>0</v>
      </c>
      <c r="S411" t="str">
        <f>IF(Table1[prior_dna_count]&gt;=1,"Has prior DNA history","No prior DNA history")</f>
        <v>No prior DNA history</v>
      </c>
      <c r="T411" t="s">
        <v>22</v>
      </c>
      <c r="U411" t="str">
        <f t="shared" si="6"/>
        <v>0</v>
      </c>
      <c r="V411" t="str">
        <f>IF(Table1[appointment_status]="Attended","1","0")</f>
        <v>1</v>
      </c>
      <c r="W411" t="str">
        <f>IF(Table1[appointment_status]="Cancelled","1","0")</f>
        <v>0</v>
      </c>
    </row>
    <row r="412" spans="1:23">
      <c r="A412" t="s">
        <v>824</v>
      </c>
      <c r="B412" t="s">
        <v>825</v>
      </c>
      <c r="C412">
        <v>55</v>
      </c>
      <c r="D412" t="str" cm="1">
        <f t="array" ref="D412">_xlfn.IFS(Table1[[#This Row],[age]]&lt;=17,"0-17",C412&lt;=29,"18-29",C412&lt;=44,"30-44",C412&lt;=59,"45-59",C412&lt;=74,"60-74",TRUE,"75+")</f>
        <v>45-59</v>
      </c>
      <c r="E412" t="s">
        <v>17</v>
      </c>
      <c r="F412">
        <v>9</v>
      </c>
      <c r="G412" t="str" cm="1">
        <f t="array" ref="G412">_xlfn.IFS(_xlfn.SINGLE(Table1[imd_decile])&lt;=3,"Most Deprived",F412&lt;=7,"Moderately Deprived",F412&lt;=10,"Least Deprived")</f>
        <v>Least Deprived</v>
      </c>
      <c r="H412">
        <v>5.5</v>
      </c>
      <c r="I412" t="s">
        <v>45</v>
      </c>
      <c r="J412" t="s">
        <v>19</v>
      </c>
      <c r="K412" s="1">
        <v>45721</v>
      </c>
      <c r="L412" s="1">
        <v>45741</v>
      </c>
      <c r="M412" s="1" t="str">
        <f>TEXT(Table1[[#This Row],[appointment_date]],"MM/YYYY")</f>
        <v>03/2025</v>
      </c>
      <c r="N412">
        <v>20</v>
      </c>
      <c r="O412" t="str" cm="1">
        <f t="array" ref="O412">_xlfn.IFS(Table1[[#This Row],[lead_time_days]]&lt;=7,"0-7 days",N412&lt;=14,"8-14 days",N412&lt;=30,"15-30 days",N412&lt;=60,"31-60 days",TRUE,"61+ days")</f>
        <v>15-30 days</v>
      </c>
      <c r="P412" t="s">
        <v>71</v>
      </c>
      <c r="Q412" t="s">
        <v>21</v>
      </c>
      <c r="R412">
        <v>0</v>
      </c>
      <c r="S412" t="str">
        <f>IF(Table1[prior_dna_count]&gt;=1,"Has prior DNA history","No prior DNA history")</f>
        <v>No prior DNA history</v>
      </c>
      <c r="T412" t="s">
        <v>22</v>
      </c>
      <c r="U412" t="str">
        <f t="shared" si="6"/>
        <v>1</v>
      </c>
      <c r="V412" t="str">
        <f>IF(Table1[appointment_status]="Attended","1","0")</f>
        <v>1</v>
      </c>
      <c r="W412" t="str">
        <f>IF(Table1[appointment_status]="Cancelled","1","0")</f>
        <v>0</v>
      </c>
    </row>
    <row r="413" spans="1:23">
      <c r="A413" t="s">
        <v>826</v>
      </c>
      <c r="B413" t="s">
        <v>827</v>
      </c>
      <c r="C413">
        <v>17</v>
      </c>
      <c r="D413" t="str" cm="1">
        <f t="array" ref="D413">_xlfn.IFS(Table1[[#This Row],[age]]&lt;=17,"0-17",C413&lt;=29,"18-29",C413&lt;=44,"30-44",C413&lt;=59,"45-59",C413&lt;=74,"60-74",TRUE,"75+")</f>
        <v>0-17</v>
      </c>
      <c r="E413" t="s">
        <v>29</v>
      </c>
      <c r="F413">
        <v>9</v>
      </c>
      <c r="G413" t="str" cm="1">
        <f t="array" ref="G413">_xlfn.IFS(_xlfn.SINGLE(Table1[imd_decile])&lt;=3,"Most Deprived",F413&lt;=7,"Moderately Deprived",F413&lt;=10,"Least Deprived")</f>
        <v>Least Deprived</v>
      </c>
      <c r="H413">
        <v>2.8</v>
      </c>
      <c r="I413" t="s">
        <v>30</v>
      </c>
      <c r="J413" t="s">
        <v>26</v>
      </c>
      <c r="K413" s="1">
        <v>45731</v>
      </c>
      <c r="L413" s="1">
        <v>45742</v>
      </c>
      <c r="M413" s="1" t="str">
        <f>TEXT(Table1[[#This Row],[appointment_date]],"MM/YYYY")</f>
        <v>03/2025</v>
      </c>
      <c r="N413">
        <v>11</v>
      </c>
      <c r="O413" t="str" cm="1">
        <f t="array" ref="O413">_xlfn.IFS(Table1[[#This Row],[lead_time_days]]&lt;=7,"0-7 days",N413&lt;=14,"8-14 days",N413&lt;=30,"15-30 days",N413&lt;=60,"31-60 days",TRUE,"61+ days")</f>
        <v>8-14 days</v>
      </c>
      <c r="P413" t="s">
        <v>80</v>
      </c>
      <c r="Q413" t="s">
        <v>21</v>
      </c>
      <c r="R413">
        <v>0</v>
      </c>
      <c r="S413" t="str">
        <f>IF(Table1[prior_dna_count]&gt;=1,"Has prior DNA history","No prior DNA history")</f>
        <v>No prior DNA history</v>
      </c>
      <c r="T413" t="s">
        <v>22</v>
      </c>
      <c r="U413" t="str">
        <f t="shared" si="6"/>
        <v>1</v>
      </c>
      <c r="V413" t="str">
        <f>IF(Table1[appointment_status]="Attended","1","0")</f>
        <v>1</v>
      </c>
      <c r="W413" t="str">
        <f>IF(Table1[appointment_status]="Cancelled","1","0")</f>
        <v>0</v>
      </c>
    </row>
    <row r="414" spans="1:23">
      <c r="A414" t="s">
        <v>828</v>
      </c>
      <c r="B414" t="s">
        <v>829</v>
      </c>
      <c r="C414">
        <v>79</v>
      </c>
      <c r="D414" t="str" cm="1">
        <f t="array" ref="D414">_xlfn.IFS(Table1[[#This Row],[age]]&lt;=17,"0-17",C414&lt;=29,"18-29",C414&lt;=44,"30-44",C414&lt;=59,"45-59",C414&lt;=74,"60-74",TRUE,"75+")</f>
        <v>75+</v>
      </c>
      <c r="E414" t="s">
        <v>29</v>
      </c>
      <c r="F414">
        <v>4</v>
      </c>
      <c r="G414" t="str" cm="1">
        <f t="array" ref="G414">_xlfn.IFS(_xlfn.SINGLE(Table1[imd_decile])&lt;=3,"Most Deprived",F414&lt;=7,"Moderately Deprived",F414&lt;=10,"Least Deprived")</f>
        <v>Moderately Deprived</v>
      </c>
      <c r="H414">
        <v>3.6</v>
      </c>
      <c r="I414" t="s">
        <v>25</v>
      </c>
      <c r="J414" t="s">
        <v>19</v>
      </c>
      <c r="K414" s="1">
        <v>45711</v>
      </c>
      <c r="L414" s="1">
        <v>45742</v>
      </c>
      <c r="M414" s="1" t="str">
        <f>TEXT(Table1[[#This Row],[appointment_date]],"MM/YYYY")</f>
        <v>03/2025</v>
      </c>
      <c r="N414">
        <v>31</v>
      </c>
      <c r="O414" t="str" cm="1">
        <f t="array" ref="O414">_xlfn.IFS(Table1[[#This Row],[lead_time_days]]&lt;=7,"0-7 days",N414&lt;=14,"8-14 days",N414&lt;=30,"15-30 days",N414&lt;=60,"31-60 days",TRUE,"61+ days")</f>
        <v>31-60 days</v>
      </c>
      <c r="P414" t="s">
        <v>80</v>
      </c>
      <c r="Q414" t="s">
        <v>21</v>
      </c>
      <c r="R414">
        <v>0</v>
      </c>
      <c r="S414" t="str">
        <f>IF(Table1[prior_dna_count]&gt;=1,"Has prior DNA history","No prior DNA history")</f>
        <v>No prior DNA history</v>
      </c>
      <c r="T414" t="s">
        <v>22</v>
      </c>
      <c r="U414" t="str">
        <f t="shared" si="6"/>
        <v>1</v>
      </c>
      <c r="V414" t="str">
        <f>IF(Table1[appointment_status]="Attended","1","0")</f>
        <v>1</v>
      </c>
      <c r="W414" t="str">
        <f>IF(Table1[appointment_status]="Cancelled","1","0")</f>
        <v>0</v>
      </c>
    </row>
    <row r="415" spans="1:23">
      <c r="A415" t="s">
        <v>830</v>
      </c>
      <c r="B415" t="s">
        <v>615</v>
      </c>
      <c r="C415">
        <v>53</v>
      </c>
      <c r="D415" t="str" cm="1">
        <f t="array" ref="D415">_xlfn.IFS(Table1[[#This Row],[age]]&lt;=17,"0-17",C415&lt;=29,"18-29",C415&lt;=44,"30-44",C415&lt;=59,"45-59",C415&lt;=74,"60-74",TRUE,"75+")</f>
        <v>45-59</v>
      </c>
      <c r="E415" t="s">
        <v>29</v>
      </c>
      <c r="F415">
        <v>9</v>
      </c>
      <c r="G415" t="str" cm="1">
        <f t="array" ref="G415">_xlfn.IFS(_xlfn.SINGLE(Table1[imd_decile])&lt;=3,"Most Deprived",F415&lt;=7,"Moderately Deprived",F415&lt;=10,"Least Deprived")</f>
        <v>Least Deprived</v>
      </c>
      <c r="H415">
        <v>5.9</v>
      </c>
      <c r="I415" t="s">
        <v>42</v>
      </c>
      <c r="J415" t="s">
        <v>19</v>
      </c>
      <c r="K415" s="1">
        <v>45706</v>
      </c>
      <c r="L415" s="1">
        <v>45742</v>
      </c>
      <c r="M415" s="1" t="str">
        <f>TEXT(Table1[[#This Row],[appointment_date]],"MM/YYYY")</f>
        <v>03/2025</v>
      </c>
      <c r="N415">
        <v>36</v>
      </c>
      <c r="O415" t="str" cm="1">
        <f t="array" ref="O415">_xlfn.IFS(Table1[[#This Row],[lead_time_days]]&lt;=7,"0-7 days",N415&lt;=14,"8-14 days",N415&lt;=30,"15-30 days",N415&lt;=60,"31-60 days",TRUE,"61+ days")</f>
        <v>31-60 days</v>
      </c>
      <c r="P415" t="s">
        <v>80</v>
      </c>
      <c r="Q415" t="s">
        <v>21</v>
      </c>
      <c r="R415">
        <v>0</v>
      </c>
      <c r="S415" t="str">
        <f>IF(Table1[prior_dna_count]&gt;=1,"Has prior DNA history","No prior DNA history")</f>
        <v>No prior DNA history</v>
      </c>
      <c r="T415" t="s">
        <v>46</v>
      </c>
      <c r="U415" t="str">
        <f t="shared" si="6"/>
        <v>1</v>
      </c>
      <c r="V415" t="str">
        <f>IF(Table1[appointment_status]="Attended","1","0")</f>
        <v>0</v>
      </c>
      <c r="W415" t="str">
        <f>IF(Table1[appointment_status]="Cancelled","1","0")</f>
        <v>1</v>
      </c>
    </row>
    <row r="416" spans="1:23">
      <c r="A416" t="s">
        <v>831</v>
      </c>
      <c r="B416" t="s">
        <v>832</v>
      </c>
      <c r="C416">
        <v>82</v>
      </c>
      <c r="D416" t="str" cm="1">
        <f t="array" ref="D416">_xlfn.IFS(Table1[[#This Row],[age]]&lt;=17,"0-17",C416&lt;=29,"18-29",C416&lt;=44,"30-44",C416&lt;=59,"45-59",C416&lt;=74,"60-74",TRUE,"75+")</f>
        <v>75+</v>
      </c>
      <c r="E416" t="s">
        <v>29</v>
      </c>
      <c r="F416">
        <v>1</v>
      </c>
      <c r="G416" t="str" cm="1">
        <f t="array" ref="G416">_xlfn.IFS(_xlfn.SINGLE(Table1[imd_decile])&lt;=3,"Most Deprived",F416&lt;=7,"Moderately Deprived",F416&lt;=10,"Least Deprived")</f>
        <v>Most Deprived</v>
      </c>
      <c r="H416">
        <v>6.3</v>
      </c>
      <c r="I416" t="s">
        <v>25</v>
      </c>
      <c r="J416" t="s">
        <v>19</v>
      </c>
      <c r="K416" s="1">
        <v>45727</v>
      </c>
      <c r="L416" s="1">
        <v>45742</v>
      </c>
      <c r="M416" s="1" t="str">
        <f>TEXT(Table1[[#This Row],[appointment_date]],"MM/YYYY")</f>
        <v>03/2025</v>
      </c>
      <c r="N416">
        <v>15</v>
      </c>
      <c r="O416" t="str" cm="1">
        <f t="array" ref="O416">_xlfn.IFS(Table1[[#This Row],[lead_time_days]]&lt;=7,"0-7 days",N416&lt;=14,"8-14 days",N416&lt;=30,"15-30 days",N416&lt;=60,"31-60 days",TRUE,"61+ days")</f>
        <v>15-30 days</v>
      </c>
      <c r="P416" t="s">
        <v>80</v>
      </c>
      <c r="Q416" t="s">
        <v>32</v>
      </c>
      <c r="R416">
        <v>0</v>
      </c>
      <c r="S416" t="str">
        <f>IF(Table1[prior_dna_count]&gt;=1,"Has prior DNA history","No prior DNA history")</f>
        <v>No prior DNA history</v>
      </c>
      <c r="T416" t="s">
        <v>22</v>
      </c>
      <c r="U416" t="str">
        <f t="shared" si="6"/>
        <v>0</v>
      </c>
      <c r="V416" t="str">
        <f>IF(Table1[appointment_status]="Attended","1","0")</f>
        <v>1</v>
      </c>
      <c r="W416" t="str">
        <f>IF(Table1[appointment_status]="Cancelled","1","0")</f>
        <v>0</v>
      </c>
    </row>
    <row r="417" spans="1:23">
      <c r="A417" t="s">
        <v>833</v>
      </c>
      <c r="B417" t="s">
        <v>834</v>
      </c>
      <c r="C417">
        <v>59</v>
      </c>
      <c r="D417" t="str" cm="1">
        <f t="array" ref="D417">_xlfn.IFS(Table1[[#This Row],[age]]&lt;=17,"0-17",C417&lt;=29,"18-29",C417&lt;=44,"30-44",C417&lt;=59,"45-59",C417&lt;=74,"60-74",TRUE,"75+")</f>
        <v>45-59</v>
      </c>
      <c r="E417" t="s">
        <v>17</v>
      </c>
      <c r="F417">
        <v>5</v>
      </c>
      <c r="G417" t="str" cm="1">
        <f t="array" ref="G417">_xlfn.IFS(_xlfn.SINGLE(Table1[imd_decile])&lt;=3,"Most Deprived",F417&lt;=7,"Moderately Deprived",F417&lt;=10,"Least Deprived")</f>
        <v>Moderately Deprived</v>
      </c>
      <c r="H417">
        <v>4.2</v>
      </c>
      <c r="I417" t="s">
        <v>155</v>
      </c>
      <c r="J417" t="s">
        <v>19</v>
      </c>
      <c r="K417" s="1">
        <v>45680</v>
      </c>
      <c r="L417" s="1">
        <v>45742</v>
      </c>
      <c r="M417" s="1" t="str">
        <f>TEXT(Table1[[#This Row],[appointment_date]],"MM/YYYY")</f>
        <v>03/2025</v>
      </c>
      <c r="N417">
        <v>62</v>
      </c>
      <c r="O417" t="str" cm="1">
        <f t="array" ref="O417">_xlfn.IFS(Table1[[#This Row],[lead_time_days]]&lt;=7,"0-7 days",N417&lt;=14,"8-14 days",N417&lt;=30,"15-30 days",N417&lt;=60,"31-60 days",TRUE,"61+ days")</f>
        <v>61+ days</v>
      </c>
      <c r="P417" t="s">
        <v>80</v>
      </c>
      <c r="Q417" t="s">
        <v>32</v>
      </c>
      <c r="R417">
        <v>0</v>
      </c>
      <c r="S417" t="str">
        <f>IF(Table1[prior_dna_count]&gt;=1,"Has prior DNA history","No prior DNA history")</f>
        <v>No prior DNA history</v>
      </c>
      <c r="T417" t="s">
        <v>22</v>
      </c>
      <c r="U417" t="str">
        <f t="shared" si="6"/>
        <v>1</v>
      </c>
      <c r="V417" t="str">
        <f>IF(Table1[appointment_status]="Attended","1","0")</f>
        <v>1</v>
      </c>
      <c r="W417" t="str">
        <f>IF(Table1[appointment_status]="Cancelled","1","0")</f>
        <v>0</v>
      </c>
    </row>
    <row r="418" spans="1:23">
      <c r="A418" t="s">
        <v>835</v>
      </c>
      <c r="B418" t="s">
        <v>836</v>
      </c>
      <c r="C418">
        <v>95</v>
      </c>
      <c r="D418" t="str" cm="1">
        <f t="array" ref="D418">_xlfn.IFS(Table1[[#This Row],[age]]&lt;=17,"0-17",C418&lt;=29,"18-29",C418&lt;=44,"30-44",C418&lt;=59,"45-59",C418&lt;=74,"60-74",TRUE,"75+")</f>
        <v>75+</v>
      </c>
      <c r="E418" t="s">
        <v>29</v>
      </c>
      <c r="F418">
        <v>8</v>
      </c>
      <c r="G418" t="str" cm="1">
        <f t="array" ref="G418">_xlfn.IFS(_xlfn.SINGLE(Table1[imd_decile])&lt;=3,"Most Deprived",F418&lt;=7,"Moderately Deprived",F418&lt;=10,"Least Deprived")</f>
        <v>Least Deprived</v>
      </c>
      <c r="H418">
        <v>21.1</v>
      </c>
      <c r="I418" t="s">
        <v>18</v>
      </c>
      <c r="J418" t="s">
        <v>19</v>
      </c>
      <c r="K418" s="1">
        <v>45687</v>
      </c>
      <c r="L418" s="1">
        <v>45742</v>
      </c>
      <c r="M418" s="1" t="str">
        <f>TEXT(Table1[[#This Row],[appointment_date]],"MM/YYYY")</f>
        <v>03/2025</v>
      </c>
      <c r="N418">
        <v>55</v>
      </c>
      <c r="O418" t="str" cm="1">
        <f t="array" ref="O418">_xlfn.IFS(Table1[[#This Row],[lead_time_days]]&lt;=7,"0-7 days",N418&lt;=14,"8-14 days",N418&lt;=30,"15-30 days",N418&lt;=60,"31-60 days",TRUE,"61+ days")</f>
        <v>31-60 days</v>
      </c>
      <c r="P418" t="s">
        <v>80</v>
      </c>
      <c r="Q418" t="s">
        <v>21</v>
      </c>
      <c r="R418">
        <v>0</v>
      </c>
      <c r="S418" t="str">
        <f>IF(Table1[prior_dna_count]&gt;=1,"Has prior DNA history","No prior DNA history")</f>
        <v>No prior DNA history</v>
      </c>
      <c r="T418" t="s">
        <v>39</v>
      </c>
      <c r="U418" t="str">
        <f t="shared" si="6"/>
        <v>1</v>
      </c>
      <c r="V418" t="str">
        <f>IF(Table1[appointment_status]="Attended","1","0")</f>
        <v>0</v>
      </c>
      <c r="W418" t="str">
        <f>IF(Table1[appointment_status]="Cancelled","1","0")</f>
        <v>0</v>
      </c>
    </row>
    <row r="419" spans="1:23">
      <c r="A419" t="s">
        <v>837</v>
      </c>
      <c r="B419" t="s">
        <v>838</v>
      </c>
      <c r="C419">
        <v>39</v>
      </c>
      <c r="D419" t="str" cm="1">
        <f t="array" ref="D419">_xlfn.IFS(Table1[[#This Row],[age]]&lt;=17,"0-17",C419&lt;=29,"18-29",C419&lt;=44,"30-44",C419&lt;=59,"45-59",C419&lt;=74,"60-74",TRUE,"75+")</f>
        <v>30-44</v>
      </c>
      <c r="E419" t="s">
        <v>17</v>
      </c>
      <c r="F419">
        <v>2</v>
      </c>
      <c r="G419" t="str" cm="1">
        <f t="array" ref="G419">_xlfn.IFS(_xlfn.SINGLE(Table1[imd_decile])&lt;=3,"Most Deprived",F419&lt;=7,"Moderately Deprived",F419&lt;=10,"Least Deprived")</f>
        <v>Most Deprived</v>
      </c>
      <c r="H419">
        <v>3.6</v>
      </c>
      <c r="I419" t="s">
        <v>42</v>
      </c>
      <c r="J419" t="s">
        <v>19</v>
      </c>
      <c r="K419" s="1">
        <v>45718</v>
      </c>
      <c r="L419" s="1">
        <v>45742</v>
      </c>
      <c r="M419" s="1" t="str">
        <f>TEXT(Table1[[#This Row],[appointment_date]],"MM/YYYY")</f>
        <v>03/2025</v>
      </c>
      <c r="N419">
        <v>24</v>
      </c>
      <c r="O419" t="str" cm="1">
        <f t="array" ref="O419">_xlfn.IFS(Table1[[#This Row],[lead_time_days]]&lt;=7,"0-7 days",N419&lt;=14,"8-14 days",N419&lt;=30,"15-30 days",N419&lt;=60,"31-60 days",TRUE,"61+ days")</f>
        <v>15-30 days</v>
      </c>
      <c r="P419" t="s">
        <v>80</v>
      </c>
      <c r="Q419" t="s">
        <v>21</v>
      </c>
      <c r="R419">
        <v>0</v>
      </c>
      <c r="S419" t="str">
        <f>IF(Table1[prior_dna_count]&gt;=1,"Has prior DNA history","No prior DNA history")</f>
        <v>No prior DNA history</v>
      </c>
      <c r="T419" t="s">
        <v>22</v>
      </c>
      <c r="U419" t="str">
        <f t="shared" si="6"/>
        <v>0</v>
      </c>
      <c r="V419" t="str">
        <f>IF(Table1[appointment_status]="Attended","1","0")</f>
        <v>1</v>
      </c>
      <c r="W419" t="str">
        <f>IF(Table1[appointment_status]="Cancelled","1","0")</f>
        <v>0</v>
      </c>
    </row>
    <row r="420" spans="1:23">
      <c r="A420" t="s">
        <v>839</v>
      </c>
      <c r="B420" t="s">
        <v>840</v>
      </c>
      <c r="C420">
        <v>35</v>
      </c>
      <c r="D420" t="str" cm="1">
        <f t="array" ref="D420">_xlfn.IFS(Table1[[#This Row],[age]]&lt;=17,"0-17",C420&lt;=29,"18-29",C420&lt;=44,"30-44",C420&lt;=59,"45-59",C420&lt;=74,"60-74",TRUE,"75+")</f>
        <v>30-44</v>
      </c>
      <c r="E420" t="s">
        <v>29</v>
      </c>
      <c r="F420">
        <v>5</v>
      </c>
      <c r="G420" t="str" cm="1">
        <f t="array" ref="G420">_xlfn.IFS(_xlfn.SINGLE(Table1[imd_decile])&lt;=3,"Most Deprived",F420&lt;=7,"Moderately Deprived",F420&lt;=10,"Least Deprived")</f>
        <v>Moderately Deprived</v>
      </c>
      <c r="H420">
        <v>7.1</v>
      </c>
      <c r="I420" t="s">
        <v>45</v>
      </c>
      <c r="J420" t="s">
        <v>19</v>
      </c>
      <c r="K420" s="1">
        <v>45684</v>
      </c>
      <c r="L420" s="1">
        <v>45743</v>
      </c>
      <c r="M420" s="1" t="str">
        <f>TEXT(Table1[[#This Row],[appointment_date]],"MM/YYYY")</f>
        <v>03/2025</v>
      </c>
      <c r="N420">
        <v>59</v>
      </c>
      <c r="O420" t="str" cm="1">
        <f t="array" ref="O420">_xlfn.IFS(Table1[[#This Row],[lead_time_days]]&lt;=7,"0-7 days",N420&lt;=14,"8-14 days",N420&lt;=30,"15-30 days",N420&lt;=60,"31-60 days",TRUE,"61+ days")</f>
        <v>31-60 days</v>
      </c>
      <c r="P420" t="s">
        <v>20</v>
      </c>
      <c r="Q420" t="s">
        <v>21</v>
      </c>
      <c r="R420">
        <v>0</v>
      </c>
      <c r="S420" t="str">
        <f>IF(Table1[prior_dna_count]&gt;=1,"Has prior DNA history","No prior DNA history")</f>
        <v>No prior DNA history</v>
      </c>
      <c r="T420" t="s">
        <v>22</v>
      </c>
      <c r="U420" t="str">
        <f t="shared" si="6"/>
        <v>1</v>
      </c>
      <c r="V420" t="str">
        <f>IF(Table1[appointment_status]="Attended","1","0")</f>
        <v>1</v>
      </c>
      <c r="W420" t="str">
        <f>IF(Table1[appointment_status]="Cancelled","1","0")</f>
        <v>0</v>
      </c>
    </row>
    <row r="421" spans="1:23">
      <c r="A421" t="s">
        <v>841</v>
      </c>
      <c r="B421" t="s">
        <v>280</v>
      </c>
      <c r="C421">
        <v>66</v>
      </c>
      <c r="D421" t="str" cm="1">
        <f t="array" ref="D421">_xlfn.IFS(Table1[[#This Row],[age]]&lt;=17,"0-17",C421&lt;=29,"18-29",C421&lt;=44,"30-44",C421&lt;=59,"45-59",C421&lt;=74,"60-74",TRUE,"75+")</f>
        <v>60-74</v>
      </c>
      <c r="E421" t="s">
        <v>29</v>
      </c>
      <c r="F421">
        <v>3</v>
      </c>
      <c r="G421" t="str" cm="1">
        <f t="array" ref="G421">_xlfn.IFS(_xlfn.SINGLE(Table1[imd_decile])&lt;=3,"Most Deprived",F421&lt;=7,"Moderately Deprived",F421&lt;=10,"Least Deprived")</f>
        <v>Most Deprived</v>
      </c>
      <c r="H421">
        <v>10.1</v>
      </c>
      <c r="I421" t="s">
        <v>18</v>
      </c>
      <c r="J421" t="s">
        <v>26</v>
      </c>
      <c r="K421" s="1">
        <v>45741</v>
      </c>
      <c r="L421" s="1">
        <v>45743</v>
      </c>
      <c r="M421" s="1" t="str">
        <f>TEXT(Table1[[#This Row],[appointment_date]],"MM/YYYY")</f>
        <v>03/2025</v>
      </c>
      <c r="N421">
        <v>2</v>
      </c>
      <c r="O421" t="str" cm="1">
        <f t="array" ref="O421">_xlfn.IFS(Table1[[#This Row],[lead_time_days]]&lt;=7,"0-7 days",N421&lt;=14,"8-14 days",N421&lt;=30,"15-30 days",N421&lt;=60,"31-60 days",TRUE,"61+ days")</f>
        <v>0-7 days</v>
      </c>
      <c r="P421" t="s">
        <v>20</v>
      </c>
      <c r="Q421" t="s">
        <v>21</v>
      </c>
      <c r="R421">
        <v>0</v>
      </c>
      <c r="S421" t="str">
        <f>IF(Table1[prior_dna_count]&gt;=1,"Has prior DNA history","No prior DNA history")</f>
        <v>No prior DNA history</v>
      </c>
      <c r="T421" t="s">
        <v>22</v>
      </c>
      <c r="U421" t="str">
        <f t="shared" si="6"/>
        <v>1</v>
      </c>
      <c r="V421" t="str">
        <f>IF(Table1[appointment_status]="Attended","1","0")</f>
        <v>1</v>
      </c>
      <c r="W421" t="str">
        <f>IF(Table1[appointment_status]="Cancelled","1","0")</f>
        <v>0</v>
      </c>
    </row>
    <row r="422" spans="1:23">
      <c r="A422" t="s">
        <v>842</v>
      </c>
      <c r="B422" t="s">
        <v>843</v>
      </c>
      <c r="C422">
        <v>18</v>
      </c>
      <c r="D422" t="str" cm="1">
        <f t="array" ref="D422">_xlfn.IFS(Table1[[#This Row],[age]]&lt;=17,"0-17",C422&lt;=29,"18-29",C422&lt;=44,"30-44",C422&lt;=59,"45-59",C422&lt;=74,"60-74",TRUE,"75+")</f>
        <v>18-29</v>
      </c>
      <c r="E422" t="s">
        <v>29</v>
      </c>
      <c r="F422">
        <v>4</v>
      </c>
      <c r="G422" t="str" cm="1">
        <f t="array" ref="G422">_xlfn.IFS(_xlfn.SINGLE(Table1[imd_decile])&lt;=3,"Most Deprived",F422&lt;=7,"Moderately Deprived",F422&lt;=10,"Least Deprived")</f>
        <v>Moderately Deprived</v>
      </c>
      <c r="H422">
        <v>23.2</v>
      </c>
      <c r="I422" t="s">
        <v>42</v>
      </c>
      <c r="J422" t="s">
        <v>19</v>
      </c>
      <c r="K422" s="1">
        <v>45714</v>
      </c>
      <c r="L422" s="1">
        <v>45743</v>
      </c>
      <c r="M422" s="1" t="str">
        <f>TEXT(Table1[[#This Row],[appointment_date]],"MM/YYYY")</f>
        <v>03/2025</v>
      </c>
      <c r="N422">
        <v>29</v>
      </c>
      <c r="O422" t="str" cm="1">
        <f t="array" ref="O422">_xlfn.IFS(Table1[[#This Row],[lead_time_days]]&lt;=7,"0-7 days",N422&lt;=14,"8-14 days",N422&lt;=30,"15-30 days",N422&lt;=60,"31-60 days",TRUE,"61+ days")</f>
        <v>15-30 days</v>
      </c>
      <c r="P422" t="s">
        <v>20</v>
      </c>
      <c r="Q422" t="s">
        <v>21</v>
      </c>
      <c r="R422">
        <v>0</v>
      </c>
      <c r="S422" t="str">
        <f>IF(Table1[prior_dna_count]&gt;=1,"Has prior DNA history","No prior DNA history")</f>
        <v>No prior DNA history</v>
      </c>
      <c r="T422" t="s">
        <v>46</v>
      </c>
      <c r="U422" t="str">
        <f t="shared" si="6"/>
        <v>1</v>
      </c>
      <c r="V422" t="str">
        <f>IF(Table1[appointment_status]="Attended","1","0")</f>
        <v>0</v>
      </c>
      <c r="W422" t="str">
        <f>IF(Table1[appointment_status]="Cancelled","1","0")</f>
        <v>1</v>
      </c>
    </row>
    <row r="423" spans="1:23">
      <c r="A423" t="s">
        <v>844</v>
      </c>
      <c r="B423" t="s">
        <v>298</v>
      </c>
      <c r="C423">
        <v>29</v>
      </c>
      <c r="D423" t="str" cm="1">
        <f t="array" ref="D423">_xlfn.IFS(Table1[[#This Row],[age]]&lt;=17,"0-17",C423&lt;=29,"18-29",C423&lt;=44,"30-44",C423&lt;=59,"45-59",C423&lt;=74,"60-74",TRUE,"75+")</f>
        <v>18-29</v>
      </c>
      <c r="E423" t="s">
        <v>17</v>
      </c>
      <c r="F423">
        <v>1</v>
      </c>
      <c r="G423" t="str" cm="1">
        <f t="array" ref="G423">_xlfn.IFS(_xlfn.SINGLE(Table1[imd_decile])&lt;=3,"Most Deprived",F423&lt;=7,"Moderately Deprived",F423&lt;=10,"Least Deprived")</f>
        <v>Most Deprived</v>
      </c>
      <c r="H423">
        <v>5.9</v>
      </c>
      <c r="I423" t="s">
        <v>18</v>
      </c>
      <c r="J423" t="s">
        <v>19</v>
      </c>
      <c r="K423" s="1">
        <v>45734</v>
      </c>
      <c r="L423" s="1">
        <v>45743</v>
      </c>
      <c r="M423" s="1" t="str">
        <f>TEXT(Table1[[#This Row],[appointment_date]],"MM/YYYY")</f>
        <v>03/2025</v>
      </c>
      <c r="N423">
        <v>9</v>
      </c>
      <c r="O423" t="str" cm="1">
        <f t="array" ref="O423">_xlfn.IFS(Table1[[#This Row],[lead_time_days]]&lt;=7,"0-7 days",N423&lt;=14,"8-14 days",N423&lt;=30,"15-30 days",N423&lt;=60,"31-60 days",TRUE,"61+ days")</f>
        <v>8-14 days</v>
      </c>
      <c r="P423" t="s">
        <v>20</v>
      </c>
      <c r="Q423" t="s">
        <v>21</v>
      </c>
      <c r="R423">
        <v>2</v>
      </c>
      <c r="S423" t="str">
        <f>IF(Table1[prior_dna_count]&gt;=1,"Has prior DNA history","No prior DNA history")</f>
        <v>Has prior DNA history</v>
      </c>
      <c r="T423" t="s">
        <v>22</v>
      </c>
      <c r="U423" t="str">
        <f t="shared" si="6"/>
        <v>0</v>
      </c>
      <c r="V423" t="str">
        <f>IF(Table1[appointment_status]="Attended","1","0")</f>
        <v>1</v>
      </c>
      <c r="W423" t="str">
        <f>IF(Table1[appointment_status]="Cancelled","1","0")</f>
        <v>0</v>
      </c>
    </row>
    <row r="424" spans="1:23">
      <c r="A424" t="s">
        <v>845</v>
      </c>
      <c r="B424" t="s">
        <v>846</v>
      </c>
      <c r="C424">
        <v>72</v>
      </c>
      <c r="D424" t="str" cm="1">
        <f t="array" ref="D424">_xlfn.IFS(Table1[[#This Row],[age]]&lt;=17,"0-17",C424&lt;=29,"18-29",C424&lt;=44,"30-44",C424&lt;=59,"45-59",C424&lt;=74,"60-74",TRUE,"75+")</f>
        <v>60-74</v>
      </c>
      <c r="E424" t="s">
        <v>29</v>
      </c>
      <c r="F424">
        <v>2</v>
      </c>
      <c r="G424" t="str" cm="1">
        <f t="array" ref="G424">_xlfn.IFS(_xlfn.SINGLE(Table1[imd_decile])&lt;=3,"Most Deprived",F424&lt;=7,"Moderately Deprived",F424&lt;=10,"Least Deprived")</f>
        <v>Most Deprived</v>
      </c>
      <c r="H424">
        <v>10</v>
      </c>
      <c r="I424" t="s">
        <v>155</v>
      </c>
      <c r="J424" t="s">
        <v>26</v>
      </c>
      <c r="K424" s="1">
        <v>45733</v>
      </c>
      <c r="L424" s="1">
        <v>45743</v>
      </c>
      <c r="M424" s="1" t="str">
        <f>TEXT(Table1[[#This Row],[appointment_date]],"MM/YYYY")</f>
        <v>03/2025</v>
      </c>
      <c r="N424">
        <v>10</v>
      </c>
      <c r="O424" t="str" cm="1">
        <f t="array" ref="O424">_xlfn.IFS(Table1[[#This Row],[lead_time_days]]&lt;=7,"0-7 days",N424&lt;=14,"8-14 days",N424&lt;=30,"15-30 days",N424&lt;=60,"31-60 days",TRUE,"61+ days")</f>
        <v>8-14 days</v>
      </c>
      <c r="P424" t="s">
        <v>20</v>
      </c>
      <c r="Q424" t="s">
        <v>21</v>
      </c>
      <c r="R424">
        <v>0</v>
      </c>
      <c r="S424" t="str">
        <f>IF(Table1[prior_dna_count]&gt;=1,"Has prior DNA history","No prior DNA history")</f>
        <v>No prior DNA history</v>
      </c>
      <c r="T424" t="s">
        <v>22</v>
      </c>
      <c r="U424" t="str">
        <f t="shared" si="6"/>
        <v>1</v>
      </c>
      <c r="V424" t="str">
        <f>IF(Table1[appointment_status]="Attended","1","0")</f>
        <v>1</v>
      </c>
      <c r="W424" t="str">
        <f>IF(Table1[appointment_status]="Cancelled","1","0")</f>
        <v>0</v>
      </c>
    </row>
    <row r="425" spans="1:23">
      <c r="A425" t="s">
        <v>847</v>
      </c>
      <c r="B425" t="s">
        <v>848</v>
      </c>
      <c r="C425">
        <v>31</v>
      </c>
      <c r="D425" t="str" cm="1">
        <f t="array" ref="D425">_xlfn.IFS(Table1[[#This Row],[age]]&lt;=17,"0-17",C425&lt;=29,"18-29",C425&lt;=44,"30-44",C425&lt;=59,"45-59",C425&lt;=74,"60-74",TRUE,"75+")</f>
        <v>30-44</v>
      </c>
      <c r="E425" t="s">
        <v>29</v>
      </c>
      <c r="F425">
        <v>6</v>
      </c>
      <c r="G425" t="str" cm="1">
        <f t="array" ref="G425">_xlfn.IFS(_xlfn.SINGLE(Table1[imd_decile])&lt;=3,"Most Deprived",F425&lt;=7,"Moderately Deprived",F425&lt;=10,"Least Deprived")</f>
        <v>Moderately Deprived</v>
      </c>
      <c r="H425">
        <v>4.0999999999999996</v>
      </c>
      <c r="I425" t="s">
        <v>25</v>
      </c>
      <c r="J425" t="s">
        <v>19</v>
      </c>
      <c r="K425" s="1">
        <v>45717</v>
      </c>
      <c r="L425" s="1">
        <v>45743</v>
      </c>
      <c r="M425" s="1" t="str">
        <f>TEXT(Table1[[#This Row],[appointment_date]],"MM/YYYY")</f>
        <v>03/2025</v>
      </c>
      <c r="N425">
        <v>26</v>
      </c>
      <c r="O425" t="str" cm="1">
        <f t="array" ref="O425">_xlfn.IFS(Table1[[#This Row],[lead_time_days]]&lt;=7,"0-7 days",N425&lt;=14,"8-14 days",N425&lt;=30,"15-30 days",N425&lt;=60,"31-60 days",TRUE,"61+ days")</f>
        <v>15-30 days</v>
      </c>
      <c r="P425" t="s">
        <v>20</v>
      </c>
      <c r="Q425" t="s">
        <v>32</v>
      </c>
      <c r="R425">
        <v>0</v>
      </c>
      <c r="S425" t="str">
        <f>IF(Table1[prior_dna_count]&gt;=1,"Has prior DNA history","No prior DNA history")</f>
        <v>No prior DNA history</v>
      </c>
      <c r="T425" t="s">
        <v>22</v>
      </c>
      <c r="U425" t="str">
        <f t="shared" si="6"/>
        <v>1</v>
      </c>
      <c r="V425" t="str">
        <f>IF(Table1[appointment_status]="Attended","1","0")</f>
        <v>1</v>
      </c>
      <c r="W425" t="str">
        <f>IF(Table1[appointment_status]="Cancelled","1","0")</f>
        <v>0</v>
      </c>
    </row>
    <row r="426" spans="1:23">
      <c r="A426" t="s">
        <v>849</v>
      </c>
      <c r="B426" t="s">
        <v>596</v>
      </c>
      <c r="C426">
        <v>85</v>
      </c>
      <c r="D426" t="str" cm="1">
        <f t="array" ref="D426">_xlfn.IFS(Table1[[#This Row],[age]]&lt;=17,"0-17",C426&lt;=29,"18-29",C426&lt;=44,"30-44",C426&lt;=59,"45-59",C426&lt;=74,"60-74",TRUE,"75+")</f>
        <v>75+</v>
      </c>
      <c r="E426" t="s">
        <v>29</v>
      </c>
      <c r="F426">
        <v>1</v>
      </c>
      <c r="G426" t="str" cm="1">
        <f t="array" ref="G426">_xlfn.IFS(_xlfn.SINGLE(Table1[imd_decile])&lt;=3,"Most Deprived",F426&lt;=7,"Moderately Deprived",F426&lt;=10,"Least Deprived")</f>
        <v>Most Deprived</v>
      </c>
      <c r="H426">
        <v>5.0999999999999996</v>
      </c>
      <c r="I426" t="s">
        <v>45</v>
      </c>
      <c r="J426" t="s">
        <v>19</v>
      </c>
      <c r="K426" s="1">
        <v>45703</v>
      </c>
      <c r="L426" s="1">
        <v>45744</v>
      </c>
      <c r="M426" s="1" t="str">
        <f>TEXT(Table1[[#This Row],[appointment_date]],"MM/YYYY")</f>
        <v>03/2025</v>
      </c>
      <c r="N426">
        <v>41</v>
      </c>
      <c r="O426" t="str" cm="1">
        <f t="array" ref="O426">_xlfn.IFS(Table1[[#This Row],[lead_time_days]]&lt;=7,"0-7 days",N426&lt;=14,"8-14 days",N426&lt;=30,"15-30 days",N426&lt;=60,"31-60 days",TRUE,"61+ days")</f>
        <v>31-60 days</v>
      </c>
      <c r="P426" t="s">
        <v>52</v>
      </c>
      <c r="Q426" t="s">
        <v>21</v>
      </c>
      <c r="R426">
        <v>0</v>
      </c>
      <c r="S426" t="str">
        <f>IF(Table1[prior_dna_count]&gt;=1,"Has prior DNA history","No prior DNA history")</f>
        <v>No prior DNA history</v>
      </c>
      <c r="T426" t="s">
        <v>22</v>
      </c>
      <c r="U426" t="str">
        <f t="shared" si="6"/>
        <v>1</v>
      </c>
      <c r="V426" t="str">
        <f>IF(Table1[appointment_status]="Attended","1","0")</f>
        <v>1</v>
      </c>
      <c r="W426" t="str">
        <f>IF(Table1[appointment_status]="Cancelled","1","0")</f>
        <v>0</v>
      </c>
    </row>
    <row r="427" spans="1:23">
      <c r="A427" t="s">
        <v>850</v>
      </c>
      <c r="B427" t="s">
        <v>851</v>
      </c>
      <c r="C427">
        <v>51</v>
      </c>
      <c r="D427" t="str" cm="1">
        <f t="array" ref="D427">_xlfn.IFS(Table1[[#This Row],[age]]&lt;=17,"0-17",C427&lt;=29,"18-29",C427&lt;=44,"30-44",C427&lt;=59,"45-59",C427&lt;=74,"60-74",TRUE,"75+")</f>
        <v>45-59</v>
      </c>
      <c r="E427" t="s">
        <v>29</v>
      </c>
      <c r="F427">
        <v>4</v>
      </c>
      <c r="G427" t="str" cm="1">
        <f t="array" ref="G427">_xlfn.IFS(_xlfn.SINGLE(Table1[imd_decile])&lt;=3,"Most Deprived",F427&lt;=7,"Moderately Deprived",F427&lt;=10,"Least Deprived")</f>
        <v>Moderately Deprived</v>
      </c>
      <c r="H427">
        <v>5.0999999999999996</v>
      </c>
      <c r="I427" t="s">
        <v>25</v>
      </c>
      <c r="J427" t="s">
        <v>19</v>
      </c>
      <c r="K427" s="1">
        <v>45692</v>
      </c>
      <c r="L427" s="1">
        <v>45744</v>
      </c>
      <c r="M427" s="1" t="str">
        <f>TEXT(Table1[[#This Row],[appointment_date]],"MM/YYYY")</f>
        <v>03/2025</v>
      </c>
      <c r="N427">
        <v>52</v>
      </c>
      <c r="O427" t="str" cm="1">
        <f t="array" ref="O427">_xlfn.IFS(Table1[[#This Row],[lead_time_days]]&lt;=7,"0-7 days",N427&lt;=14,"8-14 days",N427&lt;=30,"15-30 days",N427&lt;=60,"31-60 days",TRUE,"61+ days")</f>
        <v>31-60 days</v>
      </c>
      <c r="P427" t="s">
        <v>52</v>
      </c>
      <c r="Q427" t="s">
        <v>21</v>
      </c>
      <c r="R427">
        <v>0</v>
      </c>
      <c r="S427" t="str">
        <f>IF(Table1[prior_dna_count]&gt;=1,"Has prior DNA history","No prior DNA history")</f>
        <v>No prior DNA history</v>
      </c>
      <c r="T427" t="s">
        <v>22</v>
      </c>
      <c r="U427" t="str">
        <f t="shared" si="6"/>
        <v>1</v>
      </c>
      <c r="V427" t="str">
        <f>IF(Table1[appointment_status]="Attended","1","0")</f>
        <v>1</v>
      </c>
      <c r="W427" t="str">
        <f>IF(Table1[appointment_status]="Cancelled","1","0")</f>
        <v>0</v>
      </c>
    </row>
    <row r="428" spans="1:23">
      <c r="A428" t="s">
        <v>852</v>
      </c>
      <c r="B428" t="s">
        <v>853</v>
      </c>
      <c r="C428">
        <v>51</v>
      </c>
      <c r="D428" t="str" cm="1">
        <f t="array" ref="D428">_xlfn.IFS(Table1[[#This Row],[age]]&lt;=17,"0-17",C428&lt;=29,"18-29",C428&lt;=44,"30-44",C428&lt;=59,"45-59",C428&lt;=74,"60-74",TRUE,"75+")</f>
        <v>45-59</v>
      </c>
      <c r="E428" t="s">
        <v>29</v>
      </c>
      <c r="F428">
        <v>6</v>
      </c>
      <c r="G428" t="str" cm="1">
        <f t="array" ref="G428">_xlfn.IFS(_xlfn.SINGLE(Table1[imd_decile])&lt;=3,"Most Deprived",F428&lt;=7,"Moderately Deprived",F428&lt;=10,"Least Deprived")</f>
        <v>Moderately Deprived</v>
      </c>
      <c r="H428">
        <v>10.3</v>
      </c>
      <c r="I428" t="s">
        <v>38</v>
      </c>
      <c r="J428" t="s">
        <v>19</v>
      </c>
      <c r="K428" s="1">
        <v>45734</v>
      </c>
      <c r="L428" s="1">
        <v>45744</v>
      </c>
      <c r="M428" s="1" t="str">
        <f>TEXT(Table1[[#This Row],[appointment_date]],"MM/YYYY")</f>
        <v>03/2025</v>
      </c>
      <c r="N428">
        <v>10</v>
      </c>
      <c r="O428" t="str" cm="1">
        <f t="array" ref="O428">_xlfn.IFS(Table1[[#This Row],[lead_time_days]]&lt;=7,"0-7 days",N428&lt;=14,"8-14 days",N428&lt;=30,"15-30 days",N428&lt;=60,"31-60 days",TRUE,"61+ days")</f>
        <v>8-14 days</v>
      </c>
      <c r="P428" t="s">
        <v>52</v>
      </c>
      <c r="Q428" t="s">
        <v>21</v>
      </c>
      <c r="R428">
        <v>0</v>
      </c>
      <c r="S428" t="str">
        <f>IF(Table1[prior_dna_count]&gt;=1,"Has prior DNA history","No prior DNA history")</f>
        <v>No prior DNA history</v>
      </c>
      <c r="T428" t="s">
        <v>46</v>
      </c>
      <c r="U428" t="str">
        <f t="shared" si="6"/>
        <v>1</v>
      </c>
      <c r="V428" t="str">
        <f>IF(Table1[appointment_status]="Attended","1","0")</f>
        <v>0</v>
      </c>
      <c r="W428" t="str">
        <f>IF(Table1[appointment_status]="Cancelled","1","0")</f>
        <v>1</v>
      </c>
    </row>
    <row r="429" spans="1:23">
      <c r="A429" t="s">
        <v>854</v>
      </c>
      <c r="B429" t="s">
        <v>855</v>
      </c>
      <c r="C429">
        <v>49</v>
      </c>
      <c r="D429" t="str" cm="1">
        <f t="array" ref="D429">_xlfn.IFS(Table1[[#This Row],[age]]&lt;=17,"0-17",C429&lt;=29,"18-29",C429&lt;=44,"30-44",C429&lt;=59,"45-59",C429&lt;=74,"60-74",TRUE,"75+")</f>
        <v>45-59</v>
      </c>
      <c r="E429" t="s">
        <v>17</v>
      </c>
      <c r="F429">
        <v>5</v>
      </c>
      <c r="G429" t="str" cm="1">
        <f t="array" ref="G429">_xlfn.IFS(_xlfn.SINGLE(Table1[imd_decile])&lt;=3,"Most Deprived",F429&lt;=7,"Moderately Deprived",F429&lt;=10,"Least Deprived")</f>
        <v>Moderately Deprived</v>
      </c>
      <c r="H429">
        <v>2.7</v>
      </c>
      <c r="I429" t="s">
        <v>58</v>
      </c>
      <c r="J429" t="s">
        <v>19</v>
      </c>
      <c r="K429" s="1">
        <v>45714</v>
      </c>
      <c r="L429" s="1">
        <v>45744</v>
      </c>
      <c r="M429" s="1" t="str">
        <f>TEXT(Table1[[#This Row],[appointment_date]],"MM/YYYY")</f>
        <v>03/2025</v>
      </c>
      <c r="N429">
        <v>30</v>
      </c>
      <c r="O429" t="str" cm="1">
        <f t="array" ref="O429">_xlfn.IFS(Table1[[#This Row],[lead_time_days]]&lt;=7,"0-7 days",N429&lt;=14,"8-14 days",N429&lt;=30,"15-30 days",N429&lt;=60,"31-60 days",TRUE,"61+ days")</f>
        <v>15-30 days</v>
      </c>
      <c r="P429" t="s">
        <v>52</v>
      </c>
      <c r="Q429" t="s">
        <v>21</v>
      </c>
      <c r="R429">
        <v>0</v>
      </c>
      <c r="S429" t="str">
        <f>IF(Table1[prior_dna_count]&gt;=1,"Has prior DNA history","No prior DNA history")</f>
        <v>No prior DNA history</v>
      </c>
      <c r="T429" t="s">
        <v>46</v>
      </c>
      <c r="U429" t="str">
        <f t="shared" si="6"/>
        <v>0</v>
      </c>
      <c r="V429" t="str">
        <f>IF(Table1[appointment_status]="Attended","1","0")</f>
        <v>0</v>
      </c>
      <c r="W429" t="str">
        <f>IF(Table1[appointment_status]="Cancelled","1","0")</f>
        <v>1</v>
      </c>
    </row>
    <row r="430" spans="1:23">
      <c r="A430" t="s">
        <v>856</v>
      </c>
      <c r="B430" t="s">
        <v>857</v>
      </c>
      <c r="C430">
        <v>65</v>
      </c>
      <c r="D430" t="str" cm="1">
        <f t="array" ref="D430">_xlfn.IFS(Table1[[#This Row],[age]]&lt;=17,"0-17",C430&lt;=29,"18-29",C430&lt;=44,"30-44",C430&lt;=59,"45-59",C430&lt;=74,"60-74",TRUE,"75+")</f>
        <v>60-74</v>
      </c>
      <c r="E430" t="s">
        <v>17</v>
      </c>
      <c r="F430">
        <v>9</v>
      </c>
      <c r="G430" t="str" cm="1">
        <f t="array" ref="G430">_xlfn.IFS(_xlfn.SINGLE(Table1[imd_decile])&lt;=3,"Most Deprived",F430&lt;=7,"Moderately Deprived",F430&lt;=10,"Least Deprived")</f>
        <v>Least Deprived</v>
      </c>
      <c r="H430">
        <v>2.8</v>
      </c>
      <c r="I430" t="s">
        <v>45</v>
      </c>
      <c r="J430" t="s">
        <v>19</v>
      </c>
      <c r="K430" s="1">
        <v>45729</v>
      </c>
      <c r="L430" s="1">
        <v>45744</v>
      </c>
      <c r="M430" s="1" t="str">
        <f>TEXT(Table1[[#This Row],[appointment_date]],"MM/YYYY")</f>
        <v>03/2025</v>
      </c>
      <c r="N430">
        <v>15</v>
      </c>
      <c r="O430" t="str" cm="1">
        <f t="array" ref="O430">_xlfn.IFS(Table1[[#This Row],[lead_time_days]]&lt;=7,"0-7 days",N430&lt;=14,"8-14 days",N430&lt;=30,"15-30 days",N430&lt;=60,"31-60 days",TRUE,"61+ days")</f>
        <v>15-30 days</v>
      </c>
      <c r="P430" t="s">
        <v>52</v>
      </c>
      <c r="Q430" t="s">
        <v>21</v>
      </c>
      <c r="R430">
        <v>0</v>
      </c>
      <c r="S430" t="str">
        <f>IF(Table1[prior_dna_count]&gt;=1,"Has prior DNA history","No prior DNA history")</f>
        <v>No prior DNA history</v>
      </c>
      <c r="T430" t="s">
        <v>22</v>
      </c>
      <c r="U430" t="str">
        <f t="shared" si="6"/>
        <v>0</v>
      </c>
      <c r="V430" t="str">
        <f>IF(Table1[appointment_status]="Attended","1","0")</f>
        <v>1</v>
      </c>
      <c r="W430" t="str">
        <f>IF(Table1[appointment_status]="Cancelled","1","0")</f>
        <v>0</v>
      </c>
    </row>
    <row r="431" spans="1:23">
      <c r="A431" t="s">
        <v>858</v>
      </c>
      <c r="B431" t="s">
        <v>859</v>
      </c>
      <c r="C431">
        <v>50</v>
      </c>
      <c r="D431" t="str" cm="1">
        <f t="array" ref="D431">_xlfn.IFS(Table1[[#This Row],[age]]&lt;=17,"0-17",C431&lt;=29,"18-29",C431&lt;=44,"30-44",C431&lt;=59,"45-59",C431&lt;=74,"60-74",TRUE,"75+")</f>
        <v>45-59</v>
      </c>
      <c r="E431" t="s">
        <v>17</v>
      </c>
      <c r="F431">
        <v>3</v>
      </c>
      <c r="G431" t="str" cm="1">
        <f t="array" ref="G431">_xlfn.IFS(_xlfn.SINGLE(Table1[imd_decile])&lt;=3,"Most Deprived",F431&lt;=7,"Moderately Deprived",F431&lt;=10,"Least Deprived")</f>
        <v>Most Deprived</v>
      </c>
      <c r="H431">
        <v>6.2</v>
      </c>
      <c r="I431" t="s">
        <v>155</v>
      </c>
      <c r="J431" t="s">
        <v>19</v>
      </c>
      <c r="K431" s="1">
        <v>45731</v>
      </c>
      <c r="L431" s="1">
        <v>45744</v>
      </c>
      <c r="M431" s="1" t="str">
        <f>TEXT(Table1[[#This Row],[appointment_date]],"MM/YYYY")</f>
        <v>03/2025</v>
      </c>
      <c r="N431">
        <v>13</v>
      </c>
      <c r="O431" t="str" cm="1">
        <f t="array" ref="O431">_xlfn.IFS(Table1[[#This Row],[lead_time_days]]&lt;=7,"0-7 days",N431&lt;=14,"8-14 days",N431&lt;=30,"15-30 days",N431&lt;=60,"31-60 days",TRUE,"61+ days")</f>
        <v>8-14 days</v>
      </c>
      <c r="P431" t="s">
        <v>52</v>
      </c>
      <c r="Q431" t="s">
        <v>32</v>
      </c>
      <c r="R431">
        <v>0</v>
      </c>
      <c r="S431" t="str">
        <f>IF(Table1[prior_dna_count]&gt;=1,"Has prior DNA history","No prior DNA history")</f>
        <v>No prior DNA history</v>
      </c>
      <c r="T431" t="s">
        <v>22</v>
      </c>
      <c r="U431" t="str">
        <f t="shared" si="6"/>
        <v>1</v>
      </c>
      <c r="V431" t="str">
        <f>IF(Table1[appointment_status]="Attended","1","0")</f>
        <v>1</v>
      </c>
      <c r="W431" t="str">
        <f>IF(Table1[appointment_status]="Cancelled","1","0")</f>
        <v>0</v>
      </c>
    </row>
    <row r="432" spans="1:23">
      <c r="A432" t="s">
        <v>860</v>
      </c>
      <c r="B432" t="s">
        <v>861</v>
      </c>
      <c r="C432">
        <v>87</v>
      </c>
      <c r="D432" t="str" cm="1">
        <f t="array" ref="D432">_xlfn.IFS(Table1[[#This Row],[age]]&lt;=17,"0-17",C432&lt;=29,"18-29",C432&lt;=44,"30-44",C432&lt;=59,"45-59",C432&lt;=74,"60-74",TRUE,"75+")</f>
        <v>75+</v>
      </c>
      <c r="E432" t="s">
        <v>17</v>
      </c>
      <c r="F432">
        <v>1</v>
      </c>
      <c r="G432" t="str" cm="1">
        <f t="array" ref="G432">_xlfn.IFS(_xlfn.SINGLE(Table1[imd_decile])&lt;=3,"Most Deprived",F432&lt;=7,"Moderately Deprived",F432&lt;=10,"Least Deprived")</f>
        <v>Most Deprived</v>
      </c>
      <c r="H432">
        <v>11.5</v>
      </c>
      <c r="I432" t="s">
        <v>25</v>
      </c>
      <c r="J432" t="s">
        <v>26</v>
      </c>
      <c r="K432" s="1">
        <v>45741</v>
      </c>
      <c r="L432" s="1">
        <v>45744</v>
      </c>
      <c r="M432" s="1" t="str">
        <f>TEXT(Table1[[#This Row],[appointment_date]],"MM/YYYY")</f>
        <v>03/2025</v>
      </c>
      <c r="N432">
        <v>3</v>
      </c>
      <c r="O432" t="str" cm="1">
        <f t="array" ref="O432">_xlfn.IFS(Table1[[#This Row],[lead_time_days]]&lt;=7,"0-7 days",N432&lt;=14,"8-14 days",N432&lt;=30,"15-30 days",N432&lt;=60,"31-60 days",TRUE,"61+ days")</f>
        <v>0-7 days</v>
      </c>
      <c r="P432" t="s">
        <v>52</v>
      </c>
      <c r="Q432" t="s">
        <v>32</v>
      </c>
      <c r="R432">
        <v>0</v>
      </c>
      <c r="S432" t="str">
        <f>IF(Table1[prior_dna_count]&gt;=1,"Has prior DNA history","No prior DNA history")</f>
        <v>No prior DNA history</v>
      </c>
      <c r="T432" t="s">
        <v>46</v>
      </c>
      <c r="U432" t="str">
        <f t="shared" si="6"/>
        <v>1</v>
      </c>
      <c r="V432" t="str">
        <f>IF(Table1[appointment_status]="Attended","1","0")</f>
        <v>0</v>
      </c>
      <c r="W432" t="str">
        <f>IF(Table1[appointment_status]="Cancelled","1","0")</f>
        <v>1</v>
      </c>
    </row>
    <row r="433" spans="1:23">
      <c r="A433" t="s">
        <v>862</v>
      </c>
      <c r="B433" t="s">
        <v>863</v>
      </c>
      <c r="C433">
        <v>58</v>
      </c>
      <c r="D433" t="str" cm="1">
        <f t="array" ref="D433">_xlfn.IFS(Table1[[#This Row],[age]]&lt;=17,"0-17",C433&lt;=29,"18-29",C433&lt;=44,"30-44",C433&lt;=59,"45-59",C433&lt;=74,"60-74",TRUE,"75+")</f>
        <v>45-59</v>
      </c>
      <c r="E433" t="s">
        <v>17</v>
      </c>
      <c r="F433">
        <v>4</v>
      </c>
      <c r="G433" t="str" cm="1">
        <f t="array" ref="G433">_xlfn.IFS(_xlfn.SINGLE(Table1[imd_decile])&lt;=3,"Most Deprived",F433&lt;=7,"Moderately Deprived",F433&lt;=10,"Least Deprived")</f>
        <v>Moderately Deprived</v>
      </c>
      <c r="H433">
        <v>6.9</v>
      </c>
      <c r="I433" t="s">
        <v>42</v>
      </c>
      <c r="J433" t="s">
        <v>19</v>
      </c>
      <c r="K433" s="1">
        <v>45675</v>
      </c>
      <c r="L433" s="1">
        <v>45744</v>
      </c>
      <c r="M433" s="1" t="str">
        <f>TEXT(Table1[[#This Row],[appointment_date]],"MM/YYYY")</f>
        <v>03/2025</v>
      </c>
      <c r="N433">
        <v>69</v>
      </c>
      <c r="O433" t="str" cm="1">
        <f t="array" ref="O433">_xlfn.IFS(Table1[[#This Row],[lead_time_days]]&lt;=7,"0-7 days",N433&lt;=14,"8-14 days",N433&lt;=30,"15-30 days",N433&lt;=60,"31-60 days",TRUE,"61+ days")</f>
        <v>61+ days</v>
      </c>
      <c r="P433" t="s">
        <v>52</v>
      </c>
      <c r="Q433" t="s">
        <v>21</v>
      </c>
      <c r="R433">
        <v>0</v>
      </c>
      <c r="S433" t="str">
        <f>IF(Table1[prior_dna_count]&gt;=1,"Has prior DNA history","No prior DNA history")</f>
        <v>No prior DNA history</v>
      </c>
      <c r="T433" t="s">
        <v>22</v>
      </c>
      <c r="U433" t="str">
        <f t="shared" si="6"/>
        <v>0</v>
      </c>
      <c r="V433" t="str">
        <f>IF(Table1[appointment_status]="Attended","1","0")</f>
        <v>1</v>
      </c>
      <c r="W433" t="str">
        <f>IF(Table1[appointment_status]="Cancelled","1","0")</f>
        <v>0</v>
      </c>
    </row>
    <row r="434" spans="1:23">
      <c r="A434" t="s">
        <v>864</v>
      </c>
      <c r="B434" t="s">
        <v>865</v>
      </c>
      <c r="C434">
        <v>57</v>
      </c>
      <c r="D434" t="str" cm="1">
        <f t="array" ref="D434">_xlfn.IFS(Table1[[#This Row],[age]]&lt;=17,"0-17",C434&lt;=29,"18-29",C434&lt;=44,"30-44",C434&lt;=59,"45-59",C434&lt;=74,"60-74",TRUE,"75+")</f>
        <v>45-59</v>
      </c>
      <c r="E434" t="s">
        <v>17</v>
      </c>
      <c r="F434">
        <v>3</v>
      </c>
      <c r="G434" t="str" cm="1">
        <f t="array" ref="G434">_xlfn.IFS(_xlfn.SINGLE(Table1[imd_decile])&lt;=3,"Most Deprived",F434&lt;=7,"Moderately Deprived",F434&lt;=10,"Least Deprived")</f>
        <v>Most Deprived</v>
      </c>
      <c r="H434">
        <v>14.3</v>
      </c>
      <c r="I434" t="s">
        <v>45</v>
      </c>
      <c r="J434" t="s">
        <v>26</v>
      </c>
      <c r="K434" s="1">
        <v>45716</v>
      </c>
      <c r="L434" s="1">
        <v>45744</v>
      </c>
      <c r="M434" s="1" t="str">
        <f>TEXT(Table1[[#This Row],[appointment_date]],"MM/YYYY")</f>
        <v>03/2025</v>
      </c>
      <c r="N434">
        <v>28</v>
      </c>
      <c r="O434" t="str" cm="1">
        <f t="array" ref="O434">_xlfn.IFS(Table1[[#This Row],[lead_time_days]]&lt;=7,"0-7 days",N434&lt;=14,"8-14 days",N434&lt;=30,"15-30 days",N434&lt;=60,"31-60 days",TRUE,"61+ days")</f>
        <v>15-30 days</v>
      </c>
      <c r="P434" t="s">
        <v>52</v>
      </c>
      <c r="Q434" t="s">
        <v>21</v>
      </c>
      <c r="R434">
        <v>1</v>
      </c>
      <c r="S434" t="str">
        <f>IF(Table1[prior_dna_count]&gt;=1,"Has prior DNA history","No prior DNA history")</f>
        <v>Has prior DNA history</v>
      </c>
      <c r="T434" t="s">
        <v>22</v>
      </c>
      <c r="U434" t="str">
        <f t="shared" si="6"/>
        <v>1</v>
      </c>
      <c r="V434" t="str">
        <f>IF(Table1[appointment_status]="Attended","1","0")</f>
        <v>1</v>
      </c>
      <c r="W434" t="str">
        <f>IF(Table1[appointment_status]="Cancelled","1","0")</f>
        <v>0</v>
      </c>
    </row>
    <row r="435" spans="1:23">
      <c r="A435" t="s">
        <v>866</v>
      </c>
      <c r="B435" t="s">
        <v>867</v>
      </c>
      <c r="C435">
        <v>33</v>
      </c>
      <c r="D435" t="str" cm="1">
        <f t="array" ref="D435">_xlfn.IFS(Table1[[#This Row],[age]]&lt;=17,"0-17",C435&lt;=29,"18-29",C435&lt;=44,"30-44",C435&lt;=59,"45-59",C435&lt;=74,"60-74",TRUE,"75+")</f>
        <v>30-44</v>
      </c>
      <c r="E435" t="s">
        <v>17</v>
      </c>
      <c r="F435">
        <v>1</v>
      </c>
      <c r="G435" t="str" cm="1">
        <f t="array" ref="G435">_xlfn.IFS(_xlfn.SINGLE(Table1[imd_decile])&lt;=3,"Most Deprived",F435&lt;=7,"Moderately Deprived",F435&lt;=10,"Least Deprived")</f>
        <v>Most Deprived</v>
      </c>
      <c r="H435">
        <v>2.7</v>
      </c>
      <c r="I435" t="s">
        <v>18</v>
      </c>
      <c r="J435" t="s">
        <v>19</v>
      </c>
      <c r="K435" s="1">
        <v>45725</v>
      </c>
      <c r="L435" s="1">
        <v>45744</v>
      </c>
      <c r="M435" s="1" t="str">
        <f>TEXT(Table1[[#This Row],[appointment_date]],"MM/YYYY")</f>
        <v>03/2025</v>
      </c>
      <c r="N435">
        <v>19</v>
      </c>
      <c r="O435" t="str" cm="1">
        <f t="array" ref="O435">_xlfn.IFS(Table1[[#This Row],[lead_time_days]]&lt;=7,"0-7 days",N435&lt;=14,"8-14 days",N435&lt;=30,"15-30 days",N435&lt;=60,"31-60 days",TRUE,"61+ days")</f>
        <v>15-30 days</v>
      </c>
      <c r="P435" t="s">
        <v>52</v>
      </c>
      <c r="Q435" t="s">
        <v>32</v>
      </c>
      <c r="R435">
        <v>0</v>
      </c>
      <c r="S435" t="str">
        <f>IF(Table1[prior_dna_count]&gt;=1,"Has prior DNA history","No prior DNA history")</f>
        <v>No prior DNA history</v>
      </c>
      <c r="T435" t="s">
        <v>22</v>
      </c>
      <c r="U435" t="str">
        <f t="shared" si="6"/>
        <v>1</v>
      </c>
      <c r="V435" t="str">
        <f>IF(Table1[appointment_status]="Attended","1","0")</f>
        <v>1</v>
      </c>
      <c r="W435" t="str">
        <f>IF(Table1[appointment_status]="Cancelled","1","0")</f>
        <v>0</v>
      </c>
    </row>
    <row r="436" spans="1:23">
      <c r="A436" t="s">
        <v>868</v>
      </c>
      <c r="B436" t="s">
        <v>869</v>
      </c>
      <c r="C436">
        <v>25</v>
      </c>
      <c r="D436" t="str" cm="1">
        <f t="array" ref="D436">_xlfn.IFS(Table1[[#This Row],[age]]&lt;=17,"0-17",C436&lt;=29,"18-29",C436&lt;=44,"30-44",C436&lt;=59,"45-59",C436&lt;=74,"60-74",TRUE,"75+")</f>
        <v>18-29</v>
      </c>
      <c r="E436" t="s">
        <v>29</v>
      </c>
      <c r="F436">
        <v>5</v>
      </c>
      <c r="G436" t="str" cm="1">
        <f t="array" ref="G436">_xlfn.IFS(_xlfn.SINGLE(Table1[imd_decile])&lt;=3,"Most Deprived",F436&lt;=7,"Moderately Deprived",F436&lt;=10,"Least Deprived")</f>
        <v>Moderately Deprived</v>
      </c>
      <c r="H436">
        <v>1.6</v>
      </c>
      <c r="I436" t="s">
        <v>25</v>
      </c>
      <c r="J436" t="s">
        <v>19</v>
      </c>
      <c r="K436" s="1">
        <v>45704</v>
      </c>
      <c r="L436" s="1">
        <v>45744</v>
      </c>
      <c r="M436" s="1" t="str">
        <f>TEXT(Table1[[#This Row],[appointment_date]],"MM/YYYY")</f>
        <v>03/2025</v>
      </c>
      <c r="N436">
        <v>40</v>
      </c>
      <c r="O436" t="str" cm="1">
        <f t="array" ref="O436">_xlfn.IFS(Table1[[#This Row],[lead_time_days]]&lt;=7,"0-7 days",N436&lt;=14,"8-14 days",N436&lt;=30,"15-30 days",N436&lt;=60,"31-60 days",TRUE,"61+ days")</f>
        <v>31-60 days</v>
      </c>
      <c r="P436" t="s">
        <v>52</v>
      </c>
      <c r="Q436" t="s">
        <v>32</v>
      </c>
      <c r="R436">
        <v>0</v>
      </c>
      <c r="S436" t="str">
        <f>IF(Table1[prior_dna_count]&gt;=1,"Has prior DNA history","No prior DNA history")</f>
        <v>No prior DNA history</v>
      </c>
      <c r="T436" t="s">
        <v>22</v>
      </c>
      <c r="U436" t="str">
        <f t="shared" si="6"/>
        <v>1</v>
      </c>
      <c r="V436" t="str">
        <f>IF(Table1[appointment_status]="Attended","1","0")</f>
        <v>1</v>
      </c>
      <c r="W436" t="str">
        <f>IF(Table1[appointment_status]="Cancelled","1","0")</f>
        <v>0</v>
      </c>
    </row>
    <row r="437" spans="1:23">
      <c r="A437" t="s">
        <v>870</v>
      </c>
      <c r="B437" t="s">
        <v>770</v>
      </c>
      <c r="C437">
        <v>37</v>
      </c>
      <c r="D437" t="str" cm="1">
        <f t="array" ref="D437">_xlfn.IFS(Table1[[#This Row],[age]]&lt;=17,"0-17",C437&lt;=29,"18-29",C437&lt;=44,"30-44",C437&lt;=59,"45-59",C437&lt;=74,"60-74",TRUE,"75+")</f>
        <v>30-44</v>
      </c>
      <c r="E437" t="s">
        <v>29</v>
      </c>
      <c r="F437">
        <v>5</v>
      </c>
      <c r="G437" t="str" cm="1">
        <f t="array" ref="G437">_xlfn.IFS(_xlfn.SINGLE(Table1[imd_decile])&lt;=3,"Most Deprived",F437&lt;=7,"Moderately Deprived",F437&lt;=10,"Least Deprived")</f>
        <v>Moderately Deprived</v>
      </c>
      <c r="H437">
        <v>14.4</v>
      </c>
      <c r="I437" t="s">
        <v>155</v>
      </c>
      <c r="J437" t="s">
        <v>26</v>
      </c>
      <c r="K437" s="1">
        <v>45718</v>
      </c>
      <c r="L437" s="1">
        <v>45745</v>
      </c>
      <c r="M437" s="1" t="str">
        <f>TEXT(Table1[[#This Row],[appointment_date]],"MM/YYYY")</f>
        <v>03/2025</v>
      </c>
      <c r="N437">
        <v>27</v>
      </c>
      <c r="O437" t="str" cm="1">
        <f t="array" ref="O437">_xlfn.IFS(Table1[[#This Row],[lead_time_days]]&lt;=7,"0-7 days",N437&lt;=14,"8-14 days",N437&lt;=30,"15-30 days",N437&lt;=60,"31-60 days",TRUE,"61+ days")</f>
        <v>15-30 days</v>
      </c>
      <c r="P437" t="s">
        <v>55</v>
      </c>
      <c r="Q437" t="s">
        <v>21</v>
      </c>
      <c r="R437">
        <v>1</v>
      </c>
      <c r="S437" t="str">
        <f>IF(Table1[prior_dna_count]&gt;=1,"Has prior DNA history","No prior DNA history")</f>
        <v>Has prior DNA history</v>
      </c>
      <c r="T437" t="s">
        <v>39</v>
      </c>
      <c r="U437" t="str">
        <f t="shared" si="6"/>
        <v>1</v>
      </c>
      <c r="V437" t="str">
        <f>IF(Table1[appointment_status]="Attended","1","0")</f>
        <v>0</v>
      </c>
      <c r="W437" t="str">
        <f>IF(Table1[appointment_status]="Cancelled","1","0")</f>
        <v>0</v>
      </c>
    </row>
    <row r="438" spans="1:23">
      <c r="A438" t="s">
        <v>871</v>
      </c>
      <c r="B438" t="s">
        <v>872</v>
      </c>
      <c r="C438">
        <v>35</v>
      </c>
      <c r="D438" t="str" cm="1">
        <f t="array" ref="D438">_xlfn.IFS(Table1[[#This Row],[age]]&lt;=17,"0-17",C438&lt;=29,"18-29",C438&lt;=44,"30-44",C438&lt;=59,"45-59",C438&lt;=74,"60-74",TRUE,"75+")</f>
        <v>30-44</v>
      </c>
      <c r="E438" t="s">
        <v>17</v>
      </c>
      <c r="F438">
        <v>7</v>
      </c>
      <c r="G438" t="str" cm="1">
        <f t="array" ref="G438">_xlfn.IFS(_xlfn.SINGLE(Table1[imd_decile])&lt;=3,"Most Deprived",F438&lt;=7,"Moderately Deprived",F438&lt;=10,"Least Deprived")</f>
        <v>Moderately Deprived</v>
      </c>
      <c r="H438">
        <v>17.5</v>
      </c>
      <c r="I438" t="s">
        <v>30</v>
      </c>
      <c r="J438" t="s">
        <v>26</v>
      </c>
      <c r="K438" s="1">
        <v>45732</v>
      </c>
      <c r="L438" s="1">
        <v>45745</v>
      </c>
      <c r="M438" s="1" t="str">
        <f>TEXT(Table1[[#This Row],[appointment_date]],"MM/YYYY")</f>
        <v>03/2025</v>
      </c>
      <c r="N438">
        <v>13</v>
      </c>
      <c r="O438" t="str" cm="1">
        <f t="array" ref="O438">_xlfn.IFS(Table1[[#This Row],[lead_time_days]]&lt;=7,"0-7 days",N438&lt;=14,"8-14 days",N438&lt;=30,"15-30 days",N438&lt;=60,"31-60 days",TRUE,"61+ days")</f>
        <v>8-14 days</v>
      </c>
      <c r="P438" t="s">
        <v>55</v>
      </c>
      <c r="Q438" t="s">
        <v>32</v>
      </c>
      <c r="R438">
        <v>0</v>
      </c>
      <c r="S438" t="str">
        <f>IF(Table1[prior_dna_count]&gt;=1,"Has prior DNA history","No prior DNA history")</f>
        <v>No prior DNA history</v>
      </c>
      <c r="T438" t="s">
        <v>22</v>
      </c>
      <c r="U438" t="str">
        <f t="shared" si="6"/>
        <v>0</v>
      </c>
      <c r="V438" t="str">
        <f>IF(Table1[appointment_status]="Attended","1","0")</f>
        <v>1</v>
      </c>
      <c r="W438" t="str">
        <f>IF(Table1[appointment_status]="Cancelled","1","0")</f>
        <v>0</v>
      </c>
    </row>
    <row r="439" spans="1:23">
      <c r="A439" t="s">
        <v>873</v>
      </c>
      <c r="B439" t="s">
        <v>874</v>
      </c>
      <c r="C439">
        <v>49</v>
      </c>
      <c r="D439" t="str" cm="1">
        <f t="array" ref="D439">_xlfn.IFS(Table1[[#This Row],[age]]&lt;=17,"0-17",C439&lt;=29,"18-29",C439&lt;=44,"30-44",C439&lt;=59,"45-59",C439&lt;=74,"60-74",TRUE,"75+")</f>
        <v>45-59</v>
      </c>
      <c r="E439" t="s">
        <v>17</v>
      </c>
      <c r="F439">
        <v>1</v>
      </c>
      <c r="G439" t="str" cm="1">
        <f t="array" ref="G439">_xlfn.IFS(_xlfn.SINGLE(Table1[imd_decile])&lt;=3,"Most Deprived",F439&lt;=7,"Moderately Deprived",F439&lt;=10,"Least Deprived")</f>
        <v>Most Deprived</v>
      </c>
      <c r="H439">
        <v>8.3000000000000007</v>
      </c>
      <c r="I439" t="s">
        <v>49</v>
      </c>
      <c r="J439" t="s">
        <v>26</v>
      </c>
      <c r="K439" s="1">
        <v>45742</v>
      </c>
      <c r="L439" s="1">
        <v>45745</v>
      </c>
      <c r="M439" s="1" t="str">
        <f>TEXT(Table1[[#This Row],[appointment_date]],"MM/YYYY")</f>
        <v>03/2025</v>
      </c>
      <c r="N439">
        <v>3</v>
      </c>
      <c r="O439" t="str" cm="1">
        <f t="array" ref="O439">_xlfn.IFS(Table1[[#This Row],[lead_time_days]]&lt;=7,"0-7 days",N439&lt;=14,"8-14 days",N439&lt;=30,"15-30 days",N439&lt;=60,"31-60 days",TRUE,"61+ days")</f>
        <v>0-7 days</v>
      </c>
      <c r="P439" t="s">
        <v>55</v>
      </c>
      <c r="Q439" t="s">
        <v>32</v>
      </c>
      <c r="R439">
        <v>0</v>
      </c>
      <c r="S439" t="str">
        <f>IF(Table1[prior_dna_count]&gt;=1,"Has prior DNA history","No prior DNA history")</f>
        <v>No prior DNA history</v>
      </c>
      <c r="T439" t="s">
        <v>39</v>
      </c>
      <c r="U439" t="str">
        <f t="shared" si="6"/>
        <v>1</v>
      </c>
      <c r="V439" t="str">
        <f>IF(Table1[appointment_status]="Attended","1","0")</f>
        <v>0</v>
      </c>
      <c r="W439" t="str">
        <f>IF(Table1[appointment_status]="Cancelled","1","0")</f>
        <v>0</v>
      </c>
    </row>
    <row r="440" spans="1:23">
      <c r="A440" t="s">
        <v>875</v>
      </c>
      <c r="B440" t="s">
        <v>876</v>
      </c>
      <c r="C440">
        <v>66</v>
      </c>
      <c r="D440" t="str" cm="1">
        <f t="array" ref="D440">_xlfn.IFS(Table1[[#This Row],[age]]&lt;=17,"0-17",C440&lt;=29,"18-29",C440&lt;=44,"30-44",C440&lt;=59,"45-59",C440&lt;=74,"60-74",TRUE,"75+")</f>
        <v>60-74</v>
      </c>
      <c r="E440" t="s">
        <v>17</v>
      </c>
      <c r="F440">
        <v>9</v>
      </c>
      <c r="G440" t="str" cm="1">
        <f t="array" ref="G440">_xlfn.IFS(_xlfn.SINGLE(Table1[imd_decile])&lt;=3,"Most Deprived",F440&lt;=7,"Moderately Deprived",F440&lt;=10,"Least Deprived")</f>
        <v>Least Deprived</v>
      </c>
      <c r="H440">
        <v>2.1</v>
      </c>
      <c r="I440" t="s">
        <v>49</v>
      </c>
      <c r="J440" t="s">
        <v>19</v>
      </c>
      <c r="K440" s="1">
        <v>45711</v>
      </c>
      <c r="L440" s="1">
        <v>45745</v>
      </c>
      <c r="M440" s="1" t="str">
        <f>TEXT(Table1[[#This Row],[appointment_date]],"MM/YYYY")</f>
        <v>03/2025</v>
      </c>
      <c r="N440">
        <v>34</v>
      </c>
      <c r="O440" t="str" cm="1">
        <f t="array" ref="O440">_xlfn.IFS(Table1[[#This Row],[lead_time_days]]&lt;=7,"0-7 days",N440&lt;=14,"8-14 days",N440&lt;=30,"15-30 days",N440&lt;=60,"31-60 days",TRUE,"61+ days")</f>
        <v>31-60 days</v>
      </c>
      <c r="P440" t="s">
        <v>55</v>
      </c>
      <c r="Q440" t="s">
        <v>32</v>
      </c>
      <c r="R440">
        <v>0</v>
      </c>
      <c r="S440" t="str">
        <f>IF(Table1[prior_dna_count]&gt;=1,"Has prior DNA history","No prior DNA history")</f>
        <v>No prior DNA history</v>
      </c>
      <c r="T440" t="s">
        <v>46</v>
      </c>
      <c r="U440" t="str">
        <f t="shared" si="6"/>
        <v>0</v>
      </c>
      <c r="V440" t="str">
        <f>IF(Table1[appointment_status]="Attended","1","0")</f>
        <v>0</v>
      </c>
      <c r="W440" t="str">
        <f>IF(Table1[appointment_status]="Cancelled","1","0")</f>
        <v>1</v>
      </c>
    </row>
    <row r="441" spans="1:23">
      <c r="A441" t="s">
        <v>877</v>
      </c>
      <c r="B441" t="s">
        <v>215</v>
      </c>
      <c r="C441">
        <v>72</v>
      </c>
      <c r="D441" t="str" cm="1">
        <f t="array" ref="D441">_xlfn.IFS(Table1[[#This Row],[age]]&lt;=17,"0-17",C441&lt;=29,"18-29",C441&lt;=44,"30-44",C441&lt;=59,"45-59",C441&lt;=74,"60-74",TRUE,"75+")</f>
        <v>60-74</v>
      </c>
      <c r="E441" t="s">
        <v>29</v>
      </c>
      <c r="F441">
        <v>3</v>
      </c>
      <c r="G441" t="str" cm="1">
        <f t="array" ref="G441">_xlfn.IFS(_xlfn.SINGLE(Table1[imd_decile])&lt;=3,"Most Deprived",F441&lt;=7,"Moderately Deprived",F441&lt;=10,"Least Deprived")</f>
        <v>Most Deprived</v>
      </c>
      <c r="H441">
        <v>7</v>
      </c>
      <c r="I441" t="s">
        <v>38</v>
      </c>
      <c r="J441" t="s">
        <v>19</v>
      </c>
      <c r="K441" s="1">
        <v>45712</v>
      </c>
      <c r="L441" s="1">
        <v>45745</v>
      </c>
      <c r="M441" s="1" t="str">
        <f>TEXT(Table1[[#This Row],[appointment_date]],"MM/YYYY")</f>
        <v>03/2025</v>
      </c>
      <c r="N441">
        <v>33</v>
      </c>
      <c r="O441" t="str" cm="1">
        <f t="array" ref="O441">_xlfn.IFS(Table1[[#This Row],[lead_time_days]]&lt;=7,"0-7 days",N441&lt;=14,"8-14 days",N441&lt;=30,"15-30 days",N441&lt;=60,"31-60 days",TRUE,"61+ days")</f>
        <v>31-60 days</v>
      </c>
      <c r="P441" t="s">
        <v>55</v>
      </c>
      <c r="Q441" t="s">
        <v>32</v>
      </c>
      <c r="R441">
        <v>0</v>
      </c>
      <c r="S441" t="str">
        <f>IF(Table1[prior_dna_count]&gt;=1,"Has prior DNA history","No prior DNA history")</f>
        <v>No prior DNA history</v>
      </c>
      <c r="T441" t="s">
        <v>46</v>
      </c>
      <c r="U441" t="str">
        <f t="shared" si="6"/>
        <v>0</v>
      </c>
      <c r="V441" t="str">
        <f>IF(Table1[appointment_status]="Attended","1","0")</f>
        <v>0</v>
      </c>
      <c r="W441" t="str">
        <f>IF(Table1[appointment_status]="Cancelled","1","0")</f>
        <v>1</v>
      </c>
    </row>
    <row r="442" spans="1:23">
      <c r="A442" t="s">
        <v>878</v>
      </c>
      <c r="B442" t="s">
        <v>879</v>
      </c>
      <c r="C442">
        <v>73</v>
      </c>
      <c r="D442" t="str" cm="1">
        <f t="array" ref="D442">_xlfn.IFS(Table1[[#This Row],[age]]&lt;=17,"0-17",C442&lt;=29,"18-29",C442&lt;=44,"30-44",C442&lt;=59,"45-59",C442&lt;=74,"60-74",TRUE,"75+")</f>
        <v>60-74</v>
      </c>
      <c r="E442" t="s">
        <v>17</v>
      </c>
      <c r="F442">
        <v>8</v>
      </c>
      <c r="G442" t="str" cm="1">
        <f t="array" ref="G442">_xlfn.IFS(_xlfn.SINGLE(Table1[imd_decile])&lt;=3,"Most Deprived",F442&lt;=7,"Moderately Deprived",F442&lt;=10,"Least Deprived")</f>
        <v>Least Deprived</v>
      </c>
      <c r="H442">
        <v>1.5</v>
      </c>
      <c r="I442" t="s">
        <v>25</v>
      </c>
      <c r="J442" t="s">
        <v>26</v>
      </c>
      <c r="K442" s="1">
        <v>45739</v>
      </c>
      <c r="L442" s="1">
        <v>45745</v>
      </c>
      <c r="M442" s="1" t="str">
        <f>TEXT(Table1[[#This Row],[appointment_date]],"MM/YYYY")</f>
        <v>03/2025</v>
      </c>
      <c r="N442">
        <v>6</v>
      </c>
      <c r="O442" t="str" cm="1">
        <f t="array" ref="O442">_xlfn.IFS(Table1[[#This Row],[lead_time_days]]&lt;=7,"0-7 days",N442&lt;=14,"8-14 days",N442&lt;=30,"15-30 days",N442&lt;=60,"31-60 days",TRUE,"61+ days")</f>
        <v>0-7 days</v>
      </c>
      <c r="P442" t="s">
        <v>55</v>
      </c>
      <c r="Q442" t="s">
        <v>32</v>
      </c>
      <c r="R442">
        <v>0</v>
      </c>
      <c r="S442" t="str">
        <f>IF(Table1[prior_dna_count]&gt;=1,"Has prior DNA history","No prior DNA history")</f>
        <v>No prior DNA history</v>
      </c>
      <c r="T442" t="s">
        <v>22</v>
      </c>
      <c r="U442" t="str">
        <f t="shared" si="6"/>
        <v>0</v>
      </c>
      <c r="V442" t="str">
        <f>IF(Table1[appointment_status]="Attended","1","0")</f>
        <v>1</v>
      </c>
      <c r="W442" t="str">
        <f>IF(Table1[appointment_status]="Cancelled","1","0")</f>
        <v>0</v>
      </c>
    </row>
    <row r="443" spans="1:23">
      <c r="A443" t="s">
        <v>880</v>
      </c>
      <c r="B443" t="s">
        <v>881</v>
      </c>
      <c r="C443">
        <v>81</v>
      </c>
      <c r="D443" t="str" cm="1">
        <f t="array" ref="D443">_xlfn.IFS(Table1[[#This Row],[age]]&lt;=17,"0-17",C443&lt;=29,"18-29",C443&lt;=44,"30-44",C443&lt;=59,"45-59",C443&lt;=74,"60-74",TRUE,"75+")</f>
        <v>75+</v>
      </c>
      <c r="E443" t="s">
        <v>17</v>
      </c>
      <c r="F443">
        <v>1</v>
      </c>
      <c r="G443" t="str" cm="1">
        <f t="array" ref="G443">_xlfn.IFS(_xlfn.SINGLE(Table1[imd_decile])&lt;=3,"Most Deprived",F443&lt;=7,"Moderately Deprived",F443&lt;=10,"Least Deprived")</f>
        <v>Most Deprived</v>
      </c>
      <c r="H443">
        <v>26.2</v>
      </c>
      <c r="I443" t="s">
        <v>49</v>
      </c>
      <c r="J443" t="s">
        <v>19</v>
      </c>
      <c r="K443" s="1">
        <v>45677</v>
      </c>
      <c r="L443" s="1">
        <v>45746</v>
      </c>
      <c r="M443" s="1" t="str">
        <f>TEXT(Table1[[#This Row],[appointment_date]],"MM/YYYY")</f>
        <v>03/2025</v>
      </c>
      <c r="N443">
        <v>69</v>
      </c>
      <c r="O443" t="str" cm="1">
        <f t="array" ref="O443">_xlfn.IFS(Table1[[#This Row],[lead_time_days]]&lt;=7,"0-7 days",N443&lt;=14,"8-14 days",N443&lt;=30,"15-30 days",N443&lt;=60,"31-60 days",TRUE,"61+ days")</f>
        <v>61+ days</v>
      </c>
      <c r="P443" t="s">
        <v>31</v>
      </c>
      <c r="Q443" t="s">
        <v>21</v>
      </c>
      <c r="R443">
        <v>0</v>
      </c>
      <c r="S443" t="str">
        <f>IF(Table1[prior_dna_count]&gt;=1,"Has prior DNA history","No prior DNA history")</f>
        <v>No prior DNA history</v>
      </c>
      <c r="T443" t="s">
        <v>22</v>
      </c>
      <c r="U443" t="str">
        <f t="shared" si="6"/>
        <v>1</v>
      </c>
      <c r="V443" t="str">
        <f>IF(Table1[appointment_status]="Attended","1","0")</f>
        <v>1</v>
      </c>
      <c r="W443" t="str">
        <f>IF(Table1[appointment_status]="Cancelled","1","0")</f>
        <v>0</v>
      </c>
    </row>
    <row r="444" spans="1:23">
      <c r="A444" t="s">
        <v>882</v>
      </c>
      <c r="B444" t="s">
        <v>883</v>
      </c>
      <c r="C444">
        <v>49</v>
      </c>
      <c r="D444" t="str" cm="1">
        <f t="array" ref="D444">_xlfn.IFS(Table1[[#This Row],[age]]&lt;=17,"0-17",C444&lt;=29,"18-29",C444&lt;=44,"30-44",C444&lt;=59,"45-59",C444&lt;=74,"60-74",TRUE,"75+")</f>
        <v>45-59</v>
      </c>
      <c r="E444" t="s">
        <v>29</v>
      </c>
      <c r="F444">
        <v>7</v>
      </c>
      <c r="G444" t="str" cm="1">
        <f t="array" ref="G444">_xlfn.IFS(_xlfn.SINGLE(Table1[imd_decile])&lt;=3,"Most Deprived",F444&lt;=7,"Moderately Deprived",F444&lt;=10,"Least Deprived")</f>
        <v>Moderately Deprived</v>
      </c>
      <c r="H444">
        <v>16.899999999999999</v>
      </c>
      <c r="I444" t="s">
        <v>45</v>
      </c>
      <c r="J444" t="s">
        <v>19</v>
      </c>
      <c r="K444" s="1">
        <v>45708</v>
      </c>
      <c r="L444" s="1">
        <v>45746</v>
      </c>
      <c r="M444" s="1" t="str">
        <f>TEXT(Table1[[#This Row],[appointment_date]],"MM/YYYY")</f>
        <v>03/2025</v>
      </c>
      <c r="N444">
        <v>38</v>
      </c>
      <c r="O444" t="str" cm="1">
        <f t="array" ref="O444">_xlfn.IFS(Table1[[#This Row],[lead_time_days]]&lt;=7,"0-7 days",N444&lt;=14,"8-14 days",N444&lt;=30,"15-30 days",N444&lt;=60,"31-60 days",TRUE,"61+ days")</f>
        <v>31-60 days</v>
      </c>
      <c r="P444" t="s">
        <v>31</v>
      </c>
      <c r="Q444" t="s">
        <v>21</v>
      </c>
      <c r="R444">
        <v>0</v>
      </c>
      <c r="S444" t="str">
        <f>IF(Table1[prior_dna_count]&gt;=1,"Has prior DNA history","No prior DNA history")</f>
        <v>No prior DNA history</v>
      </c>
      <c r="T444" t="s">
        <v>22</v>
      </c>
      <c r="U444" t="str">
        <f t="shared" si="6"/>
        <v>1</v>
      </c>
      <c r="V444" t="str">
        <f>IF(Table1[appointment_status]="Attended","1","0")</f>
        <v>1</v>
      </c>
      <c r="W444" t="str">
        <f>IF(Table1[appointment_status]="Cancelled","1","0")</f>
        <v>0</v>
      </c>
    </row>
    <row r="445" spans="1:23">
      <c r="A445" t="s">
        <v>884</v>
      </c>
      <c r="B445" t="s">
        <v>885</v>
      </c>
      <c r="C445">
        <v>24</v>
      </c>
      <c r="D445" t="str" cm="1">
        <f t="array" ref="D445">_xlfn.IFS(Table1[[#This Row],[age]]&lt;=17,"0-17",C445&lt;=29,"18-29",C445&lt;=44,"30-44",C445&lt;=59,"45-59",C445&lt;=74,"60-74",TRUE,"75+")</f>
        <v>18-29</v>
      </c>
      <c r="E445" t="s">
        <v>29</v>
      </c>
      <c r="F445">
        <v>2</v>
      </c>
      <c r="G445" t="str" cm="1">
        <f t="array" ref="G445">_xlfn.IFS(_xlfn.SINGLE(Table1[imd_decile])&lt;=3,"Most Deprived",F445&lt;=7,"Moderately Deprived",F445&lt;=10,"Least Deprived")</f>
        <v>Most Deprived</v>
      </c>
      <c r="H445">
        <v>12</v>
      </c>
      <c r="I445" t="s">
        <v>91</v>
      </c>
      <c r="J445" t="s">
        <v>19</v>
      </c>
      <c r="K445" s="1">
        <v>45723</v>
      </c>
      <c r="L445" s="1">
        <v>45746</v>
      </c>
      <c r="M445" s="1" t="str">
        <f>TEXT(Table1[[#This Row],[appointment_date]],"MM/YYYY")</f>
        <v>03/2025</v>
      </c>
      <c r="N445">
        <v>23</v>
      </c>
      <c r="O445" t="str" cm="1">
        <f t="array" ref="O445">_xlfn.IFS(Table1[[#This Row],[lead_time_days]]&lt;=7,"0-7 days",N445&lt;=14,"8-14 days",N445&lt;=30,"15-30 days",N445&lt;=60,"31-60 days",TRUE,"61+ days")</f>
        <v>15-30 days</v>
      </c>
      <c r="P445" t="s">
        <v>31</v>
      </c>
      <c r="Q445" t="s">
        <v>21</v>
      </c>
      <c r="R445">
        <v>0</v>
      </c>
      <c r="S445" t="str">
        <f>IF(Table1[prior_dna_count]&gt;=1,"Has prior DNA history","No prior DNA history")</f>
        <v>No prior DNA history</v>
      </c>
      <c r="T445" t="s">
        <v>46</v>
      </c>
      <c r="U445" t="str">
        <f t="shared" si="6"/>
        <v>1</v>
      </c>
      <c r="V445" t="str">
        <f>IF(Table1[appointment_status]="Attended","1","0")</f>
        <v>0</v>
      </c>
      <c r="W445" t="str">
        <f>IF(Table1[appointment_status]="Cancelled","1","0")</f>
        <v>1</v>
      </c>
    </row>
    <row r="446" spans="1:23">
      <c r="A446" t="s">
        <v>886</v>
      </c>
      <c r="B446" t="s">
        <v>887</v>
      </c>
      <c r="C446">
        <v>48</v>
      </c>
      <c r="D446" t="str" cm="1">
        <f t="array" ref="D446">_xlfn.IFS(Table1[[#This Row],[age]]&lt;=17,"0-17",C446&lt;=29,"18-29",C446&lt;=44,"30-44",C446&lt;=59,"45-59",C446&lt;=74,"60-74",TRUE,"75+")</f>
        <v>45-59</v>
      </c>
      <c r="E446" t="s">
        <v>17</v>
      </c>
      <c r="F446">
        <v>8</v>
      </c>
      <c r="G446" t="str" cm="1">
        <f t="array" ref="G446">_xlfn.IFS(_xlfn.SINGLE(Table1[imd_decile])&lt;=3,"Most Deprived",F446&lt;=7,"Moderately Deprived",F446&lt;=10,"Least Deprived")</f>
        <v>Least Deprived</v>
      </c>
      <c r="H446">
        <v>13.2</v>
      </c>
      <c r="I446" t="s">
        <v>25</v>
      </c>
      <c r="J446" t="s">
        <v>19</v>
      </c>
      <c r="K446" s="1">
        <v>45684</v>
      </c>
      <c r="L446" s="1">
        <v>45746</v>
      </c>
      <c r="M446" s="1" t="str">
        <f>TEXT(Table1[[#This Row],[appointment_date]],"MM/YYYY")</f>
        <v>03/2025</v>
      </c>
      <c r="N446">
        <v>62</v>
      </c>
      <c r="O446" t="str" cm="1">
        <f t="array" ref="O446">_xlfn.IFS(Table1[[#This Row],[lead_time_days]]&lt;=7,"0-7 days",N446&lt;=14,"8-14 days",N446&lt;=30,"15-30 days",N446&lt;=60,"31-60 days",TRUE,"61+ days")</f>
        <v>61+ days</v>
      </c>
      <c r="P446" t="s">
        <v>31</v>
      </c>
      <c r="Q446" t="s">
        <v>32</v>
      </c>
      <c r="R446">
        <v>2</v>
      </c>
      <c r="S446" t="str">
        <f>IF(Table1[prior_dna_count]&gt;=1,"Has prior DNA history","No prior DNA history")</f>
        <v>Has prior DNA history</v>
      </c>
      <c r="T446" t="s">
        <v>39</v>
      </c>
      <c r="U446" t="str">
        <f t="shared" si="6"/>
        <v>0</v>
      </c>
      <c r="V446" t="str">
        <f>IF(Table1[appointment_status]="Attended","1","0")</f>
        <v>0</v>
      </c>
      <c r="W446" t="str">
        <f>IF(Table1[appointment_status]="Cancelled","1","0")</f>
        <v>0</v>
      </c>
    </row>
    <row r="447" spans="1:23">
      <c r="A447" t="s">
        <v>888</v>
      </c>
      <c r="B447" t="s">
        <v>889</v>
      </c>
      <c r="C447">
        <v>32</v>
      </c>
      <c r="D447" t="str" cm="1">
        <f t="array" ref="D447">_xlfn.IFS(Table1[[#This Row],[age]]&lt;=17,"0-17",C447&lt;=29,"18-29",C447&lt;=44,"30-44",C447&lt;=59,"45-59",C447&lt;=74,"60-74",TRUE,"75+")</f>
        <v>30-44</v>
      </c>
      <c r="E447" t="s">
        <v>29</v>
      </c>
      <c r="F447">
        <v>3</v>
      </c>
      <c r="G447" t="str" cm="1">
        <f t="array" ref="G447">_xlfn.IFS(_xlfn.SINGLE(Table1[imd_decile])&lt;=3,"Most Deprived",F447&lt;=7,"Moderately Deprived",F447&lt;=10,"Least Deprived")</f>
        <v>Most Deprived</v>
      </c>
      <c r="H447">
        <v>15.3</v>
      </c>
      <c r="I447" t="s">
        <v>91</v>
      </c>
      <c r="J447" t="s">
        <v>26</v>
      </c>
      <c r="K447" s="1">
        <v>45700</v>
      </c>
      <c r="L447" s="1">
        <v>45746</v>
      </c>
      <c r="M447" s="1" t="str">
        <f>TEXT(Table1[[#This Row],[appointment_date]],"MM/YYYY")</f>
        <v>03/2025</v>
      </c>
      <c r="N447">
        <v>46</v>
      </c>
      <c r="O447" t="str" cm="1">
        <f t="array" ref="O447">_xlfn.IFS(Table1[[#This Row],[lead_time_days]]&lt;=7,"0-7 days",N447&lt;=14,"8-14 days",N447&lt;=30,"15-30 days",N447&lt;=60,"31-60 days",TRUE,"61+ days")</f>
        <v>31-60 days</v>
      </c>
      <c r="P447" t="s">
        <v>31</v>
      </c>
      <c r="Q447" t="s">
        <v>21</v>
      </c>
      <c r="R447">
        <v>0</v>
      </c>
      <c r="S447" t="str">
        <f>IF(Table1[prior_dna_count]&gt;=1,"Has prior DNA history","No prior DNA history")</f>
        <v>No prior DNA history</v>
      </c>
      <c r="T447" t="s">
        <v>22</v>
      </c>
      <c r="U447" t="str">
        <f t="shared" si="6"/>
        <v>0</v>
      </c>
      <c r="V447" t="str">
        <f>IF(Table1[appointment_status]="Attended","1","0")</f>
        <v>1</v>
      </c>
      <c r="W447" t="str">
        <f>IF(Table1[appointment_status]="Cancelled","1","0")</f>
        <v>0</v>
      </c>
    </row>
    <row r="448" spans="1:23">
      <c r="A448" t="s">
        <v>890</v>
      </c>
      <c r="B448" t="s">
        <v>891</v>
      </c>
      <c r="C448">
        <v>33</v>
      </c>
      <c r="D448" t="str" cm="1">
        <f t="array" ref="D448">_xlfn.IFS(Table1[[#This Row],[age]]&lt;=17,"0-17",C448&lt;=29,"18-29",C448&lt;=44,"30-44",C448&lt;=59,"45-59",C448&lt;=74,"60-74",TRUE,"75+")</f>
        <v>30-44</v>
      </c>
      <c r="E448" t="s">
        <v>17</v>
      </c>
      <c r="F448">
        <v>9</v>
      </c>
      <c r="G448" t="str" cm="1">
        <f t="array" ref="G448">_xlfn.IFS(_xlfn.SINGLE(Table1[imd_decile])&lt;=3,"Most Deprived",F448&lt;=7,"Moderately Deprived",F448&lt;=10,"Least Deprived")</f>
        <v>Least Deprived</v>
      </c>
      <c r="H448">
        <v>2.6</v>
      </c>
      <c r="I448" t="s">
        <v>45</v>
      </c>
      <c r="J448" t="s">
        <v>19</v>
      </c>
      <c r="K448" s="1">
        <v>45723</v>
      </c>
      <c r="L448" s="1">
        <v>45746</v>
      </c>
      <c r="M448" s="1" t="str">
        <f>TEXT(Table1[[#This Row],[appointment_date]],"MM/YYYY")</f>
        <v>03/2025</v>
      </c>
      <c r="N448">
        <v>23</v>
      </c>
      <c r="O448" t="str" cm="1">
        <f t="array" ref="O448">_xlfn.IFS(Table1[[#This Row],[lead_time_days]]&lt;=7,"0-7 days",N448&lt;=14,"8-14 days",N448&lt;=30,"15-30 days",N448&lt;=60,"31-60 days",TRUE,"61+ days")</f>
        <v>15-30 days</v>
      </c>
      <c r="P448" t="s">
        <v>31</v>
      </c>
      <c r="Q448" t="s">
        <v>21</v>
      </c>
      <c r="R448">
        <v>0</v>
      </c>
      <c r="S448" t="str">
        <f>IF(Table1[prior_dna_count]&gt;=1,"Has prior DNA history","No prior DNA history")</f>
        <v>No prior DNA history</v>
      </c>
      <c r="T448" t="s">
        <v>46</v>
      </c>
      <c r="U448" t="str">
        <f t="shared" si="6"/>
        <v>1</v>
      </c>
      <c r="V448" t="str">
        <f>IF(Table1[appointment_status]="Attended","1","0")</f>
        <v>0</v>
      </c>
      <c r="W448" t="str">
        <f>IF(Table1[appointment_status]="Cancelled","1","0")</f>
        <v>1</v>
      </c>
    </row>
    <row r="449" spans="1:23">
      <c r="A449" t="s">
        <v>892</v>
      </c>
      <c r="B449" t="s">
        <v>893</v>
      </c>
      <c r="C449">
        <v>70</v>
      </c>
      <c r="D449" t="str" cm="1">
        <f t="array" ref="D449">_xlfn.IFS(Table1[[#This Row],[age]]&lt;=17,"0-17",C449&lt;=29,"18-29",C449&lt;=44,"30-44",C449&lt;=59,"45-59",C449&lt;=74,"60-74",TRUE,"75+")</f>
        <v>60-74</v>
      </c>
      <c r="E449" t="s">
        <v>29</v>
      </c>
      <c r="F449">
        <v>6</v>
      </c>
      <c r="G449" t="str" cm="1">
        <f t="array" ref="G449">_xlfn.IFS(_xlfn.SINGLE(Table1[imd_decile])&lt;=3,"Most Deprived",F449&lt;=7,"Moderately Deprived",F449&lt;=10,"Least Deprived")</f>
        <v>Moderately Deprived</v>
      </c>
      <c r="H449">
        <v>6.4</v>
      </c>
      <c r="I449" t="s">
        <v>38</v>
      </c>
      <c r="J449" t="s">
        <v>19</v>
      </c>
      <c r="K449" s="1">
        <v>45693</v>
      </c>
      <c r="L449" s="1">
        <v>45746</v>
      </c>
      <c r="M449" s="1" t="str">
        <f>TEXT(Table1[[#This Row],[appointment_date]],"MM/YYYY")</f>
        <v>03/2025</v>
      </c>
      <c r="N449">
        <v>53</v>
      </c>
      <c r="O449" t="str" cm="1">
        <f t="array" ref="O449">_xlfn.IFS(Table1[[#This Row],[lead_time_days]]&lt;=7,"0-7 days",N449&lt;=14,"8-14 days",N449&lt;=30,"15-30 days",N449&lt;=60,"31-60 days",TRUE,"61+ days")</f>
        <v>31-60 days</v>
      </c>
      <c r="P449" t="s">
        <v>31</v>
      </c>
      <c r="Q449" t="s">
        <v>21</v>
      </c>
      <c r="R449">
        <v>0</v>
      </c>
      <c r="S449" t="str">
        <f>IF(Table1[prior_dna_count]&gt;=1,"Has prior DNA history","No prior DNA history")</f>
        <v>No prior DNA history</v>
      </c>
      <c r="T449" t="s">
        <v>22</v>
      </c>
      <c r="U449" t="str">
        <f t="shared" si="6"/>
        <v>0</v>
      </c>
      <c r="V449" t="str">
        <f>IF(Table1[appointment_status]="Attended","1","0")</f>
        <v>1</v>
      </c>
      <c r="W449" t="str">
        <f>IF(Table1[appointment_status]="Cancelled","1","0")</f>
        <v>0</v>
      </c>
    </row>
    <row r="450" spans="1:23">
      <c r="A450" t="s">
        <v>894</v>
      </c>
      <c r="B450" t="s">
        <v>895</v>
      </c>
      <c r="C450">
        <v>37</v>
      </c>
      <c r="D450" t="str" cm="1">
        <f t="array" ref="D450">_xlfn.IFS(Table1[[#This Row],[age]]&lt;=17,"0-17",C450&lt;=29,"18-29",C450&lt;=44,"30-44",C450&lt;=59,"45-59",C450&lt;=74,"60-74",TRUE,"75+")</f>
        <v>30-44</v>
      </c>
      <c r="E450" t="s">
        <v>29</v>
      </c>
      <c r="F450">
        <v>3</v>
      </c>
      <c r="G450" t="str" cm="1">
        <f t="array" ref="G450">_xlfn.IFS(_xlfn.SINGLE(Table1[imd_decile])&lt;=3,"Most Deprived",F450&lt;=7,"Moderately Deprived",F450&lt;=10,"Least Deprived")</f>
        <v>Most Deprived</v>
      </c>
      <c r="H450">
        <v>2</v>
      </c>
      <c r="I450" t="s">
        <v>155</v>
      </c>
      <c r="J450" t="s">
        <v>19</v>
      </c>
      <c r="K450" s="1">
        <v>45676</v>
      </c>
      <c r="L450" s="1">
        <v>45746</v>
      </c>
      <c r="M450" s="1" t="str">
        <f>TEXT(Table1[[#This Row],[appointment_date]],"MM/YYYY")</f>
        <v>03/2025</v>
      </c>
      <c r="N450">
        <v>70</v>
      </c>
      <c r="O450" t="str" cm="1">
        <f t="array" ref="O450">_xlfn.IFS(Table1[[#This Row],[lead_time_days]]&lt;=7,"0-7 days",N450&lt;=14,"8-14 days",N450&lt;=30,"15-30 days",N450&lt;=60,"31-60 days",TRUE,"61+ days")</f>
        <v>61+ days</v>
      </c>
      <c r="P450" t="s">
        <v>31</v>
      </c>
      <c r="Q450" t="s">
        <v>21</v>
      </c>
      <c r="R450">
        <v>0</v>
      </c>
      <c r="S450" t="str">
        <f>IF(Table1[prior_dna_count]&gt;=1,"Has prior DNA history","No prior DNA history")</f>
        <v>No prior DNA history</v>
      </c>
      <c r="T450" t="s">
        <v>22</v>
      </c>
      <c r="U450" t="str">
        <f t="shared" ref="U450:U513" si="7">V449</f>
        <v>1</v>
      </c>
      <c r="V450" t="str">
        <f>IF(Table1[appointment_status]="Attended","1","0")</f>
        <v>1</v>
      </c>
      <c r="W450" t="str">
        <f>IF(Table1[appointment_status]="Cancelled","1","0")</f>
        <v>0</v>
      </c>
    </row>
    <row r="451" spans="1:23">
      <c r="A451" t="s">
        <v>896</v>
      </c>
      <c r="B451" t="s">
        <v>897</v>
      </c>
      <c r="C451">
        <v>36</v>
      </c>
      <c r="D451" t="str" cm="1">
        <f t="array" ref="D451">_xlfn.IFS(Table1[[#This Row],[age]]&lt;=17,"0-17",C451&lt;=29,"18-29",C451&lt;=44,"30-44",C451&lt;=59,"45-59",C451&lt;=74,"60-74",TRUE,"75+")</f>
        <v>30-44</v>
      </c>
      <c r="E451" t="s">
        <v>29</v>
      </c>
      <c r="F451">
        <v>10</v>
      </c>
      <c r="G451" t="str" cm="1">
        <f t="array" ref="G451">_xlfn.IFS(_xlfn.SINGLE(Table1[imd_decile])&lt;=3,"Most Deprived",F451&lt;=7,"Moderately Deprived",F451&lt;=10,"Least Deprived")</f>
        <v>Least Deprived</v>
      </c>
      <c r="H451">
        <v>6.6</v>
      </c>
      <c r="I451" t="s">
        <v>25</v>
      </c>
      <c r="J451" t="s">
        <v>19</v>
      </c>
      <c r="K451" s="1">
        <v>45731</v>
      </c>
      <c r="L451" s="1">
        <v>45746</v>
      </c>
      <c r="M451" s="1" t="str">
        <f>TEXT(Table1[[#This Row],[appointment_date]],"MM/YYYY")</f>
        <v>03/2025</v>
      </c>
      <c r="N451">
        <v>15</v>
      </c>
      <c r="O451" t="str" cm="1">
        <f t="array" ref="O451">_xlfn.IFS(Table1[[#This Row],[lead_time_days]]&lt;=7,"0-7 days",N451&lt;=14,"8-14 days",N451&lt;=30,"15-30 days",N451&lt;=60,"31-60 days",TRUE,"61+ days")</f>
        <v>15-30 days</v>
      </c>
      <c r="P451" t="s">
        <v>31</v>
      </c>
      <c r="Q451" t="s">
        <v>21</v>
      </c>
      <c r="R451">
        <v>0</v>
      </c>
      <c r="S451" t="str">
        <f>IF(Table1[prior_dna_count]&gt;=1,"Has prior DNA history","No prior DNA history")</f>
        <v>No prior DNA history</v>
      </c>
      <c r="T451" t="s">
        <v>22</v>
      </c>
      <c r="U451" t="str">
        <f t="shared" si="7"/>
        <v>1</v>
      </c>
      <c r="V451" t="str">
        <f>IF(Table1[appointment_status]="Attended","1","0")</f>
        <v>1</v>
      </c>
      <c r="W451" t="str">
        <f>IF(Table1[appointment_status]="Cancelled","1","0")</f>
        <v>0</v>
      </c>
    </row>
    <row r="452" spans="1:23">
      <c r="A452" t="s">
        <v>898</v>
      </c>
      <c r="B452" t="s">
        <v>899</v>
      </c>
      <c r="C452">
        <v>54</v>
      </c>
      <c r="D452" t="str" cm="1">
        <f t="array" ref="D452">_xlfn.IFS(Table1[[#This Row],[age]]&lt;=17,"0-17",C452&lt;=29,"18-29",C452&lt;=44,"30-44",C452&lt;=59,"45-59",C452&lt;=74,"60-74",TRUE,"75+")</f>
        <v>45-59</v>
      </c>
      <c r="E452" t="s">
        <v>17</v>
      </c>
      <c r="F452">
        <v>8</v>
      </c>
      <c r="G452" t="str" cm="1">
        <f t="array" ref="G452">_xlfn.IFS(_xlfn.SINGLE(Table1[imd_decile])&lt;=3,"Most Deprived",F452&lt;=7,"Moderately Deprived",F452&lt;=10,"Least Deprived")</f>
        <v>Least Deprived</v>
      </c>
      <c r="H452">
        <v>3.5</v>
      </c>
      <c r="I452" t="s">
        <v>38</v>
      </c>
      <c r="J452" t="s">
        <v>19</v>
      </c>
      <c r="K452" s="1">
        <v>45710</v>
      </c>
      <c r="L452" s="1">
        <v>45747</v>
      </c>
      <c r="M452" s="1" t="str">
        <f>TEXT(Table1[[#This Row],[appointment_date]],"MM/YYYY")</f>
        <v>03/2025</v>
      </c>
      <c r="N452">
        <v>37</v>
      </c>
      <c r="O452" t="str" cm="1">
        <f t="array" ref="O452">_xlfn.IFS(Table1[[#This Row],[lead_time_days]]&lt;=7,"0-7 days",N452&lt;=14,"8-14 days",N452&lt;=30,"15-30 days",N452&lt;=60,"31-60 days",TRUE,"61+ days")</f>
        <v>31-60 days</v>
      </c>
      <c r="P452" t="s">
        <v>35</v>
      </c>
      <c r="Q452" t="s">
        <v>21</v>
      </c>
      <c r="R452">
        <v>0</v>
      </c>
      <c r="S452" t="str">
        <f>IF(Table1[prior_dna_count]&gt;=1,"Has prior DNA history","No prior DNA history")</f>
        <v>No prior DNA history</v>
      </c>
      <c r="T452" t="s">
        <v>22</v>
      </c>
      <c r="U452" t="str">
        <f t="shared" si="7"/>
        <v>1</v>
      </c>
      <c r="V452" t="str">
        <f>IF(Table1[appointment_status]="Attended","1","0")</f>
        <v>1</v>
      </c>
      <c r="W452" t="str">
        <f>IF(Table1[appointment_status]="Cancelled","1","0")</f>
        <v>0</v>
      </c>
    </row>
    <row r="453" spans="1:23">
      <c r="A453" t="s">
        <v>900</v>
      </c>
      <c r="B453" t="s">
        <v>901</v>
      </c>
      <c r="C453">
        <v>34</v>
      </c>
      <c r="D453" t="str" cm="1">
        <f t="array" ref="D453">_xlfn.IFS(Table1[[#This Row],[age]]&lt;=17,"0-17",C453&lt;=29,"18-29",C453&lt;=44,"30-44",C453&lt;=59,"45-59",C453&lt;=74,"60-74",TRUE,"75+")</f>
        <v>30-44</v>
      </c>
      <c r="E453" t="s">
        <v>29</v>
      </c>
      <c r="F453">
        <v>10</v>
      </c>
      <c r="G453" t="str" cm="1">
        <f t="array" ref="G453">_xlfn.IFS(_xlfn.SINGLE(Table1[imd_decile])&lt;=3,"Most Deprived",F453&lt;=7,"Moderately Deprived",F453&lt;=10,"Least Deprived")</f>
        <v>Least Deprived</v>
      </c>
      <c r="H453">
        <v>11</v>
      </c>
      <c r="I453" t="s">
        <v>45</v>
      </c>
      <c r="J453" t="s">
        <v>26</v>
      </c>
      <c r="K453" s="1">
        <v>45732</v>
      </c>
      <c r="L453" s="1">
        <v>45747</v>
      </c>
      <c r="M453" s="1" t="str">
        <f>TEXT(Table1[[#This Row],[appointment_date]],"MM/YYYY")</f>
        <v>03/2025</v>
      </c>
      <c r="N453">
        <v>15</v>
      </c>
      <c r="O453" t="str" cm="1">
        <f t="array" ref="O453">_xlfn.IFS(Table1[[#This Row],[lead_time_days]]&lt;=7,"0-7 days",N453&lt;=14,"8-14 days",N453&lt;=30,"15-30 days",N453&lt;=60,"31-60 days",TRUE,"61+ days")</f>
        <v>15-30 days</v>
      </c>
      <c r="P453" t="s">
        <v>35</v>
      </c>
      <c r="Q453" t="s">
        <v>21</v>
      </c>
      <c r="R453">
        <v>0</v>
      </c>
      <c r="S453" t="str">
        <f>IF(Table1[prior_dna_count]&gt;=1,"Has prior DNA history","No prior DNA history")</f>
        <v>No prior DNA history</v>
      </c>
      <c r="T453" t="s">
        <v>22</v>
      </c>
      <c r="U453" t="str">
        <f t="shared" si="7"/>
        <v>1</v>
      </c>
      <c r="V453" t="str">
        <f>IF(Table1[appointment_status]="Attended","1","0")</f>
        <v>1</v>
      </c>
      <c r="W453" t="str">
        <f>IF(Table1[appointment_status]="Cancelled","1","0")</f>
        <v>0</v>
      </c>
    </row>
    <row r="454" spans="1:23">
      <c r="A454" t="s">
        <v>902</v>
      </c>
      <c r="B454" t="s">
        <v>903</v>
      </c>
      <c r="C454">
        <v>62</v>
      </c>
      <c r="D454" t="str" cm="1">
        <f t="array" ref="D454">_xlfn.IFS(Table1[[#This Row],[age]]&lt;=17,"0-17",C454&lt;=29,"18-29",C454&lt;=44,"30-44",C454&lt;=59,"45-59",C454&lt;=74,"60-74",TRUE,"75+")</f>
        <v>60-74</v>
      </c>
      <c r="E454" t="s">
        <v>17</v>
      </c>
      <c r="F454">
        <v>10</v>
      </c>
      <c r="G454" t="str" cm="1">
        <f t="array" ref="G454">_xlfn.IFS(_xlfn.SINGLE(Table1[imd_decile])&lt;=3,"Most Deprived",F454&lt;=7,"Moderately Deprived",F454&lt;=10,"Least Deprived")</f>
        <v>Least Deprived</v>
      </c>
      <c r="H454">
        <v>28.1</v>
      </c>
      <c r="I454" t="s">
        <v>25</v>
      </c>
      <c r="J454" t="s">
        <v>19</v>
      </c>
      <c r="K454" s="1">
        <v>45712</v>
      </c>
      <c r="L454" s="1">
        <v>45747</v>
      </c>
      <c r="M454" s="1" t="str">
        <f>TEXT(Table1[[#This Row],[appointment_date]],"MM/YYYY")</f>
        <v>03/2025</v>
      </c>
      <c r="N454">
        <v>35</v>
      </c>
      <c r="O454" t="str" cm="1">
        <f t="array" ref="O454">_xlfn.IFS(Table1[[#This Row],[lead_time_days]]&lt;=7,"0-7 days",N454&lt;=14,"8-14 days",N454&lt;=30,"15-30 days",N454&lt;=60,"31-60 days",TRUE,"61+ days")</f>
        <v>31-60 days</v>
      </c>
      <c r="P454" t="s">
        <v>35</v>
      </c>
      <c r="Q454" t="s">
        <v>21</v>
      </c>
      <c r="R454">
        <v>0</v>
      </c>
      <c r="S454" t="str">
        <f>IF(Table1[prior_dna_count]&gt;=1,"Has prior DNA history","No prior DNA history")</f>
        <v>No prior DNA history</v>
      </c>
      <c r="T454" t="s">
        <v>46</v>
      </c>
      <c r="U454" t="str">
        <f t="shared" si="7"/>
        <v>1</v>
      </c>
      <c r="V454" t="str">
        <f>IF(Table1[appointment_status]="Attended","1","0")</f>
        <v>0</v>
      </c>
      <c r="W454" t="str">
        <f>IF(Table1[appointment_status]="Cancelled","1","0")</f>
        <v>1</v>
      </c>
    </row>
    <row r="455" spans="1:23">
      <c r="A455" t="s">
        <v>904</v>
      </c>
      <c r="B455" t="s">
        <v>905</v>
      </c>
      <c r="C455">
        <v>55</v>
      </c>
      <c r="D455" t="str" cm="1">
        <f t="array" ref="D455">_xlfn.IFS(Table1[[#This Row],[age]]&lt;=17,"0-17",C455&lt;=29,"18-29",C455&lt;=44,"30-44",C455&lt;=59,"45-59",C455&lt;=74,"60-74",TRUE,"75+")</f>
        <v>45-59</v>
      </c>
      <c r="E455" t="s">
        <v>17</v>
      </c>
      <c r="F455">
        <v>9</v>
      </c>
      <c r="G455" t="str" cm="1">
        <f t="array" ref="G455">_xlfn.IFS(_xlfn.SINGLE(Table1[imd_decile])&lt;=3,"Most Deprived",F455&lt;=7,"Moderately Deprived",F455&lt;=10,"Least Deprived")</f>
        <v>Least Deprived</v>
      </c>
      <c r="H455">
        <v>7.1</v>
      </c>
      <c r="I455" t="s">
        <v>42</v>
      </c>
      <c r="J455" t="s">
        <v>26</v>
      </c>
      <c r="K455" s="1">
        <v>45742</v>
      </c>
      <c r="L455" s="1">
        <v>45747</v>
      </c>
      <c r="M455" s="1" t="str">
        <f>TEXT(Table1[[#This Row],[appointment_date]],"MM/YYYY")</f>
        <v>03/2025</v>
      </c>
      <c r="N455">
        <v>5</v>
      </c>
      <c r="O455" t="str" cm="1">
        <f t="array" ref="O455">_xlfn.IFS(Table1[[#This Row],[lead_time_days]]&lt;=7,"0-7 days",N455&lt;=14,"8-14 days",N455&lt;=30,"15-30 days",N455&lt;=60,"31-60 days",TRUE,"61+ days")</f>
        <v>0-7 days</v>
      </c>
      <c r="P455" t="s">
        <v>35</v>
      </c>
      <c r="Q455" t="s">
        <v>21</v>
      </c>
      <c r="R455">
        <v>0</v>
      </c>
      <c r="S455" t="str">
        <f>IF(Table1[prior_dna_count]&gt;=1,"Has prior DNA history","No prior DNA history")</f>
        <v>No prior DNA history</v>
      </c>
      <c r="T455" t="s">
        <v>22</v>
      </c>
      <c r="U455" t="str">
        <f t="shared" si="7"/>
        <v>0</v>
      </c>
      <c r="V455" t="str">
        <f>IF(Table1[appointment_status]="Attended","1","0")</f>
        <v>1</v>
      </c>
      <c r="W455" t="str">
        <f>IF(Table1[appointment_status]="Cancelled","1","0")</f>
        <v>0</v>
      </c>
    </row>
    <row r="456" spans="1:23">
      <c r="A456" t="s">
        <v>906</v>
      </c>
      <c r="B456" t="s">
        <v>907</v>
      </c>
      <c r="C456">
        <v>88</v>
      </c>
      <c r="D456" t="str" cm="1">
        <f t="array" ref="D456">_xlfn.IFS(Table1[[#This Row],[age]]&lt;=17,"0-17",C456&lt;=29,"18-29",C456&lt;=44,"30-44",C456&lt;=59,"45-59",C456&lt;=74,"60-74",TRUE,"75+")</f>
        <v>75+</v>
      </c>
      <c r="E456" t="s">
        <v>17</v>
      </c>
      <c r="F456">
        <v>10</v>
      </c>
      <c r="G456" t="str" cm="1">
        <f t="array" ref="G456">_xlfn.IFS(_xlfn.SINGLE(Table1[imd_decile])&lt;=3,"Most Deprived",F456&lt;=7,"Moderately Deprived",F456&lt;=10,"Least Deprived")</f>
        <v>Least Deprived</v>
      </c>
      <c r="H456">
        <v>3.3</v>
      </c>
      <c r="I456" t="s">
        <v>42</v>
      </c>
      <c r="J456" t="s">
        <v>26</v>
      </c>
      <c r="K456" s="1">
        <v>45732</v>
      </c>
      <c r="L456" s="1">
        <v>45747</v>
      </c>
      <c r="M456" s="1" t="str">
        <f>TEXT(Table1[[#This Row],[appointment_date]],"MM/YYYY")</f>
        <v>03/2025</v>
      </c>
      <c r="N456">
        <v>15</v>
      </c>
      <c r="O456" t="str" cm="1">
        <f t="array" ref="O456">_xlfn.IFS(Table1[[#This Row],[lead_time_days]]&lt;=7,"0-7 days",N456&lt;=14,"8-14 days",N456&lt;=30,"15-30 days",N456&lt;=60,"31-60 days",TRUE,"61+ days")</f>
        <v>15-30 days</v>
      </c>
      <c r="P456" t="s">
        <v>35</v>
      </c>
      <c r="Q456" t="s">
        <v>21</v>
      </c>
      <c r="R456">
        <v>0</v>
      </c>
      <c r="S456" t="str">
        <f>IF(Table1[prior_dna_count]&gt;=1,"Has prior DNA history","No prior DNA history")</f>
        <v>No prior DNA history</v>
      </c>
      <c r="T456" t="s">
        <v>22</v>
      </c>
      <c r="U456" t="str">
        <f t="shared" si="7"/>
        <v>1</v>
      </c>
      <c r="V456" t="str">
        <f>IF(Table1[appointment_status]="Attended","1","0")</f>
        <v>1</v>
      </c>
      <c r="W456" t="str">
        <f>IF(Table1[appointment_status]="Cancelled","1","0")</f>
        <v>0</v>
      </c>
    </row>
    <row r="457" spans="1:23">
      <c r="A457" t="s">
        <v>908</v>
      </c>
      <c r="B457" t="s">
        <v>909</v>
      </c>
      <c r="C457">
        <v>31</v>
      </c>
      <c r="D457" t="str" cm="1">
        <f t="array" ref="D457">_xlfn.IFS(Table1[[#This Row],[age]]&lt;=17,"0-17",C457&lt;=29,"18-29",C457&lt;=44,"30-44",C457&lt;=59,"45-59",C457&lt;=74,"60-74",TRUE,"75+")</f>
        <v>30-44</v>
      </c>
      <c r="E457" t="s">
        <v>29</v>
      </c>
      <c r="F457">
        <v>3</v>
      </c>
      <c r="G457" t="str" cm="1">
        <f t="array" ref="G457">_xlfn.IFS(_xlfn.SINGLE(Table1[imd_decile])&lt;=3,"Most Deprived",F457&lt;=7,"Moderately Deprived",F457&lt;=10,"Least Deprived")</f>
        <v>Most Deprived</v>
      </c>
      <c r="H457">
        <v>2.7</v>
      </c>
      <c r="I457" t="s">
        <v>45</v>
      </c>
      <c r="J457" t="s">
        <v>19</v>
      </c>
      <c r="K457" s="1">
        <v>45719</v>
      </c>
      <c r="L457" s="1">
        <v>45747</v>
      </c>
      <c r="M457" s="1" t="str">
        <f>TEXT(Table1[[#This Row],[appointment_date]],"MM/YYYY")</f>
        <v>03/2025</v>
      </c>
      <c r="N457">
        <v>28</v>
      </c>
      <c r="O457" t="str" cm="1">
        <f t="array" ref="O457">_xlfn.IFS(Table1[[#This Row],[lead_time_days]]&lt;=7,"0-7 days",N457&lt;=14,"8-14 days",N457&lt;=30,"15-30 days",N457&lt;=60,"31-60 days",TRUE,"61+ days")</f>
        <v>15-30 days</v>
      </c>
      <c r="P457" t="s">
        <v>35</v>
      </c>
      <c r="Q457" t="s">
        <v>21</v>
      </c>
      <c r="R457">
        <v>0</v>
      </c>
      <c r="S457" t="str">
        <f>IF(Table1[prior_dna_count]&gt;=1,"Has prior DNA history","No prior DNA history")</f>
        <v>No prior DNA history</v>
      </c>
      <c r="T457" t="s">
        <v>22</v>
      </c>
      <c r="U457" t="str">
        <f t="shared" si="7"/>
        <v>1</v>
      </c>
      <c r="V457" t="str">
        <f>IF(Table1[appointment_status]="Attended","1","0")</f>
        <v>1</v>
      </c>
      <c r="W457" t="str">
        <f>IF(Table1[appointment_status]="Cancelled","1","0")</f>
        <v>0</v>
      </c>
    </row>
    <row r="458" spans="1:23">
      <c r="A458" t="s">
        <v>910</v>
      </c>
      <c r="B458" t="s">
        <v>911</v>
      </c>
      <c r="C458">
        <v>70</v>
      </c>
      <c r="D458" t="str" cm="1">
        <f t="array" ref="D458">_xlfn.IFS(Table1[[#This Row],[age]]&lt;=17,"0-17",C458&lt;=29,"18-29",C458&lt;=44,"30-44",C458&lt;=59,"45-59",C458&lt;=74,"60-74",TRUE,"75+")</f>
        <v>60-74</v>
      </c>
      <c r="E458" t="s">
        <v>17</v>
      </c>
      <c r="F458">
        <v>7</v>
      </c>
      <c r="G458" t="str" cm="1">
        <f t="array" ref="G458">_xlfn.IFS(_xlfn.SINGLE(Table1[imd_decile])&lt;=3,"Most Deprived",F458&lt;=7,"Moderately Deprived",F458&lt;=10,"Least Deprived")</f>
        <v>Moderately Deprived</v>
      </c>
      <c r="H458">
        <v>4.3</v>
      </c>
      <c r="I458" t="s">
        <v>30</v>
      </c>
      <c r="J458" t="s">
        <v>19</v>
      </c>
      <c r="K458" s="1">
        <v>45689</v>
      </c>
      <c r="L458" s="1">
        <v>45747</v>
      </c>
      <c r="M458" s="1" t="str">
        <f>TEXT(Table1[[#This Row],[appointment_date]],"MM/YYYY")</f>
        <v>03/2025</v>
      </c>
      <c r="N458">
        <v>58</v>
      </c>
      <c r="O458" t="str" cm="1">
        <f t="array" ref="O458">_xlfn.IFS(Table1[[#This Row],[lead_time_days]]&lt;=7,"0-7 days",N458&lt;=14,"8-14 days",N458&lt;=30,"15-30 days",N458&lt;=60,"31-60 days",TRUE,"61+ days")</f>
        <v>31-60 days</v>
      </c>
      <c r="P458" t="s">
        <v>35</v>
      </c>
      <c r="Q458" t="s">
        <v>32</v>
      </c>
      <c r="R458">
        <v>0</v>
      </c>
      <c r="S458" t="str">
        <f>IF(Table1[prior_dna_count]&gt;=1,"Has prior DNA history","No prior DNA history")</f>
        <v>No prior DNA history</v>
      </c>
      <c r="T458" t="s">
        <v>22</v>
      </c>
      <c r="U458" t="str">
        <f t="shared" si="7"/>
        <v>1</v>
      </c>
      <c r="V458" t="str">
        <f>IF(Table1[appointment_status]="Attended","1","0")</f>
        <v>1</v>
      </c>
      <c r="W458" t="str">
        <f>IF(Table1[appointment_status]="Cancelled","1","0")</f>
        <v>0</v>
      </c>
    </row>
    <row r="459" spans="1:23">
      <c r="A459" t="s">
        <v>912</v>
      </c>
      <c r="B459" t="s">
        <v>913</v>
      </c>
      <c r="C459">
        <v>58</v>
      </c>
      <c r="D459" t="str" cm="1">
        <f t="array" ref="D459">_xlfn.IFS(Table1[[#This Row],[age]]&lt;=17,"0-17",C459&lt;=29,"18-29",C459&lt;=44,"30-44",C459&lt;=59,"45-59",C459&lt;=74,"60-74",TRUE,"75+")</f>
        <v>45-59</v>
      </c>
      <c r="E459" t="s">
        <v>29</v>
      </c>
      <c r="F459">
        <v>1</v>
      </c>
      <c r="G459" t="str" cm="1">
        <f t="array" ref="G459">_xlfn.IFS(_xlfn.SINGLE(Table1[imd_decile])&lt;=3,"Most Deprived",F459&lt;=7,"Moderately Deprived",F459&lt;=10,"Least Deprived")</f>
        <v>Most Deprived</v>
      </c>
      <c r="H459">
        <v>5.8</v>
      </c>
      <c r="I459" t="s">
        <v>42</v>
      </c>
      <c r="J459" t="s">
        <v>26</v>
      </c>
      <c r="K459" s="1">
        <v>45725</v>
      </c>
      <c r="L459" s="1">
        <v>45747</v>
      </c>
      <c r="M459" s="1" t="str">
        <f>TEXT(Table1[[#This Row],[appointment_date]],"MM/YYYY")</f>
        <v>03/2025</v>
      </c>
      <c r="N459">
        <v>22</v>
      </c>
      <c r="O459" t="str" cm="1">
        <f t="array" ref="O459">_xlfn.IFS(Table1[[#This Row],[lead_time_days]]&lt;=7,"0-7 days",N459&lt;=14,"8-14 days",N459&lt;=30,"15-30 days",N459&lt;=60,"31-60 days",TRUE,"61+ days")</f>
        <v>15-30 days</v>
      </c>
      <c r="P459" t="s">
        <v>35</v>
      </c>
      <c r="Q459" t="s">
        <v>21</v>
      </c>
      <c r="R459">
        <v>0</v>
      </c>
      <c r="S459" t="str">
        <f>IF(Table1[prior_dna_count]&gt;=1,"Has prior DNA history","No prior DNA history")</f>
        <v>No prior DNA history</v>
      </c>
      <c r="T459" t="s">
        <v>22</v>
      </c>
      <c r="U459" t="str">
        <f t="shared" si="7"/>
        <v>1</v>
      </c>
      <c r="V459" t="str">
        <f>IF(Table1[appointment_status]="Attended","1","0")</f>
        <v>1</v>
      </c>
      <c r="W459" t="str">
        <f>IF(Table1[appointment_status]="Cancelled","1","0")</f>
        <v>0</v>
      </c>
    </row>
    <row r="460" spans="1:23">
      <c r="A460" t="s">
        <v>914</v>
      </c>
      <c r="B460" t="s">
        <v>915</v>
      </c>
      <c r="C460">
        <v>1</v>
      </c>
      <c r="D460" t="str" cm="1">
        <f t="array" ref="D460">_xlfn.IFS(Table1[[#This Row],[age]]&lt;=17,"0-17",C460&lt;=29,"18-29",C460&lt;=44,"30-44",C460&lt;=59,"45-59",C460&lt;=74,"60-74",TRUE,"75+")</f>
        <v>0-17</v>
      </c>
      <c r="E460" t="s">
        <v>29</v>
      </c>
      <c r="F460">
        <v>1</v>
      </c>
      <c r="G460" t="str" cm="1">
        <f t="array" ref="G460">_xlfn.IFS(_xlfn.SINGLE(Table1[imd_decile])&lt;=3,"Most Deprived",F460&lt;=7,"Moderately Deprived",F460&lt;=10,"Least Deprived")</f>
        <v>Most Deprived</v>
      </c>
      <c r="H460">
        <v>13.4</v>
      </c>
      <c r="I460" t="s">
        <v>91</v>
      </c>
      <c r="J460" t="s">
        <v>19</v>
      </c>
      <c r="K460" s="1">
        <v>45684</v>
      </c>
      <c r="L460" s="1">
        <v>45747</v>
      </c>
      <c r="M460" s="1" t="str">
        <f>TEXT(Table1[[#This Row],[appointment_date]],"MM/YYYY")</f>
        <v>03/2025</v>
      </c>
      <c r="N460">
        <v>63</v>
      </c>
      <c r="O460" t="str" cm="1">
        <f t="array" ref="O460">_xlfn.IFS(Table1[[#This Row],[lead_time_days]]&lt;=7,"0-7 days",N460&lt;=14,"8-14 days",N460&lt;=30,"15-30 days",N460&lt;=60,"31-60 days",TRUE,"61+ days")</f>
        <v>61+ days</v>
      </c>
      <c r="P460" t="s">
        <v>35</v>
      </c>
      <c r="Q460" t="s">
        <v>32</v>
      </c>
      <c r="R460">
        <v>0</v>
      </c>
      <c r="S460" t="str">
        <f>IF(Table1[prior_dna_count]&gt;=1,"Has prior DNA history","No prior DNA history")</f>
        <v>No prior DNA history</v>
      </c>
      <c r="T460" t="s">
        <v>22</v>
      </c>
      <c r="U460" t="str">
        <f t="shared" si="7"/>
        <v>1</v>
      </c>
      <c r="V460" t="str">
        <f>IF(Table1[appointment_status]="Attended","1","0")</f>
        <v>1</v>
      </c>
      <c r="W460" t="str">
        <f>IF(Table1[appointment_status]="Cancelled","1","0")</f>
        <v>0</v>
      </c>
    </row>
    <row r="461" spans="1:23">
      <c r="A461" t="s">
        <v>916</v>
      </c>
      <c r="B461" t="s">
        <v>183</v>
      </c>
      <c r="C461">
        <v>36</v>
      </c>
      <c r="D461" t="str" cm="1">
        <f t="array" ref="D461">_xlfn.IFS(Table1[[#This Row],[age]]&lt;=17,"0-17",C461&lt;=29,"18-29",C461&lt;=44,"30-44",C461&lt;=59,"45-59",C461&lt;=74,"60-74",TRUE,"75+")</f>
        <v>30-44</v>
      </c>
      <c r="E461" t="s">
        <v>17</v>
      </c>
      <c r="F461">
        <v>7</v>
      </c>
      <c r="G461" t="str" cm="1">
        <f t="array" ref="G461">_xlfn.IFS(_xlfn.SINGLE(Table1[imd_decile])&lt;=3,"Most Deprived",F461&lt;=7,"Moderately Deprived",F461&lt;=10,"Least Deprived")</f>
        <v>Moderately Deprived</v>
      </c>
      <c r="H461">
        <v>9.1999999999999993</v>
      </c>
      <c r="I461" t="s">
        <v>49</v>
      </c>
      <c r="J461" t="s">
        <v>19</v>
      </c>
      <c r="K461" s="1">
        <v>45706</v>
      </c>
      <c r="L461" s="1">
        <v>45748</v>
      </c>
      <c r="M461" s="1" t="str">
        <f>TEXT(Table1[[#This Row],[appointment_date]],"MM/YYYY")</f>
        <v>04/2025</v>
      </c>
      <c r="N461">
        <v>42</v>
      </c>
      <c r="O461" t="str" cm="1">
        <f t="array" ref="O461">_xlfn.IFS(Table1[[#This Row],[lead_time_days]]&lt;=7,"0-7 days",N461&lt;=14,"8-14 days",N461&lt;=30,"15-30 days",N461&lt;=60,"31-60 days",TRUE,"61+ days")</f>
        <v>31-60 days</v>
      </c>
      <c r="P461" t="s">
        <v>71</v>
      </c>
      <c r="Q461" t="s">
        <v>21</v>
      </c>
      <c r="R461">
        <v>0</v>
      </c>
      <c r="S461" t="str">
        <f>IF(Table1[prior_dna_count]&gt;=1,"Has prior DNA history","No prior DNA history")</f>
        <v>No prior DNA history</v>
      </c>
      <c r="T461" t="s">
        <v>22</v>
      </c>
      <c r="U461" t="str">
        <f t="shared" si="7"/>
        <v>1</v>
      </c>
      <c r="V461" t="str">
        <f>IF(Table1[appointment_status]="Attended","1","0")</f>
        <v>1</v>
      </c>
      <c r="W461" t="str">
        <f>IF(Table1[appointment_status]="Cancelled","1","0")</f>
        <v>0</v>
      </c>
    </row>
    <row r="462" spans="1:23">
      <c r="A462" t="s">
        <v>917</v>
      </c>
      <c r="B462" t="s">
        <v>689</v>
      </c>
      <c r="C462">
        <v>48</v>
      </c>
      <c r="D462" t="str" cm="1">
        <f t="array" ref="D462">_xlfn.IFS(Table1[[#This Row],[age]]&lt;=17,"0-17",C462&lt;=29,"18-29",C462&lt;=44,"30-44",C462&lt;=59,"45-59",C462&lt;=74,"60-74",TRUE,"75+")</f>
        <v>45-59</v>
      </c>
      <c r="E462" t="s">
        <v>17</v>
      </c>
      <c r="F462">
        <v>8</v>
      </c>
      <c r="G462" t="str" cm="1">
        <f t="array" ref="G462">_xlfn.IFS(_xlfn.SINGLE(Table1[imd_decile])&lt;=3,"Most Deprived",F462&lt;=7,"Moderately Deprived",F462&lt;=10,"Least Deprived")</f>
        <v>Least Deprived</v>
      </c>
      <c r="H462">
        <v>5.9</v>
      </c>
      <c r="I462" t="s">
        <v>155</v>
      </c>
      <c r="J462" t="s">
        <v>19</v>
      </c>
      <c r="K462" s="1">
        <v>45739</v>
      </c>
      <c r="L462" s="1">
        <v>45748</v>
      </c>
      <c r="M462" s="1" t="str">
        <f>TEXT(Table1[[#This Row],[appointment_date]],"MM/YYYY")</f>
        <v>04/2025</v>
      </c>
      <c r="N462">
        <v>9</v>
      </c>
      <c r="O462" t="str" cm="1">
        <f t="array" ref="O462">_xlfn.IFS(Table1[[#This Row],[lead_time_days]]&lt;=7,"0-7 days",N462&lt;=14,"8-14 days",N462&lt;=30,"15-30 days",N462&lt;=60,"31-60 days",TRUE,"61+ days")</f>
        <v>8-14 days</v>
      </c>
      <c r="P462" t="s">
        <v>71</v>
      </c>
      <c r="Q462" t="s">
        <v>32</v>
      </c>
      <c r="R462">
        <v>0</v>
      </c>
      <c r="S462" t="str">
        <f>IF(Table1[prior_dna_count]&gt;=1,"Has prior DNA history","No prior DNA history")</f>
        <v>No prior DNA history</v>
      </c>
      <c r="T462" t="s">
        <v>22</v>
      </c>
      <c r="U462" t="str">
        <f t="shared" si="7"/>
        <v>1</v>
      </c>
      <c r="V462" t="str">
        <f>IF(Table1[appointment_status]="Attended","1","0")</f>
        <v>1</v>
      </c>
      <c r="W462" t="str">
        <f>IF(Table1[appointment_status]="Cancelled","1","0")</f>
        <v>0</v>
      </c>
    </row>
    <row r="463" spans="1:23">
      <c r="A463" t="s">
        <v>918</v>
      </c>
      <c r="B463" t="s">
        <v>919</v>
      </c>
      <c r="C463">
        <v>41</v>
      </c>
      <c r="D463" t="str" cm="1">
        <f t="array" ref="D463">_xlfn.IFS(Table1[[#This Row],[age]]&lt;=17,"0-17",C463&lt;=29,"18-29",C463&lt;=44,"30-44",C463&lt;=59,"45-59",C463&lt;=74,"60-74",TRUE,"75+")</f>
        <v>30-44</v>
      </c>
      <c r="E463" t="s">
        <v>17</v>
      </c>
      <c r="F463">
        <v>7</v>
      </c>
      <c r="G463" t="str" cm="1">
        <f t="array" ref="G463">_xlfn.IFS(_xlfn.SINGLE(Table1[imd_decile])&lt;=3,"Most Deprived",F463&lt;=7,"Moderately Deprived",F463&lt;=10,"Least Deprived")</f>
        <v>Moderately Deprived</v>
      </c>
      <c r="H463">
        <v>4.8</v>
      </c>
      <c r="I463" t="s">
        <v>25</v>
      </c>
      <c r="J463" t="s">
        <v>19</v>
      </c>
      <c r="K463" s="1">
        <v>45697</v>
      </c>
      <c r="L463" s="1">
        <v>45748</v>
      </c>
      <c r="M463" s="1" t="str">
        <f>TEXT(Table1[[#This Row],[appointment_date]],"MM/YYYY")</f>
        <v>04/2025</v>
      </c>
      <c r="N463">
        <v>51</v>
      </c>
      <c r="O463" t="str" cm="1">
        <f t="array" ref="O463">_xlfn.IFS(Table1[[#This Row],[lead_time_days]]&lt;=7,"0-7 days",N463&lt;=14,"8-14 days",N463&lt;=30,"15-30 days",N463&lt;=60,"31-60 days",TRUE,"61+ days")</f>
        <v>31-60 days</v>
      </c>
      <c r="P463" t="s">
        <v>71</v>
      </c>
      <c r="Q463" t="s">
        <v>32</v>
      </c>
      <c r="R463">
        <v>0</v>
      </c>
      <c r="S463" t="str">
        <f>IF(Table1[prior_dna_count]&gt;=1,"Has prior DNA history","No prior DNA history")</f>
        <v>No prior DNA history</v>
      </c>
      <c r="T463" t="s">
        <v>22</v>
      </c>
      <c r="U463" t="str">
        <f t="shared" si="7"/>
        <v>1</v>
      </c>
      <c r="V463" t="str">
        <f>IF(Table1[appointment_status]="Attended","1","0")</f>
        <v>1</v>
      </c>
      <c r="W463" t="str">
        <f>IF(Table1[appointment_status]="Cancelled","1","0")</f>
        <v>0</v>
      </c>
    </row>
    <row r="464" spans="1:23">
      <c r="A464" t="s">
        <v>920</v>
      </c>
      <c r="B464" t="s">
        <v>921</v>
      </c>
      <c r="C464">
        <v>46</v>
      </c>
      <c r="D464" t="str" cm="1">
        <f t="array" ref="D464">_xlfn.IFS(Table1[[#This Row],[age]]&lt;=17,"0-17",C464&lt;=29,"18-29",C464&lt;=44,"30-44",C464&lt;=59,"45-59",C464&lt;=74,"60-74",TRUE,"75+")</f>
        <v>45-59</v>
      </c>
      <c r="E464" t="s">
        <v>29</v>
      </c>
      <c r="F464">
        <v>9</v>
      </c>
      <c r="G464" t="str" cm="1">
        <f t="array" ref="G464">_xlfn.IFS(_xlfn.SINGLE(Table1[imd_decile])&lt;=3,"Most Deprived",F464&lt;=7,"Moderately Deprived",F464&lt;=10,"Least Deprived")</f>
        <v>Least Deprived</v>
      </c>
      <c r="H464">
        <v>4.2</v>
      </c>
      <c r="I464" t="s">
        <v>91</v>
      </c>
      <c r="J464" t="s">
        <v>19</v>
      </c>
      <c r="K464" s="1">
        <v>45695</v>
      </c>
      <c r="L464" s="1">
        <v>45748</v>
      </c>
      <c r="M464" s="1" t="str">
        <f>TEXT(Table1[[#This Row],[appointment_date]],"MM/YYYY")</f>
        <v>04/2025</v>
      </c>
      <c r="N464">
        <v>53</v>
      </c>
      <c r="O464" t="str" cm="1">
        <f t="array" ref="O464">_xlfn.IFS(Table1[[#This Row],[lead_time_days]]&lt;=7,"0-7 days",N464&lt;=14,"8-14 days",N464&lt;=30,"15-30 days",N464&lt;=60,"31-60 days",TRUE,"61+ days")</f>
        <v>31-60 days</v>
      </c>
      <c r="P464" t="s">
        <v>71</v>
      </c>
      <c r="Q464" t="s">
        <v>32</v>
      </c>
      <c r="R464">
        <v>0</v>
      </c>
      <c r="S464" t="str">
        <f>IF(Table1[prior_dna_count]&gt;=1,"Has prior DNA history","No prior DNA history")</f>
        <v>No prior DNA history</v>
      </c>
      <c r="T464" t="s">
        <v>46</v>
      </c>
      <c r="U464" t="str">
        <f t="shared" si="7"/>
        <v>1</v>
      </c>
      <c r="V464" t="str">
        <f>IF(Table1[appointment_status]="Attended","1","0")</f>
        <v>0</v>
      </c>
      <c r="W464" t="str">
        <f>IF(Table1[appointment_status]="Cancelled","1","0")</f>
        <v>1</v>
      </c>
    </row>
    <row r="465" spans="1:23">
      <c r="A465" t="s">
        <v>922</v>
      </c>
      <c r="B465" t="s">
        <v>700</v>
      </c>
      <c r="C465">
        <v>57</v>
      </c>
      <c r="D465" t="str" cm="1">
        <f t="array" ref="D465">_xlfn.IFS(Table1[[#This Row],[age]]&lt;=17,"0-17",C465&lt;=29,"18-29",C465&lt;=44,"30-44",C465&lt;=59,"45-59",C465&lt;=74,"60-74",TRUE,"75+")</f>
        <v>45-59</v>
      </c>
      <c r="E465" t="s">
        <v>17</v>
      </c>
      <c r="F465">
        <v>9</v>
      </c>
      <c r="G465" t="str" cm="1">
        <f t="array" ref="G465">_xlfn.IFS(_xlfn.SINGLE(Table1[imd_decile])&lt;=3,"Most Deprived",F465&lt;=7,"Moderately Deprived",F465&lt;=10,"Least Deprived")</f>
        <v>Least Deprived</v>
      </c>
      <c r="H465">
        <v>11.1</v>
      </c>
      <c r="I465" t="s">
        <v>18</v>
      </c>
      <c r="J465" t="s">
        <v>19</v>
      </c>
      <c r="K465" s="1">
        <v>45676</v>
      </c>
      <c r="L465" s="1">
        <v>45748</v>
      </c>
      <c r="M465" s="1" t="str">
        <f>TEXT(Table1[[#This Row],[appointment_date]],"MM/YYYY")</f>
        <v>04/2025</v>
      </c>
      <c r="N465">
        <v>72</v>
      </c>
      <c r="O465" t="str" cm="1">
        <f t="array" ref="O465">_xlfn.IFS(Table1[[#This Row],[lead_time_days]]&lt;=7,"0-7 days",N465&lt;=14,"8-14 days",N465&lt;=30,"15-30 days",N465&lt;=60,"31-60 days",TRUE,"61+ days")</f>
        <v>61+ days</v>
      </c>
      <c r="P465" t="s">
        <v>71</v>
      </c>
      <c r="Q465" t="s">
        <v>21</v>
      </c>
      <c r="R465">
        <v>0</v>
      </c>
      <c r="S465" t="str">
        <f>IF(Table1[prior_dna_count]&gt;=1,"Has prior DNA history","No prior DNA history")</f>
        <v>No prior DNA history</v>
      </c>
      <c r="T465" t="s">
        <v>39</v>
      </c>
      <c r="U465" t="str">
        <f t="shared" si="7"/>
        <v>0</v>
      </c>
      <c r="V465" t="str">
        <f>IF(Table1[appointment_status]="Attended","1","0")</f>
        <v>0</v>
      </c>
      <c r="W465" t="str">
        <f>IF(Table1[appointment_status]="Cancelled","1","0")</f>
        <v>0</v>
      </c>
    </row>
    <row r="466" spans="1:23">
      <c r="A466" t="s">
        <v>923</v>
      </c>
      <c r="B466" t="s">
        <v>924</v>
      </c>
      <c r="C466">
        <v>30</v>
      </c>
      <c r="D466" t="str" cm="1">
        <f t="array" ref="D466">_xlfn.IFS(Table1[[#This Row],[age]]&lt;=17,"0-17",C466&lt;=29,"18-29",C466&lt;=44,"30-44",C466&lt;=59,"45-59",C466&lt;=74,"60-74",TRUE,"75+")</f>
        <v>30-44</v>
      </c>
      <c r="E466" t="s">
        <v>29</v>
      </c>
      <c r="F466">
        <v>5</v>
      </c>
      <c r="G466" t="str" cm="1">
        <f t="array" ref="G466">_xlfn.IFS(_xlfn.SINGLE(Table1[imd_decile])&lt;=3,"Most Deprived",F466&lt;=7,"Moderately Deprived",F466&lt;=10,"Least Deprived")</f>
        <v>Moderately Deprived</v>
      </c>
      <c r="H466">
        <v>4.9000000000000004</v>
      </c>
      <c r="I466" t="s">
        <v>45</v>
      </c>
      <c r="J466" t="s">
        <v>19</v>
      </c>
      <c r="K466" s="1">
        <v>45712</v>
      </c>
      <c r="L466" s="1">
        <v>45748</v>
      </c>
      <c r="M466" s="1" t="str">
        <f>TEXT(Table1[[#This Row],[appointment_date]],"MM/YYYY")</f>
        <v>04/2025</v>
      </c>
      <c r="N466">
        <v>36</v>
      </c>
      <c r="O466" t="str" cm="1">
        <f t="array" ref="O466">_xlfn.IFS(Table1[[#This Row],[lead_time_days]]&lt;=7,"0-7 days",N466&lt;=14,"8-14 days",N466&lt;=30,"15-30 days",N466&lt;=60,"31-60 days",TRUE,"61+ days")</f>
        <v>31-60 days</v>
      </c>
      <c r="P466" t="s">
        <v>71</v>
      </c>
      <c r="Q466" t="s">
        <v>21</v>
      </c>
      <c r="R466">
        <v>0</v>
      </c>
      <c r="S466" t="str">
        <f>IF(Table1[prior_dna_count]&gt;=1,"Has prior DNA history","No prior DNA history")</f>
        <v>No prior DNA history</v>
      </c>
      <c r="T466" t="s">
        <v>22</v>
      </c>
      <c r="U466" t="str">
        <f t="shared" si="7"/>
        <v>0</v>
      </c>
      <c r="V466" t="str">
        <f>IF(Table1[appointment_status]="Attended","1","0")</f>
        <v>1</v>
      </c>
      <c r="W466" t="str">
        <f>IF(Table1[appointment_status]="Cancelled","1","0")</f>
        <v>0</v>
      </c>
    </row>
    <row r="467" spans="1:23">
      <c r="A467" t="s">
        <v>925</v>
      </c>
      <c r="B467" t="s">
        <v>926</v>
      </c>
      <c r="C467">
        <v>31</v>
      </c>
      <c r="D467" t="str" cm="1">
        <f t="array" ref="D467">_xlfn.IFS(Table1[[#This Row],[age]]&lt;=17,"0-17",C467&lt;=29,"18-29",C467&lt;=44,"30-44",C467&lt;=59,"45-59",C467&lt;=74,"60-74",TRUE,"75+")</f>
        <v>30-44</v>
      </c>
      <c r="E467" t="s">
        <v>29</v>
      </c>
      <c r="F467">
        <v>2</v>
      </c>
      <c r="G467" t="str" cm="1">
        <f t="array" ref="G467">_xlfn.IFS(_xlfn.SINGLE(Table1[imd_decile])&lt;=3,"Most Deprived",F467&lt;=7,"Moderately Deprived",F467&lt;=10,"Least Deprived")</f>
        <v>Most Deprived</v>
      </c>
      <c r="H467">
        <v>5.5</v>
      </c>
      <c r="I467" t="s">
        <v>58</v>
      </c>
      <c r="J467" t="s">
        <v>19</v>
      </c>
      <c r="K467" s="1">
        <v>45714</v>
      </c>
      <c r="L467" s="1">
        <v>45749</v>
      </c>
      <c r="M467" s="1" t="str">
        <f>TEXT(Table1[[#This Row],[appointment_date]],"MM/YYYY")</f>
        <v>04/2025</v>
      </c>
      <c r="N467">
        <v>35</v>
      </c>
      <c r="O467" t="str" cm="1">
        <f t="array" ref="O467">_xlfn.IFS(Table1[[#This Row],[lead_time_days]]&lt;=7,"0-7 days",N467&lt;=14,"8-14 days",N467&lt;=30,"15-30 days",N467&lt;=60,"31-60 days",TRUE,"61+ days")</f>
        <v>31-60 days</v>
      </c>
      <c r="P467" t="s">
        <v>80</v>
      </c>
      <c r="Q467" t="s">
        <v>21</v>
      </c>
      <c r="R467">
        <v>0</v>
      </c>
      <c r="S467" t="str">
        <f>IF(Table1[prior_dna_count]&gt;=1,"Has prior DNA history","No prior DNA history")</f>
        <v>No prior DNA history</v>
      </c>
      <c r="T467" t="s">
        <v>22</v>
      </c>
      <c r="U467" t="str">
        <f t="shared" si="7"/>
        <v>1</v>
      </c>
      <c r="V467" t="str">
        <f>IF(Table1[appointment_status]="Attended","1","0")</f>
        <v>1</v>
      </c>
      <c r="W467" t="str">
        <f>IF(Table1[appointment_status]="Cancelled","1","0")</f>
        <v>0</v>
      </c>
    </row>
    <row r="468" spans="1:23">
      <c r="A468" t="s">
        <v>927</v>
      </c>
      <c r="B468" t="s">
        <v>928</v>
      </c>
      <c r="C468">
        <v>51</v>
      </c>
      <c r="D468" t="str" cm="1">
        <f t="array" ref="D468">_xlfn.IFS(Table1[[#This Row],[age]]&lt;=17,"0-17",C468&lt;=29,"18-29",C468&lt;=44,"30-44",C468&lt;=59,"45-59",C468&lt;=74,"60-74",TRUE,"75+")</f>
        <v>45-59</v>
      </c>
      <c r="E468" t="s">
        <v>17</v>
      </c>
      <c r="F468">
        <v>10</v>
      </c>
      <c r="G468" t="str" cm="1">
        <f t="array" ref="G468">_xlfn.IFS(_xlfn.SINGLE(Table1[imd_decile])&lt;=3,"Most Deprived",F468&lt;=7,"Moderately Deprived",F468&lt;=10,"Least Deprived")</f>
        <v>Least Deprived</v>
      </c>
      <c r="H468">
        <v>4.9000000000000004</v>
      </c>
      <c r="I468" t="s">
        <v>49</v>
      </c>
      <c r="J468" t="s">
        <v>26</v>
      </c>
      <c r="K468" s="1">
        <v>45744</v>
      </c>
      <c r="L468" s="1">
        <v>45749</v>
      </c>
      <c r="M468" s="1" t="str">
        <f>TEXT(Table1[[#This Row],[appointment_date]],"MM/YYYY")</f>
        <v>04/2025</v>
      </c>
      <c r="N468">
        <v>5</v>
      </c>
      <c r="O468" t="str" cm="1">
        <f t="array" ref="O468">_xlfn.IFS(Table1[[#This Row],[lead_time_days]]&lt;=7,"0-7 days",N468&lt;=14,"8-14 days",N468&lt;=30,"15-30 days",N468&lt;=60,"31-60 days",TRUE,"61+ days")</f>
        <v>0-7 days</v>
      </c>
      <c r="P468" t="s">
        <v>80</v>
      </c>
      <c r="Q468" t="s">
        <v>21</v>
      </c>
      <c r="R468">
        <v>0</v>
      </c>
      <c r="S468" t="str">
        <f>IF(Table1[prior_dna_count]&gt;=1,"Has prior DNA history","No prior DNA history")</f>
        <v>No prior DNA history</v>
      </c>
      <c r="T468" t="s">
        <v>22</v>
      </c>
      <c r="U468" t="str">
        <f t="shared" si="7"/>
        <v>1</v>
      </c>
      <c r="V468" t="str">
        <f>IF(Table1[appointment_status]="Attended","1","0")</f>
        <v>1</v>
      </c>
      <c r="W468" t="str">
        <f>IF(Table1[appointment_status]="Cancelled","1","0")</f>
        <v>0</v>
      </c>
    </row>
    <row r="469" spans="1:23">
      <c r="A469" t="s">
        <v>929</v>
      </c>
      <c r="B469" t="s">
        <v>930</v>
      </c>
      <c r="C469">
        <v>60</v>
      </c>
      <c r="D469" t="str" cm="1">
        <f t="array" ref="D469">_xlfn.IFS(Table1[[#This Row],[age]]&lt;=17,"0-17",C469&lt;=29,"18-29",C469&lt;=44,"30-44",C469&lt;=59,"45-59",C469&lt;=74,"60-74",TRUE,"75+")</f>
        <v>60-74</v>
      </c>
      <c r="E469" t="s">
        <v>29</v>
      </c>
      <c r="F469">
        <v>7</v>
      </c>
      <c r="G469" t="str" cm="1">
        <f t="array" ref="G469">_xlfn.IFS(_xlfn.SINGLE(Table1[imd_decile])&lt;=3,"Most Deprived",F469&lt;=7,"Moderately Deprived",F469&lt;=10,"Least Deprived")</f>
        <v>Moderately Deprived</v>
      </c>
      <c r="H469">
        <v>4.5999999999999996</v>
      </c>
      <c r="I469" t="s">
        <v>91</v>
      </c>
      <c r="J469" t="s">
        <v>19</v>
      </c>
      <c r="K469" s="1">
        <v>45706</v>
      </c>
      <c r="L469" s="1">
        <v>45749</v>
      </c>
      <c r="M469" s="1" t="str">
        <f>TEXT(Table1[[#This Row],[appointment_date]],"MM/YYYY")</f>
        <v>04/2025</v>
      </c>
      <c r="N469">
        <v>43</v>
      </c>
      <c r="O469" t="str" cm="1">
        <f t="array" ref="O469">_xlfn.IFS(Table1[[#This Row],[lead_time_days]]&lt;=7,"0-7 days",N469&lt;=14,"8-14 days",N469&lt;=30,"15-30 days",N469&lt;=60,"31-60 days",TRUE,"61+ days")</f>
        <v>31-60 days</v>
      </c>
      <c r="P469" t="s">
        <v>80</v>
      </c>
      <c r="Q469" t="s">
        <v>21</v>
      </c>
      <c r="R469">
        <v>0</v>
      </c>
      <c r="S469" t="str">
        <f>IF(Table1[prior_dna_count]&gt;=1,"Has prior DNA history","No prior DNA history")</f>
        <v>No prior DNA history</v>
      </c>
      <c r="T469" t="s">
        <v>39</v>
      </c>
      <c r="U469" t="str">
        <f t="shared" si="7"/>
        <v>1</v>
      </c>
      <c r="V469" t="str">
        <f>IF(Table1[appointment_status]="Attended","1","0")</f>
        <v>0</v>
      </c>
      <c r="W469" t="str">
        <f>IF(Table1[appointment_status]="Cancelled","1","0")</f>
        <v>0</v>
      </c>
    </row>
    <row r="470" spans="1:23">
      <c r="A470" t="s">
        <v>931</v>
      </c>
      <c r="B470" t="s">
        <v>932</v>
      </c>
      <c r="C470">
        <v>51</v>
      </c>
      <c r="D470" t="str" cm="1">
        <f t="array" ref="D470">_xlfn.IFS(Table1[[#This Row],[age]]&lt;=17,"0-17",C470&lt;=29,"18-29",C470&lt;=44,"30-44",C470&lt;=59,"45-59",C470&lt;=74,"60-74",TRUE,"75+")</f>
        <v>45-59</v>
      </c>
      <c r="E470" t="s">
        <v>17</v>
      </c>
      <c r="F470">
        <v>7</v>
      </c>
      <c r="G470" t="str" cm="1">
        <f t="array" ref="G470">_xlfn.IFS(_xlfn.SINGLE(Table1[imd_decile])&lt;=3,"Most Deprived",F470&lt;=7,"Moderately Deprived",F470&lt;=10,"Least Deprived")</f>
        <v>Moderately Deprived</v>
      </c>
      <c r="H470">
        <v>11.3</v>
      </c>
      <c r="I470" t="s">
        <v>45</v>
      </c>
      <c r="J470" t="s">
        <v>19</v>
      </c>
      <c r="K470" s="1">
        <v>45741</v>
      </c>
      <c r="L470" s="1">
        <v>45749</v>
      </c>
      <c r="M470" s="1" t="str">
        <f>TEXT(Table1[[#This Row],[appointment_date]],"MM/YYYY")</f>
        <v>04/2025</v>
      </c>
      <c r="N470">
        <v>8</v>
      </c>
      <c r="O470" t="str" cm="1">
        <f t="array" ref="O470">_xlfn.IFS(Table1[[#This Row],[lead_time_days]]&lt;=7,"0-7 days",N470&lt;=14,"8-14 days",N470&lt;=30,"15-30 days",N470&lt;=60,"31-60 days",TRUE,"61+ days")</f>
        <v>8-14 days</v>
      </c>
      <c r="P470" t="s">
        <v>80</v>
      </c>
      <c r="Q470" t="s">
        <v>21</v>
      </c>
      <c r="R470">
        <v>0</v>
      </c>
      <c r="S470" t="str">
        <f>IF(Table1[prior_dna_count]&gt;=1,"Has prior DNA history","No prior DNA history")</f>
        <v>No prior DNA history</v>
      </c>
      <c r="T470" t="s">
        <v>22</v>
      </c>
      <c r="U470" t="str">
        <f t="shared" si="7"/>
        <v>0</v>
      </c>
      <c r="V470" t="str">
        <f>IF(Table1[appointment_status]="Attended","1","0")</f>
        <v>1</v>
      </c>
      <c r="W470" t="str">
        <f>IF(Table1[appointment_status]="Cancelled","1","0")</f>
        <v>0</v>
      </c>
    </row>
    <row r="471" spans="1:23">
      <c r="A471" t="s">
        <v>933</v>
      </c>
      <c r="B471" t="s">
        <v>934</v>
      </c>
      <c r="C471">
        <v>39</v>
      </c>
      <c r="D471" t="str" cm="1">
        <f t="array" ref="D471">_xlfn.IFS(Table1[[#This Row],[age]]&lt;=17,"0-17",C471&lt;=29,"18-29",C471&lt;=44,"30-44",C471&lt;=59,"45-59",C471&lt;=74,"60-74",TRUE,"75+")</f>
        <v>30-44</v>
      </c>
      <c r="E471" t="s">
        <v>29</v>
      </c>
      <c r="F471">
        <v>1</v>
      </c>
      <c r="G471" t="str" cm="1">
        <f t="array" ref="G471">_xlfn.IFS(_xlfn.SINGLE(Table1[imd_decile])&lt;=3,"Most Deprived",F471&lt;=7,"Moderately Deprived",F471&lt;=10,"Least Deprived")</f>
        <v>Most Deprived</v>
      </c>
      <c r="H471">
        <v>13.4</v>
      </c>
      <c r="I471" t="s">
        <v>18</v>
      </c>
      <c r="J471" t="s">
        <v>19</v>
      </c>
      <c r="K471" s="1">
        <v>45725</v>
      </c>
      <c r="L471" s="1">
        <v>45749</v>
      </c>
      <c r="M471" s="1" t="str">
        <f>TEXT(Table1[[#This Row],[appointment_date]],"MM/YYYY")</f>
        <v>04/2025</v>
      </c>
      <c r="N471">
        <v>24</v>
      </c>
      <c r="O471" t="str" cm="1">
        <f t="array" ref="O471">_xlfn.IFS(Table1[[#This Row],[lead_time_days]]&lt;=7,"0-7 days",N471&lt;=14,"8-14 days",N471&lt;=30,"15-30 days",N471&lt;=60,"31-60 days",TRUE,"61+ days")</f>
        <v>15-30 days</v>
      </c>
      <c r="P471" t="s">
        <v>80</v>
      </c>
      <c r="Q471" t="s">
        <v>32</v>
      </c>
      <c r="R471">
        <v>0</v>
      </c>
      <c r="S471" t="str">
        <f>IF(Table1[prior_dna_count]&gt;=1,"Has prior DNA history","No prior DNA history")</f>
        <v>No prior DNA history</v>
      </c>
      <c r="T471" t="s">
        <v>22</v>
      </c>
      <c r="U471" t="str">
        <f t="shared" si="7"/>
        <v>1</v>
      </c>
      <c r="V471" t="str">
        <f>IF(Table1[appointment_status]="Attended","1","0")</f>
        <v>1</v>
      </c>
      <c r="W471" t="str">
        <f>IF(Table1[appointment_status]="Cancelled","1","0")</f>
        <v>0</v>
      </c>
    </row>
    <row r="472" spans="1:23">
      <c r="A472" t="s">
        <v>935</v>
      </c>
      <c r="B472" t="s">
        <v>936</v>
      </c>
      <c r="C472">
        <v>62</v>
      </c>
      <c r="D472" t="str" cm="1">
        <f t="array" ref="D472">_xlfn.IFS(Table1[[#This Row],[age]]&lt;=17,"0-17",C472&lt;=29,"18-29",C472&lt;=44,"30-44",C472&lt;=59,"45-59",C472&lt;=74,"60-74",TRUE,"75+")</f>
        <v>60-74</v>
      </c>
      <c r="E472" t="s">
        <v>17</v>
      </c>
      <c r="F472">
        <v>5</v>
      </c>
      <c r="G472" t="str" cm="1">
        <f t="array" ref="G472">_xlfn.IFS(_xlfn.SINGLE(Table1[imd_decile])&lt;=3,"Most Deprived",F472&lt;=7,"Moderately Deprived",F472&lt;=10,"Least Deprived")</f>
        <v>Moderately Deprived</v>
      </c>
      <c r="H472">
        <v>18.7</v>
      </c>
      <c r="I472" t="s">
        <v>30</v>
      </c>
      <c r="J472" t="s">
        <v>19</v>
      </c>
      <c r="K472" s="1">
        <v>45712</v>
      </c>
      <c r="L472" s="1">
        <v>45749</v>
      </c>
      <c r="M472" s="1" t="str">
        <f>TEXT(Table1[[#This Row],[appointment_date]],"MM/YYYY")</f>
        <v>04/2025</v>
      </c>
      <c r="N472">
        <v>37</v>
      </c>
      <c r="O472" t="str" cm="1">
        <f t="array" ref="O472">_xlfn.IFS(Table1[[#This Row],[lead_time_days]]&lt;=7,"0-7 days",N472&lt;=14,"8-14 days",N472&lt;=30,"15-30 days",N472&lt;=60,"31-60 days",TRUE,"61+ days")</f>
        <v>31-60 days</v>
      </c>
      <c r="P472" t="s">
        <v>80</v>
      </c>
      <c r="Q472" t="s">
        <v>21</v>
      </c>
      <c r="R472">
        <v>0</v>
      </c>
      <c r="S472" t="str">
        <f>IF(Table1[prior_dna_count]&gt;=1,"Has prior DNA history","No prior DNA history")</f>
        <v>No prior DNA history</v>
      </c>
      <c r="T472" t="s">
        <v>22</v>
      </c>
      <c r="U472" t="str">
        <f t="shared" si="7"/>
        <v>1</v>
      </c>
      <c r="V472" t="str">
        <f>IF(Table1[appointment_status]="Attended","1","0")</f>
        <v>1</v>
      </c>
      <c r="W472" t="str">
        <f>IF(Table1[appointment_status]="Cancelled","1","0")</f>
        <v>0</v>
      </c>
    </row>
    <row r="473" spans="1:23">
      <c r="A473" t="s">
        <v>937</v>
      </c>
      <c r="B473" t="s">
        <v>887</v>
      </c>
      <c r="C473">
        <v>48</v>
      </c>
      <c r="D473" t="str" cm="1">
        <f t="array" ref="D473">_xlfn.IFS(Table1[[#This Row],[age]]&lt;=17,"0-17",C473&lt;=29,"18-29",C473&lt;=44,"30-44",C473&lt;=59,"45-59",C473&lt;=74,"60-74",TRUE,"75+")</f>
        <v>45-59</v>
      </c>
      <c r="E473" t="s">
        <v>17</v>
      </c>
      <c r="F473">
        <v>8</v>
      </c>
      <c r="G473" t="str" cm="1">
        <f t="array" ref="G473">_xlfn.IFS(_xlfn.SINGLE(Table1[imd_decile])&lt;=3,"Most Deprived",F473&lt;=7,"Moderately Deprived",F473&lt;=10,"Least Deprived")</f>
        <v>Least Deprived</v>
      </c>
      <c r="H473">
        <v>13.2</v>
      </c>
      <c r="I473" t="s">
        <v>49</v>
      </c>
      <c r="J473" t="s">
        <v>26</v>
      </c>
      <c r="K473" s="1">
        <v>45730</v>
      </c>
      <c r="L473" s="1">
        <v>45749</v>
      </c>
      <c r="M473" s="1" t="str">
        <f>TEXT(Table1[[#This Row],[appointment_date]],"MM/YYYY")</f>
        <v>04/2025</v>
      </c>
      <c r="N473">
        <v>19</v>
      </c>
      <c r="O473" t="str" cm="1">
        <f t="array" ref="O473">_xlfn.IFS(Table1[[#This Row],[lead_time_days]]&lt;=7,"0-7 days",N473&lt;=14,"8-14 days",N473&lt;=30,"15-30 days",N473&lt;=60,"31-60 days",TRUE,"61+ days")</f>
        <v>15-30 days</v>
      </c>
      <c r="P473" t="s">
        <v>80</v>
      </c>
      <c r="Q473" t="s">
        <v>32</v>
      </c>
      <c r="R473">
        <v>1</v>
      </c>
      <c r="S473" t="str">
        <f>IF(Table1[prior_dna_count]&gt;=1,"Has prior DNA history","No prior DNA history")</f>
        <v>Has prior DNA history</v>
      </c>
      <c r="T473" t="s">
        <v>39</v>
      </c>
      <c r="U473" t="str">
        <f t="shared" si="7"/>
        <v>1</v>
      </c>
      <c r="V473" t="str">
        <f>IF(Table1[appointment_status]="Attended","1","0")</f>
        <v>0</v>
      </c>
      <c r="W473" t="str">
        <f>IF(Table1[appointment_status]="Cancelled","1","0")</f>
        <v>0</v>
      </c>
    </row>
    <row r="474" spans="1:23">
      <c r="A474" t="s">
        <v>938</v>
      </c>
      <c r="B474" t="s">
        <v>939</v>
      </c>
      <c r="C474">
        <v>88</v>
      </c>
      <c r="D474" t="str" cm="1">
        <f t="array" ref="D474">_xlfn.IFS(Table1[[#This Row],[age]]&lt;=17,"0-17",C474&lt;=29,"18-29",C474&lt;=44,"30-44",C474&lt;=59,"45-59",C474&lt;=74,"60-74",TRUE,"75+")</f>
        <v>75+</v>
      </c>
      <c r="E474" t="s">
        <v>17</v>
      </c>
      <c r="F474">
        <v>3</v>
      </c>
      <c r="G474" t="str" cm="1">
        <f t="array" ref="G474">_xlfn.IFS(_xlfn.SINGLE(Table1[imd_decile])&lt;=3,"Most Deprived",F474&lt;=7,"Moderately Deprived",F474&lt;=10,"Least Deprived")</f>
        <v>Most Deprived</v>
      </c>
      <c r="H474">
        <v>6.4</v>
      </c>
      <c r="I474" t="s">
        <v>42</v>
      </c>
      <c r="J474" t="s">
        <v>19</v>
      </c>
      <c r="K474" s="1">
        <v>45742</v>
      </c>
      <c r="L474" s="1">
        <v>45749</v>
      </c>
      <c r="M474" s="1" t="str">
        <f>TEXT(Table1[[#This Row],[appointment_date]],"MM/YYYY")</f>
        <v>04/2025</v>
      </c>
      <c r="N474">
        <v>7</v>
      </c>
      <c r="O474" t="str" cm="1">
        <f t="array" ref="O474">_xlfn.IFS(Table1[[#This Row],[lead_time_days]]&lt;=7,"0-7 days",N474&lt;=14,"8-14 days",N474&lt;=30,"15-30 days",N474&lt;=60,"31-60 days",TRUE,"61+ days")</f>
        <v>0-7 days</v>
      </c>
      <c r="P474" t="s">
        <v>80</v>
      </c>
      <c r="Q474" t="s">
        <v>21</v>
      </c>
      <c r="R474">
        <v>0</v>
      </c>
      <c r="S474" t="str">
        <f>IF(Table1[prior_dna_count]&gt;=1,"Has prior DNA history","No prior DNA history")</f>
        <v>No prior DNA history</v>
      </c>
      <c r="T474" t="s">
        <v>22</v>
      </c>
      <c r="U474" t="str">
        <f t="shared" si="7"/>
        <v>0</v>
      </c>
      <c r="V474" t="str">
        <f>IF(Table1[appointment_status]="Attended","1","0")</f>
        <v>1</v>
      </c>
      <c r="W474" t="str">
        <f>IF(Table1[appointment_status]="Cancelled","1","0")</f>
        <v>0</v>
      </c>
    </row>
    <row r="475" spans="1:23">
      <c r="A475" t="s">
        <v>940</v>
      </c>
      <c r="B475" t="s">
        <v>482</v>
      </c>
      <c r="C475">
        <v>54</v>
      </c>
      <c r="D475" t="str" cm="1">
        <f t="array" ref="D475">_xlfn.IFS(Table1[[#This Row],[age]]&lt;=17,"0-17",C475&lt;=29,"18-29",C475&lt;=44,"30-44",C475&lt;=59,"45-59",C475&lt;=74,"60-74",TRUE,"75+")</f>
        <v>45-59</v>
      </c>
      <c r="E475" t="s">
        <v>29</v>
      </c>
      <c r="F475">
        <v>6</v>
      </c>
      <c r="G475" t="str" cm="1">
        <f t="array" ref="G475">_xlfn.IFS(_xlfn.SINGLE(Table1[imd_decile])&lt;=3,"Most Deprived",F475&lt;=7,"Moderately Deprived",F475&lt;=10,"Least Deprived")</f>
        <v>Moderately Deprived</v>
      </c>
      <c r="H475">
        <v>4.2</v>
      </c>
      <c r="I475" t="s">
        <v>155</v>
      </c>
      <c r="J475" t="s">
        <v>19</v>
      </c>
      <c r="K475" s="1">
        <v>45733</v>
      </c>
      <c r="L475" s="1">
        <v>45749</v>
      </c>
      <c r="M475" s="1" t="str">
        <f>TEXT(Table1[[#This Row],[appointment_date]],"MM/YYYY")</f>
        <v>04/2025</v>
      </c>
      <c r="N475">
        <v>16</v>
      </c>
      <c r="O475" t="str" cm="1">
        <f t="array" ref="O475">_xlfn.IFS(Table1[[#This Row],[lead_time_days]]&lt;=7,"0-7 days",N475&lt;=14,"8-14 days",N475&lt;=30,"15-30 days",N475&lt;=60,"31-60 days",TRUE,"61+ days")</f>
        <v>15-30 days</v>
      </c>
      <c r="P475" t="s">
        <v>80</v>
      </c>
      <c r="Q475" t="s">
        <v>21</v>
      </c>
      <c r="R475">
        <v>0</v>
      </c>
      <c r="S475" t="str">
        <f>IF(Table1[prior_dna_count]&gt;=1,"Has prior DNA history","No prior DNA history")</f>
        <v>No prior DNA history</v>
      </c>
      <c r="T475" t="s">
        <v>22</v>
      </c>
      <c r="U475" t="str">
        <f t="shared" si="7"/>
        <v>1</v>
      </c>
      <c r="V475" t="str">
        <f>IF(Table1[appointment_status]="Attended","1","0")</f>
        <v>1</v>
      </c>
      <c r="W475" t="str">
        <f>IF(Table1[appointment_status]="Cancelled","1","0")</f>
        <v>0</v>
      </c>
    </row>
    <row r="476" spans="1:23">
      <c r="A476" t="s">
        <v>941</v>
      </c>
      <c r="B476" t="s">
        <v>415</v>
      </c>
      <c r="C476">
        <v>50</v>
      </c>
      <c r="D476" t="str" cm="1">
        <f t="array" ref="D476">_xlfn.IFS(Table1[[#This Row],[age]]&lt;=17,"0-17",C476&lt;=29,"18-29",C476&lt;=44,"30-44",C476&lt;=59,"45-59",C476&lt;=74,"60-74",TRUE,"75+")</f>
        <v>45-59</v>
      </c>
      <c r="E476" t="s">
        <v>29</v>
      </c>
      <c r="F476">
        <v>8</v>
      </c>
      <c r="G476" t="str" cm="1">
        <f t="array" ref="G476">_xlfn.IFS(_xlfn.SINGLE(Table1[imd_decile])&lt;=3,"Most Deprived",F476&lt;=7,"Moderately Deprived",F476&lt;=10,"Least Deprived")</f>
        <v>Least Deprived</v>
      </c>
      <c r="H476">
        <v>8.1</v>
      </c>
      <c r="I476" t="s">
        <v>42</v>
      </c>
      <c r="J476" t="s">
        <v>19</v>
      </c>
      <c r="K476" s="1">
        <v>45735</v>
      </c>
      <c r="L476" s="1">
        <v>45749</v>
      </c>
      <c r="M476" s="1" t="str">
        <f>TEXT(Table1[[#This Row],[appointment_date]],"MM/YYYY")</f>
        <v>04/2025</v>
      </c>
      <c r="N476">
        <v>14</v>
      </c>
      <c r="O476" t="str" cm="1">
        <f t="array" ref="O476">_xlfn.IFS(Table1[[#This Row],[lead_time_days]]&lt;=7,"0-7 days",N476&lt;=14,"8-14 days",N476&lt;=30,"15-30 days",N476&lt;=60,"31-60 days",TRUE,"61+ days")</f>
        <v>8-14 days</v>
      </c>
      <c r="P476" t="s">
        <v>80</v>
      </c>
      <c r="Q476" t="s">
        <v>21</v>
      </c>
      <c r="R476">
        <v>0</v>
      </c>
      <c r="S476" t="str">
        <f>IF(Table1[prior_dna_count]&gt;=1,"Has prior DNA history","No prior DNA history")</f>
        <v>No prior DNA history</v>
      </c>
      <c r="T476" t="s">
        <v>22</v>
      </c>
      <c r="U476" t="str">
        <f t="shared" si="7"/>
        <v>1</v>
      </c>
      <c r="V476" t="str">
        <f>IF(Table1[appointment_status]="Attended","1","0")</f>
        <v>1</v>
      </c>
      <c r="W476" t="str">
        <f>IF(Table1[appointment_status]="Cancelled","1","0")</f>
        <v>0</v>
      </c>
    </row>
    <row r="477" spans="1:23">
      <c r="A477" t="s">
        <v>942</v>
      </c>
      <c r="B477" t="s">
        <v>943</v>
      </c>
      <c r="C477">
        <v>24</v>
      </c>
      <c r="D477" t="str" cm="1">
        <f t="array" ref="D477">_xlfn.IFS(Table1[[#This Row],[age]]&lt;=17,"0-17",C477&lt;=29,"18-29",C477&lt;=44,"30-44",C477&lt;=59,"45-59",C477&lt;=74,"60-74",TRUE,"75+")</f>
        <v>18-29</v>
      </c>
      <c r="E477" t="s">
        <v>29</v>
      </c>
      <c r="F477">
        <v>2</v>
      </c>
      <c r="G477" t="str" cm="1">
        <f t="array" ref="G477">_xlfn.IFS(_xlfn.SINGLE(Table1[imd_decile])&lt;=3,"Most Deprived",F477&lt;=7,"Moderately Deprived",F477&lt;=10,"Least Deprived")</f>
        <v>Most Deprived</v>
      </c>
      <c r="H477">
        <v>1</v>
      </c>
      <c r="I477" t="s">
        <v>42</v>
      </c>
      <c r="J477" t="s">
        <v>19</v>
      </c>
      <c r="K477" s="1">
        <v>45729</v>
      </c>
      <c r="L477" s="1">
        <v>45750</v>
      </c>
      <c r="M477" s="1" t="str">
        <f>TEXT(Table1[[#This Row],[appointment_date]],"MM/YYYY")</f>
        <v>04/2025</v>
      </c>
      <c r="N477">
        <v>21</v>
      </c>
      <c r="O477" t="str" cm="1">
        <f t="array" ref="O477">_xlfn.IFS(Table1[[#This Row],[lead_time_days]]&lt;=7,"0-7 days",N477&lt;=14,"8-14 days",N477&lt;=30,"15-30 days",N477&lt;=60,"31-60 days",TRUE,"61+ days")</f>
        <v>15-30 days</v>
      </c>
      <c r="P477" t="s">
        <v>20</v>
      </c>
      <c r="Q477" t="s">
        <v>32</v>
      </c>
      <c r="R477">
        <v>0</v>
      </c>
      <c r="S477" t="str">
        <f>IF(Table1[prior_dna_count]&gt;=1,"Has prior DNA history","No prior DNA history")</f>
        <v>No prior DNA history</v>
      </c>
      <c r="T477" t="s">
        <v>22</v>
      </c>
      <c r="U477" t="str">
        <f t="shared" si="7"/>
        <v>1</v>
      </c>
      <c r="V477" t="str">
        <f>IF(Table1[appointment_status]="Attended","1","0")</f>
        <v>1</v>
      </c>
      <c r="W477" t="str">
        <f>IF(Table1[appointment_status]="Cancelled","1","0")</f>
        <v>0</v>
      </c>
    </row>
    <row r="478" spans="1:23">
      <c r="A478" t="s">
        <v>944</v>
      </c>
      <c r="B478" t="s">
        <v>945</v>
      </c>
      <c r="C478">
        <v>80</v>
      </c>
      <c r="D478" t="str" cm="1">
        <f t="array" ref="D478">_xlfn.IFS(Table1[[#This Row],[age]]&lt;=17,"0-17",C478&lt;=29,"18-29",C478&lt;=44,"30-44",C478&lt;=59,"45-59",C478&lt;=74,"60-74",TRUE,"75+")</f>
        <v>75+</v>
      </c>
      <c r="E478" t="s">
        <v>29</v>
      </c>
      <c r="F478">
        <v>4</v>
      </c>
      <c r="G478" t="str" cm="1">
        <f t="array" ref="G478">_xlfn.IFS(_xlfn.SINGLE(Table1[imd_decile])&lt;=3,"Most Deprived",F478&lt;=7,"Moderately Deprived",F478&lt;=10,"Least Deprived")</f>
        <v>Moderately Deprived</v>
      </c>
      <c r="H478">
        <v>5.2</v>
      </c>
      <c r="I478" t="s">
        <v>49</v>
      </c>
      <c r="J478" t="s">
        <v>19</v>
      </c>
      <c r="K478" s="1">
        <v>45670</v>
      </c>
      <c r="L478" s="1">
        <v>45750</v>
      </c>
      <c r="M478" s="1" t="str">
        <f>TEXT(Table1[[#This Row],[appointment_date]],"MM/YYYY")</f>
        <v>04/2025</v>
      </c>
      <c r="N478">
        <v>80</v>
      </c>
      <c r="O478" t="str" cm="1">
        <f t="array" ref="O478">_xlfn.IFS(Table1[[#This Row],[lead_time_days]]&lt;=7,"0-7 days",N478&lt;=14,"8-14 days",N478&lt;=30,"15-30 days",N478&lt;=60,"31-60 days",TRUE,"61+ days")</f>
        <v>61+ days</v>
      </c>
      <c r="P478" t="s">
        <v>20</v>
      </c>
      <c r="Q478" t="s">
        <v>32</v>
      </c>
      <c r="R478">
        <v>0</v>
      </c>
      <c r="S478" t="str">
        <f>IF(Table1[prior_dna_count]&gt;=1,"Has prior DNA history","No prior DNA history")</f>
        <v>No prior DNA history</v>
      </c>
      <c r="T478" t="s">
        <v>39</v>
      </c>
      <c r="U478" t="str">
        <f t="shared" si="7"/>
        <v>1</v>
      </c>
      <c r="V478" t="str">
        <f>IF(Table1[appointment_status]="Attended","1","0")</f>
        <v>0</v>
      </c>
      <c r="W478" t="str">
        <f>IF(Table1[appointment_status]="Cancelled","1","0")</f>
        <v>0</v>
      </c>
    </row>
    <row r="479" spans="1:23">
      <c r="A479" t="s">
        <v>946</v>
      </c>
      <c r="B479" t="s">
        <v>947</v>
      </c>
      <c r="C479">
        <v>83</v>
      </c>
      <c r="D479" t="str" cm="1">
        <f t="array" ref="D479">_xlfn.IFS(Table1[[#This Row],[age]]&lt;=17,"0-17",C479&lt;=29,"18-29",C479&lt;=44,"30-44",C479&lt;=59,"45-59",C479&lt;=74,"60-74",TRUE,"75+")</f>
        <v>75+</v>
      </c>
      <c r="E479" t="s">
        <v>29</v>
      </c>
      <c r="F479">
        <v>9</v>
      </c>
      <c r="G479" t="str" cm="1">
        <f t="array" ref="G479">_xlfn.IFS(_xlfn.SINGLE(Table1[imd_decile])&lt;=3,"Most Deprived",F479&lt;=7,"Moderately Deprived",F479&lt;=10,"Least Deprived")</f>
        <v>Least Deprived</v>
      </c>
      <c r="H479">
        <v>6.4</v>
      </c>
      <c r="I479" t="s">
        <v>155</v>
      </c>
      <c r="J479" t="s">
        <v>19</v>
      </c>
      <c r="K479" s="1">
        <v>45712</v>
      </c>
      <c r="L479" s="1">
        <v>45750</v>
      </c>
      <c r="M479" s="1" t="str">
        <f>TEXT(Table1[[#This Row],[appointment_date]],"MM/YYYY")</f>
        <v>04/2025</v>
      </c>
      <c r="N479">
        <v>38</v>
      </c>
      <c r="O479" t="str" cm="1">
        <f t="array" ref="O479">_xlfn.IFS(Table1[[#This Row],[lead_time_days]]&lt;=7,"0-7 days",N479&lt;=14,"8-14 days",N479&lt;=30,"15-30 days",N479&lt;=60,"31-60 days",TRUE,"61+ days")</f>
        <v>31-60 days</v>
      </c>
      <c r="P479" t="s">
        <v>20</v>
      </c>
      <c r="Q479" t="s">
        <v>21</v>
      </c>
      <c r="R479">
        <v>0</v>
      </c>
      <c r="S479" t="str">
        <f>IF(Table1[prior_dna_count]&gt;=1,"Has prior DNA history","No prior DNA history")</f>
        <v>No prior DNA history</v>
      </c>
      <c r="T479" t="s">
        <v>22</v>
      </c>
      <c r="U479" t="str">
        <f t="shared" si="7"/>
        <v>0</v>
      </c>
      <c r="V479" t="str">
        <f>IF(Table1[appointment_status]="Attended","1","0")</f>
        <v>1</v>
      </c>
      <c r="W479" t="str">
        <f>IF(Table1[appointment_status]="Cancelled","1","0")</f>
        <v>0</v>
      </c>
    </row>
    <row r="480" spans="1:23">
      <c r="A480" t="s">
        <v>948</v>
      </c>
      <c r="B480" t="s">
        <v>949</v>
      </c>
      <c r="C480">
        <v>36</v>
      </c>
      <c r="D480" t="str" cm="1">
        <f t="array" ref="D480">_xlfn.IFS(Table1[[#This Row],[age]]&lt;=17,"0-17",C480&lt;=29,"18-29",C480&lt;=44,"30-44",C480&lt;=59,"45-59",C480&lt;=74,"60-74",TRUE,"75+")</f>
        <v>30-44</v>
      </c>
      <c r="E480" t="s">
        <v>29</v>
      </c>
      <c r="F480">
        <v>4</v>
      </c>
      <c r="G480" t="str" cm="1">
        <f t="array" ref="G480">_xlfn.IFS(_xlfn.SINGLE(Table1[imd_decile])&lt;=3,"Most Deprived",F480&lt;=7,"Moderately Deprived",F480&lt;=10,"Least Deprived")</f>
        <v>Moderately Deprived</v>
      </c>
      <c r="H480">
        <v>20.7</v>
      </c>
      <c r="I480" t="s">
        <v>45</v>
      </c>
      <c r="J480" t="s">
        <v>26</v>
      </c>
      <c r="K480" s="1">
        <v>45726</v>
      </c>
      <c r="L480" s="1">
        <v>45750</v>
      </c>
      <c r="M480" s="1" t="str">
        <f>TEXT(Table1[[#This Row],[appointment_date]],"MM/YYYY")</f>
        <v>04/2025</v>
      </c>
      <c r="N480">
        <v>24</v>
      </c>
      <c r="O480" t="str" cm="1">
        <f t="array" ref="O480">_xlfn.IFS(Table1[[#This Row],[lead_time_days]]&lt;=7,"0-7 days",N480&lt;=14,"8-14 days",N480&lt;=30,"15-30 days",N480&lt;=60,"31-60 days",TRUE,"61+ days")</f>
        <v>15-30 days</v>
      </c>
      <c r="P480" t="s">
        <v>20</v>
      </c>
      <c r="Q480" t="s">
        <v>21</v>
      </c>
      <c r="R480">
        <v>0</v>
      </c>
      <c r="S480" t="str">
        <f>IF(Table1[prior_dna_count]&gt;=1,"Has prior DNA history","No prior DNA history")</f>
        <v>No prior DNA history</v>
      </c>
      <c r="T480" t="s">
        <v>22</v>
      </c>
      <c r="U480" t="str">
        <f t="shared" si="7"/>
        <v>1</v>
      </c>
      <c r="V480" t="str">
        <f>IF(Table1[appointment_status]="Attended","1","0")</f>
        <v>1</v>
      </c>
      <c r="W480" t="str">
        <f>IF(Table1[appointment_status]="Cancelled","1","0")</f>
        <v>0</v>
      </c>
    </row>
    <row r="481" spans="1:23">
      <c r="A481" t="s">
        <v>950</v>
      </c>
      <c r="B481" t="s">
        <v>97</v>
      </c>
      <c r="C481">
        <v>49</v>
      </c>
      <c r="D481" t="str" cm="1">
        <f t="array" ref="D481">_xlfn.IFS(Table1[[#This Row],[age]]&lt;=17,"0-17",C481&lt;=29,"18-29",C481&lt;=44,"30-44",C481&lt;=59,"45-59",C481&lt;=74,"60-74",TRUE,"75+")</f>
        <v>45-59</v>
      </c>
      <c r="E481" t="s">
        <v>29</v>
      </c>
      <c r="F481">
        <v>2</v>
      </c>
      <c r="G481" t="str" cm="1">
        <f t="array" ref="G481">_xlfn.IFS(_xlfn.SINGLE(Table1[imd_decile])&lt;=3,"Most Deprived",F481&lt;=7,"Moderately Deprived",F481&lt;=10,"Least Deprived")</f>
        <v>Most Deprived</v>
      </c>
      <c r="H481">
        <v>2.5</v>
      </c>
      <c r="I481" t="s">
        <v>49</v>
      </c>
      <c r="J481" t="s">
        <v>19</v>
      </c>
      <c r="K481" s="1">
        <v>45694</v>
      </c>
      <c r="L481" s="1">
        <v>45750</v>
      </c>
      <c r="M481" s="1" t="str">
        <f>TEXT(Table1[[#This Row],[appointment_date]],"MM/YYYY")</f>
        <v>04/2025</v>
      </c>
      <c r="N481">
        <v>56</v>
      </c>
      <c r="O481" t="str" cm="1">
        <f t="array" ref="O481">_xlfn.IFS(Table1[[#This Row],[lead_time_days]]&lt;=7,"0-7 days",N481&lt;=14,"8-14 days",N481&lt;=30,"15-30 days",N481&lt;=60,"31-60 days",TRUE,"61+ days")</f>
        <v>31-60 days</v>
      </c>
      <c r="P481" t="s">
        <v>20</v>
      </c>
      <c r="Q481" t="s">
        <v>21</v>
      </c>
      <c r="R481">
        <v>0</v>
      </c>
      <c r="S481" t="str">
        <f>IF(Table1[prior_dna_count]&gt;=1,"Has prior DNA history","No prior DNA history")</f>
        <v>No prior DNA history</v>
      </c>
      <c r="T481" t="s">
        <v>22</v>
      </c>
      <c r="U481" t="str">
        <f t="shared" si="7"/>
        <v>1</v>
      </c>
      <c r="V481" t="str">
        <f>IF(Table1[appointment_status]="Attended","1","0")</f>
        <v>1</v>
      </c>
      <c r="W481" t="str">
        <f>IF(Table1[appointment_status]="Cancelled","1","0")</f>
        <v>0</v>
      </c>
    </row>
    <row r="482" spans="1:23">
      <c r="A482" t="s">
        <v>951</v>
      </c>
      <c r="B482" t="s">
        <v>428</v>
      </c>
      <c r="C482">
        <v>60</v>
      </c>
      <c r="D482" t="str" cm="1">
        <f t="array" ref="D482">_xlfn.IFS(Table1[[#This Row],[age]]&lt;=17,"0-17",C482&lt;=29,"18-29",C482&lt;=44,"30-44",C482&lt;=59,"45-59",C482&lt;=74,"60-74",TRUE,"75+")</f>
        <v>60-74</v>
      </c>
      <c r="E482" t="s">
        <v>29</v>
      </c>
      <c r="F482">
        <v>9</v>
      </c>
      <c r="G482" t="str" cm="1">
        <f t="array" ref="G482">_xlfn.IFS(_xlfn.SINGLE(Table1[imd_decile])&lt;=3,"Most Deprived",F482&lt;=7,"Moderately Deprived",F482&lt;=10,"Least Deprived")</f>
        <v>Least Deprived</v>
      </c>
      <c r="H482">
        <v>6.5</v>
      </c>
      <c r="I482" t="s">
        <v>58</v>
      </c>
      <c r="J482" t="s">
        <v>26</v>
      </c>
      <c r="K482" s="1">
        <v>45749</v>
      </c>
      <c r="L482" s="1">
        <v>45751</v>
      </c>
      <c r="M482" s="1" t="str">
        <f>TEXT(Table1[[#This Row],[appointment_date]],"MM/YYYY")</f>
        <v>04/2025</v>
      </c>
      <c r="N482">
        <v>2</v>
      </c>
      <c r="O482" t="str" cm="1">
        <f t="array" ref="O482">_xlfn.IFS(Table1[[#This Row],[lead_time_days]]&lt;=7,"0-7 days",N482&lt;=14,"8-14 days",N482&lt;=30,"15-30 days",N482&lt;=60,"31-60 days",TRUE,"61+ days")</f>
        <v>0-7 days</v>
      </c>
      <c r="P482" t="s">
        <v>52</v>
      </c>
      <c r="Q482" t="s">
        <v>21</v>
      </c>
      <c r="R482">
        <v>0</v>
      </c>
      <c r="S482" t="str">
        <f>IF(Table1[prior_dna_count]&gt;=1,"Has prior DNA history","No prior DNA history")</f>
        <v>No prior DNA history</v>
      </c>
      <c r="T482" t="s">
        <v>22</v>
      </c>
      <c r="U482" t="str">
        <f t="shared" si="7"/>
        <v>1</v>
      </c>
      <c r="V482" t="str">
        <f>IF(Table1[appointment_status]="Attended","1","0")</f>
        <v>1</v>
      </c>
      <c r="W482" t="str">
        <f>IF(Table1[appointment_status]="Cancelled","1","0")</f>
        <v>0</v>
      </c>
    </row>
    <row r="483" spans="1:23">
      <c r="A483" t="s">
        <v>952</v>
      </c>
      <c r="B483" t="s">
        <v>953</v>
      </c>
      <c r="C483">
        <v>69</v>
      </c>
      <c r="D483" t="str" cm="1">
        <f t="array" ref="D483">_xlfn.IFS(Table1[[#This Row],[age]]&lt;=17,"0-17",C483&lt;=29,"18-29",C483&lt;=44,"30-44",C483&lt;=59,"45-59",C483&lt;=74,"60-74",TRUE,"75+")</f>
        <v>60-74</v>
      </c>
      <c r="E483" t="s">
        <v>29</v>
      </c>
      <c r="F483">
        <v>10</v>
      </c>
      <c r="G483" t="str" cm="1">
        <f t="array" ref="G483">_xlfn.IFS(_xlfn.SINGLE(Table1[imd_decile])&lt;=3,"Most Deprived",F483&lt;=7,"Moderately Deprived",F483&lt;=10,"Least Deprived")</f>
        <v>Least Deprived</v>
      </c>
      <c r="H483">
        <v>7.5</v>
      </c>
      <c r="I483" t="s">
        <v>58</v>
      </c>
      <c r="J483" t="s">
        <v>26</v>
      </c>
      <c r="K483" s="1">
        <v>45741</v>
      </c>
      <c r="L483" s="1">
        <v>45751</v>
      </c>
      <c r="M483" s="1" t="str">
        <f>TEXT(Table1[[#This Row],[appointment_date]],"MM/YYYY")</f>
        <v>04/2025</v>
      </c>
      <c r="N483">
        <v>10</v>
      </c>
      <c r="O483" t="str" cm="1">
        <f t="array" ref="O483">_xlfn.IFS(Table1[[#This Row],[lead_time_days]]&lt;=7,"0-7 days",N483&lt;=14,"8-14 days",N483&lt;=30,"15-30 days",N483&lt;=60,"31-60 days",TRUE,"61+ days")</f>
        <v>8-14 days</v>
      </c>
      <c r="P483" t="s">
        <v>52</v>
      </c>
      <c r="Q483" t="s">
        <v>32</v>
      </c>
      <c r="R483">
        <v>0</v>
      </c>
      <c r="S483" t="str">
        <f>IF(Table1[prior_dna_count]&gt;=1,"Has prior DNA history","No prior DNA history")</f>
        <v>No prior DNA history</v>
      </c>
      <c r="T483" t="s">
        <v>39</v>
      </c>
      <c r="U483" t="str">
        <f t="shared" si="7"/>
        <v>1</v>
      </c>
      <c r="V483" t="str">
        <f>IF(Table1[appointment_status]="Attended","1","0")</f>
        <v>0</v>
      </c>
      <c r="W483" t="str">
        <f>IF(Table1[appointment_status]="Cancelled","1","0")</f>
        <v>0</v>
      </c>
    </row>
    <row r="484" spans="1:23">
      <c r="A484" t="s">
        <v>954</v>
      </c>
      <c r="B484" t="s">
        <v>843</v>
      </c>
      <c r="C484">
        <v>18</v>
      </c>
      <c r="D484" t="str" cm="1">
        <f t="array" ref="D484">_xlfn.IFS(Table1[[#This Row],[age]]&lt;=17,"0-17",C484&lt;=29,"18-29",C484&lt;=44,"30-44",C484&lt;=59,"45-59",C484&lt;=74,"60-74",TRUE,"75+")</f>
        <v>18-29</v>
      </c>
      <c r="E484" t="s">
        <v>29</v>
      </c>
      <c r="F484">
        <v>4</v>
      </c>
      <c r="G484" t="str" cm="1">
        <f t="array" ref="G484">_xlfn.IFS(_xlfn.SINGLE(Table1[imd_decile])&lt;=3,"Most Deprived",F484&lt;=7,"Moderately Deprived",F484&lt;=10,"Least Deprived")</f>
        <v>Moderately Deprived</v>
      </c>
      <c r="H484">
        <v>23.2</v>
      </c>
      <c r="I484" t="s">
        <v>30</v>
      </c>
      <c r="J484" t="s">
        <v>26</v>
      </c>
      <c r="K484" s="1">
        <v>45743</v>
      </c>
      <c r="L484" s="1">
        <v>45751</v>
      </c>
      <c r="M484" s="1" t="str">
        <f>TEXT(Table1[[#This Row],[appointment_date]],"MM/YYYY")</f>
        <v>04/2025</v>
      </c>
      <c r="N484">
        <v>8</v>
      </c>
      <c r="O484" t="str" cm="1">
        <f t="array" ref="O484">_xlfn.IFS(Table1[[#This Row],[lead_time_days]]&lt;=7,"0-7 days",N484&lt;=14,"8-14 days",N484&lt;=30,"15-30 days",N484&lt;=60,"31-60 days",TRUE,"61+ days")</f>
        <v>8-14 days</v>
      </c>
      <c r="P484" t="s">
        <v>52</v>
      </c>
      <c r="Q484" t="s">
        <v>21</v>
      </c>
      <c r="R484">
        <v>0</v>
      </c>
      <c r="S484" t="str">
        <f>IF(Table1[prior_dna_count]&gt;=1,"Has prior DNA history","No prior DNA history")</f>
        <v>No prior DNA history</v>
      </c>
      <c r="T484" t="s">
        <v>22</v>
      </c>
      <c r="U484" t="str">
        <f t="shared" si="7"/>
        <v>0</v>
      </c>
      <c r="V484" t="str">
        <f>IF(Table1[appointment_status]="Attended","1","0")</f>
        <v>1</v>
      </c>
      <c r="W484" t="str">
        <f>IF(Table1[appointment_status]="Cancelled","1","0")</f>
        <v>0</v>
      </c>
    </row>
    <row r="485" spans="1:23">
      <c r="A485" t="s">
        <v>955</v>
      </c>
      <c r="B485" t="s">
        <v>494</v>
      </c>
      <c r="C485">
        <v>45</v>
      </c>
      <c r="D485" t="str" cm="1">
        <f t="array" ref="D485">_xlfn.IFS(Table1[[#This Row],[age]]&lt;=17,"0-17",C485&lt;=29,"18-29",C485&lt;=44,"30-44",C485&lt;=59,"45-59",C485&lt;=74,"60-74",TRUE,"75+")</f>
        <v>45-59</v>
      </c>
      <c r="E485" t="s">
        <v>17</v>
      </c>
      <c r="F485">
        <v>10</v>
      </c>
      <c r="G485" t="str" cm="1">
        <f t="array" ref="G485">_xlfn.IFS(_xlfn.SINGLE(Table1[imd_decile])&lt;=3,"Most Deprived",F485&lt;=7,"Moderately Deprived",F485&lt;=10,"Least Deprived")</f>
        <v>Least Deprived</v>
      </c>
      <c r="H485">
        <v>8.9</v>
      </c>
      <c r="I485" t="s">
        <v>42</v>
      </c>
      <c r="J485" t="s">
        <v>19</v>
      </c>
      <c r="K485" s="1">
        <v>45724</v>
      </c>
      <c r="L485" s="1">
        <v>45751</v>
      </c>
      <c r="M485" s="1" t="str">
        <f>TEXT(Table1[[#This Row],[appointment_date]],"MM/YYYY")</f>
        <v>04/2025</v>
      </c>
      <c r="N485">
        <v>27</v>
      </c>
      <c r="O485" t="str" cm="1">
        <f t="array" ref="O485">_xlfn.IFS(Table1[[#This Row],[lead_time_days]]&lt;=7,"0-7 days",N485&lt;=14,"8-14 days",N485&lt;=30,"15-30 days",N485&lt;=60,"31-60 days",TRUE,"61+ days")</f>
        <v>15-30 days</v>
      </c>
      <c r="P485" t="s">
        <v>52</v>
      </c>
      <c r="Q485" t="s">
        <v>21</v>
      </c>
      <c r="R485">
        <v>0</v>
      </c>
      <c r="S485" t="str">
        <f>IF(Table1[prior_dna_count]&gt;=1,"Has prior DNA history","No prior DNA history")</f>
        <v>No prior DNA history</v>
      </c>
      <c r="T485" t="s">
        <v>22</v>
      </c>
      <c r="U485" t="str">
        <f t="shared" si="7"/>
        <v>1</v>
      </c>
      <c r="V485" t="str">
        <f>IF(Table1[appointment_status]="Attended","1","0")</f>
        <v>1</v>
      </c>
      <c r="W485" t="str">
        <f>IF(Table1[appointment_status]="Cancelled","1","0")</f>
        <v>0</v>
      </c>
    </row>
    <row r="486" spans="1:23">
      <c r="A486" t="s">
        <v>956</v>
      </c>
      <c r="B486" t="s">
        <v>957</v>
      </c>
      <c r="C486">
        <v>34</v>
      </c>
      <c r="D486" t="str" cm="1">
        <f t="array" ref="D486">_xlfn.IFS(Table1[[#This Row],[age]]&lt;=17,"0-17",C486&lt;=29,"18-29",C486&lt;=44,"30-44",C486&lt;=59,"45-59",C486&lt;=74,"60-74",TRUE,"75+")</f>
        <v>30-44</v>
      </c>
      <c r="E486" t="s">
        <v>17</v>
      </c>
      <c r="F486">
        <v>10</v>
      </c>
      <c r="G486" t="str" cm="1">
        <f t="array" ref="G486">_xlfn.IFS(_xlfn.SINGLE(Table1[imd_decile])&lt;=3,"Most Deprived",F486&lt;=7,"Moderately Deprived",F486&lt;=10,"Least Deprived")</f>
        <v>Least Deprived</v>
      </c>
      <c r="H486">
        <v>5.3</v>
      </c>
      <c r="I486" t="s">
        <v>18</v>
      </c>
      <c r="J486" t="s">
        <v>26</v>
      </c>
      <c r="K486" s="1">
        <v>45732</v>
      </c>
      <c r="L486" s="1">
        <v>45751</v>
      </c>
      <c r="M486" s="1" t="str">
        <f>TEXT(Table1[[#This Row],[appointment_date]],"MM/YYYY")</f>
        <v>04/2025</v>
      </c>
      <c r="N486">
        <v>19</v>
      </c>
      <c r="O486" t="str" cm="1">
        <f t="array" ref="O486">_xlfn.IFS(Table1[[#This Row],[lead_time_days]]&lt;=7,"0-7 days",N486&lt;=14,"8-14 days",N486&lt;=30,"15-30 days",N486&lt;=60,"31-60 days",TRUE,"61+ days")</f>
        <v>15-30 days</v>
      </c>
      <c r="P486" t="s">
        <v>52</v>
      </c>
      <c r="Q486" t="s">
        <v>21</v>
      </c>
      <c r="R486">
        <v>0</v>
      </c>
      <c r="S486" t="str">
        <f>IF(Table1[prior_dna_count]&gt;=1,"Has prior DNA history","No prior DNA history")</f>
        <v>No prior DNA history</v>
      </c>
      <c r="T486" t="s">
        <v>22</v>
      </c>
      <c r="U486" t="str">
        <f t="shared" si="7"/>
        <v>1</v>
      </c>
      <c r="V486" t="str">
        <f>IF(Table1[appointment_status]="Attended","1","0")</f>
        <v>1</v>
      </c>
      <c r="W486" t="str">
        <f>IF(Table1[appointment_status]="Cancelled","1","0")</f>
        <v>0</v>
      </c>
    </row>
    <row r="487" spans="1:23">
      <c r="A487" t="s">
        <v>958</v>
      </c>
      <c r="B487" t="s">
        <v>564</v>
      </c>
      <c r="C487">
        <v>72</v>
      </c>
      <c r="D487" t="str" cm="1">
        <f t="array" ref="D487">_xlfn.IFS(Table1[[#This Row],[age]]&lt;=17,"0-17",C487&lt;=29,"18-29",C487&lt;=44,"30-44",C487&lt;=59,"45-59",C487&lt;=74,"60-74",TRUE,"75+")</f>
        <v>60-74</v>
      </c>
      <c r="E487" t="s">
        <v>29</v>
      </c>
      <c r="F487">
        <v>2</v>
      </c>
      <c r="G487" t="str" cm="1">
        <f t="array" ref="G487">_xlfn.IFS(_xlfn.SINGLE(Table1[imd_decile])&lt;=3,"Most Deprived",F487&lt;=7,"Moderately Deprived",F487&lt;=10,"Least Deprived")</f>
        <v>Most Deprived</v>
      </c>
      <c r="H487">
        <v>3.9</v>
      </c>
      <c r="I487" t="s">
        <v>42</v>
      </c>
      <c r="J487" t="s">
        <v>19</v>
      </c>
      <c r="K487" s="1">
        <v>45734</v>
      </c>
      <c r="L487" s="1">
        <v>45751</v>
      </c>
      <c r="M487" s="1" t="str">
        <f>TEXT(Table1[[#This Row],[appointment_date]],"MM/YYYY")</f>
        <v>04/2025</v>
      </c>
      <c r="N487">
        <v>17</v>
      </c>
      <c r="O487" t="str" cm="1">
        <f t="array" ref="O487">_xlfn.IFS(Table1[[#This Row],[lead_time_days]]&lt;=7,"0-7 days",N487&lt;=14,"8-14 days",N487&lt;=30,"15-30 days",N487&lt;=60,"31-60 days",TRUE,"61+ days")</f>
        <v>15-30 days</v>
      </c>
      <c r="P487" t="s">
        <v>52</v>
      </c>
      <c r="Q487" t="s">
        <v>21</v>
      </c>
      <c r="R487">
        <v>0</v>
      </c>
      <c r="S487" t="str">
        <f>IF(Table1[prior_dna_count]&gt;=1,"Has prior DNA history","No prior DNA history")</f>
        <v>No prior DNA history</v>
      </c>
      <c r="T487" t="s">
        <v>22</v>
      </c>
      <c r="U487" t="str">
        <f t="shared" si="7"/>
        <v>1</v>
      </c>
      <c r="V487" t="str">
        <f>IF(Table1[appointment_status]="Attended","1","0")</f>
        <v>1</v>
      </c>
      <c r="W487" t="str">
        <f>IF(Table1[appointment_status]="Cancelled","1","0")</f>
        <v>0</v>
      </c>
    </row>
    <row r="488" spans="1:23">
      <c r="A488" t="s">
        <v>959</v>
      </c>
      <c r="B488" t="s">
        <v>960</v>
      </c>
      <c r="C488">
        <v>29</v>
      </c>
      <c r="D488" t="str" cm="1">
        <f t="array" ref="D488">_xlfn.IFS(Table1[[#This Row],[age]]&lt;=17,"0-17",C488&lt;=29,"18-29",C488&lt;=44,"30-44",C488&lt;=59,"45-59",C488&lt;=74,"60-74",TRUE,"75+")</f>
        <v>18-29</v>
      </c>
      <c r="E488" t="s">
        <v>17</v>
      </c>
      <c r="F488">
        <v>6</v>
      </c>
      <c r="G488" t="str" cm="1">
        <f t="array" ref="G488">_xlfn.IFS(_xlfn.SINGLE(Table1[imd_decile])&lt;=3,"Most Deprived",F488&lt;=7,"Moderately Deprived",F488&lt;=10,"Least Deprived")</f>
        <v>Moderately Deprived</v>
      </c>
      <c r="H488">
        <v>2.2000000000000002</v>
      </c>
      <c r="I488" t="s">
        <v>42</v>
      </c>
      <c r="J488" t="s">
        <v>19</v>
      </c>
      <c r="K488" s="1">
        <v>45723</v>
      </c>
      <c r="L488" s="1">
        <v>45751</v>
      </c>
      <c r="M488" s="1" t="str">
        <f>TEXT(Table1[[#This Row],[appointment_date]],"MM/YYYY")</f>
        <v>04/2025</v>
      </c>
      <c r="N488">
        <v>28</v>
      </c>
      <c r="O488" t="str" cm="1">
        <f t="array" ref="O488">_xlfn.IFS(Table1[[#This Row],[lead_time_days]]&lt;=7,"0-7 days",N488&lt;=14,"8-14 days",N488&lt;=30,"15-30 days",N488&lt;=60,"31-60 days",TRUE,"61+ days")</f>
        <v>15-30 days</v>
      </c>
      <c r="P488" t="s">
        <v>52</v>
      </c>
      <c r="Q488" t="s">
        <v>32</v>
      </c>
      <c r="R488">
        <v>1</v>
      </c>
      <c r="S488" t="str">
        <f>IF(Table1[prior_dna_count]&gt;=1,"Has prior DNA history","No prior DNA history")</f>
        <v>Has prior DNA history</v>
      </c>
      <c r="T488" t="s">
        <v>22</v>
      </c>
      <c r="U488" t="str">
        <f t="shared" si="7"/>
        <v>1</v>
      </c>
      <c r="V488" t="str">
        <f>IF(Table1[appointment_status]="Attended","1","0")</f>
        <v>1</v>
      </c>
      <c r="W488" t="str">
        <f>IF(Table1[appointment_status]="Cancelled","1","0")</f>
        <v>0</v>
      </c>
    </row>
    <row r="489" spans="1:23">
      <c r="A489" t="s">
        <v>961</v>
      </c>
      <c r="B489" t="s">
        <v>962</v>
      </c>
      <c r="C489">
        <v>62</v>
      </c>
      <c r="D489" t="str" cm="1">
        <f t="array" ref="D489">_xlfn.IFS(Table1[[#This Row],[age]]&lt;=17,"0-17",C489&lt;=29,"18-29",C489&lt;=44,"30-44",C489&lt;=59,"45-59",C489&lt;=74,"60-74",TRUE,"75+")</f>
        <v>60-74</v>
      </c>
      <c r="E489" t="s">
        <v>29</v>
      </c>
      <c r="F489">
        <v>1</v>
      </c>
      <c r="G489" t="str" cm="1">
        <f t="array" ref="G489">_xlfn.IFS(_xlfn.SINGLE(Table1[imd_decile])&lt;=3,"Most Deprived",F489&lt;=7,"Moderately Deprived",F489&lt;=10,"Least Deprived")</f>
        <v>Most Deprived</v>
      </c>
      <c r="H489">
        <v>3.9</v>
      </c>
      <c r="I489" t="s">
        <v>42</v>
      </c>
      <c r="J489" t="s">
        <v>19</v>
      </c>
      <c r="K489" s="1">
        <v>45734</v>
      </c>
      <c r="L489" s="1">
        <v>45751</v>
      </c>
      <c r="M489" s="1" t="str">
        <f>TEXT(Table1[[#This Row],[appointment_date]],"MM/YYYY")</f>
        <v>04/2025</v>
      </c>
      <c r="N489">
        <v>17</v>
      </c>
      <c r="O489" t="str" cm="1">
        <f t="array" ref="O489">_xlfn.IFS(Table1[[#This Row],[lead_time_days]]&lt;=7,"0-7 days",N489&lt;=14,"8-14 days",N489&lt;=30,"15-30 days",N489&lt;=60,"31-60 days",TRUE,"61+ days")</f>
        <v>15-30 days</v>
      </c>
      <c r="P489" t="s">
        <v>52</v>
      </c>
      <c r="Q489" t="s">
        <v>21</v>
      </c>
      <c r="R489">
        <v>0</v>
      </c>
      <c r="S489" t="str">
        <f>IF(Table1[prior_dna_count]&gt;=1,"Has prior DNA history","No prior DNA history")</f>
        <v>No prior DNA history</v>
      </c>
      <c r="T489" t="s">
        <v>22</v>
      </c>
      <c r="U489" t="str">
        <f t="shared" si="7"/>
        <v>1</v>
      </c>
      <c r="V489" t="str">
        <f>IF(Table1[appointment_status]="Attended","1","0")</f>
        <v>1</v>
      </c>
      <c r="W489" t="str">
        <f>IF(Table1[appointment_status]="Cancelled","1","0")</f>
        <v>0</v>
      </c>
    </row>
    <row r="490" spans="1:23">
      <c r="A490" t="s">
        <v>963</v>
      </c>
      <c r="B490" t="s">
        <v>846</v>
      </c>
      <c r="C490">
        <v>72</v>
      </c>
      <c r="D490" t="str" cm="1">
        <f t="array" ref="D490">_xlfn.IFS(Table1[[#This Row],[age]]&lt;=17,"0-17",C490&lt;=29,"18-29",C490&lt;=44,"30-44",C490&lt;=59,"45-59",C490&lt;=74,"60-74",TRUE,"75+")</f>
        <v>60-74</v>
      </c>
      <c r="E490" t="s">
        <v>29</v>
      </c>
      <c r="F490">
        <v>2</v>
      </c>
      <c r="G490" t="str" cm="1">
        <f t="array" ref="G490">_xlfn.IFS(_xlfn.SINGLE(Table1[imd_decile])&lt;=3,"Most Deprived",F490&lt;=7,"Moderately Deprived",F490&lt;=10,"Least Deprived")</f>
        <v>Most Deprived</v>
      </c>
      <c r="H490">
        <v>10</v>
      </c>
      <c r="I490" t="s">
        <v>25</v>
      </c>
      <c r="J490" t="s">
        <v>19</v>
      </c>
      <c r="K490" s="1">
        <v>45711</v>
      </c>
      <c r="L490" s="1">
        <v>45751</v>
      </c>
      <c r="M490" s="1" t="str">
        <f>TEXT(Table1[[#This Row],[appointment_date]],"MM/YYYY")</f>
        <v>04/2025</v>
      </c>
      <c r="N490">
        <v>40</v>
      </c>
      <c r="O490" t="str" cm="1">
        <f t="array" ref="O490">_xlfn.IFS(Table1[[#This Row],[lead_time_days]]&lt;=7,"0-7 days",N490&lt;=14,"8-14 days",N490&lt;=30,"15-30 days",N490&lt;=60,"31-60 days",TRUE,"61+ days")</f>
        <v>31-60 days</v>
      </c>
      <c r="P490" t="s">
        <v>52</v>
      </c>
      <c r="Q490" t="s">
        <v>32</v>
      </c>
      <c r="R490">
        <v>0</v>
      </c>
      <c r="S490" t="str">
        <f>IF(Table1[prior_dna_count]&gt;=1,"Has prior DNA history","No prior DNA history")</f>
        <v>No prior DNA history</v>
      </c>
      <c r="T490" t="s">
        <v>22</v>
      </c>
      <c r="U490" t="str">
        <f t="shared" si="7"/>
        <v>1</v>
      </c>
      <c r="V490" t="str">
        <f>IF(Table1[appointment_status]="Attended","1","0")</f>
        <v>1</v>
      </c>
      <c r="W490" t="str">
        <f>IF(Table1[appointment_status]="Cancelled","1","0")</f>
        <v>0</v>
      </c>
    </row>
    <row r="491" spans="1:23">
      <c r="A491" t="s">
        <v>964</v>
      </c>
      <c r="B491" t="s">
        <v>965</v>
      </c>
      <c r="C491">
        <v>47</v>
      </c>
      <c r="D491" t="str" cm="1">
        <f t="array" ref="D491">_xlfn.IFS(Table1[[#This Row],[age]]&lt;=17,"0-17",C491&lt;=29,"18-29",C491&lt;=44,"30-44",C491&lt;=59,"45-59",C491&lt;=74,"60-74",TRUE,"75+")</f>
        <v>45-59</v>
      </c>
      <c r="E491" t="s">
        <v>17</v>
      </c>
      <c r="F491">
        <v>5</v>
      </c>
      <c r="G491" t="str" cm="1">
        <f t="array" ref="G491">_xlfn.IFS(_xlfn.SINGLE(Table1[imd_decile])&lt;=3,"Most Deprived",F491&lt;=7,"Moderately Deprived",F491&lt;=10,"Least Deprived")</f>
        <v>Moderately Deprived</v>
      </c>
      <c r="H491">
        <v>5.7</v>
      </c>
      <c r="I491" t="s">
        <v>25</v>
      </c>
      <c r="J491" t="s">
        <v>19</v>
      </c>
      <c r="K491" s="1">
        <v>45679</v>
      </c>
      <c r="L491" s="1">
        <v>45751</v>
      </c>
      <c r="M491" s="1" t="str">
        <f>TEXT(Table1[[#This Row],[appointment_date]],"MM/YYYY")</f>
        <v>04/2025</v>
      </c>
      <c r="N491">
        <v>72</v>
      </c>
      <c r="O491" t="str" cm="1">
        <f t="array" ref="O491">_xlfn.IFS(Table1[[#This Row],[lead_time_days]]&lt;=7,"0-7 days",N491&lt;=14,"8-14 days",N491&lt;=30,"15-30 days",N491&lt;=60,"31-60 days",TRUE,"61+ days")</f>
        <v>61+ days</v>
      </c>
      <c r="P491" t="s">
        <v>52</v>
      </c>
      <c r="Q491" t="s">
        <v>32</v>
      </c>
      <c r="R491">
        <v>0</v>
      </c>
      <c r="S491" t="str">
        <f>IF(Table1[prior_dna_count]&gt;=1,"Has prior DNA history","No prior DNA history")</f>
        <v>No prior DNA history</v>
      </c>
      <c r="T491" t="s">
        <v>39</v>
      </c>
      <c r="U491" t="str">
        <f t="shared" si="7"/>
        <v>1</v>
      </c>
      <c r="V491" t="str">
        <f>IF(Table1[appointment_status]="Attended","1","0")</f>
        <v>0</v>
      </c>
      <c r="W491" t="str">
        <f>IF(Table1[appointment_status]="Cancelled","1","0")</f>
        <v>0</v>
      </c>
    </row>
    <row r="492" spans="1:23">
      <c r="A492" t="s">
        <v>966</v>
      </c>
      <c r="B492" t="s">
        <v>967</v>
      </c>
      <c r="C492">
        <v>56</v>
      </c>
      <c r="D492" t="str" cm="1">
        <f t="array" ref="D492">_xlfn.IFS(Table1[[#This Row],[age]]&lt;=17,"0-17",C492&lt;=29,"18-29",C492&lt;=44,"30-44",C492&lt;=59,"45-59",C492&lt;=74,"60-74",TRUE,"75+")</f>
        <v>45-59</v>
      </c>
      <c r="E492" t="s">
        <v>29</v>
      </c>
      <c r="F492">
        <v>7</v>
      </c>
      <c r="G492" t="str" cm="1">
        <f t="array" ref="G492">_xlfn.IFS(_xlfn.SINGLE(Table1[imd_decile])&lt;=3,"Most Deprived",F492&lt;=7,"Moderately Deprived",F492&lt;=10,"Least Deprived")</f>
        <v>Moderately Deprived</v>
      </c>
      <c r="H492">
        <v>5.0999999999999996</v>
      </c>
      <c r="I492" t="s">
        <v>25</v>
      </c>
      <c r="J492" t="s">
        <v>19</v>
      </c>
      <c r="K492" s="1">
        <v>45720</v>
      </c>
      <c r="L492" s="1">
        <v>45752</v>
      </c>
      <c r="M492" s="1" t="str">
        <f>TEXT(Table1[[#This Row],[appointment_date]],"MM/YYYY")</f>
        <v>04/2025</v>
      </c>
      <c r="N492">
        <v>32</v>
      </c>
      <c r="O492" t="str" cm="1">
        <f t="array" ref="O492">_xlfn.IFS(Table1[[#This Row],[lead_time_days]]&lt;=7,"0-7 days",N492&lt;=14,"8-14 days",N492&lt;=30,"15-30 days",N492&lt;=60,"31-60 days",TRUE,"61+ days")</f>
        <v>31-60 days</v>
      </c>
      <c r="P492" t="s">
        <v>55</v>
      </c>
      <c r="Q492" t="s">
        <v>21</v>
      </c>
      <c r="R492">
        <v>0</v>
      </c>
      <c r="S492" t="str">
        <f>IF(Table1[prior_dna_count]&gt;=1,"Has prior DNA history","No prior DNA history")</f>
        <v>No prior DNA history</v>
      </c>
      <c r="T492" t="s">
        <v>22</v>
      </c>
      <c r="U492" t="str">
        <f t="shared" si="7"/>
        <v>0</v>
      </c>
      <c r="V492" t="str">
        <f>IF(Table1[appointment_status]="Attended","1","0")</f>
        <v>1</v>
      </c>
      <c r="W492" t="str">
        <f>IF(Table1[appointment_status]="Cancelled","1","0")</f>
        <v>0</v>
      </c>
    </row>
    <row r="493" spans="1:23">
      <c r="A493" t="s">
        <v>968</v>
      </c>
      <c r="B493" t="s">
        <v>969</v>
      </c>
      <c r="C493">
        <v>54</v>
      </c>
      <c r="D493" t="str" cm="1">
        <f t="array" ref="D493">_xlfn.IFS(Table1[[#This Row],[age]]&lt;=17,"0-17",C493&lt;=29,"18-29",C493&lt;=44,"30-44",C493&lt;=59,"45-59",C493&lt;=74,"60-74",TRUE,"75+")</f>
        <v>45-59</v>
      </c>
      <c r="E493" t="s">
        <v>17</v>
      </c>
      <c r="F493">
        <v>5</v>
      </c>
      <c r="G493" t="str" cm="1">
        <f t="array" ref="G493">_xlfn.IFS(_xlfn.SINGLE(Table1[imd_decile])&lt;=3,"Most Deprived",F493&lt;=7,"Moderately Deprived",F493&lt;=10,"Least Deprived")</f>
        <v>Moderately Deprived</v>
      </c>
      <c r="H493">
        <v>7.9</v>
      </c>
      <c r="I493" t="s">
        <v>58</v>
      </c>
      <c r="J493" t="s">
        <v>19</v>
      </c>
      <c r="K493" s="1">
        <v>45724</v>
      </c>
      <c r="L493" s="1">
        <v>45752</v>
      </c>
      <c r="M493" s="1" t="str">
        <f>TEXT(Table1[[#This Row],[appointment_date]],"MM/YYYY")</f>
        <v>04/2025</v>
      </c>
      <c r="N493">
        <v>28</v>
      </c>
      <c r="O493" t="str" cm="1">
        <f t="array" ref="O493">_xlfn.IFS(Table1[[#This Row],[lead_time_days]]&lt;=7,"0-7 days",N493&lt;=14,"8-14 days",N493&lt;=30,"15-30 days",N493&lt;=60,"31-60 days",TRUE,"61+ days")</f>
        <v>15-30 days</v>
      </c>
      <c r="P493" t="s">
        <v>55</v>
      </c>
      <c r="Q493" t="s">
        <v>21</v>
      </c>
      <c r="R493">
        <v>0</v>
      </c>
      <c r="S493" t="str">
        <f>IF(Table1[prior_dna_count]&gt;=1,"Has prior DNA history","No prior DNA history")</f>
        <v>No prior DNA history</v>
      </c>
      <c r="T493" t="s">
        <v>22</v>
      </c>
      <c r="U493" t="str">
        <f t="shared" si="7"/>
        <v>1</v>
      </c>
      <c r="V493" t="str">
        <f>IF(Table1[appointment_status]="Attended","1","0")</f>
        <v>1</v>
      </c>
      <c r="W493" t="str">
        <f>IF(Table1[appointment_status]="Cancelled","1","0")</f>
        <v>0</v>
      </c>
    </row>
    <row r="494" spans="1:23">
      <c r="A494" t="s">
        <v>970</v>
      </c>
      <c r="B494" t="s">
        <v>971</v>
      </c>
      <c r="C494">
        <v>42</v>
      </c>
      <c r="D494" t="str" cm="1">
        <f t="array" ref="D494">_xlfn.IFS(Table1[[#This Row],[age]]&lt;=17,"0-17",C494&lt;=29,"18-29",C494&lt;=44,"30-44",C494&lt;=59,"45-59",C494&lt;=74,"60-74",TRUE,"75+")</f>
        <v>30-44</v>
      </c>
      <c r="E494" t="s">
        <v>29</v>
      </c>
      <c r="F494">
        <v>7</v>
      </c>
      <c r="G494" t="str" cm="1">
        <f t="array" ref="G494">_xlfn.IFS(_xlfn.SINGLE(Table1[imd_decile])&lt;=3,"Most Deprived",F494&lt;=7,"Moderately Deprived",F494&lt;=10,"Least Deprived")</f>
        <v>Moderately Deprived</v>
      </c>
      <c r="H494">
        <v>1.2</v>
      </c>
      <c r="I494" t="s">
        <v>58</v>
      </c>
      <c r="J494" t="s">
        <v>26</v>
      </c>
      <c r="K494" s="1">
        <v>45740</v>
      </c>
      <c r="L494" s="1">
        <v>45752</v>
      </c>
      <c r="M494" s="1" t="str">
        <f>TEXT(Table1[[#This Row],[appointment_date]],"MM/YYYY")</f>
        <v>04/2025</v>
      </c>
      <c r="N494">
        <v>12</v>
      </c>
      <c r="O494" t="str" cm="1">
        <f t="array" ref="O494">_xlfn.IFS(Table1[[#This Row],[lead_time_days]]&lt;=7,"0-7 days",N494&lt;=14,"8-14 days",N494&lt;=30,"15-30 days",N494&lt;=60,"31-60 days",TRUE,"61+ days")</f>
        <v>8-14 days</v>
      </c>
      <c r="P494" t="s">
        <v>55</v>
      </c>
      <c r="Q494" t="s">
        <v>21</v>
      </c>
      <c r="R494">
        <v>0</v>
      </c>
      <c r="S494" t="str">
        <f>IF(Table1[prior_dna_count]&gt;=1,"Has prior DNA history","No prior DNA history")</f>
        <v>No prior DNA history</v>
      </c>
      <c r="T494" t="s">
        <v>22</v>
      </c>
      <c r="U494" t="str">
        <f t="shared" si="7"/>
        <v>1</v>
      </c>
      <c r="V494" t="str">
        <f>IF(Table1[appointment_status]="Attended","1","0")</f>
        <v>1</v>
      </c>
      <c r="W494" t="str">
        <f>IF(Table1[appointment_status]="Cancelled","1","0")</f>
        <v>0</v>
      </c>
    </row>
    <row r="495" spans="1:23">
      <c r="A495" t="s">
        <v>972</v>
      </c>
      <c r="B495" t="s">
        <v>947</v>
      </c>
      <c r="C495">
        <v>83</v>
      </c>
      <c r="D495" t="str" cm="1">
        <f t="array" ref="D495">_xlfn.IFS(Table1[[#This Row],[age]]&lt;=17,"0-17",C495&lt;=29,"18-29",C495&lt;=44,"30-44",C495&lt;=59,"45-59",C495&lt;=74,"60-74",TRUE,"75+")</f>
        <v>75+</v>
      </c>
      <c r="E495" t="s">
        <v>29</v>
      </c>
      <c r="F495">
        <v>9</v>
      </c>
      <c r="G495" t="str" cm="1">
        <f t="array" ref="G495">_xlfn.IFS(_xlfn.SINGLE(Table1[imd_decile])&lt;=3,"Most Deprived",F495&lt;=7,"Moderately Deprived",F495&lt;=10,"Least Deprived")</f>
        <v>Least Deprived</v>
      </c>
      <c r="H495">
        <v>6.4</v>
      </c>
      <c r="I495" t="s">
        <v>30</v>
      </c>
      <c r="J495" t="s">
        <v>19</v>
      </c>
      <c r="K495" s="1">
        <v>45743</v>
      </c>
      <c r="L495" s="1">
        <v>45752</v>
      </c>
      <c r="M495" s="1" t="str">
        <f>TEXT(Table1[[#This Row],[appointment_date]],"MM/YYYY")</f>
        <v>04/2025</v>
      </c>
      <c r="N495">
        <v>9</v>
      </c>
      <c r="O495" t="str" cm="1">
        <f t="array" ref="O495">_xlfn.IFS(Table1[[#This Row],[lead_time_days]]&lt;=7,"0-7 days",N495&lt;=14,"8-14 days",N495&lt;=30,"15-30 days",N495&lt;=60,"31-60 days",TRUE,"61+ days")</f>
        <v>8-14 days</v>
      </c>
      <c r="P495" t="s">
        <v>55</v>
      </c>
      <c r="Q495" t="s">
        <v>21</v>
      </c>
      <c r="R495">
        <v>0</v>
      </c>
      <c r="S495" t="str">
        <f>IF(Table1[prior_dna_count]&gt;=1,"Has prior DNA history","No prior DNA history")</f>
        <v>No prior DNA history</v>
      </c>
      <c r="T495" t="s">
        <v>22</v>
      </c>
      <c r="U495" t="str">
        <f t="shared" si="7"/>
        <v>1</v>
      </c>
      <c r="V495" t="str">
        <f>IF(Table1[appointment_status]="Attended","1","0")</f>
        <v>1</v>
      </c>
      <c r="W495" t="str">
        <f>IF(Table1[appointment_status]="Cancelled","1","0")</f>
        <v>0</v>
      </c>
    </row>
    <row r="496" spans="1:23">
      <c r="A496" t="s">
        <v>973</v>
      </c>
      <c r="B496" t="s">
        <v>974</v>
      </c>
      <c r="C496">
        <v>24</v>
      </c>
      <c r="D496" t="str" cm="1">
        <f t="array" ref="D496">_xlfn.IFS(Table1[[#This Row],[age]]&lt;=17,"0-17",C496&lt;=29,"18-29",C496&lt;=44,"30-44",C496&lt;=59,"45-59",C496&lt;=74,"60-74",TRUE,"75+")</f>
        <v>18-29</v>
      </c>
      <c r="E496" t="s">
        <v>29</v>
      </c>
      <c r="F496">
        <v>8</v>
      </c>
      <c r="G496" t="str" cm="1">
        <f t="array" ref="G496">_xlfn.IFS(_xlfn.SINGLE(Table1[imd_decile])&lt;=3,"Most Deprived",F496&lt;=7,"Moderately Deprived",F496&lt;=10,"Least Deprived")</f>
        <v>Least Deprived</v>
      </c>
      <c r="H496">
        <v>13.4</v>
      </c>
      <c r="I496" t="s">
        <v>58</v>
      </c>
      <c r="J496" t="s">
        <v>19</v>
      </c>
      <c r="K496" s="1">
        <v>45723</v>
      </c>
      <c r="L496" s="1">
        <v>45752</v>
      </c>
      <c r="M496" s="1" t="str">
        <f>TEXT(Table1[[#This Row],[appointment_date]],"MM/YYYY")</f>
        <v>04/2025</v>
      </c>
      <c r="N496">
        <v>29</v>
      </c>
      <c r="O496" t="str" cm="1">
        <f t="array" ref="O496">_xlfn.IFS(Table1[[#This Row],[lead_time_days]]&lt;=7,"0-7 days",N496&lt;=14,"8-14 days",N496&lt;=30,"15-30 days",N496&lt;=60,"31-60 days",TRUE,"61+ days")</f>
        <v>15-30 days</v>
      </c>
      <c r="P496" t="s">
        <v>55</v>
      </c>
      <c r="Q496" t="s">
        <v>21</v>
      </c>
      <c r="R496">
        <v>0</v>
      </c>
      <c r="S496" t="str">
        <f>IF(Table1[prior_dna_count]&gt;=1,"Has prior DNA history","No prior DNA history")</f>
        <v>No prior DNA history</v>
      </c>
      <c r="T496" t="s">
        <v>22</v>
      </c>
      <c r="U496" t="str">
        <f t="shared" si="7"/>
        <v>1</v>
      </c>
      <c r="V496" t="str">
        <f>IF(Table1[appointment_status]="Attended","1","0")</f>
        <v>1</v>
      </c>
      <c r="W496" t="str">
        <f>IF(Table1[appointment_status]="Cancelled","1","0")</f>
        <v>0</v>
      </c>
    </row>
    <row r="497" spans="1:23">
      <c r="A497" t="s">
        <v>975</v>
      </c>
      <c r="B497" t="s">
        <v>327</v>
      </c>
      <c r="C497">
        <v>54</v>
      </c>
      <c r="D497" t="str" cm="1">
        <f t="array" ref="D497">_xlfn.IFS(Table1[[#This Row],[age]]&lt;=17,"0-17",C497&lt;=29,"18-29",C497&lt;=44,"30-44",C497&lt;=59,"45-59",C497&lt;=74,"60-74",TRUE,"75+")</f>
        <v>45-59</v>
      </c>
      <c r="E497" t="s">
        <v>29</v>
      </c>
      <c r="F497">
        <v>7</v>
      </c>
      <c r="G497" t="str" cm="1">
        <f t="array" ref="G497">_xlfn.IFS(_xlfn.SINGLE(Table1[imd_decile])&lt;=3,"Most Deprived",F497&lt;=7,"Moderately Deprived",F497&lt;=10,"Least Deprived")</f>
        <v>Moderately Deprived</v>
      </c>
      <c r="H497">
        <v>0.9</v>
      </c>
      <c r="I497" t="s">
        <v>30</v>
      </c>
      <c r="J497" t="s">
        <v>19</v>
      </c>
      <c r="K497" s="1">
        <v>45730</v>
      </c>
      <c r="L497" s="1">
        <v>45752</v>
      </c>
      <c r="M497" s="1" t="str">
        <f>TEXT(Table1[[#This Row],[appointment_date]],"MM/YYYY")</f>
        <v>04/2025</v>
      </c>
      <c r="N497">
        <v>22</v>
      </c>
      <c r="O497" t="str" cm="1">
        <f t="array" ref="O497">_xlfn.IFS(Table1[[#This Row],[lead_time_days]]&lt;=7,"0-7 days",N497&lt;=14,"8-14 days",N497&lt;=30,"15-30 days",N497&lt;=60,"31-60 days",TRUE,"61+ days")</f>
        <v>15-30 days</v>
      </c>
      <c r="P497" t="s">
        <v>55</v>
      </c>
      <c r="Q497" t="s">
        <v>32</v>
      </c>
      <c r="R497">
        <v>0</v>
      </c>
      <c r="S497" t="str">
        <f>IF(Table1[prior_dna_count]&gt;=1,"Has prior DNA history","No prior DNA history")</f>
        <v>No prior DNA history</v>
      </c>
      <c r="T497" t="s">
        <v>22</v>
      </c>
      <c r="U497" t="str">
        <f t="shared" si="7"/>
        <v>1</v>
      </c>
      <c r="V497" t="str">
        <f>IF(Table1[appointment_status]="Attended","1","0")</f>
        <v>1</v>
      </c>
      <c r="W497" t="str">
        <f>IF(Table1[appointment_status]="Cancelled","1","0")</f>
        <v>0</v>
      </c>
    </row>
    <row r="498" spans="1:23">
      <c r="A498" t="s">
        <v>976</v>
      </c>
      <c r="B498" t="s">
        <v>977</v>
      </c>
      <c r="C498">
        <v>74</v>
      </c>
      <c r="D498" t="str" cm="1">
        <f t="array" ref="D498">_xlfn.IFS(Table1[[#This Row],[age]]&lt;=17,"0-17",C498&lt;=29,"18-29",C498&lt;=44,"30-44",C498&lt;=59,"45-59",C498&lt;=74,"60-74",TRUE,"75+")</f>
        <v>60-74</v>
      </c>
      <c r="E498" t="s">
        <v>29</v>
      </c>
      <c r="F498">
        <v>4</v>
      </c>
      <c r="G498" t="str" cm="1">
        <f t="array" ref="G498">_xlfn.IFS(_xlfn.SINGLE(Table1[imd_decile])&lt;=3,"Most Deprived",F498&lt;=7,"Moderately Deprived",F498&lt;=10,"Least Deprived")</f>
        <v>Moderately Deprived</v>
      </c>
      <c r="H498">
        <v>4.2</v>
      </c>
      <c r="I498" t="s">
        <v>38</v>
      </c>
      <c r="J498" t="s">
        <v>19</v>
      </c>
      <c r="K498" s="1">
        <v>45733</v>
      </c>
      <c r="L498" s="1">
        <v>45753</v>
      </c>
      <c r="M498" s="1" t="str">
        <f>TEXT(Table1[[#This Row],[appointment_date]],"MM/YYYY")</f>
        <v>04/2025</v>
      </c>
      <c r="N498">
        <v>20</v>
      </c>
      <c r="O498" t="str" cm="1">
        <f t="array" ref="O498">_xlfn.IFS(Table1[[#This Row],[lead_time_days]]&lt;=7,"0-7 days",N498&lt;=14,"8-14 days",N498&lt;=30,"15-30 days",N498&lt;=60,"31-60 days",TRUE,"61+ days")</f>
        <v>15-30 days</v>
      </c>
      <c r="P498" t="s">
        <v>31</v>
      </c>
      <c r="Q498" t="s">
        <v>21</v>
      </c>
      <c r="R498">
        <v>0</v>
      </c>
      <c r="S498" t="str">
        <f>IF(Table1[prior_dna_count]&gt;=1,"Has prior DNA history","No prior DNA history")</f>
        <v>No prior DNA history</v>
      </c>
      <c r="T498" t="s">
        <v>22</v>
      </c>
      <c r="U498" t="str">
        <f t="shared" si="7"/>
        <v>1</v>
      </c>
      <c r="V498" t="str">
        <f>IF(Table1[appointment_status]="Attended","1","0")</f>
        <v>1</v>
      </c>
      <c r="W498" t="str">
        <f>IF(Table1[appointment_status]="Cancelled","1","0")</f>
        <v>0</v>
      </c>
    </row>
    <row r="499" spans="1:23">
      <c r="A499" t="s">
        <v>978</v>
      </c>
      <c r="B499" t="s">
        <v>979</v>
      </c>
      <c r="C499">
        <v>59</v>
      </c>
      <c r="D499" t="str" cm="1">
        <f t="array" ref="D499">_xlfn.IFS(Table1[[#This Row],[age]]&lt;=17,"0-17",C499&lt;=29,"18-29",C499&lt;=44,"30-44",C499&lt;=59,"45-59",C499&lt;=74,"60-74",TRUE,"75+")</f>
        <v>45-59</v>
      </c>
      <c r="E499" t="s">
        <v>29</v>
      </c>
      <c r="F499">
        <v>10</v>
      </c>
      <c r="G499" t="str" cm="1">
        <f t="array" ref="G499">_xlfn.IFS(_xlfn.SINGLE(Table1[imd_decile])&lt;=3,"Most Deprived",F499&lt;=7,"Moderately Deprived",F499&lt;=10,"Least Deprived")</f>
        <v>Least Deprived</v>
      </c>
      <c r="H499">
        <v>3.4</v>
      </c>
      <c r="I499" t="s">
        <v>30</v>
      </c>
      <c r="J499" t="s">
        <v>19</v>
      </c>
      <c r="K499" s="1">
        <v>45724</v>
      </c>
      <c r="L499" s="1">
        <v>45753</v>
      </c>
      <c r="M499" s="1" t="str">
        <f>TEXT(Table1[[#This Row],[appointment_date]],"MM/YYYY")</f>
        <v>04/2025</v>
      </c>
      <c r="N499">
        <v>29</v>
      </c>
      <c r="O499" t="str" cm="1">
        <f t="array" ref="O499">_xlfn.IFS(Table1[[#This Row],[lead_time_days]]&lt;=7,"0-7 days",N499&lt;=14,"8-14 days",N499&lt;=30,"15-30 days",N499&lt;=60,"31-60 days",TRUE,"61+ days")</f>
        <v>15-30 days</v>
      </c>
      <c r="P499" t="s">
        <v>31</v>
      </c>
      <c r="Q499" t="s">
        <v>21</v>
      </c>
      <c r="R499">
        <v>0</v>
      </c>
      <c r="S499" t="str">
        <f>IF(Table1[prior_dna_count]&gt;=1,"Has prior DNA history","No prior DNA history")</f>
        <v>No prior DNA history</v>
      </c>
      <c r="T499" t="s">
        <v>22</v>
      </c>
      <c r="U499" t="str">
        <f t="shared" si="7"/>
        <v>1</v>
      </c>
      <c r="V499" t="str">
        <f>IF(Table1[appointment_status]="Attended","1","0")</f>
        <v>1</v>
      </c>
      <c r="W499" t="str">
        <f>IF(Table1[appointment_status]="Cancelled","1","0")</f>
        <v>0</v>
      </c>
    </row>
    <row r="500" spans="1:23">
      <c r="A500" t="s">
        <v>980</v>
      </c>
      <c r="B500" t="s">
        <v>981</v>
      </c>
      <c r="C500">
        <v>43</v>
      </c>
      <c r="D500" t="str" cm="1">
        <f t="array" ref="D500">_xlfn.IFS(Table1[[#This Row],[age]]&lt;=17,"0-17",C500&lt;=29,"18-29",C500&lt;=44,"30-44",C500&lt;=59,"45-59",C500&lt;=74,"60-74",TRUE,"75+")</f>
        <v>30-44</v>
      </c>
      <c r="E500" t="s">
        <v>29</v>
      </c>
      <c r="F500">
        <v>3</v>
      </c>
      <c r="G500" t="str" cm="1">
        <f t="array" ref="G500">_xlfn.IFS(_xlfn.SINGLE(Table1[imd_decile])&lt;=3,"Most Deprived",F500&lt;=7,"Moderately Deprived",F500&lt;=10,"Least Deprived")</f>
        <v>Most Deprived</v>
      </c>
      <c r="H500">
        <v>1.9</v>
      </c>
      <c r="I500" t="s">
        <v>58</v>
      </c>
      <c r="J500" t="s">
        <v>26</v>
      </c>
      <c r="K500" s="1">
        <v>45743</v>
      </c>
      <c r="L500" s="1">
        <v>45753</v>
      </c>
      <c r="M500" s="1" t="str">
        <f>TEXT(Table1[[#This Row],[appointment_date]],"MM/YYYY")</f>
        <v>04/2025</v>
      </c>
      <c r="N500">
        <v>10</v>
      </c>
      <c r="O500" t="str" cm="1">
        <f t="array" ref="O500">_xlfn.IFS(Table1[[#This Row],[lead_time_days]]&lt;=7,"0-7 days",N500&lt;=14,"8-14 days",N500&lt;=30,"15-30 days",N500&lt;=60,"31-60 days",TRUE,"61+ days")</f>
        <v>8-14 days</v>
      </c>
      <c r="P500" t="s">
        <v>31</v>
      </c>
      <c r="Q500" t="s">
        <v>21</v>
      </c>
      <c r="R500">
        <v>0</v>
      </c>
      <c r="S500" t="str">
        <f>IF(Table1[prior_dna_count]&gt;=1,"Has prior DNA history","No prior DNA history")</f>
        <v>No prior DNA history</v>
      </c>
      <c r="T500" t="s">
        <v>22</v>
      </c>
      <c r="U500" t="str">
        <f t="shared" si="7"/>
        <v>1</v>
      </c>
      <c r="V500" t="str">
        <f>IF(Table1[appointment_status]="Attended","1","0")</f>
        <v>1</v>
      </c>
      <c r="W500" t="str">
        <f>IF(Table1[appointment_status]="Cancelled","1","0")</f>
        <v>0</v>
      </c>
    </row>
    <row r="501" spans="1:23">
      <c r="A501" t="s">
        <v>982</v>
      </c>
      <c r="B501" t="s">
        <v>983</v>
      </c>
      <c r="C501">
        <v>33</v>
      </c>
      <c r="D501" t="str" cm="1">
        <f t="array" ref="D501">_xlfn.IFS(Table1[[#This Row],[age]]&lt;=17,"0-17",C501&lt;=29,"18-29",C501&lt;=44,"30-44",C501&lt;=59,"45-59",C501&lt;=74,"60-74",TRUE,"75+")</f>
        <v>30-44</v>
      </c>
      <c r="E501" t="s">
        <v>17</v>
      </c>
      <c r="F501">
        <v>3</v>
      </c>
      <c r="G501" t="str" cm="1">
        <f t="array" ref="G501">_xlfn.IFS(_xlfn.SINGLE(Table1[imd_decile])&lt;=3,"Most Deprived",F501&lt;=7,"Moderately Deprived",F501&lt;=10,"Least Deprived")</f>
        <v>Most Deprived</v>
      </c>
      <c r="H501">
        <v>6.9</v>
      </c>
      <c r="I501" t="s">
        <v>25</v>
      </c>
      <c r="J501" t="s">
        <v>26</v>
      </c>
      <c r="K501" s="1">
        <v>45743</v>
      </c>
      <c r="L501" s="1">
        <v>45753</v>
      </c>
      <c r="M501" s="1" t="str">
        <f>TEXT(Table1[[#This Row],[appointment_date]],"MM/YYYY")</f>
        <v>04/2025</v>
      </c>
      <c r="N501">
        <v>10</v>
      </c>
      <c r="O501" t="str" cm="1">
        <f t="array" ref="O501">_xlfn.IFS(Table1[[#This Row],[lead_time_days]]&lt;=7,"0-7 days",N501&lt;=14,"8-14 days",N501&lt;=30,"15-30 days",N501&lt;=60,"31-60 days",TRUE,"61+ days")</f>
        <v>8-14 days</v>
      </c>
      <c r="P501" t="s">
        <v>31</v>
      </c>
      <c r="Q501" t="s">
        <v>21</v>
      </c>
      <c r="R501">
        <v>0</v>
      </c>
      <c r="S501" t="str">
        <f>IF(Table1[prior_dna_count]&gt;=1,"Has prior DNA history","No prior DNA history")</f>
        <v>No prior DNA history</v>
      </c>
      <c r="T501" t="s">
        <v>22</v>
      </c>
      <c r="U501" t="str">
        <f t="shared" si="7"/>
        <v>1</v>
      </c>
      <c r="V501" t="str">
        <f>IF(Table1[appointment_status]="Attended","1","0")</f>
        <v>1</v>
      </c>
      <c r="W501" t="str">
        <f>IF(Table1[appointment_status]="Cancelled","1","0")</f>
        <v>0</v>
      </c>
    </row>
    <row r="502" spans="1:23">
      <c r="A502" t="s">
        <v>984</v>
      </c>
      <c r="B502" t="s">
        <v>985</v>
      </c>
      <c r="C502">
        <v>34</v>
      </c>
      <c r="D502" t="str" cm="1">
        <f t="array" ref="D502">_xlfn.IFS(Table1[[#This Row],[age]]&lt;=17,"0-17",C502&lt;=29,"18-29",C502&lt;=44,"30-44",C502&lt;=59,"45-59",C502&lt;=74,"60-74",TRUE,"75+")</f>
        <v>30-44</v>
      </c>
      <c r="E502" t="s">
        <v>29</v>
      </c>
      <c r="F502">
        <v>4</v>
      </c>
      <c r="G502" t="str" cm="1">
        <f t="array" ref="G502">_xlfn.IFS(_xlfn.SINGLE(Table1[imd_decile])&lt;=3,"Most Deprived",F502&lt;=7,"Moderately Deprived",F502&lt;=10,"Least Deprived")</f>
        <v>Moderately Deprived</v>
      </c>
      <c r="H502">
        <v>13.2</v>
      </c>
      <c r="I502" t="s">
        <v>58</v>
      </c>
      <c r="J502" t="s">
        <v>19</v>
      </c>
      <c r="K502" s="1">
        <v>45733</v>
      </c>
      <c r="L502" s="1">
        <v>45753</v>
      </c>
      <c r="M502" s="1" t="str">
        <f>TEXT(Table1[[#This Row],[appointment_date]],"MM/YYYY")</f>
        <v>04/2025</v>
      </c>
      <c r="N502">
        <v>20</v>
      </c>
      <c r="O502" t="str" cm="1">
        <f t="array" ref="O502">_xlfn.IFS(Table1[[#This Row],[lead_time_days]]&lt;=7,"0-7 days",N502&lt;=14,"8-14 days",N502&lt;=30,"15-30 days",N502&lt;=60,"31-60 days",TRUE,"61+ days")</f>
        <v>15-30 days</v>
      </c>
      <c r="P502" t="s">
        <v>31</v>
      </c>
      <c r="Q502" t="s">
        <v>21</v>
      </c>
      <c r="R502">
        <v>0</v>
      </c>
      <c r="S502" t="str">
        <f>IF(Table1[prior_dna_count]&gt;=1,"Has prior DNA history","No prior DNA history")</f>
        <v>No prior DNA history</v>
      </c>
      <c r="T502" t="s">
        <v>39</v>
      </c>
      <c r="U502" t="str">
        <f t="shared" si="7"/>
        <v>1</v>
      </c>
      <c r="V502" t="str">
        <f>IF(Table1[appointment_status]="Attended","1","0")</f>
        <v>0</v>
      </c>
      <c r="W502" t="str">
        <f>IF(Table1[appointment_status]="Cancelled","1","0")</f>
        <v>0</v>
      </c>
    </row>
    <row r="503" spans="1:23">
      <c r="A503" t="s">
        <v>986</v>
      </c>
      <c r="B503" t="s">
        <v>987</v>
      </c>
      <c r="C503">
        <v>75</v>
      </c>
      <c r="D503" t="str" cm="1">
        <f t="array" ref="D503">_xlfn.IFS(Table1[[#This Row],[age]]&lt;=17,"0-17",C503&lt;=29,"18-29",C503&lt;=44,"30-44",C503&lt;=59,"45-59",C503&lt;=74,"60-74",TRUE,"75+")</f>
        <v>75+</v>
      </c>
      <c r="E503" t="s">
        <v>29</v>
      </c>
      <c r="F503">
        <v>7</v>
      </c>
      <c r="G503" t="str" cm="1">
        <f t="array" ref="G503">_xlfn.IFS(_xlfn.SINGLE(Table1[imd_decile])&lt;=3,"Most Deprived",F503&lt;=7,"Moderately Deprived",F503&lt;=10,"Least Deprived")</f>
        <v>Moderately Deprived</v>
      </c>
      <c r="H503">
        <v>8.9</v>
      </c>
      <c r="I503" t="s">
        <v>18</v>
      </c>
      <c r="J503" t="s">
        <v>19</v>
      </c>
      <c r="K503" s="1">
        <v>45706</v>
      </c>
      <c r="L503" s="1">
        <v>45753</v>
      </c>
      <c r="M503" s="1" t="str">
        <f>TEXT(Table1[[#This Row],[appointment_date]],"MM/YYYY")</f>
        <v>04/2025</v>
      </c>
      <c r="N503">
        <v>47</v>
      </c>
      <c r="O503" t="str" cm="1">
        <f t="array" ref="O503">_xlfn.IFS(Table1[[#This Row],[lead_time_days]]&lt;=7,"0-7 days",N503&lt;=14,"8-14 days",N503&lt;=30,"15-30 days",N503&lt;=60,"31-60 days",TRUE,"61+ days")</f>
        <v>31-60 days</v>
      </c>
      <c r="P503" t="s">
        <v>31</v>
      </c>
      <c r="Q503" t="s">
        <v>21</v>
      </c>
      <c r="R503">
        <v>0</v>
      </c>
      <c r="S503" t="str">
        <f>IF(Table1[prior_dna_count]&gt;=1,"Has prior DNA history","No prior DNA history")</f>
        <v>No prior DNA history</v>
      </c>
      <c r="T503" t="s">
        <v>39</v>
      </c>
      <c r="U503" t="str">
        <f t="shared" si="7"/>
        <v>0</v>
      </c>
      <c r="V503" t="str">
        <f>IF(Table1[appointment_status]="Attended","1","0")</f>
        <v>0</v>
      </c>
      <c r="W503" t="str">
        <f>IF(Table1[appointment_status]="Cancelled","1","0")</f>
        <v>0</v>
      </c>
    </row>
    <row r="504" spans="1:23">
      <c r="A504" t="s">
        <v>988</v>
      </c>
      <c r="B504" t="s">
        <v>989</v>
      </c>
      <c r="C504">
        <v>63</v>
      </c>
      <c r="D504" t="str" cm="1">
        <f t="array" ref="D504">_xlfn.IFS(Table1[[#This Row],[age]]&lt;=17,"0-17",C504&lt;=29,"18-29",C504&lt;=44,"30-44",C504&lt;=59,"45-59",C504&lt;=74,"60-74",TRUE,"75+")</f>
        <v>60-74</v>
      </c>
      <c r="E504" t="s">
        <v>29</v>
      </c>
      <c r="F504">
        <v>10</v>
      </c>
      <c r="G504" t="str" cm="1">
        <f t="array" ref="G504">_xlfn.IFS(_xlfn.SINGLE(Table1[imd_decile])&lt;=3,"Most Deprived",F504&lt;=7,"Moderately Deprived",F504&lt;=10,"Least Deprived")</f>
        <v>Least Deprived</v>
      </c>
      <c r="H504">
        <v>2.2999999999999998</v>
      </c>
      <c r="I504" t="s">
        <v>91</v>
      </c>
      <c r="J504" t="s">
        <v>26</v>
      </c>
      <c r="K504" s="1">
        <v>45731</v>
      </c>
      <c r="L504" s="1">
        <v>45754</v>
      </c>
      <c r="M504" s="1" t="str">
        <f>TEXT(Table1[[#This Row],[appointment_date]],"MM/YYYY")</f>
        <v>04/2025</v>
      </c>
      <c r="N504">
        <v>23</v>
      </c>
      <c r="O504" t="str" cm="1">
        <f t="array" ref="O504">_xlfn.IFS(Table1[[#This Row],[lead_time_days]]&lt;=7,"0-7 days",N504&lt;=14,"8-14 days",N504&lt;=30,"15-30 days",N504&lt;=60,"31-60 days",TRUE,"61+ days")</f>
        <v>15-30 days</v>
      </c>
      <c r="P504" t="s">
        <v>35</v>
      </c>
      <c r="Q504" t="s">
        <v>21</v>
      </c>
      <c r="R504">
        <v>0</v>
      </c>
      <c r="S504" t="str">
        <f>IF(Table1[prior_dna_count]&gt;=1,"Has prior DNA history","No prior DNA history")</f>
        <v>No prior DNA history</v>
      </c>
      <c r="T504" t="s">
        <v>22</v>
      </c>
      <c r="U504" t="str">
        <f t="shared" si="7"/>
        <v>0</v>
      </c>
      <c r="V504" t="str">
        <f>IF(Table1[appointment_status]="Attended","1","0")</f>
        <v>1</v>
      </c>
      <c r="W504" t="str">
        <f>IF(Table1[appointment_status]="Cancelled","1","0")</f>
        <v>0</v>
      </c>
    </row>
    <row r="505" spans="1:23">
      <c r="A505" t="s">
        <v>990</v>
      </c>
      <c r="B505" t="s">
        <v>991</v>
      </c>
      <c r="C505">
        <v>47</v>
      </c>
      <c r="D505" t="str" cm="1">
        <f t="array" ref="D505">_xlfn.IFS(Table1[[#This Row],[age]]&lt;=17,"0-17",C505&lt;=29,"18-29",C505&lt;=44,"30-44",C505&lt;=59,"45-59",C505&lt;=74,"60-74",TRUE,"75+")</f>
        <v>45-59</v>
      </c>
      <c r="E505" t="s">
        <v>17</v>
      </c>
      <c r="F505">
        <v>7</v>
      </c>
      <c r="G505" t="str" cm="1">
        <f t="array" ref="G505">_xlfn.IFS(_xlfn.SINGLE(Table1[imd_decile])&lt;=3,"Most Deprived",F505&lt;=7,"Moderately Deprived",F505&lt;=10,"Least Deprived")</f>
        <v>Moderately Deprived</v>
      </c>
      <c r="H505">
        <v>5.0999999999999996</v>
      </c>
      <c r="I505" t="s">
        <v>42</v>
      </c>
      <c r="J505" t="s">
        <v>19</v>
      </c>
      <c r="K505" s="1">
        <v>45740</v>
      </c>
      <c r="L505" s="1">
        <v>45754</v>
      </c>
      <c r="M505" s="1" t="str">
        <f>TEXT(Table1[[#This Row],[appointment_date]],"MM/YYYY")</f>
        <v>04/2025</v>
      </c>
      <c r="N505">
        <v>14</v>
      </c>
      <c r="O505" t="str" cm="1">
        <f t="array" ref="O505">_xlfn.IFS(Table1[[#This Row],[lead_time_days]]&lt;=7,"0-7 days",N505&lt;=14,"8-14 days",N505&lt;=30,"15-30 days",N505&lt;=60,"31-60 days",TRUE,"61+ days")</f>
        <v>8-14 days</v>
      </c>
      <c r="P505" t="s">
        <v>35</v>
      </c>
      <c r="Q505" t="s">
        <v>21</v>
      </c>
      <c r="R505">
        <v>0</v>
      </c>
      <c r="S505" t="str">
        <f>IF(Table1[prior_dna_count]&gt;=1,"Has prior DNA history","No prior DNA history")</f>
        <v>No prior DNA history</v>
      </c>
      <c r="T505" t="s">
        <v>22</v>
      </c>
      <c r="U505" t="str">
        <f t="shared" si="7"/>
        <v>1</v>
      </c>
      <c r="V505" t="str">
        <f>IF(Table1[appointment_status]="Attended","1","0")</f>
        <v>1</v>
      </c>
      <c r="W505" t="str">
        <f>IF(Table1[appointment_status]="Cancelled","1","0")</f>
        <v>0</v>
      </c>
    </row>
    <row r="506" spans="1:23">
      <c r="A506" t="s">
        <v>992</v>
      </c>
      <c r="B506" t="s">
        <v>993</v>
      </c>
      <c r="C506">
        <v>66</v>
      </c>
      <c r="D506" t="str" cm="1">
        <f t="array" ref="D506">_xlfn.IFS(Table1[[#This Row],[age]]&lt;=17,"0-17",C506&lt;=29,"18-29",C506&lt;=44,"30-44",C506&lt;=59,"45-59",C506&lt;=74,"60-74",TRUE,"75+")</f>
        <v>60-74</v>
      </c>
      <c r="E506" t="s">
        <v>29</v>
      </c>
      <c r="F506">
        <v>1</v>
      </c>
      <c r="G506" t="str" cm="1">
        <f t="array" ref="G506">_xlfn.IFS(_xlfn.SINGLE(Table1[imd_decile])&lt;=3,"Most Deprived",F506&lt;=7,"Moderately Deprived",F506&lt;=10,"Least Deprived")</f>
        <v>Most Deprived</v>
      </c>
      <c r="H506">
        <v>5.0999999999999996</v>
      </c>
      <c r="I506" t="s">
        <v>42</v>
      </c>
      <c r="J506" t="s">
        <v>19</v>
      </c>
      <c r="K506" s="1">
        <v>45732</v>
      </c>
      <c r="L506" s="1">
        <v>45754</v>
      </c>
      <c r="M506" s="1" t="str">
        <f>TEXT(Table1[[#This Row],[appointment_date]],"MM/YYYY")</f>
        <v>04/2025</v>
      </c>
      <c r="N506">
        <v>22</v>
      </c>
      <c r="O506" t="str" cm="1">
        <f t="array" ref="O506">_xlfn.IFS(Table1[[#This Row],[lead_time_days]]&lt;=7,"0-7 days",N506&lt;=14,"8-14 days",N506&lt;=30,"15-30 days",N506&lt;=60,"31-60 days",TRUE,"61+ days")</f>
        <v>15-30 days</v>
      </c>
      <c r="P506" t="s">
        <v>35</v>
      </c>
      <c r="Q506" t="s">
        <v>21</v>
      </c>
      <c r="R506">
        <v>0</v>
      </c>
      <c r="S506" t="str">
        <f>IF(Table1[prior_dna_count]&gt;=1,"Has prior DNA history","No prior DNA history")</f>
        <v>No prior DNA history</v>
      </c>
      <c r="T506" t="s">
        <v>22</v>
      </c>
      <c r="U506" t="str">
        <f t="shared" si="7"/>
        <v>1</v>
      </c>
      <c r="V506" t="str">
        <f>IF(Table1[appointment_status]="Attended","1","0")</f>
        <v>1</v>
      </c>
      <c r="W506" t="str">
        <f>IF(Table1[appointment_status]="Cancelled","1","0")</f>
        <v>0</v>
      </c>
    </row>
    <row r="507" spans="1:23">
      <c r="A507" t="s">
        <v>994</v>
      </c>
      <c r="B507" t="s">
        <v>995</v>
      </c>
      <c r="C507">
        <v>36</v>
      </c>
      <c r="D507" t="str" cm="1">
        <f t="array" ref="D507">_xlfn.IFS(Table1[[#This Row],[age]]&lt;=17,"0-17",C507&lt;=29,"18-29",C507&lt;=44,"30-44",C507&lt;=59,"45-59",C507&lt;=74,"60-74",TRUE,"75+")</f>
        <v>30-44</v>
      </c>
      <c r="E507" t="s">
        <v>29</v>
      </c>
      <c r="F507">
        <v>7</v>
      </c>
      <c r="G507" t="str" cm="1">
        <f t="array" ref="G507">_xlfn.IFS(_xlfn.SINGLE(Table1[imd_decile])&lt;=3,"Most Deprived",F507&lt;=7,"Moderately Deprived",F507&lt;=10,"Least Deprived")</f>
        <v>Moderately Deprived</v>
      </c>
      <c r="H507">
        <v>1</v>
      </c>
      <c r="I507" t="s">
        <v>49</v>
      </c>
      <c r="J507" t="s">
        <v>19</v>
      </c>
      <c r="K507" s="1">
        <v>45668</v>
      </c>
      <c r="L507" s="1">
        <v>45754</v>
      </c>
      <c r="M507" s="1" t="str">
        <f>TEXT(Table1[[#This Row],[appointment_date]],"MM/YYYY")</f>
        <v>04/2025</v>
      </c>
      <c r="N507">
        <v>86</v>
      </c>
      <c r="O507" t="str" cm="1">
        <f t="array" ref="O507">_xlfn.IFS(Table1[[#This Row],[lead_time_days]]&lt;=7,"0-7 days",N507&lt;=14,"8-14 days",N507&lt;=30,"15-30 days",N507&lt;=60,"31-60 days",TRUE,"61+ days")</f>
        <v>61+ days</v>
      </c>
      <c r="P507" t="s">
        <v>35</v>
      </c>
      <c r="Q507" t="s">
        <v>21</v>
      </c>
      <c r="R507">
        <v>0</v>
      </c>
      <c r="S507" t="str">
        <f>IF(Table1[prior_dna_count]&gt;=1,"Has prior DNA history","No prior DNA history")</f>
        <v>No prior DNA history</v>
      </c>
      <c r="T507" t="s">
        <v>22</v>
      </c>
      <c r="U507" t="str">
        <f t="shared" si="7"/>
        <v>1</v>
      </c>
      <c r="V507" t="str">
        <f>IF(Table1[appointment_status]="Attended","1","0")</f>
        <v>1</v>
      </c>
      <c r="W507" t="str">
        <f>IF(Table1[appointment_status]="Cancelled","1","0")</f>
        <v>0</v>
      </c>
    </row>
    <row r="508" spans="1:23">
      <c r="A508" t="s">
        <v>996</v>
      </c>
      <c r="B508" t="s">
        <v>221</v>
      </c>
      <c r="C508">
        <v>70</v>
      </c>
      <c r="D508" t="str" cm="1">
        <f t="array" ref="D508">_xlfn.IFS(Table1[[#This Row],[age]]&lt;=17,"0-17",C508&lt;=29,"18-29",C508&lt;=44,"30-44",C508&lt;=59,"45-59",C508&lt;=74,"60-74",TRUE,"75+")</f>
        <v>60-74</v>
      </c>
      <c r="E508" t="s">
        <v>29</v>
      </c>
      <c r="F508">
        <v>9</v>
      </c>
      <c r="G508" t="str" cm="1">
        <f t="array" ref="G508">_xlfn.IFS(_xlfn.SINGLE(Table1[imd_decile])&lt;=3,"Most Deprived",F508&lt;=7,"Moderately Deprived",F508&lt;=10,"Least Deprived")</f>
        <v>Least Deprived</v>
      </c>
      <c r="H508">
        <v>11.6</v>
      </c>
      <c r="I508" t="s">
        <v>155</v>
      </c>
      <c r="J508" t="s">
        <v>19</v>
      </c>
      <c r="K508" s="1">
        <v>45702</v>
      </c>
      <c r="L508" s="1">
        <v>45754</v>
      </c>
      <c r="M508" s="1" t="str">
        <f>TEXT(Table1[[#This Row],[appointment_date]],"MM/YYYY")</f>
        <v>04/2025</v>
      </c>
      <c r="N508">
        <v>52</v>
      </c>
      <c r="O508" t="str" cm="1">
        <f t="array" ref="O508">_xlfn.IFS(Table1[[#This Row],[lead_time_days]]&lt;=7,"0-7 days",N508&lt;=14,"8-14 days",N508&lt;=30,"15-30 days",N508&lt;=60,"31-60 days",TRUE,"61+ days")</f>
        <v>31-60 days</v>
      </c>
      <c r="P508" t="s">
        <v>35</v>
      </c>
      <c r="Q508" t="s">
        <v>21</v>
      </c>
      <c r="R508">
        <v>0</v>
      </c>
      <c r="S508" t="str">
        <f>IF(Table1[prior_dna_count]&gt;=1,"Has prior DNA history","No prior DNA history")</f>
        <v>No prior DNA history</v>
      </c>
      <c r="T508" t="s">
        <v>22</v>
      </c>
      <c r="U508" t="str">
        <f t="shared" si="7"/>
        <v>1</v>
      </c>
      <c r="V508" t="str">
        <f>IF(Table1[appointment_status]="Attended","1","0")</f>
        <v>1</v>
      </c>
      <c r="W508" t="str">
        <f>IF(Table1[appointment_status]="Cancelled","1","0")</f>
        <v>0</v>
      </c>
    </row>
    <row r="509" spans="1:23">
      <c r="A509" t="s">
        <v>997</v>
      </c>
      <c r="B509" t="s">
        <v>766</v>
      </c>
      <c r="C509">
        <v>47</v>
      </c>
      <c r="D509" t="str" cm="1">
        <f t="array" ref="D509">_xlfn.IFS(Table1[[#This Row],[age]]&lt;=17,"0-17",C509&lt;=29,"18-29",C509&lt;=44,"30-44",C509&lt;=59,"45-59",C509&lt;=74,"60-74",TRUE,"75+")</f>
        <v>45-59</v>
      </c>
      <c r="E509" t="s">
        <v>29</v>
      </c>
      <c r="F509">
        <v>8</v>
      </c>
      <c r="G509" t="str" cm="1">
        <f t="array" ref="G509">_xlfn.IFS(_xlfn.SINGLE(Table1[imd_decile])&lt;=3,"Most Deprived",F509&lt;=7,"Moderately Deprived",F509&lt;=10,"Least Deprived")</f>
        <v>Least Deprived</v>
      </c>
      <c r="H509">
        <v>3.9</v>
      </c>
      <c r="I509" t="s">
        <v>155</v>
      </c>
      <c r="J509" t="s">
        <v>26</v>
      </c>
      <c r="K509" s="1">
        <v>45728</v>
      </c>
      <c r="L509" s="1">
        <v>45754</v>
      </c>
      <c r="M509" s="1" t="str">
        <f>TEXT(Table1[[#This Row],[appointment_date]],"MM/YYYY")</f>
        <v>04/2025</v>
      </c>
      <c r="N509">
        <v>26</v>
      </c>
      <c r="O509" t="str" cm="1">
        <f t="array" ref="O509">_xlfn.IFS(Table1[[#This Row],[lead_time_days]]&lt;=7,"0-7 days",N509&lt;=14,"8-14 days",N509&lt;=30,"15-30 days",N509&lt;=60,"31-60 days",TRUE,"61+ days")</f>
        <v>15-30 days</v>
      </c>
      <c r="P509" t="s">
        <v>35</v>
      </c>
      <c r="Q509" t="s">
        <v>21</v>
      </c>
      <c r="R509">
        <v>0</v>
      </c>
      <c r="S509" t="str">
        <f>IF(Table1[prior_dna_count]&gt;=1,"Has prior DNA history","No prior DNA history")</f>
        <v>No prior DNA history</v>
      </c>
      <c r="T509" t="s">
        <v>22</v>
      </c>
      <c r="U509" t="str">
        <f t="shared" si="7"/>
        <v>1</v>
      </c>
      <c r="V509" t="str">
        <f>IF(Table1[appointment_status]="Attended","1","0")</f>
        <v>1</v>
      </c>
      <c r="W509" t="str">
        <f>IF(Table1[appointment_status]="Cancelled","1","0")</f>
        <v>0</v>
      </c>
    </row>
    <row r="510" spans="1:23">
      <c r="A510" t="s">
        <v>998</v>
      </c>
      <c r="B510" t="s">
        <v>999</v>
      </c>
      <c r="C510">
        <v>58</v>
      </c>
      <c r="D510" t="str" cm="1">
        <f t="array" ref="D510">_xlfn.IFS(Table1[[#This Row],[age]]&lt;=17,"0-17",C510&lt;=29,"18-29",C510&lt;=44,"30-44",C510&lt;=59,"45-59",C510&lt;=74,"60-74",TRUE,"75+")</f>
        <v>45-59</v>
      </c>
      <c r="E510" t="s">
        <v>17</v>
      </c>
      <c r="F510">
        <v>6</v>
      </c>
      <c r="G510" t="str" cm="1">
        <f t="array" ref="G510">_xlfn.IFS(_xlfn.SINGLE(Table1[imd_decile])&lt;=3,"Most Deprived",F510&lt;=7,"Moderately Deprived",F510&lt;=10,"Least Deprived")</f>
        <v>Moderately Deprived</v>
      </c>
      <c r="H510">
        <v>9.1999999999999993</v>
      </c>
      <c r="I510" t="s">
        <v>18</v>
      </c>
      <c r="J510" t="s">
        <v>26</v>
      </c>
      <c r="K510" s="1">
        <v>45742</v>
      </c>
      <c r="L510" s="1">
        <v>45755</v>
      </c>
      <c r="M510" s="1" t="str">
        <f>TEXT(Table1[[#This Row],[appointment_date]],"MM/YYYY")</f>
        <v>04/2025</v>
      </c>
      <c r="N510">
        <v>13</v>
      </c>
      <c r="O510" t="str" cm="1">
        <f t="array" ref="O510">_xlfn.IFS(Table1[[#This Row],[lead_time_days]]&lt;=7,"0-7 days",N510&lt;=14,"8-14 days",N510&lt;=30,"15-30 days",N510&lt;=60,"31-60 days",TRUE,"61+ days")</f>
        <v>8-14 days</v>
      </c>
      <c r="P510" t="s">
        <v>71</v>
      </c>
      <c r="Q510" t="s">
        <v>32</v>
      </c>
      <c r="R510">
        <v>0</v>
      </c>
      <c r="S510" t="str">
        <f>IF(Table1[prior_dna_count]&gt;=1,"Has prior DNA history","No prior DNA history")</f>
        <v>No prior DNA history</v>
      </c>
      <c r="T510" t="s">
        <v>39</v>
      </c>
      <c r="U510" t="str">
        <f t="shared" si="7"/>
        <v>1</v>
      </c>
      <c r="V510" t="str">
        <f>IF(Table1[appointment_status]="Attended","1","0")</f>
        <v>0</v>
      </c>
      <c r="W510" t="str">
        <f>IF(Table1[appointment_status]="Cancelled","1","0")</f>
        <v>0</v>
      </c>
    </row>
    <row r="511" spans="1:23">
      <c r="A511" t="s">
        <v>1000</v>
      </c>
      <c r="B511" t="s">
        <v>1001</v>
      </c>
      <c r="C511">
        <v>5</v>
      </c>
      <c r="D511" t="str" cm="1">
        <f t="array" ref="D511">_xlfn.IFS(Table1[[#This Row],[age]]&lt;=17,"0-17",C511&lt;=29,"18-29",C511&lt;=44,"30-44",C511&lt;=59,"45-59",C511&lt;=74,"60-74",TRUE,"75+")</f>
        <v>0-17</v>
      </c>
      <c r="E511" t="s">
        <v>29</v>
      </c>
      <c r="F511">
        <v>1</v>
      </c>
      <c r="G511" t="str" cm="1">
        <f t="array" ref="G511">_xlfn.IFS(_xlfn.SINGLE(Table1[imd_decile])&lt;=3,"Most Deprived",F511&lt;=7,"Moderately Deprived",F511&lt;=10,"Least Deprived")</f>
        <v>Most Deprived</v>
      </c>
      <c r="H511">
        <v>2.6</v>
      </c>
      <c r="I511" t="s">
        <v>58</v>
      </c>
      <c r="J511" t="s">
        <v>26</v>
      </c>
      <c r="K511" s="1">
        <v>45738</v>
      </c>
      <c r="L511" s="1">
        <v>45755</v>
      </c>
      <c r="M511" s="1" t="str">
        <f>TEXT(Table1[[#This Row],[appointment_date]],"MM/YYYY")</f>
        <v>04/2025</v>
      </c>
      <c r="N511">
        <v>17</v>
      </c>
      <c r="O511" t="str" cm="1">
        <f t="array" ref="O511">_xlfn.IFS(Table1[[#This Row],[lead_time_days]]&lt;=7,"0-7 days",N511&lt;=14,"8-14 days",N511&lt;=30,"15-30 days",N511&lt;=60,"31-60 days",TRUE,"61+ days")</f>
        <v>15-30 days</v>
      </c>
      <c r="P511" t="s">
        <v>71</v>
      </c>
      <c r="Q511" t="s">
        <v>21</v>
      </c>
      <c r="R511">
        <v>0</v>
      </c>
      <c r="S511" t="str">
        <f>IF(Table1[prior_dna_count]&gt;=1,"Has prior DNA history","No prior DNA history")</f>
        <v>No prior DNA history</v>
      </c>
      <c r="T511" t="s">
        <v>22</v>
      </c>
      <c r="U511" t="str">
        <f t="shared" si="7"/>
        <v>0</v>
      </c>
      <c r="V511" t="str">
        <f>IF(Table1[appointment_status]="Attended","1","0")</f>
        <v>1</v>
      </c>
      <c r="W511" t="str">
        <f>IF(Table1[appointment_status]="Cancelled","1","0")</f>
        <v>0</v>
      </c>
    </row>
    <row r="512" spans="1:23">
      <c r="A512" t="s">
        <v>1002</v>
      </c>
      <c r="B512" t="s">
        <v>1003</v>
      </c>
      <c r="C512">
        <v>38</v>
      </c>
      <c r="D512" t="str" cm="1">
        <f t="array" ref="D512">_xlfn.IFS(Table1[[#This Row],[age]]&lt;=17,"0-17",C512&lt;=29,"18-29",C512&lt;=44,"30-44",C512&lt;=59,"45-59",C512&lt;=74,"60-74",TRUE,"75+")</f>
        <v>30-44</v>
      </c>
      <c r="E512" t="s">
        <v>29</v>
      </c>
      <c r="F512">
        <v>3</v>
      </c>
      <c r="G512" t="str" cm="1">
        <f t="array" ref="G512">_xlfn.IFS(_xlfn.SINGLE(Table1[imd_decile])&lt;=3,"Most Deprived",F512&lt;=7,"Moderately Deprived",F512&lt;=10,"Least Deprived")</f>
        <v>Most Deprived</v>
      </c>
      <c r="H512">
        <v>3</v>
      </c>
      <c r="I512" t="s">
        <v>30</v>
      </c>
      <c r="J512" t="s">
        <v>19</v>
      </c>
      <c r="K512" s="1">
        <v>45707</v>
      </c>
      <c r="L512" s="1">
        <v>45755</v>
      </c>
      <c r="M512" s="1" t="str">
        <f>TEXT(Table1[[#This Row],[appointment_date]],"MM/YYYY")</f>
        <v>04/2025</v>
      </c>
      <c r="N512">
        <v>48</v>
      </c>
      <c r="O512" t="str" cm="1">
        <f t="array" ref="O512">_xlfn.IFS(Table1[[#This Row],[lead_time_days]]&lt;=7,"0-7 days",N512&lt;=14,"8-14 days",N512&lt;=30,"15-30 days",N512&lt;=60,"31-60 days",TRUE,"61+ days")</f>
        <v>31-60 days</v>
      </c>
      <c r="P512" t="s">
        <v>71</v>
      </c>
      <c r="Q512" t="s">
        <v>21</v>
      </c>
      <c r="R512">
        <v>0</v>
      </c>
      <c r="S512" t="str">
        <f>IF(Table1[prior_dna_count]&gt;=1,"Has prior DNA history","No prior DNA history")</f>
        <v>No prior DNA history</v>
      </c>
      <c r="T512" t="s">
        <v>22</v>
      </c>
      <c r="U512" t="str">
        <f t="shared" si="7"/>
        <v>1</v>
      </c>
      <c r="V512" t="str">
        <f>IF(Table1[appointment_status]="Attended","1","0")</f>
        <v>1</v>
      </c>
      <c r="W512" t="str">
        <f>IF(Table1[appointment_status]="Cancelled","1","0")</f>
        <v>0</v>
      </c>
    </row>
    <row r="513" spans="1:23">
      <c r="A513" t="s">
        <v>1004</v>
      </c>
      <c r="B513" t="s">
        <v>1005</v>
      </c>
      <c r="C513">
        <v>56</v>
      </c>
      <c r="D513" t="str" cm="1">
        <f t="array" ref="D513">_xlfn.IFS(Table1[[#This Row],[age]]&lt;=17,"0-17",C513&lt;=29,"18-29",C513&lt;=44,"30-44",C513&lt;=59,"45-59",C513&lt;=74,"60-74",TRUE,"75+")</f>
        <v>45-59</v>
      </c>
      <c r="E513" t="s">
        <v>29</v>
      </c>
      <c r="F513">
        <v>5</v>
      </c>
      <c r="G513" t="str" cm="1">
        <f t="array" ref="G513">_xlfn.IFS(_xlfn.SINGLE(Table1[imd_decile])&lt;=3,"Most Deprived",F513&lt;=7,"Moderately Deprived",F513&lt;=10,"Least Deprived")</f>
        <v>Moderately Deprived</v>
      </c>
      <c r="H513">
        <v>6.4</v>
      </c>
      <c r="I513" t="s">
        <v>49</v>
      </c>
      <c r="J513" t="s">
        <v>19</v>
      </c>
      <c r="K513" s="1">
        <v>45710</v>
      </c>
      <c r="L513" s="1">
        <v>45755</v>
      </c>
      <c r="M513" s="1" t="str">
        <f>TEXT(Table1[[#This Row],[appointment_date]],"MM/YYYY")</f>
        <v>04/2025</v>
      </c>
      <c r="N513">
        <v>45</v>
      </c>
      <c r="O513" t="str" cm="1">
        <f t="array" ref="O513">_xlfn.IFS(Table1[[#This Row],[lead_time_days]]&lt;=7,"0-7 days",N513&lt;=14,"8-14 days",N513&lt;=30,"15-30 days",N513&lt;=60,"31-60 days",TRUE,"61+ days")</f>
        <v>31-60 days</v>
      </c>
      <c r="P513" t="s">
        <v>71</v>
      </c>
      <c r="Q513" t="s">
        <v>21</v>
      </c>
      <c r="R513">
        <v>0</v>
      </c>
      <c r="S513" t="str">
        <f>IF(Table1[prior_dna_count]&gt;=1,"Has prior DNA history","No prior DNA history")</f>
        <v>No prior DNA history</v>
      </c>
      <c r="T513" t="s">
        <v>22</v>
      </c>
      <c r="U513" t="str">
        <f t="shared" si="7"/>
        <v>1</v>
      </c>
      <c r="V513" t="str">
        <f>IF(Table1[appointment_status]="Attended","1","0")</f>
        <v>1</v>
      </c>
      <c r="W513" t="str">
        <f>IF(Table1[appointment_status]="Cancelled","1","0")</f>
        <v>0</v>
      </c>
    </row>
    <row r="514" spans="1:23">
      <c r="A514" t="s">
        <v>1006</v>
      </c>
      <c r="B514" t="s">
        <v>1007</v>
      </c>
      <c r="C514">
        <v>9</v>
      </c>
      <c r="D514" t="str" cm="1">
        <f t="array" ref="D514">_xlfn.IFS(Table1[[#This Row],[age]]&lt;=17,"0-17",C514&lt;=29,"18-29",C514&lt;=44,"30-44",C514&lt;=59,"45-59",C514&lt;=74,"60-74",TRUE,"75+")</f>
        <v>0-17</v>
      </c>
      <c r="E514" t="s">
        <v>17</v>
      </c>
      <c r="F514">
        <v>10</v>
      </c>
      <c r="G514" t="str" cm="1">
        <f t="array" ref="G514">_xlfn.IFS(_xlfn.SINGLE(Table1[imd_decile])&lt;=3,"Most Deprived",F514&lt;=7,"Moderately Deprived",F514&lt;=10,"Least Deprived")</f>
        <v>Least Deprived</v>
      </c>
      <c r="H514">
        <v>2</v>
      </c>
      <c r="I514" t="s">
        <v>58</v>
      </c>
      <c r="J514" t="s">
        <v>19</v>
      </c>
      <c r="K514" s="1">
        <v>45734</v>
      </c>
      <c r="L514" s="1">
        <v>45755</v>
      </c>
      <c r="M514" s="1" t="str">
        <f>TEXT(Table1[[#This Row],[appointment_date]],"MM/YYYY")</f>
        <v>04/2025</v>
      </c>
      <c r="N514">
        <v>21</v>
      </c>
      <c r="O514" t="str" cm="1">
        <f t="array" ref="O514">_xlfn.IFS(Table1[[#This Row],[lead_time_days]]&lt;=7,"0-7 days",N514&lt;=14,"8-14 days",N514&lt;=30,"15-30 days",N514&lt;=60,"31-60 days",TRUE,"61+ days")</f>
        <v>15-30 days</v>
      </c>
      <c r="P514" t="s">
        <v>71</v>
      </c>
      <c r="Q514" t="s">
        <v>21</v>
      </c>
      <c r="R514">
        <v>0</v>
      </c>
      <c r="S514" t="str">
        <f>IF(Table1[prior_dna_count]&gt;=1,"Has prior DNA history","No prior DNA history")</f>
        <v>No prior DNA history</v>
      </c>
      <c r="T514" t="s">
        <v>46</v>
      </c>
      <c r="U514" t="str">
        <f t="shared" ref="U514:U577" si="8">V513</f>
        <v>1</v>
      </c>
      <c r="V514" t="str">
        <f>IF(Table1[appointment_status]="Attended","1","0")</f>
        <v>0</v>
      </c>
      <c r="W514" t="str">
        <f>IF(Table1[appointment_status]="Cancelled","1","0")</f>
        <v>1</v>
      </c>
    </row>
    <row r="515" spans="1:23">
      <c r="A515" t="s">
        <v>1008</v>
      </c>
      <c r="B515" t="s">
        <v>41</v>
      </c>
      <c r="C515">
        <v>52</v>
      </c>
      <c r="D515" t="str" cm="1">
        <f t="array" ref="D515">_xlfn.IFS(Table1[[#This Row],[age]]&lt;=17,"0-17",C515&lt;=29,"18-29",C515&lt;=44,"30-44",C515&lt;=59,"45-59",C515&lt;=74,"60-74",TRUE,"75+")</f>
        <v>45-59</v>
      </c>
      <c r="E515" t="s">
        <v>29</v>
      </c>
      <c r="F515">
        <v>8</v>
      </c>
      <c r="G515" t="str" cm="1">
        <f t="array" ref="G515">_xlfn.IFS(_xlfn.SINGLE(Table1[imd_decile])&lt;=3,"Most Deprived",F515&lt;=7,"Moderately Deprived",F515&lt;=10,"Least Deprived")</f>
        <v>Least Deprived</v>
      </c>
      <c r="H515">
        <v>3.9</v>
      </c>
      <c r="I515" t="s">
        <v>58</v>
      </c>
      <c r="J515" t="s">
        <v>26</v>
      </c>
      <c r="K515" s="1">
        <v>45737</v>
      </c>
      <c r="L515" s="1">
        <v>45755</v>
      </c>
      <c r="M515" s="1" t="str">
        <f>TEXT(Table1[[#This Row],[appointment_date]],"MM/YYYY")</f>
        <v>04/2025</v>
      </c>
      <c r="N515">
        <v>18</v>
      </c>
      <c r="O515" t="str" cm="1">
        <f t="array" ref="O515">_xlfn.IFS(Table1[[#This Row],[lead_time_days]]&lt;=7,"0-7 days",N515&lt;=14,"8-14 days",N515&lt;=30,"15-30 days",N515&lt;=60,"31-60 days",TRUE,"61+ days")</f>
        <v>15-30 days</v>
      </c>
      <c r="P515" t="s">
        <v>71</v>
      </c>
      <c r="Q515" t="s">
        <v>21</v>
      </c>
      <c r="R515">
        <v>0</v>
      </c>
      <c r="S515" t="str">
        <f>IF(Table1[prior_dna_count]&gt;=1,"Has prior DNA history","No prior DNA history")</f>
        <v>No prior DNA history</v>
      </c>
      <c r="T515" t="s">
        <v>22</v>
      </c>
      <c r="U515" t="str">
        <f t="shared" si="8"/>
        <v>0</v>
      </c>
      <c r="V515" t="str">
        <f>IF(Table1[appointment_status]="Attended","1","0")</f>
        <v>1</v>
      </c>
      <c r="W515" t="str">
        <f>IF(Table1[appointment_status]="Cancelled","1","0")</f>
        <v>0</v>
      </c>
    </row>
    <row r="516" spans="1:23">
      <c r="A516" t="s">
        <v>1009</v>
      </c>
      <c r="B516" t="s">
        <v>1010</v>
      </c>
      <c r="C516">
        <v>56</v>
      </c>
      <c r="D516" t="str" cm="1">
        <f t="array" ref="D516">_xlfn.IFS(Table1[[#This Row],[age]]&lt;=17,"0-17",C516&lt;=29,"18-29",C516&lt;=44,"30-44",C516&lt;=59,"45-59",C516&lt;=74,"60-74",TRUE,"75+")</f>
        <v>45-59</v>
      </c>
      <c r="E516" t="s">
        <v>17</v>
      </c>
      <c r="F516">
        <v>6</v>
      </c>
      <c r="G516" t="str" cm="1">
        <f t="array" ref="G516">_xlfn.IFS(_xlfn.SINGLE(Table1[imd_decile])&lt;=3,"Most Deprived",F516&lt;=7,"Moderately Deprived",F516&lt;=10,"Least Deprived")</f>
        <v>Moderately Deprived</v>
      </c>
      <c r="H516">
        <v>4.4000000000000004</v>
      </c>
      <c r="I516" t="s">
        <v>30</v>
      </c>
      <c r="J516" t="s">
        <v>19</v>
      </c>
      <c r="K516" s="1">
        <v>45679</v>
      </c>
      <c r="L516" s="1">
        <v>45756</v>
      </c>
      <c r="M516" s="1" t="str">
        <f>TEXT(Table1[[#This Row],[appointment_date]],"MM/YYYY")</f>
        <v>04/2025</v>
      </c>
      <c r="N516">
        <v>77</v>
      </c>
      <c r="O516" t="str" cm="1">
        <f t="array" ref="O516">_xlfn.IFS(Table1[[#This Row],[lead_time_days]]&lt;=7,"0-7 days",N516&lt;=14,"8-14 days",N516&lt;=30,"15-30 days",N516&lt;=60,"31-60 days",TRUE,"61+ days")</f>
        <v>61+ days</v>
      </c>
      <c r="P516" t="s">
        <v>80</v>
      </c>
      <c r="Q516" t="s">
        <v>21</v>
      </c>
      <c r="R516">
        <v>0</v>
      </c>
      <c r="S516" t="str">
        <f>IF(Table1[prior_dna_count]&gt;=1,"Has prior DNA history","No prior DNA history")</f>
        <v>No prior DNA history</v>
      </c>
      <c r="T516" t="s">
        <v>22</v>
      </c>
      <c r="U516" t="str">
        <f t="shared" si="8"/>
        <v>1</v>
      </c>
      <c r="V516" t="str">
        <f>IF(Table1[appointment_status]="Attended","1","0")</f>
        <v>1</v>
      </c>
      <c r="W516" t="str">
        <f>IF(Table1[appointment_status]="Cancelled","1","0")</f>
        <v>0</v>
      </c>
    </row>
    <row r="517" spans="1:23">
      <c r="A517" t="s">
        <v>1011</v>
      </c>
      <c r="B517" t="s">
        <v>1012</v>
      </c>
      <c r="C517">
        <v>33</v>
      </c>
      <c r="D517" t="str" cm="1">
        <f t="array" ref="D517">_xlfn.IFS(Table1[[#This Row],[age]]&lt;=17,"0-17",C517&lt;=29,"18-29",C517&lt;=44,"30-44",C517&lt;=59,"45-59",C517&lt;=74,"60-74",TRUE,"75+")</f>
        <v>30-44</v>
      </c>
      <c r="E517" t="s">
        <v>17</v>
      </c>
      <c r="F517">
        <v>9</v>
      </c>
      <c r="G517" t="str" cm="1">
        <f t="array" ref="G517">_xlfn.IFS(_xlfn.SINGLE(Table1[imd_decile])&lt;=3,"Most Deprived",F517&lt;=7,"Moderately Deprived",F517&lt;=10,"Least Deprived")</f>
        <v>Least Deprived</v>
      </c>
      <c r="H517">
        <v>15.3</v>
      </c>
      <c r="I517" t="s">
        <v>30</v>
      </c>
      <c r="J517" t="s">
        <v>26</v>
      </c>
      <c r="K517" s="1">
        <v>45737</v>
      </c>
      <c r="L517" s="1">
        <v>45756</v>
      </c>
      <c r="M517" s="1" t="str">
        <f>TEXT(Table1[[#This Row],[appointment_date]],"MM/YYYY")</f>
        <v>04/2025</v>
      </c>
      <c r="N517">
        <v>19</v>
      </c>
      <c r="O517" t="str" cm="1">
        <f t="array" ref="O517">_xlfn.IFS(Table1[[#This Row],[lead_time_days]]&lt;=7,"0-7 days",N517&lt;=14,"8-14 days",N517&lt;=30,"15-30 days",N517&lt;=60,"31-60 days",TRUE,"61+ days")</f>
        <v>15-30 days</v>
      </c>
      <c r="P517" t="s">
        <v>80</v>
      </c>
      <c r="Q517" t="s">
        <v>21</v>
      </c>
      <c r="R517">
        <v>0</v>
      </c>
      <c r="S517" t="str">
        <f>IF(Table1[prior_dna_count]&gt;=1,"Has prior DNA history","No prior DNA history")</f>
        <v>No prior DNA history</v>
      </c>
      <c r="T517" t="s">
        <v>22</v>
      </c>
      <c r="U517" t="str">
        <f t="shared" si="8"/>
        <v>1</v>
      </c>
      <c r="V517" t="str">
        <f>IF(Table1[appointment_status]="Attended","1","0")</f>
        <v>1</v>
      </c>
      <c r="W517" t="str">
        <f>IF(Table1[appointment_status]="Cancelled","1","0")</f>
        <v>0</v>
      </c>
    </row>
    <row r="518" spans="1:23">
      <c r="A518" t="s">
        <v>1013</v>
      </c>
      <c r="B518" t="s">
        <v>1014</v>
      </c>
      <c r="C518">
        <v>19</v>
      </c>
      <c r="D518" t="str" cm="1">
        <f t="array" ref="D518">_xlfn.IFS(Table1[[#This Row],[age]]&lt;=17,"0-17",C518&lt;=29,"18-29",C518&lt;=44,"30-44",C518&lt;=59,"45-59",C518&lt;=74,"60-74",TRUE,"75+")</f>
        <v>18-29</v>
      </c>
      <c r="E518" t="s">
        <v>29</v>
      </c>
      <c r="F518">
        <v>5</v>
      </c>
      <c r="G518" t="str" cm="1">
        <f t="array" ref="G518">_xlfn.IFS(_xlfn.SINGLE(Table1[imd_decile])&lt;=3,"Most Deprived",F518&lt;=7,"Moderately Deprived",F518&lt;=10,"Least Deprived")</f>
        <v>Moderately Deprived</v>
      </c>
      <c r="H518">
        <v>20.2</v>
      </c>
      <c r="I518" t="s">
        <v>18</v>
      </c>
      <c r="J518" t="s">
        <v>19</v>
      </c>
      <c r="K518" s="1">
        <v>45727</v>
      </c>
      <c r="L518" s="1">
        <v>45756</v>
      </c>
      <c r="M518" s="1" t="str">
        <f>TEXT(Table1[[#This Row],[appointment_date]],"MM/YYYY")</f>
        <v>04/2025</v>
      </c>
      <c r="N518">
        <v>29</v>
      </c>
      <c r="O518" t="str" cm="1">
        <f t="array" ref="O518">_xlfn.IFS(Table1[[#This Row],[lead_time_days]]&lt;=7,"0-7 days",N518&lt;=14,"8-14 days",N518&lt;=30,"15-30 days",N518&lt;=60,"31-60 days",TRUE,"61+ days")</f>
        <v>15-30 days</v>
      </c>
      <c r="P518" t="s">
        <v>80</v>
      </c>
      <c r="Q518" t="s">
        <v>21</v>
      </c>
      <c r="R518">
        <v>0</v>
      </c>
      <c r="S518" t="str">
        <f>IF(Table1[prior_dna_count]&gt;=1,"Has prior DNA history","No prior DNA history")</f>
        <v>No prior DNA history</v>
      </c>
      <c r="T518" t="s">
        <v>39</v>
      </c>
      <c r="U518" t="str">
        <f t="shared" si="8"/>
        <v>1</v>
      </c>
      <c r="V518" t="str">
        <f>IF(Table1[appointment_status]="Attended","1","0")</f>
        <v>0</v>
      </c>
      <c r="W518" t="str">
        <f>IF(Table1[appointment_status]="Cancelled","1","0")</f>
        <v>0</v>
      </c>
    </row>
    <row r="519" spans="1:23">
      <c r="A519" t="s">
        <v>1015</v>
      </c>
      <c r="B519" t="s">
        <v>1016</v>
      </c>
      <c r="C519">
        <v>28</v>
      </c>
      <c r="D519" t="str" cm="1">
        <f t="array" ref="D519">_xlfn.IFS(Table1[[#This Row],[age]]&lt;=17,"0-17",C519&lt;=29,"18-29",C519&lt;=44,"30-44",C519&lt;=59,"45-59",C519&lt;=74,"60-74",TRUE,"75+")</f>
        <v>18-29</v>
      </c>
      <c r="E519" t="s">
        <v>17</v>
      </c>
      <c r="F519">
        <v>2</v>
      </c>
      <c r="G519" t="str" cm="1">
        <f t="array" ref="G519">_xlfn.IFS(_xlfn.SINGLE(Table1[imd_decile])&lt;=3,"Most Deprived",F519&lt;=7,"Moderately Deprived",F519&lt;=10,"Least Deprived")</f>
        <v>Most Deprived</v>
      </c>
      <c r="H519">
        <v>8.9</v>
      </c>
      <c r="I519" t="s">
        <v>58</v>
      </c>
      <c r="J519" t="s">
        <v>19</v>
      </c>
      <c r="K519" s="1">
        <v>45696</v>
      </c>
      <c r="L519" s="1">
        <v>45756</v>
      </c>
      <c r="M519" s="1" t="str">
        <f>TEXT(Table1[[#This Row],[appointment_date]],"MM/YYYY")</f>
        <v>04/2025</v>
      </c>
      <c r="N519">
        <v>60</v>
      </c>
      <c r="O519" t="str" cm="1">
        <f t="array" ref="O519">_xlfn.IFS(Table1[[#This Row],[lead_time_days]]&lt;=7,"0-7 days",N519&lt;=14,"8-14 days",N519&lt;=30,"15-30 days",N519&lt;=60,"31-60 days",TRUE,"61+ days")</f>
        <v>31-60 days</v>
      </c>
      <c r="P519" t="s">
        <v>80</v>
      </c>
      <c r="Q519" t="s">
        <v>32</v>
      </c>
      <c r="R519">
        <v>0</v>
      </c>
      <c r="S519" t="str">
        <f>IF(Table1[prior_dna_count]&gt;=1,"Has prior DNA history","No prior DNA history")</f>
        <v>No prior DNA history</v>
      </c>
      <c r="T519" t="s">
        <v>39</v>
      </c>
      <c r="U519" t="str">
        <f t="shared" si="8"/>
        <v>0</v>
      </c>
      <c r="V519" t="str">
        <f>IF(Table1[appointment_status]="Attended","1","0")</f>
        <v>0</v>
      </c>
      <c r="W519" t="str">
        <f>IF(Table1[appointment_status]="Cancelled","1","0")</f>
        <v>0</v>
      </c>
    </row>
    <row r="520" spans="1:23">
      <c r="A520" t="s">
        <v>1017</v>
      </c>
      <c r="B520" t="s">
        <v>1018</v>
      </c>
      <c r="C520">
        <v>67</v>
      </c>
      <c r="D520" t="str" cm="1">
        <f t="array" ref="D520">_xlfn.IFS(Table1[[#This Row],[age]]&lt;=17,"0-17",C520&lt;=29,"18-29",C520&lt;=44,"30-44",C520&lt;=59,"45-59",C520&lt;=74,"60-74",TRUE,"75+")</f>
        <v>60-74</v>
      </c>
      <c r="E520" t="s">
        <v>17</v>
      </c>
      <c r="F520">
        <v>9</v>
      </c>
      <c r="G520" t="str" cm="1">
        <f t="array" ref="G520">_xlfn.IFS(_xlfn.SINGLE(Table1[imd_decile])&lt;=3,"Most Deprived",F520&lt;=7,"Moderately Deprived",F520&lt;=10,"Least Deprived")</f>
        <v>Least Deprived</v>
      </c>
      <c r="H520">
        <v>3.5</v>
      </c>
      <c r="I520" t="s">
        <v>49</v>
      </c>
      <c r="J520" t="s">
        <v>26</v>
      </c>
      <c r="K520" s="1">
        <v>45713</v>
      </c>
      <c r="L520" s="1">
        <v>45756</v>
      </c>
      <c r="M520" s="1" t="str">
        <f>TEXT(Table1[[#This Row],[appointment_date]],"MM/YYYY")</f>
        <v>04/2025</v>
      </c>
      <c r="N520">
        <v>43</v>
      </c>
      <c r="O520" t="str" cm="1">
        <f t="array" ref="O520">_xlfn.IFS(Table1[[#This Row],[lead_time_days]]&lt;=7,"0-7 days",N520&lt;=14,"8-14 days",N520&lt;=30,"15-30 days",N520&lt;=60,"31-60 days",TRUE,"61+ days")</f>
        <v>31-60 days</v>
      </c>
      <c r="P520" t="s">
        <v>80</v>
      </c>
      <c r="Q520" t="s">
        <v>21</v>
      </c>
      <c r="R520">
        <v>0</v>
      </c>
      <c r="S520" t="str">
        <f>IF(Table1[prior_dna_count]&gt;=1,"Has prior DNA history","No prior DNA history")</f>
        <v>No prior DNA history</v>
      </c>
      <c r="T520" t="s">
        <v>22</v>
      </c>
      <c r="U520" t="str">
        <f t="shared" si="8"/>
        <v>0</v>
      </c>
      <c r="V520" t="str">
        <f>IF(Table1[appointment_status]="Attended","1","0")</f>
        <v>1</v>
      </c>
      <c r="W520" t="str">
        <f>IF(Table1[appointment_status]="Cancelled","1","0")</f>
        <v>0</v>
      </c>
    </row>
    <row r="521" spans="1:23">
      <c r="A521" t="s">
        <v>1019</v>
      </c>
      <c r="B521" t="s">
        <v>661</v>
      </c>
      <c r="C521">
        <v>23</v>
      </c>
      <c r="D521" t="str" cm="1">
        <f t="array" ref="D521">_xlfn.IFS(Table1[[#This Row],[age]]&lt;=17,"0-17",C521&lt;=29,"18-29",C521&lt;=44,"30-44",C521&lt;=59,"45-59",C521&lt;=74,"60-74",TRUE,"75+")</f>
        <v>18-29</v>
      </c>
      <c r="E521" t="s">
        <v>29</v>
      </c>
      <c r="F521">
        <v>1</v>
      </c>
      <c r="G521" t="str" cm="1">
        <f t="array" ref="G521">_xlfn.IFS(_xlfn.SINGLE(Table1[imd_decile])&lt;=3,"Most Deprived",F521&lt;=7,"Moderately Deprived",F521&lt;=10,"Least Deprived")</f>
        <v>Most Deprived</v>
      </c>
      <c r="H521">
        <v>4.5999999999999996</v>
      </c>
      <c r="I521" t="s">
        <v>155</v>
      </c>
      <c r="J521" t="s">
        <v>19</v>
      </c>
      <c r="K521" s="1">
        <v>45745</v>
      </c>
      <c r="L521" s="1">
        <v>45756</v>
      </c>
      <c r="M521" s="1" t="str">
        <f>TEXT(Table1[[#This Row],[appointment_date]],"MM/YYYY")</f>
        <v>04/2025</v>
      </c>
      <c r="N521">
        <v>11</v>
      </c>
      <c r="O521" t="str" cm="1">
        <f t="array" ref="O521">_xlfn.IFS(Table1[[#This Row],[lead_time_days]]&lt;=7,"0-7 days",N521&lt;=14,"8-14 days",N521&lt;=30,"15-30 days",N521&lt;=60,"31-60 days",TRUE,"61+ days")</f>
        <v>8-14 days</v>
      </c>
      <c r="P521" t="s">
        <v>80</v>
      </c>
      <c r="Q521" t="s">
        <v>21</v>
      </c>
      <c r="R521">
        <v>0</v>
      </c>
      <c r="S521" t="str">
        <f>IF(Table1[prior_dna_count]&gt;=1,"Has prior DNA history","No prior DNA history")</f>
        <v>No prior DNA history</v>
      </c>
      <c r="T521" t="s">
        <v>39</v>
      </c>
      <c r="U521" t="str">
        <f t="shared" si="8"/>
        <v>1</v>
      </c>
      <c r="V521" t="str">
        <f>IF(Table1[appointment_status]="Attended","1","0")</f>
        <v>0</v>
      </c>
      <c r="W521" t="str">
        <f>IF(Table1[appointment_status]="Cancelled","1","0")</f>
        <v>0</v>
      </c>
    </row>
    <row r="522" spans="1:23">
      <c r="A522" t="s">
        <v>1020</v>
      </c>
      <c r="B522" t="s">
        <v>665</v>
      </c>
      <c r="C522">
        <v>53</v>
      </c>
      <c r="D522" t="str" cm="1">
        <f t="array" ref="D522">_xlfn.IFS(Table1[[#This Row],[age]]&lt;=17,"0-17",C522&lt;=29,"18-29",C522&lt;=44,"30-44",C522&lt;=59,"45-59",C522&lt;=74,"60-74",TRUE,"75+")</f>
        <v>45-59</v>
      </c>
      <c r="E522" t="s">
        <v>29</v>
      </c>
      <c r="F522">
        <v>9</v>
      </c>
      <c r="G522" t="str" cm="1">
        <f t="array" ref="G522">_xlfn.IFS(_xlfn.SINGLE(Table1[imd_decile])&lt;=3,"Most Deprived",F522&lt;=7,"Moderately Deprived",F522&lt;=10,"Least Deprived")</f>
        <v>Least Deprived</v>
      </c>
      <c r="H522">
        <v>9.5</v>
      </c>
      <c r="I522" t="s">
        <v>42</v>
      </c>
      <c r="J522" t="s">
        <v>19</v>
      </c>
      <c r="K522" s="1">
        <v>45695</v>
      </c>
      <c r="L522" s="1">
        <v>45756</v>
      </c>
      <c r="M522" s="1" t="str">
        <f>TEXT(Table1[[#This Row],[appointment_date]],"MM/YYYY")</f>
        <v>04/2025</v>
      </c>
      <c r="N522">
        <v>61</v>
      </c>
      <c r="O522" t="str" cm="1">
        <f t="array" ref="O522">_xlfn.IFS(Table1[[#This Row],[lead_time_days]]&lt;=7,"0-7 days",N522&lt;=14,"8-14 days",N522&lt;=30,"15-30 days",N522&lt;=60,"31-60 days",TRUE,"61+ days")</f>
        <v>61+ days</v>
      </c>
      <c r="P522" t="s">
        <v>80</v>
      </c>
      <c r="Q522" t="s">
        <v>21</v>
      </c>
      <c r="R522">
        <v>0</v>
      </c>
      <c r="S522" t="str">
        <f>IF(Table1[prior_dna_count]&gt;=1,"Has prior DNA history","No prior DNA history")</f>
        <v>No prior DNA history</v>
      </c>
      <c r="T522" t="s">
        <v>39</v>
      </c>
      <c r="U522" t="str">
        <f t="shared" si="8"/>
        <v>0</v>
      </c>
      <c r="V522" t="str">
        <f>IF(Table1[appointment_status]="Attended","1","0")</f>
        <v>0</v>
      </c>
      <c r="W522" t="str">
        <f>IF(Table1[appointment_status]="Cancelled","1","0")</f>
        <v>0</v>
      </c>
    </row>
    <row r="523" spans="1:23">
      <c r="A523" t="s">
        <v>1021</v>
      </c>
      <c r="B523" t="s">
        <v>983</v>
      </c>
      <c r="C523">
        <v>33</v>
      </c>
      <c r="D523" t="str" cm="1">
        <f t="array" ref="D523">_xlfn.IFS(Table1[[#This Row],[age]]&lt;=17,"0-17",C523&lt;=29,"18-29",C523&lt;=44,"30-44",C523&lt;=59,"45-59",C523&lt;=74,"60-74",TRUE,"75+")</f>
        <v>30-44</v>
      </c>
      <c r="E523" t="s">
        <v>17</v>
      </c>
      <c r="F523">
        <v>3</v>
      </c>
      <c r="G523" t="str" cm="1">
        <f t="array" ref="G523">_xlfn.IFS(_xlfn.SINGLE(Table1[imd_decile])&lt;=3,"Most Deprived",F523&lt;=7,"Moderately Deprived",F523&lt;=10,"Least Deprived")</f>
        <v>Most Deprived</v>
      </c>
      <c r="H523">
        <v>6.9</v>
      </c>
      <c r="I523" t="s">
        <v>30</v>
      </c>
      <c r="J523" t="s">
        <v>19</v>
      </c>
      <c r="K523" s="1">
        <v>45745</v>
      </c>
      <c r="L523" s="1">
        <v>45757</v>
      </c>
      <c r="M523" s="1" t="str">
        <f>TEXT(Table1[[#This Row],[appointment_date]],"MM/YYYY")</f>
        <v>04/2025</v>
      </c>
      <c r="N523">
        <v>12</v>
      </c>
      <c r="O523" t="str" cm="1">
        <f t="array" ref="O523">_xlfn.IFS(Table1[[#This Row],[lead_time_days]]&lt;=7,"0-7 days",N523&lt;=14,"8-14 days",N523&lt;=30,"15-30 days",N523&lt;=60,"31-60 days",TRUE,"61+ days")</f>
        <v>8-14 days</v>
      </c>
      <c r="P523" t="s">
        <v>20</v>
      </c>
      <c r="Q523" t="s">
        <v>21</v>
      </c>
      <c r="R523">
        <v>0</v>
      </c>
      <c r="S523" t="str">
        <f>IF(Table1[prior_dna_count]&gt;=1,"Has prior DNA history","No prior DNA history")</f>
        <v>No prior DNA history</v>
      </c>
      <c r="T523" t="s">
        <v>22</v>
      </c>
      <c r="U523" t="str">
        <f t="shared" si="8"/>
        <v>0</v>
      </c>
      <c r="V523" t="str">
        <f>IF(Table1[appointment_status]="Attended","1","0")</f>
        <v>1</v>
      </c>
      <c r="W523" t="str">
        <f>IF(Table1[appointment_status]="Cancelled","1","0")</f>
        <v>0</v>
      </c>
    </row>
    <row r="524" spans="1:23">
      <c r="A524" t="s">
        <v>1022</v>
      </c>
      <c r="B524" t="s">
        <v>51</v>
      </c>
      <c r="C524">
        <v>17</v>
      </c>
      <c r="D524" t="str" cm="1">
        <f t="array" ref="D524">_xlfn.IFS(Table1[[#This Row],[age]]&lt;=17,"0-17",C524&lt;=29,"18-29",C524&lt;=44,"30-44",C524&lt;=59,"45-59",C524&lt;=74,"60-74",TRUE,"75+")</f>
        <v>0-17</v>
      </c>
      <c r="E524" t="s">
        <v>29</v>
      </c>
      <c r="F524">
        <v>6</v>
      </c>
      <c r="G524" t="str" cm="1">
        <f t="array" ref="G524">_xlfn.IFS(_xlfn.SINGLE(Table1[imd_decile])&lt;=3,"Most Deprived",F524&lt;=7,"Moderately Deprived",F524&lt;=10,"Least Deprived")</f>
        <v>Moderately Deprived</v>
      </c>
      <c r="H524">
        <v>17.7</v>
      </c>
      <c r="I524" t="s">
        <v>49</v>
      </c>
      <c r="J524" t="s">
        <v>19</v>
      </c>
      <c r="K524" s="1">
        <v>45729</v>
      </c>
      <c r="L524" s="1">
        <v>45757</v>
      </c>
      <c r="M524" s="1" t="str">
        <f>TEXT(Table1[[#This Row],[appointment_date]],"MM/YYYY")</f>
        <v>04/2025</v>
      </c>
      <c r="N524">
        <v>28</v>
      </c>
      <c r="O524" t="str" cm="1">
        <f t="array" ref="O524">_xlfn.IFS(Table1[[#This Row],[lead_time_days]]&lt;=7,"0-7 days",N524&lt;=14,"8-14 days",N524&lt;=30,"15-30 days",N524&lt;=60,"31-60 days",TRUE,"61+ days")</f>
        <v>15-30 days</v>
      </c>
      <c r="P524" t="s">
        <v>20</v>
      </c>
      <c r="Q524" t="s">
        <v>21</v>
      </c>
      <c r="R524">
        <v>0</v>
      </c>
      <c r="S524" t="str">
        <f>IF(Table1[prior_dna_count]&gt;=1,"Has prior DNA history","No prior DNA history")</f>
        <v>No prior DNA history</v>
      </c>
      <c r="T524" t="s">
        <v>22</v>
      </c>
      <c r="U524" t="str">
        <f t="shared" si="8"/>
        <v>1</v>
      </c>
      <c r="V524" t="str">
        <f>IF(Table1[appointment_status]="Attended","1","0")</f>
        <v>1</v>
      </c>
      <c r="W524" t="str">
        <f>IF(Table1[appointment_status]="Cancelled","1","0")</f>
        <v>0</v>
      </c>
    </row>
    <row r="525" spans="1:23">
      <c r="A525" t="s">
        <v>1023</v>
      </c>
      <c r="B525" t="s">
        <v>632</v>
      </c>
      <c r="C525">
        <v>43</v>
      </c>
      <c r="D525" t="str" cm="1">
        <f t="array" ref="D525">_xlfn.IFS(Table1[[#This Row],[age]]&lt;=17,"0-17",C525&lt;=29,"18-29",C525&lt;=44,"30-44",C525&lt;=59,"45-59",C525&lt;=74,"60-74",TRUE,"75+")</f>
        <v>30-44</v>
      </c>
      <c r="E525" t="s">
        <v>29</v>
      </c>
      <c r="F525">
        <v>1</v>
      </c>
      <c r="G525" t="str" cm="1">
        <f t="array" ref="G525">_xlfn.IFS(_xlfn.SINGLE(Table1[imd_decile])&lt;=3,"Most Deprived",F525&lt;=7,"Moderately Deprived",F525&lt;=10,"Least Deprived")</f>
        <v>Most Deprived</v>
      </c>
      <c r="H525">
        <v>8.3000000000000007</v>
      </c>
      <c r="I525" t="s">
        <v>38</v>
      </c>
      <c r="J525" t="s">
        <v>26</v>
      </c>
      <c r="K525" s="1">
        <v>45756</v>
      </c>
      <c r="L525" s="1">
        <v>45757</v>
      </c>
      <c r="M525" s="1" t="str">
        <f>TEXT(Table1[[#This Row],[appointment_date]],"MM/YYYY")</f>
        <v>04/2025</v>
      </c>
      <c r="N525">
        <v>1</v>
      </c>
      <c r="O525" t="str" cm="1">
        <f t="array" ref="O525">_xlfn.IFS(Table1[[#This Row],[lead_time_days]]&lt;=7,"0-7 days",N525&lt;=14,"8-14 days",N525&lt;=30,"15-30 days",N525&lt;=60,"31-60 days",TRUE,"61+ days")</f>
        <v>0-7 days</v>
      </c>
      <c r="P525" t="s">
        <v>20</v>
      </c>
      <c r="Q525" t="s">
        <v>21</v>
      </c>
      <c r="R525">
        <v>0</v>
      </c>
      <c r="S525" t="str">
        <f>IF(Table1[prior_dna_count]&gt;=1,"Has prior DNA history","No prior DNA history")</f>
        <v>No prior DNA history</v>
      </c>
      <c r="T525" t="s">
        <v>22</v>
      </c>
      <c r="U525" t="str">
        <f t="shared" si="8"/>
        <v>1</v>
      </c>
      <c r="V525" t="str">
        <f>IF(Table1[appointment_status]="Attended","1","0")</f>
        <v>1</v>
      </c>
      <c r="W525" t="str">
        <f>IF(Table1[appointment_status]="Cancelled","1","0")</f>
        <v>0</v>
      </c>
    </row>
    <row r="526" spans="1:23">
      <c r="A526" t="s">
        <v>1024</v>
      </c>
      <c r="B526" t="s">
        <v>1025</v>
      </c>
      <c r="C526">
        <v>45</v>
      </c>
      <c r="D526" t="str" cm="1">
        <f t="array" ref="D526">_xlfn.IFS(Table1[[#This Row],[age]]&lt;=17,"0-17",C526&lt;=29,"18-29",C526&lt;=44,"30-44",C526&lt;=59,"45-59",C526&lt;=74,"60-74",TRUE,"75+")</f>
        <v>45-59</v>
      </c>
      <c r="E526" t="s">
        <v>29</v>
      </c>
      <c r="F526">
        <v>5</v>
      </c>
      <c r="G526" t="str" cm="1">
        <f t="array" ref="G526">_xlfn.IFS(_xlfn.SINGLE(Table1[imd_decile])&lt;=3,"Most Deprived",F526&lt;=7,"Moderately Deprived",F526&lt;=10,"Least Deprived")</f>
        <v>Moderately Deprived</v>
      </c>
      <c r="H526">
        <v>9.3000000000000007</v>
      </c>
      <c r="I526" t="s">
        <v>91</v>
      </c>
      <c r="J526" t="s">
        <v>26</v>
      </c>
      <c r="K526" s="1">
        <v>45738</v>
      </c>
      <c r="L526" s="1">
        <v>45757</v>
      </c>
      <c r="M526" s="1" t="str">
        <f>TEXT(Table1[[#This Row],[appointment_date]],"MM/YYYY")</f>
        <v>04/2025</v>
      </c>
      <c r="N526">
        <v>19</v>
      </c>
      <c r="O526" t="str" cm="1">
        <f t="array" ref="O526">_xlfn.IFS(Table1[[#This Row],[lead_time_days]]&lt;=7,"0-7 days",N526&lt;=14,"8-14 days",N526&lt;=30,"15-30 days",N526&lt;=60,"31-60 days",TRUE,"61+ days")</f>
        <v>15-30 days</v>
      </c>
      <c r="P526" t="s">
        <v>20</v>
      </c>
      <c r="Q526" t="s">
        <v>32</v>
      </c>
      <c r="R526">
        <v>0</v>
      </c>
      <c r="S526" t="str">
        <f>IF(Table1[prior_dna_count]&gt;=1,"Has prior DNA history","No prior DNA history")</f>
        <v>No prior DNA history</v>
      </c>
      <c r="T526" t="s">
        <v>22</v>
      </c>
      <c r="U526" t="str">
        <f t="shared" si="8"/>
        <v>1</v>
      </c>
      <c r="V526" t="str">
        <f>IF(Table1[appointment_status]="Attended","1","0")</f>
        <v>1</v>
      </c>
      <c r="W526" t="str">
        <f>IF(Table1[appointment_status]="Cancelled","1","0")</f>
        <v>0</v>
      </c>
    </row>
    <row r="527" spans="1:23">
      <c r="A527" t="s">
        <v>1026</v>
      </c>
      <c r="B527" t="s">
        <v>1027</v>
      </c>
      <c r="C527">
        <v>31</v>
      </c>
      <c r="D527" t="str" cm="1">
        <f t="array" ref="D527">_xlfn.IFS(Table1[[#This Row],[age]]&lt;=17,"0-17",C527&lt;=29,"18-29",C527&lt;=44,"30-44",C527&lt;=59,"45-59",C527&lt;=74,"60-74",TRUE,"75+")</f>
        <v>30-44</v>
      </c>
      <c r="E527" t="s">
        <v>29</v>
      </c>
      <c r="F527">
        <v>3</v>
      </c>
      <c r="G527" t="str" cm="1">
        <f t="array" ref="G527">_xlfn.IFS(_xlfn.SINGLE(Table1[imd_decile])&lt;=3,"Most Deprived",F527&lt;=7,"Moderately Deprived",F527&lt;=10,"Least Deprived")</f>
        <v>Most Deprived</v>
      </c>
      <c r="H527">
        <v>14</v>
      </c>
      <c r="I527" t="s">
        <v>42</v>
      </c>
      <c r="J527" t="s">
        <v>19</v>
      </c>
      <c r="K527" s="1">
        <v>45729</v>
      </c>
      <c r="L527" s="1">
        <v>45757</v>
      </c>
      <c r="M527" s="1" t="str">
        <f>TEXT(Table1[[#This Row],[appointment_date]],"MM/YYYY")</f>
        <v>04/2025</v>
      </c>
      <c r="N527">
        <v>28</v>
      </c>
      <c r="O527" t="str" cm="1">
        <f t="array" ref="O527">_xlfn.IFS(Table1[[#This Row],[lead_time_days]]&lt;=7,"0-7 days",N527&lt;=14,"8-14 days",N527&lt;=30,"15-30 days",N527&lt;=60,"31-60 days",TRUE,"61+ days")</f>
        <v>15-30 days</v>
      </c>
      <c r="P527" t="s">
        <v>20</v>
      </c>
      <c r="Q527" t="s">
        <v>21</v>
      </c>
      <c r="R527">
        <v>0</v>
      </c>
      <c r="S527" t="str">
        <f>IF(Table1[prior_dna_count]&gt;=1,"Has prior DNA history","No prior DNA history")</f>
        <v>No prior DNA history</v>
      </c>
      <c r="T527" t="s">
        <v>22</v>
      </c>
      <c r="U527" t="str">
        <f t="shared" si="8"/>
        <v>1</v>
      </c>
      <c r="V527" t="str">
        <f>IF(Table1[appointment_status]="Attended","1","0")</f>
        <v>1</v>
      </c>
      <c r="W527" t="str">
        <f>IF(Table1[appointment_status]="Cancelled","1","0")</f>
        <v>0</v>
      </c>
    </row>
    <row r="528" spans="1:23">
      <c r="A528" t="s">
        <v>1028</v>
      </c>
      <c r="B528" t="s">
        <v>107</v>
      </c>
      <c r="C528">
        <v>48</v>
      </c>
      <c r="D528" t="str" cm="1">
        <f t="array" ref="D528">_xlfn.IFS(Table1[[#This Row],[age]]&lt;=17,"0-17",C528&lt;=29,"18-29",C528&lt;=44,"30-44",C528&lt;=59,"45-59",C528&lt;=74,"60-74",TRUE,"75+")</f>
        <v>45-59</v>
      </c>
      <c r="E528" t="s">
        <v>29</v>
      </c>
      <c r="F528">
        <v>2</v>
      </c>
      <c r="G528" t="str" cm="1">
        <f t="array" ref="G528">_xlfn.IFS(_xlfn.SINGLE(Table1[imd_decile])&lt;=3,"Most Deprived",F528&lt;=7,"Moderately Deprived",F528&lt;=10,"Least Deprived")</f>
        <v>Most Deprived</v>
      </c>
      <c r="H528">
        <v>3.2</v>
      </c>
      <c r="I528" t="s">
        <v>30</v>
      </c>
      <c r="J528" t="s">
        <v>19</v>
      </c>
      <c r="K528" s="1">
        <v>45742</v>
      </c>
      <c r="L528" s="1">
        <v>45757</v>
      </c>
      <c r="M528" s="1" t="str">
        <f>TEXT(Table1[[#This Row],[appointment_date]],"MM/YYYY")</f>
        <v>04/2025</v>
      </c>
      <c r="N528">
        <v>15</v>
      </c>
      <c r="O528" t="str" cm="1">
        <f t="array" ref="O528">_xlfn.IFS(Table1[[#This Row],[lead_time_days]]&lt;=7,"0-7 days",N528&lt;=14,"8-14 days",N528&lt;=30,"15-30 days",N528&lt;=60,"31-60 days",TRUE,"61+ days")</f>
        <v>15-30 days</v>
      </c>
      <c r="P528" t="s">
        <v>20</v>
      </c>
      <c r="Q528" t="s">
        <v>32</v>
      </c>
      <c r="R528">
        <v>1</v>
      </c>
      <c r="S528" t="str">
        <f>IF(Table1[prior_dna_count]&gt;=1,"Has prior DNA history","No prior DNA history")</f>
        <v>Has prior DNA history</v>
      </c>
      <c r="T528" t="s">
        <v>22</v>
      </c>
      <c r="U528" t="str">
        <f t="shared" si="8"/>
        <v>1</v>
      </c>
      <c r="V528" t="str">
        <f>IF(Table1[appointment_status]="Attended","1","0")</f>
        <v>1</v>
      </c>
      <c r="W528" t="str">
        <f>IF(Table1[appointment_status]="Cancelled","1","0")</f>
        <v>0</v>
      </c>
    </row>
    <row r="529" spans="1:23">
      <c r="A529" t="s">
        <v>1029</v>
      </c>
      <c r="B529" t="s">
        <v>440</v>
      </c>
      <c r="C529">
        <v>48</v>
      </c>
      <c r="D529" t="str" cm="1">
        <f t="array" ref="D529">_xlfn.IFS(Table1[[#This Row],[age]]&lt;=17,"0-17",C529&lt;=29,"18-29",C529&lt;=44,"30-44",C529&lt;=59,"45-59",C529&lt;=74,"60-74",TRUE,"75+")</f>
        <v>45-59</v>
      </c>
      <c r="E529" t="s">
        <v>29</v>
      </c>
      <c r="F529">
        <v>2</v>
      </c>
      <c r="G529" t="str" cm="1">
        <f t="array" ref="G529">_xlfn.IFS(_xlfn.SINGLE(Table1[imd_decile])&lt;=3,"Most Deprived",F529&lt;=7,"Moderately Deprived",F529&lt;=10,"Least Deprived")</f>
        <v>Most Deprived</v>
      </c>
      <c r="H529">
        <v>4.8</v>
      </c>
      <c r="I529" t="s">
        <v>91</v>
      </c>
      <c r="J529" t="s">
        <v>19</v>
      </c>
      <c r="K529" s="1">
        <v>45730</v>
      </c>
      <c r="L529" s="1">
        <v>45757</v>
      </c>
      <c r="M529" s="1" t="str">
        <f>TEXT(Table1[[#This Row],[appointment_date]],"MM/YYYY")</f>
        <v>04/2025</v>
      </c>
      <c r="N529">
        <v>27</v>
      </c>
      <c r="O529" t="str" cm="1">
        <f t="array" ref="O529">_xlfn.IFS(Table1[[#This Row],[lead_time_days]]&lt;=7,"0-7 days",N529&lt;=14,"8-14 days",N529&lt;=30,"15-30 days",N529&lt;=60,"31-60 days",TRUE,"61+ days")</f>
        <v>15-30 days</v>
      </c>
      <c r="P529" t="s">
        <v>20</v>
      </c>
      <c r="Q529" t="s">
        <v>21</v>
      </c>
      <c r="R529">
        <v>0</v>
      </c>
      <c r="S529" t="str">
        <f>IF(Table1[prior_dna_count]&gt;=1,"Has prior DNA history","No prior DNA history")</f>
        <v>No prior DNA history</v>
      </c>
      <c r="T529" t="s">
        <v>22</v>
      </c>
      <c r="U529" t="str">
        <f t="shared" si="8"/>
        <v>1</v>
      </c>
      <c r="V529" t="str">
        <f>IF(Table1[appointment_status]="Attended","1","0")</f>
        <v>1</v>
      </c>
      <c r="W529" t="str">
        <f>IF(Table1[appointment_status]="Cancelled","1","0")</f>
        <v>0</v>
      </c>
    </row>
    <row r="530" spans="1:23">
      <c r="A530" t="s">
        <v>1030</v>
      </c>
      <c r="B530" t="s">
        <v>1031</v>
      </c>
      <c r="C530">
        <v>67</v>
      </c>
      <c r="D530" t="str" cm="1">
        <f t="array" ref="D530">_xlfn.IFS(Table1[[#This Row],[age]]&lt;=17,"0-17",C530&lt;=29,"18-29",C530&lt;=44,"30-44",C530&lt;=59,"45-59",C530&lt;=74,"60-74",TRUE,"75+")</f>
        <v>60-74</v>
      </c>
      <c r="E530" t="s">
        <v>29</v>
      </c>
      <c r="F530">
        <v>9</v>
      </c>
      <c r="G530" t="str" cm="1">
        <f t="array" ref="G530">_xlfn.IFS(_xlfn.SINGLE(Table1[imd_decile])&lt;=3,"Most Deprived",F530&lt;=7,"Moderately Deprived",F530&lt;=10,"Least Deprived")</f>
        <v>Least Deprived</v>
      </c>
      <c r="H530">
        <v>13</v>
      </c>
      <c r="I530" t="s">
        <v>49</v>
      </c>
      <c r="J530" t="s">
        <v>19</v>
      </c>
      <c r="K530" s="1">
        <v>45720</v>
      </c>
      <c r="L530" s="1">
        <v>45757</v>
      </c>
      <c r="M530" s="1" t="str">
        <f>TEXT(Table1[[#This Row],[appointment_date]],"MM/YYYY")</f>
        <v>04/2025</v>
      </c>
      <c r="N530">
        <v>37</v>
      </c>
      <c r="O530" t="str" cm="1">
        <f t="array" ref="O530">_xlfn.IFS(Table1[[#This Row],[lead_time_days]]&lt;=7,"0-7 days",N530&lt;=14,"8-14 days",N530&lt;=30,"15-30 days",N530&lt;=60,"31-60 days",TRUE,"61+ days")</f>
        <v>31-60 days</v>
      </c>
      <c r="P530" t="s">
        <v>20</v>
      </c>
      <c r="Q530" t="s">
        <v>21</v>
      </c>
      <c r="R530">
        <v>0</v>
      </c>
      <c r="S530" t="str">
        <f>IF(Table1[prior_dna_count]&gt;=1,"Has prior DNA history","No prior DNA history")</f>
        <v>No prior DNA history</v>
      </c>
      <c r="T530" t="s">
        <v>22</v>
      </c>
      <c r="U530" t="str">
        <f t="shared" si="8"/>
        <v>1</v>
      </c>
      <c r="V530" t="str">
        <f>IF(Table1[appointment_status]="Attended","1","0")</f>
        <v>1</v>
      </c>
      <c r="W530" t="str">
        <f>IF(Table1[appointment_status]="Cancelled","1","0")</f>
        <v>0</v>
      </c>
    </row>
    <row r="531" spans="1:23">
      <c r="A531" t="s">
        <v>1032</v>
      </c>
      <c r="B531" t="s">
        <v>1033</v>
      </c>
      <c r="C531">
        <v>59</v>
      </c>
      <c r="D531" t="str" cm="1">
        <f t="array" ref="D531">_xlfn.IFS(Table1[[#This Row],[age]]&lt;=17,"0-17",C531&lt;=29,"18-29",C531&lt;=44,"30-44",C531&lt;=59,"45-59",C531&lt;=74,"60-74",TRUE,"75+")</f>
        <v>45-59</v>
      </c>
      <c r="E531" t="s">
        <v>17</v>
      </c>
      <c r="F531">
        <v>3</v>
      </c>
      <c r="G531" t="str" cm="1">
        <f t="array" ref="G531">_xlfn.IFS(_xlfn.SINGLE(Table1[imd_decile])&lt;=3,"Most Deprived",F531&lt;=7,"Moderately Deprived",F531&lt;=10,"Least Deprived")</f>
        <v>Most Deprived</v>
      </c>
      <c r="H531">
        <v>9.1999999999999993</v>
      </c>
      <c r="I531" t="s">
        <v>42</v>
      </c>
      <c r="J531" t="s">
        <v>19</v>
      </c>
      <c r="K531" s="1">
        <v>45720</v>
      </c>
      <c r="L531" s="1">
        <v>45757</v>
      </c>
      <c r="M531" s="1" t="str">
        <f>TEXT(Table1[[#This Row],[appointment_date]],"MM/YYYY")</f>
        <v>04/2025</v>
      </c>
      <c r="N531">
        <v>37</v>
      </c>
      <c r="O531" t="str" cm="1">
        <f t="array" ref="O531">_xlfn.IFS(Table1[[#This Row],[lead_time_days]]&lt;=7,"0-7 days",N531&lt;=14,"8-14 days",N531&lt;=30,"15-30 days",N531&lt;=60,"31-60 days",TRUE,"61+ days")</f>
        <v>31-60 days</v>
      </c>
      <c r="P531" t="s">
        <v>20</v>
      </c>
      <c r="Q531" t="s">
        <v>21</v>
      </c>
      <c r="R531">
        <v>0</v>
      </c>
      <c r="S531" t="str">
        <f>IF(Table1[prior_dna_count]&gt;=1,"Has prior DNA history","No prior DNA history")</f>
        <v>No prior DNA history</v>
      </c>
      <c r="T531" t="s">
        <v>46</v>
      </c>
      <c r="U531" t="str">
        <f t="shared" si="8"/>
        <v>1</v>
      </c>
      <c r="V531" t="str">
        <f>IF(Table1[appointment_status]="Attended","1","0")</f>
        <v>0</v>
      </c>
      <c r="W531" t="str">
        <f>IF(Table1[appointment_status]="Cancelled","1","0")</f>
        <v>1</v>
      </c>
    </row>
    <row r="532" spans="1:23">
      <c r="A532" t="s">
        <v>1034</v>
      </c>
      <c r="B532" t="s">
        <v>1035</v>
      </c>
      <c r="C532">
        <v>36</v>
      </c>
      <c r="D532" t="str" cm="1">
        <f t="array" ref="D532">_xlfn.IFS(Table1[[#This Row],[age]]&lt;=17,"0-17",C532&lt;=29,"18-29",C532&lt;=44,"30-44",C532&lt;=59,"45-59",C532&lt;=74,"60-74",TRUE,"75+")</f>
        <v>30-44</v>
      </c>
      <c r="E532" t="s">
        <v>17</v>
      </c>
      <c r="F532">
        <v>3</v>
      </c>
      <c r="G532" t="str" cm="1">
        <f t="array" ref="G532">_xlfn.IFS(_xlfn.SINGLE(Table1[imd_decile])&lt;=3,"Most Deprived",F532&lt;=7,"Moderately Deprived",F532&lt;=10,"Least Deprived")</f>
        <v>Most Deprived</v>
      </c>
      <c r="H532">
        <v>4.5999999999999996</v>
      </c>
      <c r="I532" t="s">
        <v>25</v>
      </c>
      <c r="J532" t="s">
        <v>19</v>
      </c>
      <c r="K532" s="1">
        <v>45726</v>
      </c>
      <c r="L532" s="1">
        <v>45758</v>
      </c>
      <c r="M532" s="1" t="str">
        <f>TEXT(Table1[[#This Row],[appointment_date]],"MM/YYYY")</f>
        <v>04/2025</v>
      </c>
      <c r="N532">
        <v>32</v>
      </c>
      <c r="O532" t="str" cm="1">
        <f t="array" ref="O532">_xlfn.IFS(Table1[[#This Row],[lead_time_days]]&lt;=7,"0-7 days",N532&lt;=14,"8-14 days",N532&lt;=30,"15-30 days",N532&lt;=60,"31-60 days",TRUE,"61+ days")</f>
        <v>31-60 days</v>
      </c>
      <c r="P532" t="s">
        <v>52</v>
      </c>
      <c r="Q532" t="s">
        <v>21</v>
      </c>
      <c r="R532">
        <v>0</v>
      </c>
      <c r="S532" t="str">
        <f>IF(Table1[prior_dna_count]&gt;=1,"Has prior DNA history","No prior DNA history")</f>
        <v>No prior DNA history</v>
      </c>
      <c r="T532" t="s">
        <v>22</v>
      </c>
      <c r="U532" t="str">
        <f t="shared" si="8"/>
        <v>0</v>
      </c>
      <c r="V532" t="str">
        <f>IF(Table1[appointment_status]="Attended","1","0")</f>
        <v>1</v>
      </c>
      <c r="W532" t="str">
        <f>IF(Table1[appointment_status]="Cancelled","1","0")</f>
        <v>0</v>
      </c>
    </row>
    <row r="533" spans="1:23">
      <c r="A533" t="s">
        <v>1036</v>
      </c>
      <c r="B533" t="s">
        <v>1037</v>
      </c>
      <c r="C533">
        <v>28</v>
      </c>
      <c r="D533" t="str" cm="1">
        <f t="array" ref="D533">_xlfn.IFS(Table1[[#This Row],[age]]&lt;=17,"0-17",C533&lt;=29,"18-29",C533&lt;=44,"30-44",C533&lt;=59,"45-59",C533&lt;=74,"60-74",TRUE,"75+")</f>
        <v>18-29</v>
      </c>
      <c r="E533" t="s">
        <v>17</v>
      </c>
      <c r="F533">
        <v>6</v>
      </c>
      <c r="G533" t="str" cm="1">
        <f t="array" ref="G533">_xlfn.IFS(_xlfn.SINGLE(Table1[imd_decile])&lt;=3,"Most Deprived",F533&lt;=7,"Moderately Deprived",F533&lt;=10,"Least Deprived")</f>
        <v>Moderately Deprived</v>
      </c>
      <c r="H533">
        <v>3.2</v>
      </c>
      <c r="I533" t="s">
        <v>38</v>
      </c>
      <c r="J533" t="s">
        <v>19</v>
      </c>
      <c r="K533" s="1">
        <v>45708</v>
      </c>
      <c r="L533" s="1">
        <v>45758</v>
      </c>
      <c r="M533" s="1" t="str">
        <f>TEXT(Table1[[#This Row],[appointment_date]],"MM/YYYY")</f>
        <v>04/2025</v>
      </c>
      <c r="N533">
        <v>50</v>
      </c>
      <c r="O533" t="str" cm="1">
        <f t="array" ref="O533">_xlfn.IFS(Table1[[#This Row],[lead_time_days]]&lt;=7,"0-7 days",N533&lt;=14,"8-14 days",N533&lt;=30,"15-30 days",N533&lt;=60,"31-60 days",TRUE,"61+ days")</f>
        <v>31-60 days</v>
      </c>
      <c r="P533" t="s">
        <v>52</v>
      </c>
      <c r="Q533" t="s">
        <v>21</v>
      </c>
      <c r="R533">
        <v>0</v>
      </c>
      <c r="S533" t="str">
        <f>IF(Table1[prior_dna_count]&gt;=1,"Has prior DNA history","No prior DNA history")</f>
        <v>No prior DNA history</v>
      </c>
      <c r="T533" t="s">
        <v>39</v>
      </c>
      <c r="U533" t="str">
        <f t="shared" si="8"/>
        <v>1</v>
      </c>
      <c r="V533" t="str">
        <f>IF(Table1[appointment_status]="Attended","1","0")</f>
        <v>0</v>
      </c>
      <c r="W533" t="str">
        <f>IF(Table1[appointment_status]="Cancelled","1","0")</f>
        <v>0</v>
      </c>
    </row>
    <row r="534" spans="1:23">
      <c r="A534" t="s">
        <v>1038</v>
      </c>
      <c r="B534" t="s">
        <v>1039</v>
      </c>
      <c r="C534">
        <v>58</v>
      </c>
      <c r="D534" t="str" cm="1">
        <f t="array" ref="D534">_xlfn.IFS(Table1[[#This Row],[age]]&lt;=17,"0-17",C534&lt;=29,"18-29",C534&lt;=44,"30-44",C534&lt;=59,"45-59",C534&lt;=74,"60-74",TRUE,"75+")</f>
        <v>45-59</v>
      </c>
      <c r="E534" t="s">
        <v>17</v>
      </c>
      <c r="F534">
        <v>1</v>
      </c>
      <c r="G534" t="str" cm="1">
        <f t="array" ref="G534">_xlfn.IFS(_xlfn.SINGLE(Table1[imd_decile])&lt;=3,"Most Deprived",F534&lt;=7,"Moderately Deprived",F534&lt;=10,"Least Deprived")</f>
        <v>Most Deprived</v>
      </c>
      <c r="H534">
        <v>3.6</v>
      </c>
      <c r="I534" t="s">
        <v>38</v>
      </c>
      <c r="J534" t="s">
        <v>26</v>
      </c>
      <c r="K534" s="1">
        <v>45743</v>
      </c>
      <c r="L534" s="1">
        <v>45758</v>
      </c>
      <c r="M534" s="1" t="str">
        <f>TEXT(Table1[[#This Row],[appointment_date]],"MM/YYYY")</f>
        <v>04/2025</v>
      </c>
      <c r="N534">
        <v>15</v>
      </c>
      <c r="O534" t="str" cm="1">
        <f t="array" ref="O534">_xlfn.IFS(Table1[[#This Row],[lead_time_days]]&lt;=7,"0-7 days",N534&lt;=14,"8-14 days",N534&lt;=30,"15-30 days",N534&lt;=60,"31-60 days",TRUE,"61+ days")</f>
        <v>15-30 days</v>
      </c>
      <c r="P534" t="s">
        <v>52</v>
      </c>
      <c r="Q534" t="s">
        <v>21</v>
      </c>
      <c r="R534">
        <v>0</v>
      </c>
      <c r="S534" t="str">
        <f>IF(Table1[prior_dna_count]&gt;=1,"Has prior DNA history","No prior DNA history")</f>
        <v>No prior DNA history</v>
      </c>
      <c r="T534" t="s">
        <v>46</v>
      </c>
      <c r="U534" t="str">
        <f t="shared" si="8"/>
        <v>0</v>
      </c>
      <c r="V534" t="str">
        <f>IF(Table1[appointment_status]="Attended","1","0")</f>
        <v>0</v>
      </c>
      <c r="W534" t="str">
        <f>IF(Table1[appointment_status]="Cancelled","1","0")</f>
        <v>1</v>
      </c>
    </row>
    <row r="535" spans="1:23">
      <c r="A535" t="s">
        <v>1040</v>
      </c>
      <c r="B535" t="s">
        <v>225</v>
      </c>
      <c r="C535">
        <v>53</v>
      </c>
      <c r="D535" t="str" cm="1">
        <f t="array" ref="D535">_xlfn.IFS(Table1[[#This Row],[age]]&lt;=17,"0-17",C535&lt;=29,"18-29",C535&lt;=44,"30-44",C535&lt;=59,"45-59",C535&lt;=74,"60-74",TRUE,"75+")</f>
        <v>45-59</v>
      </c>
      <c r="E535" t="s">
        <v>17</v>
      </c>
      <c r="F535">
        <v>1</v>
      </c>
      <c r="G535" t="str" cm="1">
        <f t="array" ref="G535">_xlfn.IFS(_xlfn.SINGLE(Table1[imd_decile])&lt;=3,"Most Deprived",F535&lt;=7,"Moderately Deprived",F535&lt;=10,"Least Deprived")</f>
        <v>Most Deprived</v>
      </c>
      <c r="H535">
        <v>5.0999999999999996</v>
      </c>
      <c r="I535" t="s">
        <v>18</v>
      </c>
      <c r="J535" t="s">
        <v>26</v>
      </c>
      <c r="K535" s="1">
        <v>45729</v>
      </c>
      <c r="L535" s="1">
        <v>45758</v>
      </c>
      <c r="M535" s="1" t="str">
        <f>TEXT(Table1[[#This Row],[appointment_date]],"MM/YYYY")</f>
        <v>04/2025</v>
      </c>
      <c r="N535">
        <v>29</v>
      </c>
      <c r="O535" t="str" cm="1">
        <f t="array" ref="O535">_xlfn.IFS(Table1[[#This Row],[lead_time_days]]&lt;=7,"0-7 days",N535&lt;=14,"8-14 days",N535&lt;=30,"15-30 days",N535&lt;=60,"31-60 days",TRUE,"61+ days")</f>
        <v>15-30 days</v>
      </c>
      <c r="P535" t="s">
        <v>52</v>
      </c>
      <c r="Q535" t="s">
        <v>21</v>
      </c>
      <c r="R535">
        <v>1</v>
      </c>
      <c r="S535" t="str">
        <f>IF(Table1[prior_dna_count]&gt;=1,"Has prior DNA history","No prior DNA history")</f>
        <v>Has prior DNA history</v>
      </c>
      <c r="T535" t="s">
        <v>22</v>
      </c>
      <c r="U535" t="str">
        <f t="shared" si="8"/>
        <v>0</v>
      </c>
      <c r="V535" t="str">
        <f>IF(Table1[appointment_status]="Attended","1","0")</f>
        <v>1</v>
      </c>
      <c r="W535" t="str">
        <f>IF(Table1[appointment_status]="Cancelled","1","0")</f>
        <v>0</v>
      </c>
    </row>
    <row r="536" spans="1:23">
      <c r="A536" t="s">
        <v>1041</v>
      </c>
      <c r="B536" t="s">
        <v>1042</v>
      </c>
      <c r="C536">
        <v>37</v>
      </c>
      <c r="D536" t="str" cm="1">
        <f t="array" ref="D536">_xlfn.IFS(Table1[[#This Row],[age]]&lt;=17,"0-17",C536&lt;=29,"18-29",C536&lt;=44,"30-44",C536&lt;=59,"45-59",C536&lt;=74,"60-74",TRUE,"75+")</f>
        <v>30-44</v>
      </c>
      <c r="E536" t="s">
        <v>17</v>
      </c>
      <c r="F536">
        <v>9</v>
      </c>
      <c r="G536" t="str" cm="1">
        <f t="array" ref="G536">_xlfn.IFS(_xlfn.SINGLE(Table1[imd_decile])&lt;=3,"Most Deprived",F536&lt;=7,"Moderately Deprived",F536&lt;=10,"Least Deprived")</f>
        <v>Least Deprived</v>
      </c>
      <c r="H536">
        <v>3.2</v>
      </c>
      <c r="I536" t="s">
        <v>49</v>
      </c>
      <c r="J536" t="s">
        <v>19</v>
      </c>
      <c r="K536" s="1">
        <v>45700</v>
      </c>
      <c r="L536" s="1">
        <v>45758</v>
      </c>
      <c r="M536" s="1" t="str">
        <f>TEXT(Table1[[#This Row],[appointment_date]],"MM/YYYY")</f>
        <v>04/2025</v>
      </c>
      <c r="N536">
        <v>58</v>
      </c>
      <c r="O536" t="str" cm="1">
        <f t="array" ref="O536">_xlfn.IFS(Table1[[#This Row],[lead_time_days]]&lt;=7,"0-7 days",N536&lt;=14,"8-14 days",N536&lt;=30,"15-30 days",N536&lt;=60,"31-60 days",TRUE,"61+ days")</f>
        <v>31-60 days</v>
      </c>
      <c r="P536" t="s">
        <v>52</v>
      </c>
      <c r="Q536" t="s">
        <v>21</v>
      </c>
      <c r="R536">
        <v>1</v>
      </c>
      <c r="S536" t="str">
        <f>IF(Table1[prior_dna_count]&gt;=1,"Has prior DNA history","No prior DNA history")</f>
        <v>Has prior DNA history</v>
      </c>
      <c r="T536" t="s">
        <v>22</v>
      </c>
      <c r="U536" t="str">
        <f t="shared" si="8"/>
        <v>1</v>
      </c>
      <c r="V536" t="str">
        <f>IF(Table1[appointment_status]="Attended","1","0")</f>
        <v>1</v>
      </c>
      <c r="W536" t="str">
        <f>IF(Table1[appointment_status]="Cancelled","1","0")</f>
        <v>0</v>
      </c>
    </row>
    <row r="537" spans="1:23">
      <c r="A537" t="s">
        <v>1043</v>
      </c>
      <c r="B537" t="s">
        <v>1044</v>
      </c>
      <c r="C537">
        <v>53</v>
      </c>
      <c r="D537" t="str" cm="1">
        <f t="array" ref="D537">_xlfn.IFS(Table1[[#This Row],[age]]&lt;=17,"0-17",C537&lt;=29,"18-29",C537&lt;=44,"30-44",C537&lt;=59,"45-59",C537&lt;=74,"60-74",TRUE,"75+")</f>
        <v>45-59</v>
      </c>
      <c r="E537" t="s">
        <v>17</v>
      </c>
      <c r="F537">
        <v>7</v>
      </c>
      <c r="G537" t="str" cm="1">
        <f t="array" ref="G537">_xlfn.IFS(_xlfn.SINGLE(Table1[imd_decile])&lt;=3,"Most Deprived",F537&lt;=7,"Moderately Deprived",F537&lt;=10,"Least Deprived")</f>
        <v>Moderately Deprived</v>
      </c>
      <c r="H537">
        <v>12.6</v>
      </c>
      <c r="I537" t="s">
        <v>45</v>
      </c>
      <c r="J537" t="s">
        <v>19</v>
      </c>
      <c r="K537" s="1">
        <v>45748</v>
      </c>
      <c r="L537" s="1">
        <v>45758</v>
      </c>
      <c r="M537" s="1" t="str">
        <f>TEXT(Table1[[#This Row],[appointment_date]],"MM/YYYY")</f>
        <v>04/2025</v>
      </c>
      <c r="N537">
        <v>10</v>
      </c>
      <c r="O537" t="str" cm="1">
        <f t="array" ref="O537">_xlfn.IFS(Table1[[#This Row],[lead_time_days]]&lt;=7,"0-7 days",N537&lt;=14,"8-14 days",N537&lt;=30,"15-30 days",N537&lt;=60,"31-60 days",TRUE,"61+ days")</f>
        <v>8-14 days</v>
      </c>
      <c r="P537" t="s">
        <v>52</v>
      </c>
      <c r="Q537" t="s">
        <v>32</v>
      </c>
      <c r="R537">
        <v>0</v>
      </c>
      <c r="S537" t="str">
        <f>IF(Table1[prior_dna_count]&gt;=1,"Has prior DNA history","No prior DNA history")</f>
        <v>No prior DNA history</v>
      </c>
      <c r="T537" t="s">
        <v>22</v>
      </c>
      <c r="U537" t="str">
        <f t="shared" si="8"/>
        <v>1</v>
      </c>
      <c r="V537" t="str">
        <f>IF(Table1[appointment_status]="Attended","1","0")</f>
        <v>1</v>
      </c>
      <c r="W537" t="str">
        <f>IF(Table1[appointment_status]="Cancelled","1","0")</f>
        <v>0</v>
      </c>
    </row>
    <row r="538" spans="1:23">
      <c r="A538" t="s">
        <v>1045</v>
      </c>
      <c r="B538" t="s">
        <v>617</v>
      </c>
      <c r="C538">
        <v>32</v>
      </c>
      <c r="D538" t="str" cm="1">
        <f t="array" ref="D538">_xlfn.IFS(Table1[[#This Row],[age]]&lt;=17,"0-17",C538&lt;=29,"18-29",C538&lt;=44,"30-44",C538&lt;=59,"45-59",C538&lt;=74,"60-74",TRUE,"75+")</f>
        <v>30-44</v>
      </c>
      <c r="E538" t="s">
        <v>17</v>
      </c>
      <c r="F538">
        <v>2</v>
      </c>
      <c r="G538" t="str" cm="1">
        <f t="array" ref="G538">_xlfn.IFS(_xlfn.SINGLE(Table1[imd_decile])&lt;=3,"Most Deprived",F538&lt;=7,"Moderately Deprived",F538&lt;=10,"Least Deprived")</f>
        <v>Most Deprived</v>
      </c>
      <c r="H538">
        <v>10.9</v>
      </c>
      <c r="I538" t="s">
        <v>30</v>
      </c>
      <c r="J538" t="s">
        <v>19</v>
      </c>
      <c r="K538" s="1">
        <v>45744</v>
      </c>
      <c r="L538" s="1">
        <v>45758</v>
      </c>
      <c r="M538" s="1" t="str">
        <f>TEXT(Table1[[#This Row],[appointment_date]],"MM/YYYY")</f>
        <v>04/2025</v>
      </c>
      <c r="N538">
        <v>14</v>
      </c>
      <c r="O538" t="str" cm="1">
        <f t="array" ref="O538">_xlfn.IFS(Table1[[#This Row],[lead_time_days]]&lt;=7,"0-7 days",N538&lt;=14,"8-14 days",N538&lt;=30,"15-30 days",N538&lt;=60,"31-60 days",TRUE,"61+ days")</f>
        <v>8-14 days</v>
      </c>
      <c r="P538" t="s">
        <v>52</v>
      </c>
      <c r="Q538" t="s">
        <v>32</v>
      </c>
      <c r="R538">
        <v>0</v>
      </c>
      <c r="S538" t="str">
        <f>IF(Table1[prior_dna_count]&gt;=1,"Has prior DNA history","No prior DNA history")</f>
        <v>No prior DNA history</v>
      </c>
      <c r="T538" t="s">
        <v>39</v>
      </c>
      <c r="U538" t="str">
        <f t="shared" si="8"/>
        <v>1</v>
      </c>
      <c r="V538" t="str">
        <f>IF(Table1[appointment_status]="Attended","1","0")</f>
        <v>0</v>
      </c>
      <c r="W538" t="str">
        <f>IF(Table1[appointment_status]="Cancelled","1","0")</f>
        <v>0</v>
      </c>
    </row>
    <row r="539" spans="1:23">
      <c r="A539" t="s">
        <v>1046</v>
      </c>
      <c r="B539" t="s">
        <v>1047</v>
      </c>
      <c r="C539">
        <v>48</v>
      </c>
      <c r="D539" t="str" cm="1">
        <f t="array" ref="D539">_xlfn.IFS(Table1[[#This Row],[age]]&lt;=17,"0-17",C539&lt;=29,"18-29",C539&lt;=44,"30-44",C539&lt;=59,"45-59",C539&lt;=74,"60-74",TRUE,"75+")</f>
        <v>45-59</v>
      </c>
      <c r="E539" t="s">
        <v>29</v>
      </c>
      <c r="F539">
        <v>10</v>
      </c>
      <c r="G539" t="str" cm="1">
        <f t="array" ref="G539">_xlfn.IFS(_xlfn.SINGLE(Table1[imd_decile])&lt;=3,"Most Deprived",F539&lt;=7,"Moderately Deprived",F539&lt;=10,"Least Deprived")</f>
        <v>Least Deprived</v>
      </c>
      <c r="H539">
        <v>13.5</v>
      </c>
      <c r="I539" t="s">
        <v>30</v>
      </c>
      <c r="J539" t="s">
        <v>26</v>
      </c>
      <c r="K539" s="1">
        <v>45748</v>
      </c>
      <c r="L539" s="1">
        <v>45758</v>
      </c>
      <c r="M539" s="1" t="str">
        <f>TEXT(Table1[[#This Row],[appointment_date]],"MM/YYYY")</f>
        <v>04/2025</v>
      </c>
      <c r="N539">
        <v>10</v>
      </c>
      <c r="O539" t="str" cm="1">
        <f t="array" ref="O539">_xlfn.IFS(Table1[[#This Row],[lead_time_days]]&lt;=7,"0-7 days",N539&lt;=14,"8-14 days",N539&lt;=30,"15-30 days",N539&lt;=60,"31-60 days",TRUE,"61+ days")</f>
        <v>8-14 days</v>
      </c>
      <c r="P539" t="s">
        <v>52</v>
      </c>
      <c r="Q539" t="s">
        <v>32</v>
      </c>
      <c r="R539">
        <v>0</v>
      </c>
      <c r="S539" t="str">
        <f>IF(Table1[prior_dna_count]&gt;=1,"Has prior DNA history","No prior DNA history")</f>
        <v>No prior DNA history</v>
      </c>
      <c r="T539" t="s">
        <v>22</v>
      </c>
      <c r="U539" t="str">
        <f t="shared" si="8"/>
        <v>0</v>
      </c>
      <c r="V539" t="str">
        <f>IF(Table1[appointment_status]="Attended","1","0")</f>
        <v>1</v>
      </c>
      <c r="W539" t="str">
        <f>IF(Table1[appointment_status]="Cancelled","1","0")</f>
        <v>0</v>
      </c>
    </row>
    <row r="540" spans="1:23">
      <c r="A540" t="s">
        <v>1048</v>
      </c>
      <c r="B540" t="s">
        <v>531</v>
      </c>
      <c r="C540">
        <v>26</v>
      </c>
      <c r="D540" t="str" cm="1">
        <f t="array" ref="D540">_xlfn.IFS(Table1[[#This Row],[age]]&lt;=17,"0-17",C540&lt;=29,"18-29",C540&lt;=44,"30-44",C540&lt;=59,"45-59",C540&lt;=74,"60-74",TRUE,"75+")</f>
        <v>18-29</v>
      </c>
      <c r="E540" t="s">
        <v>29</v>
      </c>
      <c r="F540">
        <v>5</v>
      </c>
      <c r="G540" t="str" cm="1">
        <f t="array" ref="G540">_xlfn.IFS(_xlfn.SINGLE(Table1[imd_decile])&lt;=3,"Most Deprived",F540&lt;=7,"Moderately Deprived",F540&lt;=10,"Least Deprived")</f>
        <v>Moderately Deprived</v>
      </c>
      <c r="H540">
        <v>1.8</v>
      </c>
      <c r="I540" t="s">
        <v>25</v>
      </c>
      <c r="J540" t="s">
        <v>19</v>
      </c>
      <c r="K540" s="1">
        <v>45717</v>
      </c>
      <c r="L540" s="1">
        <v>45758</v>
      </c>
      <c r="M540" s="1" t="str">
        <f>TEXT(Table1[[#This Row],[appointment_date]],"MM/YYYY")</f>
        <v>04/2025</v>
      </c>
      <c r="N540">
        <v>41</v>
      </c>
      <c r="O540" t="str" cm="1">
        <f t="array" ref="O540">_xlfn.IFS(Table1[[#This Row],[lead_time_days]]&lt;=7,"0-7 days",N540&lt;=14,"8-14 days",N540&lt;=30,"15-30 days",N540&lt;=60,"31-60 days",TRUE,"61+ days")</f>
        <v>31-60 days</v>
      </c>
      <c r="P540" t="s">
        <v>52</v>
      </c>
      <c r="Q540" t="s">
        <v>32</v>
      </c>
      <c r="R540">
        <v>0</v>
      </c>
      <c r="S540" t="str">
        <f>IF(Table1[prior_dna_count]&gt;=1,"Has prior DNA history","No prior DNA history")</f>
        <v>No prior DNA history</v>
      </c>
      <c r="T540" t="s">
        <v>22</v>
      </c>
      <c r="U540" t="str">
        <f t="shared" si="8"/>
        <v>1</v>
      </c>
      <c r="V540" t="str">
        <f>IF(Table1[appointment_status]="Attended","1","0")</f>
        <v>1</v>
      </c>
      <c r="W540" t="str">
        <f>IF(Table1[appointment_status]="Cancelled","1","0")</f>
        <v>0</v>
      </c>
    </row>
    <row r="541" spans="1:23">
      <c r="A541" t="s">
        <v>1049</v>
      </c>
      <c r="B541" t="s">
        <v>719</v>
      </c>
      <c r="C541">
        <v>37</v>
      </c>
      <c r="D541" t="str" cm="1">
        <f t="array" ref="D541">_xlfn.IFS(Table1[[#This Row],[age]]&lt;=17,"0-17",C541&lt;=29,"18-29",C541&lt;=44,"30-44",C541&lt;=59,"45-59",C541&lt;=74,"60-74",TRUE,"75+")</f>
        <v>30-44</v>
      </c>
      <c r="E541" t="s">
        <v>17</v>
      </c>
      <c r="F541">
        <v>2</v>
      </c>
      <c r="G541" t="str" cm="1">
        <f t="array" ref="G541">_xlfn.IFS(_xlfn.SINGLE(Table1[imd_decile])&lt;=3,"Most Deprived",F541&lt;=7,"Moderately Deprived",F541&lt;=10,"Least Deprived")</f>
        <v>Most Deprived</v>
      </c>
      <c r="H541">
        <v>17.7</v>
      </c>
      <c r="I541" t="s">
        <v>58</v>
      </c>
      <c r="J541" t="s">
        <v>19</v>
      </c>
      <c r="K541" s="1">
        <v>45724</v>
      </c>
      <c r="L541" s="1">
        <v>45759</v>
      </c>
      <c r="M541" s="1" t="str">
        <f>TEXT(Table1[[#This Row],[appointment_date]],"MM/YYYY")</f>
        <v>04/2025</v>
      </c>
      <c r="N541">
        <v>35</v>
      </c>
      <c r="O541" t="str" cm="1">
        <f t="array" ref="O541">_xlfn.IFS(Table1[[#This Row],[lead_time_days]]&lt;=7,"0-7 days",N541&lt;=14,"8-14 days",N541&lt;=30,"15-30 days",N541&lt;=60,"31-60 days",TRUE,"61+ days")</f>
        <v>31-60 days</v>
      </c>
      <c r="P541" t="s">
        <v>55</v>
      </c>
      <c r="Q541" t="s">
        <v>21</v>
      </c>
      <c r="R541">
        <v>0</v>
      </c>
      <c r="S541" t="str">
        <f>IF(Table1[prior_dna_count]&gt;=1,"Has prior DNA history","No prior DNA history")</f>
        <v>No prior DNA history</v>
      </c>
      <c r="T541" t="s">
        <v>22</v>
      </c>
      <c r="U541" t="str">
        <f t="shared" si="8"/>
        <v>1</v>
      </c>
      <c r="V541" t="str">
        <f>IF(Table1[appointment_status]="Attended","1","0")</f>
        <v>1</v>
      </c>
      <c r="W541" t="str">
        <f>IF(Table1[appointment_status]="Cancelled","1","0")</f>
        <v>0</v>
      </c>
    </row>
    <row r="542" spans="1:23">
      <c r="A542" t="s">
        <v>1050</v>
      </c>
      <c r="B542" t="s">
        <v>1051</v>
      </c>
      <c r="C542">
        <v>19</v>
      </c>
      <c r="D542" t="str" cm="1">
        <f t="array" ref="D542">_xlfn.IFS(Table1[[#This Row],[age]]&lt;=17,"0-17",C542&lt;=29,"18-29",C542&lt;=44,"30-44",C542&lt;=59,"45-59",C542&lt;=74,"60-74",TRUE,"75+")</f>
        <v>18-29</v>
      </c>
      <c r="E542" t="s">
        <v>17</v>
      </c>
      <c r="F542">
        <v>6</v>
      </c>
      <c r="G542" t="str" cm="1">
        <f t="array" ref="G542">_xlfn.IFS(_xlfn.SINGLE(Table1[imd_decile])&lt;=3,"Most Deprived",F542&lt;=7,"Moderately Deprived",F542&lt;=10,"Least Deprived")</f>
        <v>Moderately Deprived</v>
      </c>
      <c r="H542">
        <v>1.9</v>
      </c>
      <c r="I542" t="s">
        <v>30</v>
      </c>
      <c r="J542" t="s">
        <v>26</v>
      </c>
      <c r="K542" s="1">
        <v>45735</v>
      </c>
      <c r="L542" s="1">
        <v>45759</v>
      </c>
      <c r="M542" s="1" t="str">
        <f>TEXT(Table1[[#This Row],[appointment_date]],"MM/YYYY")</f>
        <v>04/2025</v>
      </c>
      <c r="N542">
        <v>24</v>
      </c>
      <c r="O542" t="str" cm="1">
        <f t="array" ref="O542">_xlfn.IFS(Table1[[#This Row],[lead_time_days]]&lt;=7,"0-7 days",N542&lt;=14,"8-14 days",N542&lt;=30,"15-30 days",N542&lt;=60,"31-60 days",TRUE,"61+ days")</f>
        <v>15-30 days</v>
      </c>
      <c r="P542" t="s">
        <v>55</v>
      </c>
      <c r="Q542" t="s">
        <v>32</v>
      </c>
      <c r="R542">
        <v>0</v>
      </c>
      <c r="S542" t="str">
        <f>IF(Table1[prior_dna_count]&gt;=1,"Has prior DNA history","No prior DNA history")</f>
        <v>No prior DNA history</v>
      </c>
      <c r="T542" t="s">
        <v>46</v>
      </c>
      <c r="U542" t="str">
        <f t="shared" si="8"/>
        <v>1</v>
      </c>
      <c r="V542" t="str">
        <f>IF(Table1[appointment_status]="Attended","1","0")</f>
        <v>0</v>
      </c>
      <c r="W542" t="str">
        <f>IF(Table1[appointment_status]="Cancelled","1","0")</f>
        <v>1</v>
      </c>
    </row>
    <row r="543" spans="1:23">
      <c r="A543" t="s">
        <v>1052</v>
      </c>
      <c r="B543" t="s">
        <v>1053</v>
      </c>
      <c r="C543">
        <v>55</v>
      </c>
      <c r="D543" t="str" cm="1">
        <f t="array" ref="D543">_xlfn.IFS(Table1[[#This Row],[age]]&lt;=17,"0-17",C543&lt;=29,"18-29",C543&lt;=44,"30-44",C543&lt;=59,"45-59",C543&lt;=74,"60-74",TRUE,"75+")</f>
        <v>45-59</v>
      </c>
      <c r="E543" t="s">
        <v>29</v>
      </c>
      <c r="F543">
        <v>8</v>
      </c>
      <c r="G543" t="str" cm="1">
        <f t="array" ref="G543">_xlfn.IFS(_xlfn.SINGLE(Table1[imd_decile])&lt;=3,"Most Deprived",F543&lt;=7,"Moderately Deprived",F543&lt;=10,"Least Deprived")</f>
        <v>Least Deprived</v>
      </c>
      <c r="H543">
        <v>2.9</v>
      </c>
      <c r="I543" t="s">
        <v>58</v>
      </c>
      <c r="J543" t="s">
        <v>19</v>
      </c>
      <c r="K543" s="1">
        <v>45704</v>
      </c>
      <c r="L543" s="1">
        <v>45759</v>
      </c>
      <c r="M543" s="1" t="str">
        <f>TEXT(Table1[[#This Row],[appointment_date]],"MM/YYYY")</f>
        <v>04/2025</v>
      </c>
      <c r="N543">
        <v>55</v>
      </c>
      <c r="O543" t="str" cm="1">
        <f t="array" ref="O543">_xlfn.IFS(Table1[[#This Row],[lead_time_days]]&lt;=7,"0-7 days",N543&lt;=14,"8-14 days",N543&lt;=30,"15-30 days",N543&lt;=60,"31-60 days",TRUE,"61+ days")</f>
        <v>31-60 days</v>
      </c>
      <c r="P543" t="s">
        <v>55</v>
      </c>
      <c r="Q543" t="s">
        <v>32</v>
      </c>
      <c r="R543">
        <v>0</v>
      </c>
      <c r="S543" t="str">
        <f>IF(Table1[prior_dna_count]&gt;=1,"Has prior DNA history","No prior DNA history")</f>
        <v>No prior DNA history</v>
      </c>
      <c r="T543" t="s">
        <v>22</v>
      </c>
      <c r="U543" t="str">
        <f t="shared" si="8"/>
        <v>0</v>
      </c>
      <c r="V543" t="str">
        <f>IF(Table1[appointment_status]="Attended","1","0")</f>
        <v>1</v>
      </c>
      <c r="W543" t="str">
        <f>IF(Table1[appointment_status]="Cancelled","1","0")</f>
        <v>0</v>
      </c>
    </row>
    <row r="544" spans="1:23">
      <c r="A544" t="s">
        <v>1054</v>
      </c>
      <c r="B544" t="s">
        <v>1055</v>
      </c>
      <c r="C544">
        <v>32</v>
      </c>
      <c r="D544" t="str" cm="1">
        <f t="array" ref="D544">_xlfn.IFS(Table1[[#This Row],[age]]&lt;=17,"0-17",C544&lt;=29,"18-29",C544&lt;=44,"30-44",C544&lt;=59,"45-59",C544&lt;=74,"60-74",TRUE,"75+")</f>
        <v>30-44</v>
      </c>
      <c r="E544" t="s">
        <v>29</v>
      </c>
      <c r="F544">
        <v>9</v>
      </c>
      <c r="G544" t="str" cm="1">
        <f t="array" ref="G544">_xlfn.IFS(_xlfn.SINGLE(Table1[imd_decile])&lt;=3,"Most Deprived",F544&lt;=7,"Moderately Deprived",F544&lt;=10,"Least Deprived")</f>
        <v>Least Deprived</v>
      </c>
      <c r="H544">
        <v>11.1</v>
      </c>
      <c r="I544" t="s">
        <v>155</v>
      </c>
      <c r="J544" t="s">
        <v>19</v>
      </c>
      <c r="K544" s="1">
        <v>45738</v>
      </c>
      <c r="L544" s="1">
        <v>45759</v>
      </c>
      <c r="M544" s="1" t="str">
        <f>TEXT(Table1[[#This Row],[appointment_date]],"MM/YYYY")</f>
        <v>04/2025</v>
      </c>
      <c r="N544">
        <v>21</v>
      </c>
      <c r="O544" t="str" cm="1">
        <f t="array" ref="O544">_xlfn.IFS(Table1[[#This Row],[lead_time_days]]&lt;=7,"0-7 days",N544&lt;=14,"8-14 days",N544&lt;=30,"15-30 days",N544&lt;=60,"31-60 days",TRUE,"61+ days")</f>
        <v>15-30 days</v>
      </c>
      <c r="P544" t="s">
        <v>55</v>
      </c>
      <c r="Q544" t="s">
        <v>21</v>
      </c>
      <c r="R544">
        <v>0</v>
      </c>
      <c r="S544" t="str">
        <f>IF(Table1[prior_dna_count]&gt;=1,"Has prior DNA history","No prior DNA history")</f>
        <v>No prior DNA history</v>
      </c>
      <c r="T544" t="s">
        <v>22</v>
      </c>
      <c r="U544" t="str">
        <f t="shared" si="8"/>
        <v>1</v>
      </c>
      <c r="V544" t="str">
        <f>IF(Table1[appointment_status]="Attended","1","0")</f>
        <v>1</v>
      </c>
      <c r="W544" t="str">
        <f>IF(Table1[appointment_status]="Cancelled","1","0")</f>
        <v>0</v>
      </c>
    </row>
    <row r="545" spans="1:23">
      <c r="A545" t="s">
        <v>1056</v>
      </c>
      <c r="B545" t="s">
        <v>1057</v>
      </c>
      <c r="C545">
        <v>46</v>
      </c>
      <c r="D545" t="str" cm="1">
        <f t="array" ref="D545">_xlfn.IFS(Table1[[#This Row],[age]]&lt;=17,"0-17",C545&lt;=29,"18-29",C545&lt;=44,"30-44",C545&lt;=59,"45-59",C545&lt;=74,"60-74",TRUE,"75+")</f>
        <v>45-59</v>
      </c>
      <c r="E545" t="s">
        <v>17</v>
      </c>
      <c r="F545">
        <v>6</v>
      </c>
      <c r="G545" t="str" cm="1">
        <f t="array" ref="G545">_xlfn.IFS(_xlfn.SINGLE(Table1[imd_decile])&lt;=3,"Most Deprived",F545&lt;=7,"Moderately Deprived",F545&lt;=10,"Least Deprived")</f>
        <v>Moderately Deprived</v>
      </c>
      <c r="H545">
        <v>6.8</v>
      </c>
      <c r="I545" t="s">
        <v>155</v>
      </c>
      <c r="J545" t="s">
        <v>26</v>
      </c>
      <c r="K545" s="1">
        <v>45739</v>
      </c>
      <c r="L545" s="1">
        <v>45759</v>
      </c>
      <c r="M545" s="1" t="str">
        <f>TEXT(Table1[[#This Row],[appointment_date]],"MM/YYYY")</f>
        <v>04/2025</v>
      </c>
      <c r="N545">
        <v>20</v>
      </c>
      <c r="O545" t="str" cm="1">
        <f t="array" ref="O545">_xlfn.IFS(Table1[[#This Row],[lead_time_days]]&lt;=7,"0-7 days",N545&lt;=14,"8-14 days",N545&lt;=30,"15-30 days",N545&lt;=60,"31-60 days",TRUE,"61+ days")</f>
        <v>15-30 days</v>
      </c>
      <c r="P545" t="s">
        <v>55</v>
      </c>
      <c r="Q545" t="s">
        <v>21</v>
      </c>
      <c r="R545">
        <v>0</v>
      </c>
      <c r="S545" t="str">
        <f>IF(Table1[prior_dna_count]&gt;=1,"Has prior DNA history","No prior DNA history")</f>
        <v>No prior DNA history</v>
      </c>
      <c r="T545" t="s">
        <v>22</v>
      </c>
      <c r="U545" t="str">
        <f t="shared" si="8"/>
        <v>1</v>
      </c>
      <c r="V545" t="str">
        <f>IF(Table1[appointment_status]="Attended","1","0")</f>
        <v>1</v>
      </c>
      <c r="W545" t="str">
        <f>IF(Table1[appointment_status]="Cancelled","1","0")</f>
        <v>0</v>
      </c>
    </row>
    <row r="546" spans="1:23">
      <c r="A546" t="s">
        <v>1058</v>
      </c>
      <c r="B546" t="s">
        <v>1059</v>
      </c>
      <c r="C546">
        <v>78</v>
      </c>
      <c r="D546" t="str" cm="1">
        <f t="array" ref="D546">_xlfn.IFS(Table1[[#This Row],[age]]&lt;=17,"0-17",C546&lt;=29,"18-29",C546&lt;=44,"30-44",C546&lt;=59,"45-59",C546&lt;=74,"60-74",TRUE,"75+")</f>
        <v>75+</v>
      </c>
      <c r="E546" t="s">
        <v>29</v>
      </c>
      <c r="F546">
        <v>2</v>
      </c>
      <c r="G546" t="str" cm="1">
        <f t="array" ref="G546">_xlfn.IFS(_xlfn.SINGLE(Table1[imd_decile])&lt;=3,"Most Deprived",F546&lt;=7,"Moderately Deprived",F546&lt;=10,"Least Deprived")</f>
        <v>Most Deprived</v>
      </c>
      <c r="H546">
        <v>7.1</v>
      </c>
      <c r="I546" t="s">
        <v>38</v>
      </c>
      <c r="J546" t="s">
        <v>19</v>
      </c>
      <c r="K546" s="1">
        <v>45738</v>
      </c>
      <c r="L546" s="1">
        <v>45759</v>
      </c>
      <c r="M546" s="1" t="str">
        <f>TEXT(Table1[[#This Row],[appointment_date]],"MM/YYYY")</f>
        <v>04/2025</v>
      </c>
      <c r="N546">
        <v>21</v>
      </c>
      <c r="O546" t="str" cm="1">
        <f t="array" ref="O546">_xlfn.IFS(Table1[[#This Row],[lead_time_days]]&lt;=7,"0-7 days",N546&lt;=14,"8-14 days",N546&lt;=30,"15-30 days",N546&lt;=60,"31-60 days",TRUE,"61+ days")</f>
        <v>15-30 days</v>
      </c>
      <c r="P546" t="s">
        <v>55</v>
      </c>
      <c r="Q546" t="s">
        <v>21</v>
      </c>
      <c r="R546">
        <v>0</v>
      </c>
      <c r="S546" t="str">
        <f>IF(Table1[prior_dna_count]&gt;=1,"Has prior DNA history","No prior DNA history")</f>
        <v>No prior DNA history</v>
      </c>
      <c r="T546" t="s">
        <v>22</v>
      </c>
      <c r="U546" t="str">
        <f t="shared" si="8"/>
        <v>1</v>
      </c>
      <c r="V546" t="str">
        <f>IF(Table1[appointment_status]="Attended","1","0")</f>
        <v>1</v>
      </c>
      <c r="W546" t="str">
        <f>IF(Table1[appointment_status]="Cancelled","1","0")</f>
        <v>0</v>
      </c>
    </row>
    <row r="547" spans="1:23">
      <c r="A547" t="s">
        <v>1060</v>
      </c>
      <c r="B547" t="s">
        <v>276</v>
      </c>
      <c r="C547">
        <v>44</v>
      </c>
      <c r="D547" t="str" cm="1">
        <f t="array" ref="D547">_xlfn.IFS(Table1[[#This Row],[age]]&lt;=17,"0-17",C547&lt;=29,"18-29",C547&lt;=44,"30-44",C547&lt;=59,"45-59",C547&lt;=74,"60-74",TRUE,"75+")</f>
        <v>30-44</v>
      </c>
      <c r="E547" t="s">
        <v>29</v>
      </c>
      <c r="F547">
        <v>4</v>
      </c>
      <c r="G547" t="str" cm="1">
        <f t="array" ref="G547">_xlfn.IFS(_xlfn.SINGLE(Table1[imd_decile])&lt;=3,"Most Deprived",F547&lt;=7,"Moderately Deprived",F547&lt;=10,"Least Deprived")</f>
        <v>Moderately Deprived</v>
      </c>
      <c r="H547">
        <v>7.1</v>
      </c>
      <c r="I547" t="s">
        <v>18</v>
      </c>
      <c r="J547" t="s">
        <v>26</v>
      </c>
      <c r="K547" s="1">
        <v>45744</v>
      </c>
      <c r="L547" s="1">
        <v>45760</v>
      </c>
      <c r="M547" s="1" t="str">
        <f>TEXT(Table1[[#This Row],[appointment_date]],"MM/YYYY")</f>
        <v>04/2025</v>
      </c>
      <c r="N547">
        <v>16</v>
      </c>
      <c r="O547" t="str" cm="1">
        <f t="array" ref="O547">_xlfn.IFS(Table1[[#This Row],[lead_time_days]]&lt;=7,"0-7 days",N547&lt;=14,"8-14 days",N547&lt;=30,"15-30 days",N547&lt;=60,"31-60 days",TRUE,"61+ days")</f>
        <v>15-30 days</v>
      </c>
      <c r="P547" t="s">
        <v>31</v>
      </c>
      <c r="Q547" t="s">
        <v>21</v>
      </c>
      <c r="R547">
        <v>0</v>
      </c>
      <c r="S547" t="str">
        <f>IF(Table1[prior_dna_count]&gt;=1,"Has prior DNA history","No prior DNA history")</f>
        <v>No prior DNA history</v>
      </c>
      <c r="T547" t="s">
        <v>22</v>
      </c>
      <c r="U547" t="str">
        <f t="shared" si="8"/>
        <v>1</v>
      </c>
      <c r="V547" t="str">
        <f>IF(Table1[appointment_status]="Attended","1","0")</f>
        <v>1</v>
      </c>
      <c r="W547" t="str">
        <f>IF(Table1[appointment_status]="Cancelled","1","0")</f>
        <v>0</v>
      </c>
    </row>
    <row r="548" spans="1:23">
      <c r="A548" t="s">
        <v>1061</v>
      </c>
      <c r="B548" t="s">
        <v>1062</v>
      </c>
      <c r="C548">
        <v>40</v>
      </c>
      <c r="D548" t="str" cm="1">
        <f t="array" ref="D548">_xlfn.IFS(Table1[[#This Row],[age]]&lt;=17,"0-17",C548&lt;=29,"18-29",C548&lt;=44,"30-44",C548&lt;=59,"45-59",C548&lt;=74,"60-74",TRUE,"75+")</f>
        <v>30-44</v>
      </c>
      <c r="E548" t="s">
        <v>29</v>
      </c>
      <c r="F548">
        <v>8</v>
      </c>
      <c r="G548" t="str" cm="1">
        <f t="array" ref="G548">_xlfn.IFS(_xlfn.SINGLE(Table1[imd_decile])&lt;=3,"Most Deprived",F548&lt;=7,"Moderately Deprived",F548&lt;=10,"Least Deprived")</f>
        <v>Least Deprived</v>
      </c>
      <c r="H548">
        <v>6.4</v>
      </c>
      <c r="I548" t="s">
        <v>91</v>
      </c>
      <c r="J548" t="s">
        <v>19</v>
      </c>
      <c r="K548" s="1">
        <v>45733</v>
      </c>
      <c r="L548" s="1">
        <v>45760</v>
      </c>
      <c r="M548" s="1" t="str">
        <f>TEXT(Table1[[#This Row],[appointment_date]],"MM/YYYY")</f>
        <v>04/2025</v>
      </c>
      <c r="N548">
        <v>27</v>
      </c>
      <c r="O548" t="str" cm="1">
        <f t="array" ref="O548">_xlfn.IFS(Table1[[#This Row],[lead_time_days]]&lt;=7,"0-7 days",N548&lt;=14,"8-14 days",N548&lt;=30,"15-30 days",N548&lt;=60,"31-60 days",TRUE,"61+ days")</f>
        <v>15-30 days</v>
      </c>
      <c r="P548" t="s">
        <v>31</v>
      </c>
      <c r="Q548" t="s">
        <v>32</v>
      </c>
      <c r="R548">
        <v>0</v>
      </c>
      <c r="S548" t="str">
        <f>IF(Table1[prior_dna_count]&gt;=1,"Has prior DNA history","No prior DNA history")</f>
        <v>No prior DNA history</v>
      </c>
      <c r="T548" t="s">
        <v>22</v>
      </c>
      <c r="U548" t="str">
        <f t="shared" si="8"/>
        <v>1</v>
      </c>
      <c r="V548" t="str">
        <f>IF(Table1[appointment_status]="Attended","1","0")</f>
        <v>1</v>
      </c>
      <c r="W548" t="str">
        <f>IF(Table1[appointment_status]="Cancelled","1","0")</f>
        <v>0</v>
      </c>
    </row>
    <row r="549" spans="1:23">
      <c r="A549" t="s">
        <v>1063</v>
      </c>
      <c r="B549" t="s">
        <v>1064</v>
      </c>
      <c r="C549">
        <v>69</v>
      </c>
      <c r="D549" t="str" cm="1">
        <f t="array" ref="D549">_xlfn.IFS(Table1[[#This Row],[age]]&lt;=17,"0-17",C549&lt;=29,"18-29",C549&lt;=44,"30-44",C549&lt;=59,"45-59",C549&lt;=74,"60-74",TRUE,"75+")</f>
        <v>60-74</v>
      </c>
      <c r="E549" t="s">
        <v>17</v>
      </c>
      <c r="F549">
        <v>5</v>
      </c>
      <c r="G549" t="str" cm="1">
        <f t="array" ref="G549">_xlfn.IFS(_xlfn.SINGLE(Table1[imd_decile])&lt;=3,"Most Deprived",F549&lt;=7,"Moderately Deprived",F549&lt;=10,"Least Deprived")</f>
        <v>Moderately Deprived</v>
      </c>
      <c r="H549">
        <v>8.4</v>
      </c>
      <c r="I549" t="s">
        <v>18</v>
      </c>
      <c r="J549" t="s">
        <v>26</v>
      </c>
      <c r="K549" s="1">
        <v>45755</v>
      </c>
      <c r="L549" s="1">
        <v>45760</v>
      </c>
      <c r="M549" s="1" t="str">
        <f>TEXT(Table1[[#This Row],[appointment_date]],"MM/YYYY")</f>
        <v>04/2025</v>
      </c>
      <c r="N549">
        <v>5</v>
      </c>
      <c r="O549" t="str" cm="1">
        <f t="array" ref="O549">_xlfn.IFS(Table1[[#This Row],[lead_time_days]]&lt;=7,"0-7 days",N549&lt;=14,"8-14 days",N549&lt;=30,"15-30 days",N549&lt;=60,"31-60 days",TRUE,"61+ days")</f>
        <v>0-7 days</v>
      </c>
      <c r="P549" t="s">
        <v>31</v>
      </c>
      <c r="Q549" t="s">
        <v>21</v>
      </c>
      <c r="R549">
        <v>0</v>
      </c>
      <c r="S549" t="str">
        <f>IF(Table1[prior_dna_count]&gt;=1,"Has prior DNA history","No prior DNA history")</f>
        <v>No prior DNA history</v>
      </c>
      <c r="T549" t="s">
        <v>22</v>
      </c>
      <c r="U549" t="str">
        <f t="shared" si="8"/>
        <v>1</v>
      </c>
      <c r="V549" t="str">
        <f>IF(Table1[appointment_status]="Attended","1","0")</f>
        <v>1</v>
      </c>
      <c r="W549" t="str">
        <f>IF(Table1[appointment_status]="Cancelled","1","0")</f>
        <v>0</v>
      </c>
    </row>
    <row r="550" spans="1:23">
      <c r="A550" t="s">
        <v>1065</v>
      </c>
      <c r="B550" t="s">
        <v>1066</v>
      </c>
      <c r="C550">
        <v>51</v>
      </c>
      <c r="D550" t="str" cm="1">
        <f t="array" ref="D550">_xlfn.IFS(Table1[[#This Row],[age]]&lt;=17,"0-17",C550&lt;=29,"18-29",C550&lt;=44,"30-44",C550&lt;=59,"45-59",C550&lt;=74,"60-74",TRUE,"75+")</f>
        <v>45-59</v>
      </c>
      <c r="E550" t="s">
        <v>17</v>
      </c>
      <c r="F550">
        <v>10</v>
      </c>
      <c r="G550" t="str" cm="1">
        <f t="array" ref="G550">_xlfn.IFS(_xlfn.SINGLE(Table1[imd_decile])&lt;=3,"Most Deprived",F550&lt;=7,"Moderately Deprived",F550&lt;=10,"Least Deprived")</f>
        <v>Least Deprived</v>
      </c>
      <c r="H550">
        <v>8.6</v>
      </c>
      <c r="I550" t="s">
        <v>38</v>
      </c>
      <c r="J550" t="s">
        <v>19</v>
      </c>
      <c r="K550" s="1">
        <v>45746</v>
      </c>
      <c r="L550" s="1">
        <v>45760</v>
      </c>
      <c r="M550" s="1" t="str">
        <f>TEXT(Table1[[#This Row],[appointment_date]],"MM/YYYY")</f>
        <v>04/2025</v>
      </c>
      <c r="N550">
        <v>14</v>
      </c>
      <c r="O550" t="str" cm="1">
        <f t="array" ref="O550">_xlfn.IFS(Table1[[#This Row],[lead_time_days]]&lt;=7,"0-7 days",N550&lt;=14,"8-14 days",N550&lt;=30,"15-30 days",N550&lt;=60,"31-60 days",TRUE,"61+ days")</f>
        <v>8-14 days</v>
      </c>
      <c r="P550" t="s">
        <v>31</v>
      </c>
      <c r="Q550" t="s">
        <v>21</v>
      </c>
      <c r="R550">
        <v>0</v>
      </c>
      <c r="S550" t="str">
        <f>IF(Table1[prior_dna_count]&gt;=1,"Has prior DNA history","No prior DNA history")</f>
        <v>No prior DNA history</v>
      </c>
      <c r="T550" t="s">
        <v>22</v>
      </c>
      <c r="U550" t="str">
        <f t="shared" si="8"/>
        <v>1</v>
      </c>
      <c r="V550" t="str">
        <f>IF(Table1[appointment_status]="Attended","1","0")</f>
        <v>1</v>
      </c>
      <c r="W550" t="str">
        <f>IF(Table1[appointment_status]="Cancelled","1","0")</f>
        <v>0</v>
      </c>
    </row>
    <row r="551" spans="1:23">
      <c r="A551" t="s">
        <v>1067</v>
      </c>
      <c r="B551" t="s">
        <v>1068</v>
      </c>
      <c r="C551">
        <v>53</v>
      </c>
      <c r="D551" t="str" cm="1">
        <f t="array" ref="D551">_xlfn.IFS(Table1[[#This Row],[age]]&lt;=17,"0-17",C551&lt;=29,"18-29",C551&lt;=44,"30-44",C551&lt;=59,"45-59",C551&lt;=74,"60-74",TRUE,"75+")</f>
        <v>45-59</v>
      </c>
      <c r="E551" t="s">
        <v>29</v>
      </c>
      <c r="F551">
        <v>6</v>
      </c>
      <c r="G551" t="str" cm="1">
        <f t="array" ref="G551">_xlfn.IFS(_xlfn.SINGLE(Table1[imd_decile])&lt;=3,"Most Deprived",F551&lt;=7,"Moderately Deprived",F551&lt;=10,"Least Deprived")</f>
        <v>Moderately Deprived</v>
      </c>
      <c r="H551">
        <v>8.3000000000000007</v>
      </c>
      <c r="I551" t="s">
        <v>91</v>
      </c>
      <c r="J551" t="s">
        <v>19</v>
      </c>
      <c r="K551" s="1">
        <v>45679</v>
      </c>
      <c r="L551" s="1">
        <v>45760</v>
      </c>
      <c r="M551" s="1" t="str">
        <f>TEXT(Table1[[#This Row],[appointment_date]],"MM/YYYY")</f>
        <v>04/2025</v>
      </c>
      <c r="N551">
        <v>81</v>
      </c>
      <c r="O551" t="str" cm="1">
        <f t="array" ref="O551">_xlfn.IFS(Table1[[#This Row],[lead_time_days]]&lt;=7,"0-7 days",N551&lt;=14,"8-14 days",N551&lt;=30,"15-30 days",N551&lt;=60,"31-60 days",TRUE,"61+ days")</f>
        <v>61+ days</v>
      </c>
      <c r="P551" t="s">
        <v>31</v>
      </c>
      <c r="Q551" t="s">
        <v>21</v>
      </c>
      <c r="R551">
        <v>1</v>
      </c>
      <c r="S551" t="str">
        <f>IF(Table1[prior_dna_count]&gt;=1,"Has prior DNA history","No prior DNA history")</f>
        <v>Has prior DNA history</v>
      </c>
      <c r="T551" t="s">
        <v>39</v>
      </c>
      <c r="U551" t="str">
        <f t="shared" si="8"/>
        <v>1</v>
      </c>
      <c r="V551" t="str">
        <f>IF(Table1[appointment_status]="Attended","1","0")</f>
        <v>0</v>
      </c>
      <c r="W551" t="str">
        <f>IF(Table1[appointment_status]="Cancelled","1","0")</f>
        <v>0</v>
      </c>
    </row>
    <row r="552" spans="1:23">
      <c r="A552" t="s">
        <v>1069</v>
      </c>
      <c r="B552" t="s">
        <v>1070</v>
      </c>
      <c r="C552">
        <v>44</v>
      </c>
      <c r="D552" t="str" cm="1">
        <f t="array" ref="D552">_xlfn.IFS(Table1[[#This Row],[age]]&lt;=17,"0-17",C552&lt;=29,"18-29",C552&lt;=44,"30-44",C552&lt;=59,"45-59",C552&lt;=74,"60-74",TRUE,"75+")</f>
        <v>30-44</v>
      </c>
      <c r="E552" t="s">
        <v>17</v>
      </c>
      <c r="F552">
        <v>2</v>
      </c>
      <c r="G552" t="str" cm="1">
        <f t="array" ref="G552">_xlfn.IFS(_xlfn.SINGLE(Table1[imd_decile])&lt;=3,"Most Deprived",F552&lt;=7,"Moderately Deprived",F552&lt;=10,"Least Deprived")</f>
        <v>Most Deprived</v>
      </c>
      <c r="H552">
        <v>10.199999999999999</v>
      </c>
      <c r="I552" t="s">
        <v>58</v>
      </c>
      <c r="J552" t="s">
        <v>19</v>
      </c>
      <c r="K552" s="1">
        <v>45754</v>
      </c>
      <c r="L552" s="1">
        <v>45760</v>
      </c>
      <c r="M552" s="1" t="str">
        <f>TEXT(Table1[[#This Row],[appointment_date]],"MM/YYYY")</f>
        <v>04/2025</v>
      </c>
      <c r="N552">
        <v>6</v>
      </c>
      <c r="O552" t="str" cm="1">
        <f t="array" ref="O552">_xlfn.IFS(Table1[[#This Row],[lead_time_days]]&lt;=7,"0-7 days",N552&lt;=14,"8-14 days",N552&lt;=30,"15-30 days",N552&lt;=60,"31-60 days",TRUE,"61+ days")</f>
        <v>0-7 days</v>
      </c>
      <c r="P552" t="s">
        <v>31</v>
      </c>
      <c r="Q552" t="s">
        <v>21</v>
      </c>
      <c r="R552">
        <v>0</v>
      </c>
      <c r="S552" t="str">
        <f>IF(Table1[prior_dna_count]&gt;=1,"Has prior DNA history","No prior DNA history")</f>
        <v>No prior DNA history</v>
      </c>
      <c r="T552" t="s">
        <v>22</v>
      </c>
      <c r="U552" t="str">
        <f t="shared" si="8"/>
        <v>0</v>
      </c>
      <c r="V552" t="str">
        <f>IF(Table1[appointment_status]="Attended","1","0")</f>
        <v>1</v>
      </c>
      <c r="W552" t="str">
        <f>IF(Table1[appointment_status]="Cancelled","1","0")</f>
        <v>0</v>
      </c>
    </row>
    <row r="553" spans="1:23">
      <c r="A553" t="s">
        <v>1071</v>
      </c>
      <c r="B553" t="s">
        <v>187</v>
      </c>
      <c r="C553">
        <v>57</v>
      </c>
      <c r="D553" t="str" cm="1">
        <f t="array" ref="D553">_xlfn.IFS(Table1[[#This Row],[age]]&lt;=17,"0-17",C553&lt;=29,"18-29",C553&lt;=44,"30-44",C553&lt;=59,"45-59",C553&lt;=74,"60-74",TRUE,"75+")</f>
        <v>45-59</v>
      </c>
      <c r="E553" t="s">
        <v>29</v>
      </c>
      <c r="F553">
        <v>1</v>
      </c>
      <c r="G553" t="str" cm="1">
        <f t="array" ref="G553">_xlfn.IFS(_xlfn.SINGLE(Table1[imd_decile])&lt;=3,"Most Deprived",F553&lt;=7,"Moderately Deprived",F553&lt;=10,"Least Deprived")</f>
        <v>Most Deprived</v>
      </c>
      <c r="H553">
        <v>5.0999999999999996</v>
      </c>
      <c r="I553" t="s">
        <v>42</v>
      </c>
      <c r="J553" t="s">
        <v>26</v>
      </c>
      <c r="K553" s="1">
        <v>45758</v>
      </c>
      <c r="L553" s="1">
        <v>45760</v>
      </c>
      <c r="M553" s="1" t="str">
        <f>TEXT(Table1[[#This Row],[appointment_date]],"MM/YYYY")</f>
        <v>04/2025</v>
      </c>
      <c r="N553">
        <v>2</v>
      </c>
      <c r="O553" t="str" cm="1">
        <f t="array" ref="O553">_xlfn.IFS(Table1[[#This Row],[lead_time_days]]&lt;=7,"0-7 days",N553&lt;=14,"8-14 days",N553&lt;=30,"15-30 days",N553&lt;=60,"31-60 days",TRUE,"61+ days")</f>
        <v>0-7 days</v>
      </c>
      <c r="P553" t="s">
        <v>31</v>
      </c>
      <c r="Q553" t="s">
        <v>21</v>
      </c>
      <c r="R553">
        <v>0</v>
      </c>
      <c r="S553" t="str">
        <f>IF(Table1[prior_dna_count]&gt;=1,"Has prior DNA history","No prior DNA history")</f>
        <v>No prior DNA history</v>
      </c>
      <c r="T553" t="s">
        <v>22</v>
      </c>
      <c r="U553" t="str">
        <f t="shared" si="8"/>
        <v>1</v>
      </c>
      <c r="V553" t="str">
        <f>IF(Table1[appointment_status]="Attended","1","0")</f>
        <v>1</v>
      </c>
      <c r="W553" t="str">
        <f>IF(Table1[appointment_status]="Cancelled","1","0")</f>
        <v>0</v>
      </c>
    </row>
    <row r="554" spans="1:23">
      <c r="A554" t="s">
        <v>1072</v>
      </c>
      <c r="B554" t="s">
        <v>371</v>
      </c>
      <c r="C554">
        <v>51</v>
      </c>
      <c r="D554" t="str" cm="1">
        <f t="array" ref="D554">_xlfn.IFS(Table1[[#This Row],[age]]&lt;=17,"0-17",C554&lt;=29,"18-29",C554&lt;=44,"30-44",C554&lt;=59,"45-59",C554&lt;=74,"60-74",TRUE,"75+")</f>
        <v>45-59</v>
      </c>
      <c r="E554" t="s">
        <v>29</v>
      </c>
      <c r="F554">
        <v>9</v>
      </c>
      <c r="G554" t="str" cm="1">
        <f t="array" ref="G554">_xlfn.IFS(_xlfn.SINGLE(Table1[imd_decile])&lt;=3,"Most Deprived",F554&lt;=7,"Moderately Deprived",F554&lt;=10,"Least Deprived")</f>
        <v>Least Deprived</v>
      </c>
      <c r="H554">
        <v>9.6999999999999993</v>
      </c>
      <c r="I554" t="s">
        <v>30</v>
      </c>
      <c r="J554" t="s">
        <v>26</v>
      </c>
      <c r="K554" s="1">
        <v>45754</v>
      </c>
      <c r="L554" s="1">
        <v>45760</v>
      </c>
      <c r="M554" s="1" t="str">
        <f>TEXT(Table1[[#This Row],[appointment_date]],"MM/YYYY")</f>
        <v>04/2025</v>
      </c>
      <c r="N554">
        <v>6</v>
      </c>
      <c r="O554" t="str" cm="1">
        <f t="array" ref="O554">_xlfn.IFS(Table1[[#This Row],[lead_time_days]]&lt;=7,"0-7 days",N554&lt;=14,"8-14 days",N554&lt;=30,"15-30 days",N554&lt;=60,"31-60 days",TRUE,"61+ days")</f>
        <v>0-7 days</v>
      </c>
      <c r="P554" t="s">
        <v>31</v>
      </c>
      <c r="Q554" t="s">
        <v>21</v>
      </c>
      <c r="R554">
        <v>0</v>
      </c>
      <c r="S554" t="str">
        <f>IF(Table1[prior_dna_count]&gt;=1,"Has prior DNA history","No prior DNA history")</f>
        <v>No prior DNA history</v>
      </c>
      <c r="T554" t="s">
        <v>22</v>
      </c>
      <c r="U554" t="str">
        <f t="shared" si="8"/>
        <v>1</v>
      </c>
      <c r="V554" t="str">
        <f>IF(Table1[appointment_status]="Attended","1","0")</f>
        <v>1</v>
      </c>
      <c r="W554" t="str">
        <f>IF(Table1[appointment_status]="Cancelled","1","0")</f>
        <v>0</v>
      </c>
    </row>
    <row r="555" spans="1:23">
      <c r="A555" t="s">
        <v>1073</v>
      </c>
      <c r="B555" t="s">
        <v>989</v>
      </c>
      <c r="C555">
        <v>63</v>
      </c>
      <c r="D555" t="str" cm="1">
        <f t="array" ref="D555">_xlfn.IFS(Table1[[#This Row],[age]]&lt;=17,"0-17",C555&lt;=29,"18-29",C555&lt;=44,"30-44",C555&lt;=59,"45-59",C555&lt;=74,"60-74",TRUE,"75+")</f>
        <v>60-74</v>
      </c>
      <c r="E555" t="s">
        <v>29</v>
      </c>
      <c r="F555">
        <v>10</v>
      </c>
      <c r="G555" t="str" cm="1">
        <f t="array" ref="G555">_xlfn.IFS(_xlfn.SINGLE(Table1[imd_decile])&lt;=3,"Most Deprived",F555&lt;=7,"Moderately Deprived",F555&lt;=10,"Least Deprived")</f>
        <v>Least Deprived</v>
      </c>
      <c r="H555">
        <v>2.2999999999999998</v>
      </c>
      <c r="I555" t="s">
        <v>18</v>
      </c>
      <c r="J555" t="s">
        <v>19</v>
      </c>
      <c r="K555" s="1">
        <v>45709</v>
      </c>
      <c r="L555" s="1">
        <v>45760</v>
      </c>
      <c r="M555" s="1" t="str">
        <f>TEXT(Table1[[#This Row],[appointment_date]],"MM/YYYY")</f>
        <v>04/2025</v>
      </c>
      <c r="N555">
        <v>51</v>
      </c>
      <c r="O555" t="str" cm="1">
        <f t="array" ref="O555">_xlfn.IFS(Table1[[#This Row],[lead_time_days]]&lt;=7,"0-7 days",N555&lt;=14,"8-14 days",N555&lt;=30,"15-30 days",N555&lt;=60,"31-60 days",TRUE,"61+ days")</f>
        <v>31-60 days</v>
      </c>
      <c r="P555" t="s">
        <v>31</v>
      </c>
      <c r="Q555" t="s">
        <v>21</v>
      </c>
      <c r="R555">
        <v>0</v>
      </c>
      <c r="S555" t="str">
        <f>IF(Table1[prior_dna_count]&gt;=1,"Has prior DNA history","No prior DNA history")</f>
        <v>No prior DNA history</v>
      </c>
      <c r="T555" t="s">
        <v>22</v>
      </c>
      <c r="U555" t="str">
        <f t="shared" si="8"/>
        <v>1</v>
      </c>
      <c r="V555" t="str">
        <f>IF(Table1[appointment_status]="Attended","1","0")</f>
        <v>1</v>
      </c>
      <c r="W555" t="str">
        <f>IF(Table1[appointment_status]="Cancelled","1","0")</f>
        <v>0</v>
      </c>
    </row>
    <row r="556" spans="1:23">
      <c r="A556" t="s">
        <v>1074</v>
      </c>
      <c r="B556" t="s">
        <v>1075</v>
      </c>
      <c r="C556">
        <v>63</v>
      </c>
      <c r="D556" t="str" cm="1">
        <f t="array" ref="D556">_xlfn.IFS(Table1[[#This Row],[age]]&lt;=17,"0-17",C556&lt;=29,"18-29",C556&lt;=44,"30-44",C556&lt;=59,"45-59",C556&lt;=74,"60-74",TRUE,"75+")</f>
        <v>60-74</v>
      </c>
      <c r="E556" t="s">
        <v>29</v>
      </c>
      <c r="F556">
        <v>6</v>
      </c>
      <c r="G556" t="str" cm="1">
        <f t="array" ref="G556">_xlfn.IFS(_xlfn.SINGLE(Table1[imd_decile])&lt;=3,"Most Deprived",F556&lt;=7,"Moderately Deprived",F556&lt;=10,"Least Deprived")</f>
        <v>Moderately Deprived</v>
      </c>
      <c r="H556">
        <v>5.4</v>
      </c>
      <c r="I556" t="s">
        <v>45</v>
      </c>
      <c r="J556" t="s">
        <v>26</v>
      </c>
      <c r="K556" s="1">
        <v>45732</v>
      </c>
      <c r="L556" s="1">
        <v>45760</v>
      </c>
      <c r="M556" s="1" t="str">
        <f>TEXT(Table1[[#This Row],[appointment_date]],"MM/YYYY")</f>
        <v>04/2025</v>
      </c>
      <c r="N556">
        <v>28</v>
      </c>
      <c r="O556" t="str" cm="1">
        <f t="array" ref="O556">_xlfn.IFS(Table1[[#This Row],[lead_time_days]]&lt;=7,"0-7 days",N556&lt;=14,"8-14 days",N556&lt;=30,"15-30 days",N556&lt;=60,"31-60 days",TRUE,"61+ days")</f>
        <v>15-30 days</v>
      </c>
      <c r="P556" t="s">
        <v>31</v>
      </c>
      <c r="Q556" t="s">
        <v>21</v>
      </c>
      <c r="R556">
        <v>0</v>
      </c>
      <c r="S556" t="str">
        <f>IF(Table1[prior_dna_count]&gt;=1,"Has prior DNA history","No prior DNA history")</f>
        <v>No prior DNA history</v>
      </c>
      <c r="T556" t="s">
        <v>22</v>
      </c>
      <c r="U556" t="str">
        <f t="shared" si="8"/>
        <v>1</v>
      </c>
      <c r="V556" t="str">
        <f>IF(Table1[appointment_status]="Attended","1","0")</f>
        <v>1</v>
      </c>
      <c r="W556" t="str">
        <f>IF(Table1[appointment_status]="Cancelled","1","0")</f>
        <v>0</v>
      </c>
    </row>
    <row r="557" spans="1:23">
      <c r="A557" t="s">
        <v>1076</v>
      </c>
      <c r="B557" t="s">
        <v>97</v>
      </c>
      <c r="C557">
        <v>49</v>
      </c>
      <c r="D557" t="str" cm="1">
        <f t="array" ref="D557">_xlfn.IFS(Table1[[#This Row],[age]]&lt;=17,"0-17",C557&lt;=29,"18-29",C557&lt;=44,"30-44",C557&lt;=59,"45-59",C557&lt;=74,"60-74",TRUE,"75+")</f>
        <v>45-59</v>
      </c>
      <c r="E557" t="s">
        <v>29</v>
      </c>
      <c r="F557">
        <v>2</v>
      </c>
      <c r="G557" t="str" cm="1">
        <f t="array" ref="G557">_xlfn.IFS(_xlfn.SINGLE(Table1[imd_decile])&lt;=3,"Most Deprived",F557&lt;=7,"Moderately Deprived",F557&lt;=10,"Least Deprived")</f>
        <v>Most Deprived</v>
      </c>
      <c r="H557">
        <v>2.5</v>
      </c>
      <c r="I557" t="s">
        <v>30</v>
      </c>
      <c r="J557" t="s">
        <v>26</v>
      </c>
      <c r="K557" s="1">
        <v>45759</v>
      </c>
      <c r="L557" s="1">
        <v>45760</v>
      </c>
      <c r="M557" s="1" t="str">
        <f>TEXT(Table1[[#This Row],[appointment_date]],"MM/YYYY")</f>
        <v>04/2025</v>
      </c>
      <c r="N557">
        <v>1</v>
      </c>
      <c r="O557" t="str" cm="1">
        <f t="array" ref="O557">_xlfn.IFS(Table1[[#This Row],[lead_time_days]]&lt;=7,"0-7 days",N557&lt;=14,"8-14 days",N557&lt;=30,"15-30 days",N557&lt;=60,"31-60 days",TRUE,"61+ days")</f>
        <v>0-7 days</v>
      </c>
      <c r="P557" t="s">
        <v>31</v>
      </c>
      <c r="Q557" t="s">
        <v>21</v>
      </c>
      <c r="R557">
        <v>0</v>
      </c>
      <c r="S557" t="str">
        <f>IF(Table1[prior_dna_count]&gt;=1,"Has prior DNA history","No prior DNA history")</f>
        <v>No prior DNA history</v>
      </c>
      <c r="T557" t="s">
        <v>22</v>
      </c>
      <c r="U557" t="str">
        <f t="shared" si="8"/>
        <v>1</v>
      </c>
      <c r="V557" t="str">
        <f>IF(Table1[appointment_status]="Attended","1","0")</f>
        <v>1</v>
      </c>
      <c r="W557" t="str">
        <f>IF(Table1[appointment_status]="Cancelled","1","0")</f>
        <v>0</v>
      </c>
    </row>
    <row r="558" spans="1:23">
      <c r="A558" t="s">
        <v>1077</v>
      </c>
      <c r="B558" t="s">
        <v>199</v>
      </c>
      <c r="C558">
        <v>58</v>
      </c>
      <c r="D558" t="str" cm="1">
        <f t="array" ref="D558">_xlfn.IFS(Table1[[#This Row],[age]]&lt;=17,"0-17",C558&lt;=29,"18-29",C558&lt;=44,"30-44",C558&lt;=59,"45-59",C558&lt;=74,"60-74",TRUE,"75+")</f>
        <v>45-59</v>
      </c>
      <c r="E558" t="s">
        <v>29</v>
      </c>
      <c r="F558">
        <v>1</v>
      </c>
      <c r="G558" t="str" cm="1">
        <f t="array" ref="G558">_xlfn.IFS(_xlfn.SINGLE(Table1[imd_decile])&lt;=3,"Most Deprived",F558&lt;=7,"Moderately Deprived",F558&lt;=10,"Least Deprived")</f>
        <v>Most Deprived</v>
      </c>
      <c r="H558">
        <v>4.9000000000000004</v>
      </c>
      <c r="I558" t="s">
        <v>45</v>
      </c>
      <c r="J558" t="s">
        <v>19</v>
      </c>
      <c r="K558" s="1">
        <v>45711</v>
      </c>
      <c r="L558" s="1">
        <v>45760</v>
      </c>
      <c r="M558" s="1" t="str">
        <f>TEXT(Table1[[#This Row],[appointment_date]],"MM/YYYY")</f>
        <v>04/2025</v>
      </c>
      <c r="N558">
        <v>49</v>
      </c>
      <c r="O558" t="str" cm="1">
        <f t="array" ref="O558">_xlfn.IFS(Table1[[#This Row],[lead_time_days]]&lt;=7,"0-7 days",N558&lt;=14,"8-14 days",N558&lt;=30,"15-30 days",N558&lt;=60,"31-60 days",TRUE,"61+ days")</f>
        <v>31-60 days</v>
      </c>
      <c r="P558" t="s">
        <v>31</v>
      </c>
      <c r="Q558" t="s">
        <v>21</v>
      </c>
      <c r="R558">
        <v>0</v>
      </c>
      <c r="S558" t="str">
        <f>IF(Table1[prior_dna_count]&gt;=1,"Has prior DNA history","No prior DNA history")</f>
        <v>No prior DNA history</v>
      </c>
      <c r="T558" t="s">
        <v>22</v>
      </c>
      <c r="U558" t="str">
        <f t="shared" si="8"/>
        <v>1</v>
      </c>
      <c r="V558" t="str">
        <f>IF(Table1[appointment_status]="Attended","1","0")</f>
        <v>1</v>
      </c>
      <c r="W558" t="str">
        <f>IF(Table1[appointment_status]="Cancelled","1","0")</f>
        <v>0</v>
      </c>
    </row>
    <row r="559" spans="1:23">
      <c r="A559" t="s">
        <v>1078</v>
      </c>
      <c r="B559" t="s">
        <v>1079</v>
      </c>
      <c r="C559">
        <v>71</v>
      </c>
      <c r="D559" t="str" cm="1">
        <f t="array" ref="D559">_xlfn.IFS(Table1[[#This Row],[age]]&lt;=17,"0-17",C559&lt;=29,"18-29",C559&lt;=44,"30-44",C559&lt;=59,"45-59",C559&lt;=74,"60-74",TRUE,"75+")</f>
        <v>60-74</v>
      </c>
      <c r="E559" t="s">
        <v>29</v>
      </c>
      <c r="F559">
        <v>8</v>
      </c>
      <c r="G559" t="str" cm="1">
        <f t="array" ref="G559">_xlfn.IFS(_xlfn.SINGLE(Table1[imd_decile])&lt;=3,"Most Deprived",F559&lt;=7,"Moderately Deprived",F559&lt;=10,"Least Deprived")</f>
        <v>Least Deprived</v>
      </c>
      <c r="H559">
        <v>10.3</v>
      </c>
      <c r="I559" t="s">
        <v>42</v>
      </c>
      <c r="J559" t="s">
        <v>26</v>
      </c>
      <c r="K559" s="1">
        <v>45753</v>
      </c>
      <c r="L559" s="1">
        <v>45761</v>
      </c>
      <c r="M559" s="1" t="str">
        <f>TEXT(Table1[[#This Row],[appointment_date]],"MM/YYYY")</f>
        <v>04/2025</v>
      </c>
      <c r="N559">
        <v>8</v>
      </c>
      <c r="O559" t="str" cm="1">
        <f t="array" ref="O559">_xlfn.IFS(Table1[[#This Row],[lead_time_days]]&lt;=7,"0-7 days",N559&lt;=14,"8-14 days",N559&lt;=30,"15-30 days",N559&lt;=60,"31-60 days",TRUE,"61+ days")</f>
        <v>8-14 days</v>
      </c>
      <c r="P559" t="s">
        <v>35</v>
      </c>
      <c r="Q559" t="s">
        <v>32</v>
      </c>
      <c r="R559">
        <v>0</v>
      </c>
      <c r="S559" t="str">
        <f>IF(Table1[prior_dna_count]&gt;=1,"Has prior DNA history","No prior DNA history")</f>
        <v>No prior DNA history</v>
      </c>
      <c r="T559" t="s">
        <v>22</v>
      </c>
      <c r="U559" t="str">
        <f t="shared" si="8"/>
        <v>1</v>
      </c>
      <c r="V559" t="str">
        <f>IF(Table1[appointment_status]="Attended","1","0")</f>
        <v>1</v>
      </c>
      <c r="W559" t="str">
        <f>IF(Table1[appointment_status]="Cancelled","1","0")</f>
        <v>0</v>
      </c>
    </row>
    <row r="560" spans="1:23">
      <c r="A560" t="s">
        <v>1080</v>
      </c>
      <c r="B560" t="s">
        <v>1081</v>
      </c>
      <c r="C560">
        <v>63</v>
      </c>
      <c r="D560" t="str" cm="1">
        <f t="array" ref="D560">_xlfn.IFS(Table1[[#This Row],[age]]&lt;=17,"0-17",C560&lt;=29,"18-29",C560&lt;=44,"30-44",C560&lt;=59,"45-59",C560&lt;=74,"60-74",TRUE,"75+")</f>
        <v>60-74</v>
      </c>
      <c r="E560" t="s">
        <v>29</v>
      </c>
      <c r="F560">
        <v>2</v>
      </c>
      <c r="G560" t="str" cm="1">
        <f t="array" ref="G560">_xlfn.IFS(_xlfn.SINGLE(Table1[imd_decile])&lt;=3,"Most Deprived",F560&lt;=7,"Moderately Deprived",F560&lt;=10,"Least Deprived")</f>
        <v>Most Deprived</v>
      </c>
      <c r="H560">
        <v>4.5</v>
      </c>
      <c r="I560" t="s">
        <v>38</v>
      </c>
      <c r="J560" t="s">
        <v>19</v>
      </c>
      <c r="K560" s="1">
        <v>45681</v>
      </c>
      <c r="L560" s="1">
        <v>45761</v>
      </c>
      <c r="M560" s="1" t="str">
        <f>TEXT(Table1[[#This Row],[appointment_date]],"MM/YYYY")</f>
        <v>04/2025</v>
      </c>
      <c r="N560">
        <v>80</v>
      </c>
      <c r="O560" t="str" cm="1">
        <f t="array" ref="O560">_xlfn.IFS(Table1[[#This Row],[lead_time_days]]&lt;=7,"0-7 days",N560&lt;=14,"8-14 days",N560&lt;=30,"15-30 days",N560&lt;=60,"31-60 days",TRUE,"61+ days")</f>
        <v>61+ days</v>
      </c>
      <c r="P560" t="s">
        <v>35</v>
      </c>
      <c r="Q560" t="s">
        <v>21</v>
      </c>
      <c r="R560">
        <v>0</v>
      </c>
      <c r="S560" t="str">
        <f>IF(Table1[prior_dna_count]&gt;=1,"Has prior DNA history","No prior DNA history")</f>
        <v>No prior DNA history</v>
      </c>
      <c r="T560" t="s">
        <v>39</v>
      </c>
      <c r="U560" t="str">
        <f t="shared" si="8"/>
        <v>1</v>
      </c>
      <c r="V560" t="str">
        <f>IF(Table1[appointment_status]="Attended","1","0")</f>
        <v>0</v>
      </c>
      <c r="W560" t="str">
        <f>IF(Table1[appointment_status]="Cancelled","1","0")</f>
        <v>0</v>
      </c>
    </row>
    <row r="561" spans="1:23">
      <c r="A561" t="s">
        <v>1082</v>
      </c>
      <c r="B561" t="s">
        <v>1083</v>
      </c>
      <c r="C561">
        <v>53</v>
      </c>
      <c r="D561" t="str" cm="1">
        <f t="array" ref="D561">_xlfn.IFS(Table1[[#This Row],[age]]&lt;=17,"0-17",C561&lt;=29,"18-29",C561&lt;=44,"30-44",C561&lt;=59,"45-59",C561&lt;=74,"60-74",TRUE,"75+")</f>
        <v>45-59</v>
      </c>
      <c r="E561" t="s">
        <v>29</v>
      </c>
      <c r="F561">
        <v>6</v>
      </c>
      <c r="G561" t="str" cm="1">
        <f t="array" ref="G561">_xlfn.IFS(_xlfn.SINGLE(Table1[imd_decile])&lt;=3,"Most Deprived",F561&lt;=7,"Moderately Deprived",F561&lt;=10,"Least Deprived")</f>
        <v>Moderately Deprived</v>
      </c>
      <c r="H561">
        <v>15.9</v>
      </c>
      <c r="I561" t="s">
        <v>25</v>
      </c>
      <c r="J561" t="s">
        <v>19</v>
      </c>
      <c r="K561" s="1">
        <v>45731</v>
      </c>
      <c r="L561" s="1">
        <v>45761</v>
      </c>
      <c r="M561" s="1" t="str">
        <f>TEXT(Table1[[#This Row],[appointment_date]],"MM/YYYY")</f>
        <v>04/2025</v>
      </c>
      <c r="N561">
        <v>30</v>
      </c>
      <c r="O561" t="str" cm="1">
        <f t="array" ref="O561">_xlfn.IFS(Table1[[#This Row],[lead_time_days]]&lt;=7,"0-7 days",N561&lt;=14,"8-14 days",N561&lt;=30,"15-30 days",N561&lt;=60,"31-60 days",TRUE,"61+ days")</f>
        <v>15-30 days</v>
      </c>
      <c r="P561" t="s">
        <v>35</v>
      </c>
      <c r="Q561" t="s">
        <v>21</v>
      </c>
      <c r="R561">
        <v>0</v>
      </c>
      <c r="S561" t="str">
        <f>IF(Table1[prior_dna_count]&gt;=1,"Has prior DNA history","No prior DNA history")</f>
        <v>No prior DNA history</v>
      </c>
      <c r="T561" t="s">
        <v>22</v>
      </c>
      <c r="U561" t="str">
        <f t="shared" si="8"/>
        <v>0</v>
      </c>
      <c r="V561" t="str">
        <f>IF(Table1[appointment_status]="Attended","1","0")</f>
        <v>1</v>
      </c>
      <c r="W561" t="str">
        <f>IF(Table1[appointment_status]="Cancelled","1","0")</f>
        <v>0</v>
      </c>
    </row>
    <row r="562" spans="1:23">
      <c r="A562" t="s">
        <v>1084</v>
      </c>
      <c r="B562" t="s">
        <v>1085</v>
      </c>
      <c r="C562">
        <v>59</v>
      </c>
      <c r="D562" t="str" cm="1">
        <f t="array" ref="D562">_xlfn.IFS(Table1[[#This Row],[age]]&lt;=17,"0-17",C562&lt;=29,"18-29",C562&lt;=44,"30-44",C562&lt;=59,"45-59",C562&lt;=74,"60-74",TRUE,"75+")</f>
        <v>45-59</v>
      </c>
      <c r="E562" t="s">
        <v>29</v>
      </c>
      <c r="F562">
        <v>9</v>
      </c>
      <c r="G562" t="str" cm="1">
        <f t="array" ref="G562">_xlfn.IFS(_xlfn.SINGLE(Table1[imd_decile])&lt;=3,"Most Deprived",F562&lt;=7,"Moderately Deprived",F562&lt;=10,"Least Deprived")</f>
        <v>Least Deprived</v>
      </c>
      <c r="H562">
        <v>7.6</v>
      </c>
      <c r="I562" t="s">
        <v>25</v>
      </c>
      <c r="J562" t="s">
        <v>19</v>
      </c>
      <c r="K562" s="1">
        <v>45676</v>
      </c>
      <c r="L562" s="1">
        <v>45761</v>
      </c>
      <c r="M562" s="1" t="str">
        <f>TEXT(Table1[[#This Row],[appointment_date]],"MM/YYYY")</f>
        <v>04/2025</v>
      </c>
      <c r="N562">
        <v>85</v>
      </c>
      <c r="O562" t="str" cm="1">
        <f t="array" ref="O562">_xlfn.IFS(Table1[[#This Row],[lead_time_days]]&lt;=7,"0-7 days",N562&lt;=14,"8-14 days",N562&lt;=30,"15-30 days",N562&lt;=60,"31-60 days",TRUE,"61+ days")</f>
        <v>61+ days</v>
      </c>
      <c r="P562" t="s">
        <v>35</v>
      </c>
      <c r="Q562" t="s">
        <v>21</v>
      </c>
      <c r="R562">
        <v>0</v>
      </c>
      <c r="S562" t="str">
        <f>IF(Table1[prior_dna_count]&gt;=1,"Has prior DNA history","No prior DNA history")</f>
        <v>No prior DNA history</v>
      </c>
      <c r="T562" t="s">
        <v>22</v>
      </c>
      <c r="U562" t="str">
        <f t="shared" si="8"/>
        <v>1</v>
      </c>
      <c r="V562" t="str">
        <f>IF(Table1[appointment_status]="Attended","1","0")</f>
        <v>1</v>
      </c>
      <c r="W562" t="str">
        <f>IF(Table1[appointment_status]="Cancelled","1","0")</f>
        <v>0</v>
      </c>
    </row>
    <row r="563" spans="1:23">
      <c r="A563" t="s">
        <v>1086</v>
      </c>
      <c r="B563" t="s">
        <v>756</v>
      </c>
      <c r="C563">
        <v>44</v>
      </c>
      <c r="D563" t="str" cm="1">
        <f t="array" ref="D563">_xlfn.IFS(Table1[[#This Row],[age]]&lt;=17,"0-17",C563&lt;=29,"18-29",C563&lt;=44,"30-44",C563&lt;=59,"45-59",C563&lt;=74,"60-74",TRUE,"75+")</f>
        <v>30-44</v>
      </c>
      <c r="E563" t="s">
        <v>17</v>
      </c>
      <c r="F563">
        <v>3</v>
      </c>
      <c r="G563" t="str" cm="1">
        <f t="array" ref="G563">_xlfn.IFS(_xlfn.SINGLE(Table1[imd_decile])&lt;=3,"Most Deprived",F563&lt;=7,"Moderately Deprived",F563&lt;=10,"Least Deprived")</f>
        <v>Most Deprived</v>
      </c>
      <c r="H563">
        <v>8.6</v>
      </c>
      <c r="I563" t="s">
        <v>30</v>
      </c>
      <c r="J563" t="s">
        <v>26</v>
      </c>
      <c r="K563" s="1">
        <v>45737</v>
      </c>
      <c r="L563" s="1">
        <v>45761</v>
      </c>
      <c r="M563" s="1" t="str">
        <f>TEXT(Table1[[#This Row],[appointment_date]],"MM/YYYY")</f>
        <v>04/2025</v>
      </c>
      <c r="N563">
        <v>24</v>
      </c>
      <c r="O563" t="str" cm="1">
        <f t="array" ref="O563">_xlfn.IFS(Table1[[#This Row],[lead_time_days]]&lt;=7,"0-7 days",N563&lt;=14,"8-14 days",N563&lt;=30,"15-30 days",N563&lt;=60,"31-60 days",TRUE,"61+ days")</f>
        <v>15-30 days</v>
      </c>
      <c r="P563" t="s">
        <v>35</v>
      </c>
      <c r="Q563" t="s">
        <v>32</v>
      </c>
      <c r="R563">
        <v>1</v>
      </c>
      <c r="S563" t="str">
        <f>IF(Table1[prior_dna_count]&gt;=1,"Has prior DNA history","No prior DNA history")</f>
        <v>Has prior DNA history</v>
      </c>
      <c r="T563" t="s">
        <v>39</v>
      </c>
      <c r="U563" t="str">
        <f t="shared" si="8"/>
        <v>1</v>
      </c>
      <c r="V563" t="str">
        <f>IF(Table1[appointment_status]="Attended","1","0")</f>
        <v>0</v>
      </c>
      <c r="W563" t="str">
        <f>IF(Table1[appointment_status]="Cancelled","1","0")</f>
        <v>0</v>
      </c>
    </row>
    <row r="564" spans="1:23">
      <c r="A564" t="s">
        <v>1087</v>
      </c>
      <c r="B564" t="s">
        <v>1088</v>
      </c>
      <c r="C564">
        <v>35</v>
      </c>
      <c r="D564" t="str" cm="1">
        <f t="array" ref="D564">_xlfn.IFS(Table1[[#This Row],[age]]&lt;=17,"0-17",C564&lt;=29,"18-29",C564&lt;=44,"30-44",C564&lt;=59,"45-59",C564&lt;=74,"60-74",TRUE,"75+")</f>
        <v>30-44</v>
      </c>
      <c r="E564" t="s">
        <v>17</v>
      </c>
      <c r="F564">
        <v>6</v>
      </c>
      <c r="G564" t="str" cm="1">
        <f t="array" ref="G564">_xlfn.IFS(_xlfn.SINGLE(Table1[imd_decile])&lt;=3,"Most Deprived",F564&lt;=7,"Moderately Deprived",F564&lt;=10,"Least Deprived")</f>
        <v>Moderately Deprived</v>
      </c>
      <c r="H564">
        <v>12.8</v>
      </c>
      <c r="I564" t="s">
        <v>49</v>
      </c>
      <c r="J564" t="s">
        <v>19</v>
      </c>
      <c r="K564" s="1">
        <v>45683</v>
      </c>
      <c r="L564" s="1">
        <v>45761</v>
      </c>
      <c r="M564" s="1" t="str">
        <f>TEXT(Table1[[#This Row],[appointment_date]],"MM/YYYY")</f>
        <v>04/2025</v>
      </c>
      <c r="N564">
        <v>78</v>
      </c>
      <c r="O564" t="str" cm="1">
        <f t="array" ref="O564">_xlfn.IFS(Table1[[#This Row],[lead_time_days]]&lt;=7,"0-7 days",N564&lt;=14,"8-14 days",N564&lt;=30,"15-30 days",N564&lt;=60,"31-60 days",TRUE,"61+ days")</f>
        <v>61+ days</v>
      </c>
      <c r="P564" t="s">
        <v>35</v>
      </c>
      <c r="Q564" t="s">
        <v>21</v>
      </c>
      <c r="R564">
        <v>0</v>
      </c>
      <c r="S564" t="str">
        <f>IF(Table1[prior_dna_count]&gt;=1,"Has prior DNA history","No prior DNA history")</f>
        <v>No prior DNA history</v>
      </c>
      <c r="T564" t="s">
        <v>22</v>
      </c>
      <c r="U564" t="str">
        <f t="shared" si="8"/>
        <v>0</v>
      </c>
      <c r="V564" t="str">
        <f>IF(Table1[appointment_status]="Attended","1","0")</f>
        <v>1</v>
      </c>
      <c r="W564" t="str">
        <f>IF(Table1[appointment_status]="Cancelled","1","0")</f>
        <v>0</v>
      </c>
    </row>
    <row r="565" spans="1:23">
      <c r="A565" t="s">
        <v>1089</v>
      </c>
      <c r="B565" t="s">
        <v>282</v>
      </c>
      <c r="C565">
        <v>52</v>
      </c>
      <c r="D565" t="str" cm="1">
        <f t="array" ref="D565">_xlfn.IFS(Table1[[#This Row],[age]]&lt;=17,"0-17",C565&lt;=29,"18-29",C565&lt;=44,"30-44",C565&lt;=59,"45-59",C565&lt;=74,"60-74",TRUE,"75+")</f>
        <v>45-59</v>
      </c>
      <c r="E565" t="s">
        <v>29</v>
      </c>
      <c r="F565">
        <v>7</v>
      </c>
      <c r="G565" t="str" cm="1">
        <f t="array" ref="G565">_xlfn.IFS(_xlfn.SINGLE(Table1[imd_decile])&lt;=3,"Most Deprived",F565&lt;=7,"Moderately Deprived",F565&lt;=10,"Least Deprived")</f>
        <v>Moderately Deprived</v>
      </c>
      <c r="H565">
        <v>12.1</v>
      </c>
      <c r="I565" t="s">
        <v>18</v>
      </c>
      <c r="J565" t="s">
        <v>26</v>
      </c>
      <c r="K565" s="1">
        <v>45744</v>
      </c>
      <c r="L565" s="1">
        <v>45761</v>
      </c>
      <c r="M565" s="1" t="str">
        <f>TEXT(Table1[[#This Row],[appointment_date]],"MM/YYYY")</f>
        <v>04/2025</v>
      </c>
      <c r="N565">
        <v>17</v>
      </c>
      <c r="O565" t="str" cm="1">
        <f t="array" ref="O565">_xlfn.IFS(Table1[[#This Row],[lead_time_days]]&lt;=7,"0-7 days",N565&lt;=14,"8-14 days",N565&lt;=30,"15-30 days",N565&lt;=60,"31-60 days",TRUE,"61+ days")</f>
        <v>15-30 days</v>
      </c>
      <c r="P565" t="s">
        <v>35</v>
      </c>
      <c r="Q565" t="s">
        <v>21</v>
      </c>
      <c r="R565">
        <v>0</v>
      </c>
      <c r="S565" t="str">
        <f>IF(Table1[prior_dna_count]&gt;=1,"Has prior DNA history","No prior DNA history")</f>
        <v>No prior DNA history</v>
      </c>
      <c r="T565" t="s">
        <v>22</v>
      </c>
      <c r="U565" t="str">
        <f t="shared" si="8"/>
        <v>1</v>
      </c>
      <c r="V565" t="str">
        <f>IF(Table1[appointment_status]="Attended","1","0")</f>
        <v>1</v>
      </c>
      <c r="W565" t="str">
        <f>IF(Table1[appointment_status]="Cancelled","1","0")</f>
        <v>0</v>
      </c>
    </row>
    <row r="566" spans="1:23">
      <c r="A566" t="s">
        <v>1090</v>
      </c>
      <c r="B566" t="s">
        <v>1091</v>
      </c>
      <c r="C566">
        <v>48</v>
      </c>
      <c r="D566" t="str" cm="1">
        <f t="array" ref="D566">_xlfn.IFS(Table1[[#This Row],[age]]&lt;=17,"0-17",C566&lt;=29,"18-29",C566&lt;=44,"30-44",C566&lt;=59,"45-59",C566&lt;=74,"60-74",TRUE,"75+")</f>
        <v>45-59</v>
      </c>
      <c r="E566" t="s">
        <v>17</v>
      </c>
      <c r="F566">
        <v>1</v>
      </c>
      <c r="G566" t="str" cm="1">
        <f t="array" ref="G566">_xlfn.IFS(_xlfn.SINGLE(Table1[imd_decile])&lt;=3,"Most Deprived",F566&lt;=7,"Moderately Deprived",F566&lt;=10,"Least Deprived")</f>
        <v>Most Deprived</v>
      </c>
      <c r="H566">
        <v>8</v>
      </c>
      <c r="I566" t="s">
        <v>18</v>
      </c>
      <c r="J566" t="s">
        <v>26</v>
      </c>
      <c r="K566" s="1">
        <v>45756</v>
      </c>
      <c r="L566" s="1">
        <v>45761</v>
      </c>
      <c r="M566" s="1" t="str">
        <f>TEXT(Table1[[#This Row],[appointment_date]],"MM/YYYY")</f>
        <v>04/2025</v>
      </c>
      <c r="N566">
        <v>5</v>
      </c>
      <c r="O566" t="str" cm="1">
        <f t="array" ref="O566">_xlfn.IFS(Table1[[#This Row],[lead_time_days]]&lt;=7,"0-7 days",N566&lt;=14,"8-14 days",N566&lt;=30,"15-30 days",N566&lt;=60,"31-60 days",TRUE,"61+ days")</f>
        <v>0-7 days</v>
      </c>
      <c r="P566" t="s">
        <v>35</v>
      </c>
      <c r="Q566" t="s">
        <v>21</v>
      </c>
      <c r="R566">
        <v>0</v>
      </c>
      <c r="S566" t="str">
        <f>IF(Table1[prior_dna_count]&gt;=1,"Has prior DNA history","No prior DNA history")</f>
        <v>No prior DNA history</v>
      </c>
      <c r="T566" t="s">
        <v>22</v>
      </c>
      <c r="U566" t="str">
        <f t="shared" si="8"/>
        <v>1</v>
      </c>
      <c r="V566" t="str">
        <f>IF(Table1[appointment_status]="Attended","1","0")</f>
        <v>1</v>
      </c>
      <c r="W566" t="str">
        <f>IF(Table1[appointment_status]="Cancelled","1","0")</f>
        <v>0</v>
      </c>
    </row>
    <row r="567" spans="1:23">
      <c r="A567" t="s">
        <v>1092</v>
      </c>
      <c r="B567" t="s">
        <v>1093</v>
      </c>
      <c r="C567">
        <v>49</v>
      </c>
      <c r="D567" t="str" cm="1">
        <f t="array" ref="D567">_xlfn.IFS(Table1[[#This Row],[age]]&lt;=17,"0-17",C567&lt;=29,"18-29",C567&lt;=44,"30-44",C567&lt;=59,"45-59",C567&lt;=74,"60-74",TRUE,"75+")</f>
        <v>45-59</v>
      </c>
      <c r="E567" t="s">
        <v>29</v>
      </c>
      <c r="F567">
        <v>9</v>
      </c>
      <c r="G567" t="str" cm="1">
        <f t="array" ref="G567">_xlfn.IFS(_xlfn.SINGLE(Table1[imd_decile])&lt;=3,"Most Deprived",F567&lt;=7,"Moderately Deprived",F567&lt;=10,"Least Deprived")</f>
        <v>Least Deprived</v>
      </c>
      <c r="H567">
        <v>7.7</v>
      </c>
      <c r="I567" t="s">
        <v>45</v>
      </c>
      <c r="J567" t="s">
        <v>26</v>
      </c>
      <c r="K567" s="1">
        <v>45730</v>
      </c>
      <c r="L567" s="1">
        <v>45761</v>
      </c>
      <c r="M567" s="1" t="str">
        <f>TEXT(Table1[[#This Row],[appointment_date]],"MM/YYYY")</f>
        <v>04/2025</v>
      </c>
      <c r="N567">
        <v>31</v>
      </c>
      <c r="O567" t="str" cm="1">
        <f t="array" ref="O567">_xlfn.IFS(Table1[[#This Row],[lead_time_days]]&lt;=7,"0-7 days",N567&lt;=14,"8-14 days",N567&lt;=30,"15-30 days",N567&lt;=60,"31-60 days",TRUE,"61+ days")</f>
        <v>31-60 days</v>
      </c>
      <c r="P567" t="s">
        <v>35</v>
      </c>
      <c r="Q567" t="s">
        <v>21</v>
      </c>
      <c r="R567">
        <v>0</v>
      </c>
      <c r="S567" t="str">
        <f>IF(Table1[prior_dna_count]&gt;=1,"Has prior DNA history","No prior DNA history")</f>
        <v>No prior DNA history</v>
      </c>
      <c r="T567" t="s">
        <v>22</v>
      </c>
      <c r="U567" t="str">
        <f t="shared" si="8"/>
        <v>1</v>
      </c>
      <c r="V567" t="str">
        <f>IF(Table1[appointment_status]="Attended","1","0")</f>
        <v>1</v>
      </c>
      <c r="W567" t="str">
        <f>IF(Table1[appointment_status]="Cancelled","1","0")</f>
        <v>0</v>
      </c>
    </row>
    <row r="568" spans="1:23">
      <c r="A568" t="s">
        <v>1094</v>
      </c>
      <c r="B568" t="s">
        <v>1095</v>
      </c>
      <c r="C568">
        <v>61</v>
      </c>
      <c r="D568" t="str" cm="1">
        <f t="array" ref="D568">_xlfn.IFS(Table1[[#This Row],[age]]&lt;=17,"0-17",C568&lt;=29,"18-29",C568&lt;=44,"30-44",C568&lt;=59,"45-59",C568&lt;=74,"60-74",TRUE,"75+")</f>
        <v>60-74</v>
      </c>
      <c r="E568" t="s">
        <v>17</v>
      </c>
      <c r="F568">
        <v>8</v>
      </c>
      <c r="G568" t="str" cm="1">
        <f t="array" ref="G568">_xlfn.IFS(_xlfn.SINGLE(Table1[imd_decile])&lt;=3,"Most Deprived",F568&lt;=7,"Moderately Deprived",F568&lt;=10,"Least Deprived")</f>
        <v>Least Deprived</v>
      </c>
      <c r="H568">
        <v>13.6</v>
      </c>
      <c r="I568" t="s">
        <v>42</v>
      </c>
      <c r="J568" t="s">
        <v>19</v>
      </c>
      <c r="K568" s="1">
        <v>45733</v>
      </c>
      <c r="L568" s="1">
        <v>45761</v>
      </c>
      <c r="M568" s="1" t="str">
        <f>TEXT(Table1[[#This Row],[appointment_date]],"MM/YYYY")</f>
        <v>04/2025</v>
      </c>
      <c r="N568">
        <v>28</v>
      </c>
      <c r="O568" t="str" cm="1">
        <f t="array" ref="O568">_xlfn.IFS(Table1[[#This Row],[lead_time_days]]&lt;=7,"0-7 days",N568&lt;=14,"8-14 days",N568&lt;=30,"15-30 days",N568&lt;=60,"31-60 days",TRUE,"61+ days")</f>
        <v>15-30 days</v>
      </c>
      <c r="P568" t="s">
        <v>35</v>
      </c>
      <c r="Q568" t="s">
        <v>21</v>
      </c>
      <c r="R568">
        <v>0</v>
      </c>
      <c r="S568" t="str">
        <f>IF(Table1[prior_dna_count]&gt;=1,"Has prior DNA history","No prior DNA history")</f>
        <v>No prior DNA history</v>
      </c>
      <c r="T568" t="s">
        <v>22</v>
      </c>
      <c r="U568" t="str">
        <f t="shared" si="8"/>
        <v>1</v>
      </c>
      <c r="V568" t="str">
        <f>IF(Table1[appointment_status]="Attended","1","0")</f>
        <v>1</v>
      </c>
      <c r="W568" t="str">
        <f>IF(Table1[appointment_status]="Cancelled","1","0")</f>
        <v>0</v>
      </c>
    </row>
    <row r="569" spans="1:23">
      <c r="A569" t="s">
        <v>1096</v>
      </c>
      <c r="B569" t="s">
        <v>1085</v>
      </c>
      <c r="C569">
        <v>59</v>
      </c>
      <c r="D569" t="str" cm="1">
        <f t="array" ref="D569">_xlfn.IFS(Table1[[#This Row],[age]]&lt;=17,"0-17",C569&lt;=29,"18-29",C569&lt;=44,"30-44",C569&lt;=59,"45-59",C569&lt;=74,"60-74",TRUE,"75+")</f>
        <v>45-59</v>
      </c>
      <c r="E569" t="s">
        <v>29</v>
      </c>
      <c r="F569">
        <v>9</v>
      </c>
      <c r="G569" t="str" cm="1">
        <f t="array" ref="G569">_xlfn.IFS(_xlfn.SINGLE(Table1[imd_decile])&lt;=3,"Most Deprived",F569&lt;=7,"Moderately Deprived",F569&lt;=10,"Least Deprived")</f>
        <v>Least Deprived</v>
      </c>
      <c r="H569">
        <v>7.6</v>
      </c>
      <c r="I569" t="s">
        <v>38</v>
      </c>
      <c r="J569" t="s">
        <v>19</v>
      </c>
      <c r="K569" s="1">
        <v>45728</v>
      </c>
      <c r="L569" s="1">
        <v>45761</v>
      </c>
      <c r="M569" s="1" t="str">
        <f>TEXT(Table1[[#This Row],[appointment_date]],"MM/YYYY")</f>
        <v>04/2025</v>
      </c>
      <c r="N569">
        <v>33</v>
      </c>
      <c r="O569" t="str" cm="1">
        <f t="array" ref="O569">_xlfn.IFS(Table1[[#This Row],[lead_time_days]]&lt;=7,"0-7 days",N569&lt;=14,"8-14 days",N569&lt;=30,"15-30 days",N569&lt;=60,"31-60 days",TRUE,"61+ days")</f>
        <v>31-60 days</v>
      </c>
      <c r="P569" t="s">
        <v>35</v>
      </c>
      <c r="Q569" t="s">
        <v>21</v>
      </c>
      <c r="R569">
        <v>0</v>
      </c>
      <c r="S569" t="str">
        <f>IF(Table1[prior_dna_count]&gt;=1,"Has prior DNA history","No prior DNA history")</f>
        <v>No prior DNA history</v>
      </c>
      <c r="T569" t="s">
        <v>22</v>
      </c>
      <c r="U569" t="str">
        <f t="shared" si="8"/>
        <v>1</v>
      </c>
      <c r="V569" t="str">
        <f>IF(Table1[appointment_status]="Attended","1","0")</f>
        <v>1</v>
      </c>
      <c r="W569" t="str">
        <f>IF(Table1[appointment_status]="Cancelled","1","0")</f>
        <v>0</v>
      </c>
    </row>
    <row r="570" spans="1:23">
      <c r="A570" t="s">
        <v>1097</v>
      </c>
      <c r="B570" t="s">
        <v>965</v>
      </c>
      <c r="C570">
        <v>47</v>
      </c>
      <c r="D570" t="str" cm="1">
        <f t="array" ref="D570">_xlfn.IFS(Table1[[#This Row],[age]]&lt;=17,"0-17",C570&lt;=29,"18-29",C570&lt;=44,"30-44",C570&lt;=59,"45-59",C570&lt;=74,"60-74",TRUE,"75+")</f>
        <v>45-59</v>
      </c>
      <c r="E570" t="s">
        <v>17</v>
      </c>
      <c r="F570">
        <v>5</v>
      </c>
      <c r="G570" t="str" cm="1">
        <f t="array" ref="G570">_xlfn.IFS(_xlfn.SINGLE(Table1[imd_decile])&lt;=3,"Most Deprived",F570&lt;=7,"Moderately Deprived",F570&lt;=10,"Least Deprived")</f>
        <v>Moderately Deprived</v>
      </c>
      <c r="H570">
        <v>5.7</v>
      </c>
      <c r="I570" t="s">
        <v>42</v>
      </c>
      <c r="J570" t="s">
        <v>26</v>
      </c>
      <c r="K570" s="1">
        <v>45715</v>
      </c>
      <c r="L570" s="1">
        <v>45761</v>
      </c>
      <c r="M570" s="1" t="str">
        <f>TEXT(Table1[[#This Row],[appointment_date]],"MM/YYYY")</f>
        <v>04/2025</v>
      </c>
      <c r="N570">
        <v>46</v>
      </c>
      <c r="O570" t="str" cm="1">
        <f t="array" ref="O570">_xlfn.IFS(Table1[[#This Row],[lead_time_days]]&lt;=7,"0-7 days",N570&lt;=14,"8-14 days",N570&lt;=30,"15-30 days",N570&lt;=60,"31-60 days",TRUE,"61+ days")</f>
        <v>31-60 days</v>
      </c>
      <c r="P570" t="s">
        <v>35</v>
      </c>
      <c r="Q570" t="s">
        <v>21</v>
      </c>
      <c r="R570">
        <v>0</v>
      </c>
      <c r="S570" t="str">
        <f>IF(Table1[prior_dna_count]&gt;=1,"Has prior DNA history","No prior DNA history")</f>
        <v>No prior DNA history</v>
      </c>
      <c r="T570" t="s">
        <v>22</v>
      </c>
      <c r="U570" t="str">
        <f t="shared" si="8"/>
        <v>1</v>
      </c>
      <c r="V570" t="str">
        <f>IF(Table1[appointment_status]="Attended","1","0")</f>
        <v>1</v>
      </c>
      <c r="W570" t="str">
        <f>IF(Table1[appointment_status]="Cancelled","1","0")</f>
        <v>0</v>
      </c>
    </row>
    <row r="571" spans="1:23">
      <c r="A571" t="s">
        <v>1098</v>
      </c>
      <c r="B571" t="s">
        <v>1099</v>
      </c>
      <c r="C571">
        <v>42</v>
      </c>
      <c r="D571" t="str" cm="1">
        <f t="array" ref="D571">_xlfn.IFS(Table1[[#This Row],[age]]&lt;=17,"0-17",C571&lt;=29,"18-29",C571&lt;=44,"30-44",C571&lt;=59,"45-59",C571&lt;=74,"60-74",TRUE,"75+")</f>
        <v>30-44</v>
      </c>
      <c r="E571" t="s">
        <v>29</v>
      </c>
      <c r="F571">
        <v>2</v>
      </c>
      <c r="G571" t="str" cm="1">
        <f t="array" ref="G571">_xlfn.IFS(_xlfn.SINGLE(Table1[imd_decile])&lt;=3,"Most Deprived",F571&lt;=7,"Moderately Deprived",F571&lt;=10,"Least Deprived")</f>
        <v>Most Deprived</v>
      </c>
      <c r="H571">
        <v>5</v>
      </c>
      <c r="I571" t="s">
        <v>38</v>
      </c>
      <c r="J571" t="s">
        <v>26</v>
      </c>
      <c r="K571" s="1">
        <v>45740</v>
      </c>
      <c r="L571" s="1">
        <v>45762</v>
      </c>
      <c r="M571" s="1" t="str">
        <f>TEXT(Table1[[#This Row],[appointment_date]],"MM/YYYY")</f>
        <v>04/2025</v>
      </c>
      <c r="N571">
        <v>22</v>
      </c>
      <c r="O571" t="str" cm="1">
        <f t="array" ref="O571">_xlfn.IFS(Table1[[#This Row],[lead_time_days]]&lt;=7,"0-7 days",N571&lt;=14,"8-14 days",N571&lt;=30,"15-30 days",N571&lt;=60,"31-60 days",TRUE,"61+ days")</f>
        <v>15-30 days</v>
      </c>
      <c r="P571" t="s">
        <v>71</v>
      </c>
      <c r="Q571" t="s">
        <v>21</v>
      </c>
      <c r="R571">
        <v>0</v>
      </c>
      <c r="S571" t="str">
        <f>IF(Table1[prior_dna_count]&gt;=1,"Has prior DNA history","No prior DNA history")</f>
        <v>No prior DNA history</v>
      </c>
      <c r="T571" t="s">
        <v>46</v>
      </c>
      <c r="U571" t="str">
        <f t="shared" si="8"/>
        <v>1</v>
      </c>
      <c r="V571" t="str">
        <f>IF(Table1[appointment_status]="Attended","1","0")</f>
        <v>0</v>
      </c>
      <c r="W571" t="str">
        <f>IF(Table1[appointment_status]="Cancelled","1","0")</f>
        <v>1</v>
      </c>
    </row>
    <row r="572" spans="1:23">
      <c r="A572" t="s">
        <v>1100</v>
      </c>
      <c r="B572" t="s">
        <v>333</v>
      </c>
      <c r="C572">
        <v>41</v>
      </c>
      <c r="D572" t="str" cm="1">
        <f t="array" ref="D572">_xlfn.IFS(Table1[[#This Row],[age]]&lt;=17,"0-17",C572&lt;=29,"18-29",C572&lt;=44,"30-44",C572&lt;=59,"45-59",C572&lt;=74,"60-74",TRUE,"75+")</f>
        <v>30-44</v>
      </c>
      <c r="E572" t="s">
        <v>29</v>
      </c>
      <c r="F572">
        <v>2</v>
      </c>
      <c r="G572" t="str" cm="1">
        <f t="array" ref="G572">_xlfn.IFS(_xlfn.SINGLE(Table1[imd_decile])&lt;=3,"Most Deprived",F572&lt;=7,"Moderately Deprived",F572&lt;=10,"Least Deprived")</f>
        <v>Most Deprived</v>
      </c>
      <c r="H572">
        <v>8.9</v>
      </c>
      <c r="I572" t="s">
        <v>42</v>
      </c>
      <c r="J572" t="s">
        <v>19</v>
      </c>
      <c r="K572" s="1">
        <v>45715</v>
      </c>
      <c r="L572" s="1">
        <v>45762</v>
      </c>
      <c r="M572" s="1" t="str">
        <f>TEXT(Table1[[#This Row],[appointment_date]],"MM/YYYY")</f>
        <v>04/2025</v>
      </c>
      <c r="N572">
        <v>47</v>
      </c>
      <c r="O572" t="str" cm="1">
        <f t="array" ref="O572">_xlfn.IFS(Table1[[#This Row],[lead_time_days]]&lt;=7,"0-7 days",N572&lt;=14,"8-14 days",N572&lt;=30,"15-30 days",N572&lt;=60,"31-60 days",TRUE,"61+ days")</f>
        <v>31-60 days</v>
      </c>
      <c r="P572" t="s">
        <v>71</v>
      </c>
      <c r="Q572" t="s">
        <v>21</v>
      </c>
      <c r="R572">
        <v>1</v>
      </c>
      <c r="S572" t="str">
        <f>IF(Table1[prior_dna_count]&gt;=1,"Has prior DNA history","No prior DNA history")</f>
        <v>Has prior DNA history</v>
      </c>
      <c r="T572" t="s">
        <v>22</v>
      </c>
      <c r="U572" t="str">
        <f t="shared" si="8"/>
        <v>0</v>
      </c>
      <c r="V572" t="str">
        <f>IF(Table1[appointment_status]="Attended","1","0")</f>
        <v>1</v>
      </c>
      <c r="W572" t="str">
        <f>IF(Table1[appointment_status]="Cancelled","1","0")</f>
        <v>0</v>
      </c>
    </row>
    <row r="573" spans="1:23">
      <c r="A573" t="s">
        <v>1101</v>
      </c>
      <c r="B573" t="s">
        <v>1102</v>
      </c>
      <c r="C573">
        <v>9</v>
      </c>
      <c r="D573" t="str" cm="1">
        <f t="array" ref="D573">_xlfn.IFS(Table1[[#This Row],[age]]&lt;=17,"0-17",C573&lt;=29,"18-29",C573&lt;=44,"30-44",C573&lt;=59,"45-59",C573&lt;=74,"60-74",TRUE,"75+")</f>
        <v>0-17</v>
      </c>
      <c r="E573" t="s">
        <v>17</v>
      </c>
      <c r="F573">
        <v>4</v>
      </c>
      <c r="G573" t="str" cm="1">
        <f t="array" ref="G573">_xlfn.IFS(_xlfn.SINGLE(Table1[imd_decile])&lt;=3,"Most Deprived",F573&lt;=7,"Moderately Deprived",F573&lt;=10,"Least Deprived")</f>
        <v>Moderately Deprived</v>
      </c>
      <c r="H573">
        <v>5.7</v>
      </c>
      <c r="I573" t="s">
        <v>42</v>
      </c>
      <c r="J573" t="s">
        <v>19</v>
      </c>
      <c r="K573" s="1">
        <v>45757</v>
      </c>
      <c r="L573" s="1">
        <v>45762</v>
      </c>
      <c r="M573" s="1" t="str">
        <f>TEXT(Table1[[#This Row],[appointment_date]],"MM/YYYY")</f>
        <v>04/2025</v>
      </c>
      <c r="N573">
        <v>5</v>
      </c>
      <c r="O573" t="str" cm="1">
        <f t="array" ref="O573">_xlfn.IFS(Table1[[#This Row],[lead_time_days]]&lt;=7,"0-7 days",N573&lt;=14,"8-14 days",N573&lt;=30,"15-30 days",N573&lt;=60,"31-60 days",TRUE,"61+ days")</f>
        <v>0-7 days</v>
      </c>
      <c r="P573" t="s">
        <v>71</v>
      </c>
      <c r="Q573" t="s">
        <v>21</v>
      </c>
      <c r="R573">
        <v>0</v>
      </c>
      <c r="S573" t="str">
        <f>IF(Table1[prior_dna_count]&gt;=1,"Has prior DNA history","No prior DNA history")</f>
        <v>No prior DNA history</v>
      </c>
      <c r="T573" t="s">
        <v>22</v>
      </c>
      <c r="U573" t="str">
        <f t="shared" si="8"/>
        <v>1</v>
      </c>
      <c r="V573" t="str">
        <f>IF(Table1[appointment_status]="Attended","1","0")</f>
        <v>1</v>
      </c>
      <c r="W573" t="str">
        <f>IF(Table1[appointment_status]="Cancelled","1","0")</f>
        <v>0</v>
      </c>
    </row>
    <row r="574" spans="1:23">
      <c r="A574" t="s">
        <v>1103</v>
      </c>
      <c r="B574" t="s">
        <v>893</v>
      </c>
      <c r="C574">
        <v>70</v>
      </c>
      <c r="D574" t="str" cm="1">
        <f t="array" ref="D574">_xlfn.IFS(Table1[[#This Row],[age]]&lt;=17,"0-17",C574&lt;=29,"18-29",C574&lt;=44,"30-44",C574&lt;=59,"45-59",C574&lt;=74,"60-74",TRUE,"75+")</f>
        <v>60-74</v>
      </c>
      <c r="E574" t="s">
        <v>29</v>
      </c>
      <c r="F574">
        <v>6</v>
      </c>
      <c r="G574" t="str" cm="1">
        <f t="array" ref="G574">_xlfn.IFS(_xlfn.SINGLE(Table1[imd_decile])&lt;=3,"Most Deprived",F574&lt;=7,"Moderately Deprived",F574&lt;=10,"Least Deprived")</f>
        <v>Moderately Deprived</v>
      </c>
      <c r="H574">
        <v>6.4</v>
      </c>
      <c r="I574" t="s">
        <v>49</v>
      </c>
      <c r="J574" t="s">
        <v>26</v>
      </c>
      <c r="K574" s="1">
        <v>45755</v>
      </c>
      <c r="L574" s="1">
        <v>45762</v>
      </c>
      <c r="M574" s="1" t="str">
        <f>TEXT(Table1[[#This Row],[appointment_date]],"MM/YYYY")</f>
        <v>04/2025</v>
      </c>
      <c r="N574">
        <v>7</v>
      </c>
      <c r="O574" t="str" cm="1">
        <f t="array" ref="O574">_xlfn.IFS(Table1[[#This Row],[lead_time_days]]&lt;=7,"0-7 days",N574&lt;=14,"8-14 days",N574&lt;=30,"15-30 days",N574&lt;=60,"31-60 days",TRUE,"61+ days")</f>
        <v>0-7 days</v>
      </c>
      <c r="P574" t="s">
        <v>71</v>
      </c>
      <c r="Q574" t="s">
        <v>21</v>
      </c>
      <c r="R574">
        <v>1</v>
      </c>
      <c r="S574" t="str">
        <f>IF(Table1[prior_dna_count]&gt;=1,"Has prior DNA history","No prior DNA history")</f>
        <v>Has prior DNA history</v>
      </c>
      <c r="T574" t="s">
        <v>22</v>
      </c>
      <c r="U574" t="str">
        <f t="shared" si="8"/>
        <v>1</v>
      </c>
      <c r="V574" t="str">
        <f>IF(Table1[appointment_status]="Attended","1","0")</f>
        <v>1</v>
      </c>
      <c r="W574" t="str">
        <f>IF(Table1[appointment_status]="Cancelled","1","0")</f>
        <v>0</v>
      </c>
    </row>
    <row r="575" spans="1:23">
      <c r="A575" t="s">
        <v>1104</v>
      </c>
      <c r="B575" t="s">
        <v>1105</v>
      </c>
      <c r="C575">
        <v>31</v>
      </c>
      <c r="D575" t="str" cm="1">
        <f t="array" ref="D575">_xlfn.IFS(Table1[[#This Row],[age]]&lt;=17,"0-17",C575&lt;=29,"18-29",C575&lt;=44,"30-44",C575&lt;=59,"45-59",C575&lt;=74,"60-74",TRUE,"75+")</f>
        <v>30-44</v>
      </c>
      <c r="E575" t="s">
        <v>17</v>
      </c>
      <c r="F575">
        <v>6</v>
      </c>
      <c r="G575" t="str" cm="1">
        <f t="array" ref="G575">_xlfn.IFS(_xlfn.SINGLE(Table1[imd_decile])&lt;=3,"Most Deprived",F575&lt;=7,"Moderately Deprived",F575&lt;=10,"Least Deprived")</f>
        <v>Moderately Deprived</v>
      </c>
      <c r="H575">
        <v>3.4</v>
      </c>
      <c r="I575" t="s">
        <v>58</v>
      </c>
      <c r="J575" t="s">
        <v>26</v>
      </c>
      <c r="K575" s="1">
        <v>45704</v>
      </c>
      <c r="L575" s="1">
        <v>45762</v>
      </c>
      <c r="M575" s="1" t="str">
        <f>TEXT(Table1[[#This Row],[appointment_date]],"MM/YYYY")</f>
        <v>04/2025</v>
      </c>
      <c r="N575">
        <v>58</v>
      </c>
      <c r="O575" t="str" cm="1">
        <f t="array" ref="O575">_xlfn.IFS(Table1[[#This Row],[lead_time_days]]&lt;=7,"0-7 days",N575&lt;=14,"8-14 days",N575&lt;=30,"15-30 days",N575&lt;=60,"31-60 days",TRUE,"61+ days")</f>
        <v>31-60 days</v>
      </c>
      <c r="P575" t="s">
        <v>71</v>
      </c>
      <c r="Q575" t="s">
        <v>21</v>
      </c>
      <c r="R575">
        <v>0</v>
      </c>
      <c r="S575" t="str">
        <f>IF(Table1[prior_dna_count]&gt;=1,"Has prior DNA history","No prior DNA history")</f>
        <v>No prior DNA history</v>
      </c>
      <c r="T575" t="s">
        <v>22</v>
      </c>
      <c r="U575" t="str">
        <f t="shared" si="8"/>
        <v>1</v>
      </c>
      <c r="V575" t="str">
        <f>IF(Table1[appointment_status]="Attended","1","0")</f>
        <v>1</v>
      </c>
      <c r="W575" t="str">
        <f>IF(Table1[appointment_status]="Cancelled","1","0")</f>
        <v>0</v>
      </c>
    </row>
    <row r="576" spans="1:23">
      <c r="A576" t="s">
        <v>1106</v>
      </c>
      <c r="B576" t="s">
        <v>1085</v>
      </c>
      <c r="C576">
        <v>59</v>
      </c>
      <c r="D576" t="str" cm="1">
        <f t="array" ref="D576">_xlfn.IFS(Table1[[#This Row],[age]]&lt;=17,"0-17",C576&lt;=29,"18-29",C576&lt;=44,"30-44",C576&lt;=59,"45-59",C576&lt;=74,"60-74",TRUE,"75+")</f>
        <v>45-59</v>
      </c>
      <c r="E576" t="s">
        <v>29</v>
      </c>
      <c r="F576">
        <v>9</v>
      </c>
      <c r="G576" t="str" cm="1">
        <f t="array" ref="G576">_xlfn.IFS(_xlfn.SINGLE(Table1[imd_decile])&lt;=3,"Most Deprived",F576&lt;=7,"Moderately Deprived",F576&lt;=10,"Least Deprived")</f>
        <v>Least Deprived</v>
      </c>
      <c r="H576">
        <v>7.6</v>
      </c>
      <c r="I576" t="s">
        <v>42</v>
      </c>
      <c r="J576" t="s">
        <v>26</v>
      </c>
      <c r="K576" s="1">
        <v>45730</v>
      </c>
      <c r="L576" s="1">
        <v>45762</v>
      </c>
      <c r="M576" s="1" t="str">
        <f>TEXT(Table1[[#This Row],[appointment_date]],"MM/YYYY")</f>
        <v>04/2025</v>
      </c>
      <c r="N576">
        <v>32</v>
      </c>
      <c r="O576" t="str" cm="1">
        <f t="array" ref="O576">_xlfn.IFS(Table1[[#This Row],[lead_time_days]]&lt;=7,"0-7 days",N576&lt;=14,"8-14 days",N576&lt;=30,"15-30 days",N576&lt;=60,"31-60 days",TRUE,"61+ days")</f>
        <v>31-60 days</v>
      </c>
      <c r="P576" t="s">
        <v>71</v>
      </c>
      <c r="Q576" t="s">
        <v>21</v>
      </c>
      <c r="R576">
        <v>0</v>
      </c>
      <c r="S576" t="str">
        <f>IF(Table1[prior_dna_count]&gt;=1,"Has prior DNA history","No prior DNA history")</f>
        <v>No prior DNA history</v>
      </c>
      <c r="T576" t="s">
        <v>46</v>
      </c>
      <c r="U576" t="str">
        <f t="shared" si="8"/>
        <v>1</v>
      </c>
      <c r="V576" t="str">
        <f>IF(Table1[appointment_status]="Attended","1","0")</f>
        <v>0</v>
      </c>
      <c r="W576" t="str">
        <f>IF(Table1[appointment_status]="Cancelled","1","0")</f>
        <v>1</v>
      </c>
    </row>
    <row r="577" spans="1:23">
      <c r="A577" t="s">
        <v>1107</v>
      </c>
      <c r="B577" t="s">
        <v>544</v>
      </c>
      <c r="C577">
        <v>69</v>
      </c>
      <c r="D577" t="str" cm="1">
        <f t="array" ref="D577">_xlfn.IFS(Table1[[#This Row],[age]]&lt;=17,"0-17",C577&lt;=29,"18-29",C577&lt;=44,"30-44",C577&lt;=59,"45-59",C577&lt;=74,"60-74",TRUE,"75+")</f>
        <v>60-74</v>
      </c>
      <c r="E577" t="s">
        <v>29</v>
      </c>
      <c r="F577">
        <v>4</v>
      </c>
      <c r="G577" t="str" cm="1">
        <f t="array" ref="G577">_xlfn.IFS(_xlfn.SINGLE(Table1[imd_decile])&lt;=3,"Most Deprived",F577&lt;=7,"Moderately Deprived",F577&lt;=10,"Least Deprived")</f>
        <v>Moderately Deprived</v>
      </c>
      <c r="H577">
        <v>17.899999999999999</v>
      </c>
      <c r="I577" t="s">
        <v>18</v>
      </c>
      <c r="J577" t="s">
        <v>19</v>
      </c>
      <c r="K577" s="1">
        <v>45726</v>
      </c>
      <c r="L577" s="1">
        <v>45762</v>
      </c>
      <c r="M577" s="1" t="str">
        <f>TEXT(Table1[[#This Row],[appointment_date]],"MM/YYYY")</f>
        <v>04/2025</v>
      </c>
      <c r="N577">
        <v>36</v>
      </c>
      <c r="O577" t="str" cm="1">
        <f t="array" ref="O577">_xlfn.IFS(Table1[[#This Row],[lead_time_days]]&lt;=7,"0-7 days",N577&lt;=14,"8-14 days",N577&lt;=30,"15-30 days",N577&lt;=60,"31-60 days",TRUE,"61+ days")</f>
        <v>31-60 days</v>
      </c>
      <c r="P577" t="s">
        <v>71</v>
      </c>
      <c r="Q577" t="s">
        <v>21</v>
      </c>
      <c r="R577">
        <v>0</v>
      </c>
      <c r="S577" t="str">
        <f>IF(Table1[prior_dna_count]&gt;=1,"Has prior DNA history","No prior DNA history")</f>
        <v>No prior DNA history</v>
      </c>
      <c r="T577" t="s">
        <v>22</v>
      </c>
      <c r="U577" t="str">
        <f t="shared" si="8"/>
        <v>0</v>
      </c>
      <c r="V577" t="str">
        <f>IF(Table1[appointment_status]="Attended","1","0")</f>
        <v>1</v>
      </c>
      <c r="W577" t="str">
        <f>IF(Table1[appointment_status]="Cancelled","1","0")</f>
        <v>0</v>
      </c>
    </row>
    <row r="578" spans="1:23">
      <c r="A578" t="s">
        <v>1108</v>
      </c>
      <c r="B578" t="s">
        <v>1109</v>
      </c>
      <c r="C578">
        <v>54</v>
      </c>
      <c r="D578" t="str" cm="1">
        <f t="array" ref="D578">_xlfn.IFS(Table1[[#This Row],[age]]&lt;=17,"0-17",C578&lt;=29,"18-29",C578&lt;=44,"30-44",C578&lt;=59,"45-59",C578&lt;=74,"60-74",TRUE,"75+")</f>
        <v>45-59</v>
      </c>
      <c r="E578" t="s">
        <v>17</v>
      </c>
      <c r="F578">
        <v>5</v>
      </c>
      <c r="G578" t="str" cm="1">
        <f t="array" ref="G578">_xlfn.IFS(_xlfn.SINGLE(Table1[imd_decile])&lt;=3,"Most Deprived",F578&lt;=7,"Moderately Deprived",F578&lt;=10,"Least Deprived")</f>
        <v>Moderately Deprived</v>
      </c>
      <c r="H578">
        <v>22.7</v>
      </c>
      <c r="I578" t="s">
        <v>38</v>
      </c>
      <c r="J578" t="s">
        <v>19</v>
      </c>
      <c r="K578" s="1">
        <v>45752</v>
      </c>
      <c r="L578" s="1">
        <v>45762</v>
      </c>
      <c r="M578" s="1" t="str">
        <f>TEXT(Table1[[#This Row],[appointment_date]],"MM/YYYY")</f>
        <v>04/2025</v>
      </c>
      <c r="N578">
        <v>10</v>
      </c>
      <c r="O578" t="str" cm="1">
        <f t="array" ref="O578">_xlfn.IFS(Table1[[#This Row],[lead_time_days]]&lt;=7,"0-7 days",N578&lt;=14,"8-14 days",N578&lt;=30,"15-30 days",N578&lt;=60,"31-60 days",TRUE,"61+ days")</f>
        <v>8-14 days</v>
      </c>
      <c r="P578" t="s">
        <v>71</v>
      </c>
      <c r="Q578" t="s">
        <v>32</v>
      </c>
      <c r="R578">
        <v>0</v>
      </c>
      <c r="S578" t="str">
        <f>IF(Table1[prior_dna_count]&gt;=1,"Has prior DNA history","No prior DNA history")</f>
        <v>No prior DNA history</v>
      </c>
      <c r="T578" t="s">
        <v>22</v>
      </c>
      <c r="U578" t="str">
        <f t="shared" ref="U578:U641" si="9">V577</f>
        <v>1</v>
      </c>
      <c r="V578" t="str">
        <f>IF(Table1[appointment_status]="Attended","1","0")</f>
        <v>1</v>
      </c>
      <c r="W578" t="str">
        <f>IF(Table1[appointment_status]="Cancelled","1","0")</f>
        <v>0</v>
      </c>
    </row>
    <row r="579" spans="1:23">
      <c r="A579" t="s">
        <v>1110</v>
      </c>
      <c r="B579" t="s">
        <v>719</v>
      </c>
      <c r="C579">
        <v>37</v>
      </c>
      <c r="D579" t="str" cm="1">
        <f t="array" ref="D579">_xlfn.IFS(Table1[[#This Row],[age]]&lt;=17,"0-17",C579&lt;=29,"18-29",C579&lt;=44,"30-44",C579&lt;=59,"45-59",C579&lt;=74,"60-74",TRUE,"75+")</f>
        <v>30-44</v>
      </c>
      <c r="E579" t="s">
        <v>17</v>
      </c>
      <c r="F579">
        <v>2</v>
      </c>
      <c r="G579" t="str" cm="1">
        <f t="array" ref="G579">_xlfn.IFS(_xlfn.SINGLE(Table1[imd_decile])&lt;=3,"Most Deprived",F579&lt;=7,"Moderately Deprived",F579&lt;=10,"Least Deprived")</f>
        <v>Most Deprived</v>
      </c>
      <c r="H579">
        <v>17.7</v>
      </c>
      <c r="I579" t="s">
        <v>25</v>
      </c>
      <c r="J579" t="s">
        <v>19</v>
      </c>
      <c r="K579" s="1">
        <v>45733</v>
      </c>
      <c r="L579" s="1">
        <v>45762</v>
      </c>
      <c r="M579" s="1" t="str">
        <f>TEXT(Table1[[#This Row],[appointment_date]],"MM/YYYY")</f>
        <v>04/2025</v>
      </c>
      <c r="N579">
        <v>29</v>
      </c>
      <c r="O579" t="str" cm="1">
        <f t="array" ref="O579">_xlfn.IFS(Table1[[#This Row],[lead_time_days]]&lt;=7,"0-7 days",N579&lt;=14,"8-14 days",N579&lt;=30,"15-30 days",N579&lt;=60,"31-60 days",TRUE,"61+ days")</f>
        <v>15-30 days</v>
      </c>
      <c r="P579" t="s">
        <v>71</v>
      </c>
      <c r="Q579" t="s">
        <v>32</v>
      </c>
      <c r="R579">
        <v>1</v>
      </c>
      <c r="S579" t="str">
        <f>IF(Table1[prior_dna_count]&gt;=1,"Has prior DNA history","No prior DNA history")</f>
        <v>Has prior DNA history</v>
      </c>
      <c r="T579" t="s">
        <v>22</v>
      </c>
      <c r="U579" t="str">
        <f t="shared" si="9"/>
        <v>1</v>
      </c>
      <c r="V579" t="str">
        <f>IF(Table1[appointment_status]="Attended","1","0")</f>
        <v>1</v>
      </c>
      <c r="W579" t="str">
        <f>IF(Table1[appointment_status]="Cancelled","1","0")</f>
        <v>0</v>
      </c>
    </row>
    <row r="580" spans="1:23">
      <c r="A580" t="s">
        <v>1111</v>
      </c>
      <c r="B580" t="s">
        <v>895</v>
      </c>
      <c r="C580">
        <v>37</v>
      </c>
      <c r="D580" t="str" cm="1">
        <f t="array" ref="D580">_xlfn.IFS(Table1[[#This Row],[age]]&lt;=17,"0-17",C580&lt;=29,"18-29",C580&lt;=44,"30-44",C580&lt;=59,"45-59",C580&lt;=74,"60-74",TRUE,"75+")</f>
        <v>30-44</v>
      </c>
      <c r="E580" t="s">
        <v>29</v>
      </c>
      <c r="F580">
        <v>3</v>
      </c>
      <c r="G580" t="str" cm="1">
        <f t="array" ref="G580">_xlfn.IFS(_xlfn.SINGLE(Table1[imd_decile])&lt;=3,"Most Deprived",F580&lt;=7,"Moderately Deprived",F580&lt;=10,"Least Deprived")</f>
        <v>Most Deprived</v>
      </c>
      <c r="H580">
        <v>2</v>
      </c>
      <c r="I580" t="s">
        <v>49</v>
      </c>
      <c r="J580" t="s">
        <v>19</v>
      </c>
      <c r="K580" s="1">
        <v>45744</v>
      </c>
      <c r="L580" s="1">
        <v>45762</v>
      </c>
      <c r="M580" s="1" t="str">
        <f>TEXT(Table1[[#This Row],[appointment_date]],"MM/YYYY")</f>
        <v>04/2025</v>
      </c>
      <c r="N580">
        <v>18</v>
      </c>
      <c r="O580" t="str" cm="1">
        <f t="array" ref="O580">_xlfn.IFS(Table1[[#This Row],[lead_time_days]]&lt;=7,"0-7 days",N580&lt;=14,"8-14 days",N580&lt;=30,"15-30 days",N580&lt;=60,"31-60 days",TRUE,"61+ days")</f>
        <v>15-30 days</v>
      </c>
      <c r="P580" t="s">
        <v>71</v>
      </c>
      <c r="Q580" t="s">
        <v>32</v>
      </c>
      <c r="R580">
        <v>0</v>
      </c>
      <c r="S580" t="str">
        <f>IF(Table1[prior_dna_count]&gt;=1,"Has prior DNA history","No prior DNA history")</f>
        <v>No prior DNA history</v>
      </c>
      <c r="T580" t="s">
        <v>22</v>
      </c>
      <c r="U580" t="str">
        <f t="shared" si="9"/>
        <v>1</v>
      </c>
      <c r="V580" t="str">
        <f>IF(Table1[appointment_status]="Attended","1","0")</f>
        <v>1</v>
      </c>
      <c r="W580" t="str">
        <f>IF(Table1[appointment_status]="Cancelled","1","0")</f>
        <v>0</v>
      </c>
    </row>
    <row r="581" spans="1:23">
      <c r="A581" t="s">
        <v>1112</v>
      </c>
      <c r="B581" t="s">
        <v>1113</v>
      </c>
      <c r="C581">
        <v>23</v>
      </c>
      <c r="D581" t="str" cm="1">
        <f t="array" ref="D581">_xlfn.IFS(Table1[[#This Row],[age]]&lt;=17,"0-17",C581&lt;=29,"18-29",C581&lt;=44,"30-44",C581&lt;=59,"45-59",C581&lt;=74,"60-74",TRUE,"75+")</f>
        <v>18-29</v>
      </c>
      <c r="E581" t="s">
        <v>17</v>
      </c>
      <c r="F581">
        <v>6</v>
      </c>
      <c r="G581" t="str" cm="1">
        <f t="array" ref="G581">_xlfn.IFS(_xlfn.SINGLE(Table1[imd_decile])&lt;=3,"Most Deprived",F581&lt;=7,"Moderately Deprived",F581&lt;=10,"Least Deprived")</f>
        <v>Moderately Deprived</v>
      </c>
      <c r="H581">
        <v>9.8000000000000007</v>
      </c>
      <c r="I581" t="s">
        <v>25</v>
      </c>
      <c r="J581" t="s">
        <v>19</v>
      </c>
      <c r="K581" s="1">
        <v>45748</v>
      </c>
      <c r="L581" s="1">
        <v>45762</v>
      </c>
      <c r="M581" s="1" t="str">
        <f>TEXT(Table1[[#This Row],[appointment_date]],"MM/YYYY")</f>
        <v>04/2025</v>
      </c>
      <c r="N581">
        <v>14</v>
      </c>
      <c r="O581" t="str" cm="1">
        <f t="array" ref="O581">_xlfn.IFS(Table1[[#This Row],[lead_time_days]]&lt;=7,"0-7 days",N581&lt;=14,"8-14 days",N581&lt;=30,"15-30 days",N581&lt;=60,"31-60 days",TRUE,"61+ days")</f>
        <v>8-14 days</v>
      </c>
      <c r="P581" t="s">
        <v>71</v>
      </c>
      <c r="Q581" t="s">
        <v>32</v>
      </c>
      <c r="R581">
        <v>0</v>
      </c>
      <c r="S581" t="str">
        <f>IF(Table1[prior_dna_count]&gt;=1,"Has prior DNA history","No prior DNA history")</f>
        <v>No prior DNA history</v>
      </c>
      <c r="T581" t="s">
        <v>22</v>
      </c>
      <c r="U581" t="str">
        <f t="shared" si="9"/>
        <v>1</v>
      </c>
      <c r="V581" t="str">
        <f>IF(Table1[appointment_status]="Attended","1","0")</f>
        <v>1</v>
      </c>
      <c r="W581" t="str">
        <f>IF(Table1[appointment_status]="Cancelled","1","0")</f>
        <v>0</v>
      </c>
    </row>
    <row r="582" spans="1:23">
      <c r="A582" t="s">
        <v>1114</v>
      </c>
      <c r="B582" t="s">
        <v>1115</v>
      </c>
      <c r="C582">
        <v>75</v>
      </c>
      <c r="D582" t="str" cm="1">
        <f t="array" ref="D582">_xlfn.IFS(Table1[[#This Row],[age]]&lt;=17,"0-17",C582&lt;=29,"18-29",C582&lt;=44,"30-44",C582&lt;=59,"45-59",C582&lt;=74,"60-74",TRUE,"75+")</f>
        <v>75+</v>
      </c>
      <c r="E582" t="s">
        <v>29</v>
      </c>
      <c r="F582">
        <v>9</v>
      </c>
      <c r="G582" t="str" cm="1">
        <f t="array" ref="G582">_xlfn.IFS(_xlfn.SINGLE(Table1[imd_decile])&lt;=3,"Most Deprived",F582&lt;=7,"Moderately Deprived",F582&lt;=10,"Least Deprived")</f>
        <v>Least Deprived</v>
      </c>
      <c r="H582">
        <v>1.3</v>
      </c>
      <c r="I582" t="s">
        <v>38</v>
      </c>
      <c r="J582" t="s">
        <v>19</v>
      </c>
      <c r="K582" s="1">
        <v>45710</v>
      </c>
      <c r="L582" s="1">
        <v>45762</v>
      </c>
      <c r="M582" s="1" t="str">
        <f>TEXT(Table1[[#This Row],[appointment_date]],"MM/YYYY")</f>
        <v>04/2025</v>
      </c>
      <c r="N582">
        <v>52</v>
      </c>
      <c r="O582" t="str" cm="1">
        <f t="array" ref="O582">_xlfn.IFS(Table1[[#This Row],[lead_time_days]]&lt;=7,"0-7 days",N582&lt;=14,"8-14 days",N582&lt;=30,"15-30 days",N582&lt;=60,"31-60 days",TRUE,"61+ days")</f>
        <v>31-60 days</v>
      </c>
      <c r="P582" t="s">
        <v>71</v>
      </c>
      <c r="Q582" t="s">
        <v>32</v>
      </c>
      <c r="R582">
        <v>0</v>
      </c>
      <c r="S582" t="str">
        <f>IF(Table1[prior_dna_count]&gt;=1,"Has prior DNA history","No prior DNA history")</f>
        <v>No prior DNA history</v>
      </c>
      <c r="T582" t="s">
        <v>39</v>
      </c>
      <c r="U582" t="str">
        <f t="shared" si="9"/>
        <v>1</v>
      </c>
      <c r="V582" t="str">
        <f>IF(Table1[appointment_status]="Attended","1","0")</f>
        <v>0</v>
      </c>
      <c r="W582" t="str">
        <f>IF(Table1[appointment_status]="Cancelled","1","0")</f>
        <v>0</v>
      </c>
    </row>
    <row r="583" spans="1:23">
      <c r="A583" t="s">
        <v>1116</v>
      </c>
      <c r="B583" t="s">
        <v>1117</v>
      </c>
      <c r="C583">
        <v>30</v>
      </c>
      <c r="D583" t="str" cm="1">
        <f t="array" ref="D583">_xlfn.IFS(Table1[[#This Row],[age]]&lt;=17,"0-17",C583&lt;=29,"18-29",C583&lt;=44,"30-44",C583&lt;=59,"45-59",C583&lt;=74,"60-74",TRUE,"75+")</f>
        <v>30-44</v>
      </c>
      <c r="E583" t="s">
        <v>29</v>
      </c>
      <c r="F583">
        <v>4</v>
      </c>
      <c r="G583" t="str" cm="1">
        <f t="array" ref="G583">_xlfn.IFS(_xlfn.SINGLE(Table1[imd_decile])&lt;=3,"Most Deprived",F583&lt;=7,"Moderately Deprived",F583&lt;=10,"Least Deprived")</f>
        <v>Moderately Deprived</v>
      </c>
      <c r="H583">
        <v>9.8000000000000007</v>
      </c>
      <c r="I583" t="s">
        <v>45</v>
      </c>
      <c r="J583" t="s">
        <v>26</v>
      </c>
      <c r="K583" s="1">
        <v>45741</v>
      </c>
      <c r="L583" s="1">
        <v>45762</v>
      </c>
      <c r="M583" s="1" t="str">
        <f>TEXT(Table1[[#This Row],[appointment_date]],"MM/YYYY")</f>
        <v>04/2025</v>
      </c>
      <c r="N583">
        <v>21</v>
      </c>
      <c r="O583" t="str" cm="1">
        <f t="array" ref="O583">_xlfn.IFS(Table1[[#This Row],[lead_time_days]]&lt;=7,"0-7 days",N583&lt;=14,"8-14 days",N583&lt;=30,"15-30 days",N583&lt;=60,"31-60 days",TRUE,"61+ days")</f>
        <v>15-30 days</v>
      </c>
      <c r="P583" t="s">
        <v>71</v>
      </c>
      <c r="Q583" t="s">
        <v>32</v>
      </c>
      <c r="R583">
        <v>0</v>
      </c>
      <c r="S583" t="str">
        <f>IF(Table1[prior_dna_count]&gt;=1,"Has prior DNA history","No prior DNA history")</f>
        <v>No prior DNA history</v>
      </c>
      <c r="T583" t="s">
        <v>22</v>
      </c>
      <c r="U583" t="str">
        <f t="shared" si="9"/>
        <v>0</v>
      </c>
      <c r="V583" t="str">
        <f>IF(Table1[appointment_status]="Attended","1","0")</f>
        <v>1</v>
      </c>
      <c r="W583" t="str">
        <f>IF(Table1[appointment_status]="Cancelled","1","0")</f>
        <v>0</v>
      </c>
    </row>
    <row r="584" spans="1:23">
      <c r="A584" t="s">
        <v>1118</v>
      </c>
      <c r="B584" t="s">
        <v>1119</v>
      </c>
      <c r="C584">
        <v>54</v>
      </c>
      <c r="D584" t="str" cm="1">
        <f t="array" ref="D584">_xlfn.IFS(Table1[[#This Row],[age]]&lt;=17,"0-17",C584&lt;=29,"18-29",C584&lt;=44,"30-44",C584&lt;=59,"45-59",C584&lt;=74,"60-74",TRUE,"75+")</f>
        <v>45-59</v>
      </c>
      <c r="E584" t="s">
        <v>29</v>
      </c>
      <c r="F584">
        <v>1</v>
      </c>
      <c r="G584" t="str" cm="1">
        <f t="array" ref="G584">_xlfn.IFS(_xlfn.SINGLE(Table1[imd_decile])&lt;=3,"Most Deprived",F584&lt;=7,"Moderately Deprived",F584&lt;=10,"Least Deprived")</f>
        <v>Most Deprived</v>
      </c>
      <c r="H584">
        <v>16.100000000000001</v>
      </c>
      <c r="I584" t="s">
        <v>45</v>
      </c>
      <c r="J584" t="s">
        <v>19</v>
      </c>
      <c r="K584" s="1">
        <v>45681</v>
      </c>
      <c r="L584" s="1">
        <v>45762</v>
      </c>
      <c r="M584" s="1" t="str">
        <f>TEXT(Table1[[#This Row],[appointment_date]],"MM/YYYY")</f>
        <v>04/2025</v>
      </c>
      <c r="N584">
        <v>81</v>
      </c>
      <c r="O584" t="str" cm="1">
        <f t="array" ref="O584">_xlfn.IFS(Table1[[#This Row],[lead_time_days]]&lt;=7,"0-7 days",N584&lt;=14,"8-14 days",N584&lt;=30,"15-30 days",N584&lt;=60,"31-60 days",TRUE,"61+ days")</f>
        <v>61+ days</v>
      </c>
      <c r="P584" t="s">
        <v>71</v>
      </c>
      <c r="Q584" t="s">
        <v>21</v>
      </c>
      <c r="R584">
        <v>0</v>
      </c>
      <c r="S584" t="str">
        <f>IF(Table1[prior_dna_count]&gt;=1,"Has prior DNA history","No prior DNA history")</f>
        <v>No prior DNA history</v>
      </c>
      <c r="T584" t="s">
        <v>46</v>
      </c>
      <c r="U584" t="str">
        <f t="shared" si="9"/>
        <v>1</v>
      </c>
      <c r="V584" t="str">
        <f>IF(Table1[appointment_status]="Attended","1","0")</f>
        <v>0</v>
      </c>
      <c r="W584" t="str">
        <f>IF(Table1[appointment_status]="Cancelled","1","0")</f>
        <v>1</v>
      </c>
    </row>
    <row r="585" spans="1:23">
      <c r="A585" t="s">
        <v>1120</v>
      </c>
      <c r="B585" t="s">
        <v>1121</v>
      </c>
      <c r="C585">
        <v>71</v>
      </c>
      <c r="D585" t="str" cm="1">
        <f t="array" ref="D585">_xlfn.IFS(Table1[[#This Row],[age]]&lt;=17,"0-17",C585&lt;=29,"18-29",C585&lt;=44,"30-44",C585&lt;=59,"45-59",C585&lt;=74,"60-74",TRUE,"75+")</f>
        <v>60-74</v>
      </c>
      <c r="E585" t="s">
        <v>17</v>
      </c>
      <c r="F585">
        <v>3</v>
      </c>
      <c r="G585" t="str" cm="1">
        <f t="array" ref="G585">_xlfn.IFS(_xlfn.SINGLE(Table1[imd_decile])&lt;=3,"Most Deprived",F585&lt;=7,"Moderately Deprived",F585&lt;=10,"Least Deprived")</f>
        <v>Most Deprived</v>
      </c>
      <c r="H585">
        <v>8.5</v>
      </c>
      <c r="I585" t="s">
        <v>25</v>
      </c>
      <c r="J585" t="s">
        <v>19</v>
      </c>
      <c r="K585" s="1">
        <v>45736</v>
      </c>
      <c r="L585" s="1">
        <v>45762</v>
      </c>
      <c r="M585" s="1" t="str">
        <f>TEXT(Table1[[#This Row],[appointment_date]],"MM/YYYY")</f>
        <v>04/2025</v>
      </c>
      <c r="N585">
        <v>26</v>
      </c>
      <c r="O585" t="str" cm="1">
        <f t="array" ref="O585">_xlfn.IFS(Table1[[#This Row],[lead_time_days]]&lt;=7,"0-7 days",N585&lt;=14,"8-14 days",N585&lt;=30,"15-30 days",N585&lt;=60,"31-60 days",TRUE,"61+ days")</f>
        <v>15-30 days</v>
      </c>
      <c r="P585" t="s">
        <v>71</v>
      </c>
      <c r="Q585" t="s">
        <v>32</v>
      </c>
      <c r="R585">
        <v>0</v>
      </c>
      <c r="S585" t="str">
        <f>IF(Table1[prior_dna_count]&gt;=1,"Has prior DNA history","No prior DNA history")</f>
        <v>No prior DNA history</v>
      </c>
      <c r="T585" t="s">
        <v>22</v>
      </c>
      <c r="U585" t="str">
        <f t="shared" si="9"/>
        <v>0</v>
      </c>
      <c r="V585" t="str">
        <f>IF(Table1[appointment_status]="Attended","1","0")</f>
        <v>1</v>
      </c>
      <c r="W585" t="str">
        <f>IF(Table1[appointment_status]="Cancelled","1","0")</f>
        <v>0</v>
      </c>
    </row>
    <row r="586" spans="1:23">
      <c r="A586" t="s">
        <v>1122</v>
      </c>
      <c r="B586" t="s">
        <v>179</v>
      </c>
      <c r="C586">
        <v>72</v>
      </c>
      <c r="D586" t="str" cm="1">
        <f t="array" ref="D586">_xlfn.IFS(Table1[[#This Row],[age]]&lt;=17,"0-17",C586&lt;=29,"18-29",C586&lt;=44,"30-44",C586&lt;=59,"45-59",C586&lt;=74,"60-74",TRUE,"75+")</f>
        <v>60-74</v>
      </c>
      <c r="E586" t="s">
        <v>17</v>
      </c>
      <c r="F586">
        <v>4</v>
      </c>
      <c r="G586" t="str" cm="1">
        <f t="array" ref="G586">_xlfn.IFS(_xlfn.SINGLE(Table1[imd_decile])&lt;=3,"Most Deprived",F586&lt;=7,"Moderately Deprived",F586&lt;=10,"Least Deprived")</f>
        <v>Moderately Deprived</v>
      </c>
      <c r="H586">
        <v>22.9</v>
      </c>
      <c r="I586" t="s">
        <v>30</v>
      </c>
      <c r="J586" t="s">
        <v>19</v>
      </c>
      <c r="K586" s="1">
        <v>45707</v>
      </c>
      <c r="L586" s="1">
        <v>45763</v>
      </c>
      <c r="M586" s="1" t="str">
        <f>TEXT(Table1[[#This Row],[appointment_date]],"MM/YYYY")</f>
        <v>04/2025</v>
      </c>
      <c r="N586">
        <v>56</v>
      </c>
      <c r="O586" t="str" cm="1">
        <f t="array" ref="O586">_xlfn.IFS(Table1[[#This Row],[lead_time_days]]&lt;=7,"0-7 days",N586&lt;=14,"8-14 days",N586&lt;=30,"15-30 days",N586&lt;=60,"31-60 days",TRUE,"61+ days")</f>
        <v>31-60 days</v>
      </c>
      <c r="P586" t="s">
        <v>80</v>
      </c>
      <c r="Q586" t="s">
        <v>32</v>
      </c>
      <c r="R586">
        <v>0</v>
      </c>
      <c r="S586" t="str">
        <f>IF(Table1[prior_dna_count]&gt;=1,"Has prior DNA history","No prior DNA history")</f>
        <v>No prior DNA history</v>
      </c>
      <c r="T586" t="s">
        <v>22</v>
      </c>
      <c r="U586" t="str">
        <f t="shared" si="9"/>
        <v>1</v>
      </c>
      <c r="V586" t="str">
        <f>IF(Table1[appointment_status]="Attended","1","0")</f>
        <v>1</v>
      </c>
      <c r="W586" t="str">
        <f>IF(Table1[appointment_status]="Cancelled","1","0")</f>
        <v>0</v>
      </c>
    </row>
    <row r="587" spans="1:23">
      <c r="A587" t="s">
        <v>1123</v>
      </c>
      <c r="B587" t="s">
        <v>1124</v>
      </c>
      <c r="C587">
        <v>43</v>
      </c>
      <c r="D587" t="str" cm="1">
        <f t="array" ref="D587">_xlfn.IFS(Table1[[#This Row],[age]]&lt;=17,"0-17",C587&lt;=29,"18-29",C587&lt;=44,"30-44",C587&lt;=59,"45-59",C587&lt;=74,"60-74",TRUE,"75+")</f>
        <v>30-44</v>
      </c>
      <c r="E587" t="s">
        <v>17</v>
      </c>
      <c r="F587">
        <v>5</v>
      </c>
      <c r="G587" t="str" cm="1">
        <f t="array" ref="G587">_xlfn.IFS(_xlfn.SINGLE(Table1[imd_decile])&lt;=3,"Most Deprived",F587&lt;=7,"Moderately Deprived",F587&lt;=10,"Least Deprived")</f>
        <v>Moderately Deprived</v>
      </c>
      <c r="H587">
        <v>6.5</v>
      </c>
      <c r="I587" t="s">
        <v>155</v>
      </c>
      <c r="J587" t="s">
        <v>26</v>
      </c>
      <c r="K587" s="1">
        <v>45721</v>
      </c>
      <c r="L587" s="1">
        <v>45763</v>
      </c>
      <c r="M587" s="1" t="str">
        <f>TEXT(Table1[[#This Row],[appointment_date]],"MM/YYYY")</f>
        <v>04/2025</v>
      </c>
      <c r="N587">
        <v>42</v>
      </c>
      <c r="O587" t="str" cm="1">
        <f t="array" ref="O587">_xlfn.IFS(Table1[[#This Row],[lead_time_days]]&lt;=7,"0-7 days",N587&lt;=14,"8-14 days",N587&lt;=30,"15-30 days",N587&lt;=60,"31-60 days",TRUE,"61+ days")</f>
        <v>31-60 days</v>
      </c>
      <c r="P587" t="s">
        <v>80</v>
      </c>
      <c r="Q587" t="s">
        <v>32</v>
      </c>
      <c r="R587">
        <v>0</v>
      </c>
      <c r="S587" t="str">
        <f>IF(Table1[prior_dna_count]&gt;=1,"Has prior DNA history","No prior DNA history")</f>
        <v>No prior DNA history</v>
      </c>
      <c r="T587" t="s">
        <v>22</v>
      </c>
      <c r="U587" t="str">
        <f t="shared" si="9"/>
        <v>1</v>
      </c>
      <c r="V587" t="str">
        <f>IF(Table1[appointment_status]="Attended","1","0")</f>
        <v>1</v>
      </c>
      <c r="W587" t="str">
        <f>IF(Table1[appointment_status]="Cancelled","1","0")</f>
        <v>0</v>
      </c>
    </row>
    <row r="588" spans="1:23">
      <c r="A588" t="s">
        <v>1125</v>
      </c>
      <c r="B588" t="s">
        <v>1126</v>
      </c>
      <c r="C588">
        <v>22</v>
      </c>
      <c r="D588" t="str" cm="1">
        <f t="array" ref="D588">_xlfn.IFS(Table1[[#This Row],[age]]&lt;=17,"0-17",C588&lt;=29,"18-29",C588&lt;=44,"30-44",C588&lt;=59,"45-59",C588&lt;=74,"60-74",TRUE,"75+")</f>
        <v>18-29</v>
      </c>
      <c r="E588" t="s">
        <v>29</v>
      </c>
      <c r="F588">
        <v>9</v>
      </c>
      <c r="G588" t="str" cm="1">
        <f t="array" ref="G588">_xlfn.IFS(_xlfn.SINGLE(Table1[imd_decile])&lt;=3,"Most Deprived",F588&lt;=7,"Moderately Deprived",F588&lt;=10,"Least Deprived")</f>
        <v>Least Deprived</v>
      </c>
      <c r="H588">
        <v>3.8</v>
      </c>
      <c r="I588" t="s">
        <v>42</v>
      </c>
      <c r="J588" t="s">
        <v>19</v>
      </c>
      <c r="K588" s="1">
        <v>45721</v>
      </c>
      <c r="L588" s="1">
        <v>45763</v>
      </c>
      <c r="M588" s="1" t="str">
        <f>TEXT(Table1[[#This Row],[appointment_date]],"MM/YYYY")</f>
        <v>04/2025</v>
      </c>
      <c r="N588">
        <v>42</v>
      </c>
      <c r="O588" t="str" cm="1">
        <f t="array" ref="O588">_xlfn.IFS(Table1[[#This Row],[lead_time_days]]&lt;=7,"0-7 days",N588&lt;=14,"8-14 days",N588&lt;=30,"15-30 days",N588&lt;=60,"31-60 days",TRUE,"61+ days")</f>
        <v>31-60 days</v>
      </c>
      <c r="P588" t="s">
        <v>80</v>
      </c>
      <c r="Q588" t="s">
        <v>21</v>
      </c>
      <c r="R588">
        <v>0</v>
      </c>
      <c r="S588" t="str">
        <f>IF(Table1[prior_dna_count]&gt;=1,"Has prior DNA history","No prior DNA history")</f>
        <v>No prior DNA history</v>
      </c>
      <c r="T588" t="s">
        <v>22</v>
      </c>
      <c r="U588" t="str">
        <f t="shared" si="9"/>
        <v>1</v>
      </c>
      <c r="V588" t="str">
        <f>IF(Table1[appointment_status]="Attended","1","0")</f>
        <v>1</v>
      </c>
      <c r="W588" t="str">
        <f>IF(Table1[appointment_status]="Cancelled","1","0")</f>
        <v>0</v>
      </c>
    </row>
    <row r="589" spans="1:23">
      <c r="A589" t="s">
        <v>1127</v>
      </c>
      <c r="B589" t="s">
        <v>320</v>
      </c>
      <c r="C589">
        <v>30</v>
      </c>
      <c r="D589" t="str" cm="1">
        <f t="array" ref="D589">_xlfn.IFS(Table1[[#This Row],[age]]&lt;=17,"0-17",C589&lt;=29,"18-29",C589&lt;=44,"30-44",C589&lt;=59,"45-59",C589&lt;=74,"60-74",TRUE,"75+")</f>
        <v>30-44</v>
      </c>
      <c r="E589" t="s">
        <v>29</v>
      </c>
      <c r="F589">
        <v>5</v>
      </c>
      <c r="G589" t="str" cm="1">
        <f t="array" ref="G589">_xlfn.IFS(_xlfn.SINGLE(Table1[imd_decile])&lt;=3,"Most Deprived",F589&lt;=7,"Moderately Deprived",F589&lt;=10,"Least Deprived")</f>
        <v>Moderately Deprived</v>
      </c>
      <c r="H589">
        <v>6.9</v>
      </c>
      <c r="I589" t="s">
        <v>58</v>
      </c>
      <c r="J589" t="s">
        <v>26</v>
      </c>
      <c r="K589" s="1">
        <v>45758</v>
      </c>
      <c r="L589" s="1">
        <v>45763</v>
      </c>
      <c r="M589" s="1" t="str">
        <f>TEXT(Table1[[#This Row],[appointment_date]],"MM/YYYY")</f>
        <v>04/2025</v>
      </c>
      <c r="N589">
        <v>5</v>
      </c>
      <c r="O589" t="str" cm="1">
        <f t="array" ref="O589">_xlfn.IFS(Table1[[#This Row],[lead_time_days]]&lt;=7,"0-7 days",N589&lt;=14,"8-14 days",N589&lt;=30,"15-30 days",N589&lt;=60,"31-60 days",TRUE,"61+ days")</f>
        <v>0-7 days</v>
      </c>
      <c r="P589" t="s">
        <v>80</v>
      </c>
      <c r="Q589" t="s">
        <v>21</v>
      </c>
      <c r="R589">
        <v>0</v>
      </c>
      <c r="S589" t="str">
        <f>IF(Table1[prior_dna_count]&gt;=1,"Has prior DNA history","No prior DNA history")</f>
        <v>No prior DNA history</v>
      </c>
      <c r="T589" t="s">
        <v>22</v>
      </c>
      <c r="U589" t="str">
        <f t="shared" si="9"/>
        <v>1</v>
      </c>
      <c r="V589" t="str">
        <f>IF(Table1[appointment_status]="Attended","1","0")</f>
        <v>1</v>
      </c>
      <c r="W589" t="str">
        <f>IF(Table1[appointment_status]="Cancelled","1","0")</f>
        <v>0</v>
      </c>
    </row>
    <row r="590" spans="1:23">
      <c r="A590" t="s">
        <v>1128</v>
      </c>
      <c r="B590" t="s">
        <v>1129</v>
      </c>
      <c r="C590">
        <v>82</v>
      </c>
      <c r="D590" t="str" cm="1">
        <f t="array" ref="D590">_xlfn.IFS(Table1[[#This Row],[age]]&lt;=17,"0-17",C590&lt;=29,"18-29",C590&lt;=44,"30-44",C590&lt;=59,"45-59",C590&lt;=74,"60-74",TRUE,"75+")</f>
        <v>75+</v>
      </c>
      <c r="E590" t="s">
        <v>17</v>
      </c>
      <c r="F590">
        <v>5</v>
      </c>
      <c r="G590" t="str" cm="1">
        <f t="array" ref="G590">_xlfn.IFS(_xlfn.SINGLE(Table1[imd_decile])&lt;=3,"Most Deprived",F590&lt;=7,"Moderately Deprived",F590&lt;=10,"Least Deprived")</f>
        <v>Moderately Deprived</v>
      </c>
      <c r="H590">
        <v>3.6</v>
      </c>
      <c r="I590" t="s">
        <v>91</v>
      </c>
      <c r="J590" t="s">
        <v>19</v>
      </c>
      <c r="K590" s="1">
        <v>45718</v>
      </c>
      <c r="L590" s="1">
        <v>45763</v>
      </c>
      <c r="M590" s="1" t="str">
        <f>TEXT(Table1[[#This Row],[appointment_date]],"MM/YYYY")</f>
        <v>04/2025</v>
      </c>
      <c r="N590">
        <v>45</v>
      </c>
      <c r="O590" t="str" cm="1">
        <f t="array" ref="O590">_xlfn.IFS(Table1[[#This Row],[lead_time_days]]&lt;=7,"0-7 days",N590&lt;=14,"8-14 days",N590&lt;=30,"15-30 days",N590&lt;=60,"31-60 days",TRUE,"61+ days")</f>
        <v>31-60 days</v>
      </c>
      <c r="P590" t="s">
        <v>80</v>
      </c>
      <c r="Q590" t="s">
        <v>21</v>
      </c>
      <c r="R590">
        <v>0</v>
      </c>
      <c r="S590" t="str">
        <f>IF(Table1[prior_dna_count]&gt;=1,"Has prior DNA history","No prior DNA history")</f>
        <v>No prior DNA history</v>
      </c>
      <c r="T590" t="s">
        <v>22</v>
      </c>
      <c r="U590" t="str">
        <f t="shared" si="9"/>
        <v>1</v>
      </c>
      <c r="V590" t="str">
        <f>IF(Table1[appointment_status]="Attended","1","0")</f>
        <v>1</v>
      </c>
      <c r="W590" t="str">
        <f>IF(Table1[appointment_status]="Cancelled","1","0")</f>
        <v>0</v>
      </c>
    </row>
    <row r="591" spans="1:23">
      <c r="A591" t="s">
        <v>1130</v>
      </c>
      <c r="B591" t="s">
        <v>1131</v>
      </c>
      <c r="C591">
        <v>30</v>
      </c>
      <c r="D591" t="str" cm="1">
        <f t="array" ref="D591">_xlfn.IFS(Table1[[#This Row],[age]]&lt;=17,"0-17",C591&lt;=29,"18-29",C591&lt;=44,"30-44",C591&lt;=59,"45-59",C591&lt;=74,"60-74",TRUE,"75+")</f>
        <v>30-44</v>
      </c>
      <c r="E591" t="s">
        <v>29</v>
      </c>
      <c r="F591">
        <v>8</v>
      </c>
      <c r="G591" t="str" cm="1">
        <f t="array" ref="G591">_xlfn.IFS(_xlfn.SINGLE(Table1[imd_decile])&lt;=3,"Most Deprived",F591&lt;=7,"Moderately Deprived",F591&lt;=10,"Least Deprived")</f>
        <v>Least Deprived</v>
      </c>
      <c r="H591">
        <v>24.7</v>
      </c>
      <c r="I591" t="s">
        <v>42</v>
      </c>
      <c r="J591" t="s">
        <v>19</v>
      </c>
      <c r="K591" s="1">
        <v>45753</v>
      </c>
      <c r="L591" s="1">
        <v>45763</v>
      </c>
      <c r="M591" s="1" t="str">
        <f>TEXT(Table1[[#This Row],[appointment_date]],"MM/YYYY")</f>
        <v>04/2025</v>
      </c>
      <c r="N591">
        <v>10</v>
      </c>
      <c r="O591" t="str" cm="1">
        <f t="array" ref="O591">_xlfn.IFS(Table1[[#This Row],[lead_time_days]]&lt;=7,"0-7 days",N591&lt;=14,"8-14 days",N591&lt;=30,"15-30 days",N591&lt;=60,"31-60 days",TRUE,"61+ days")</f>
        <v>8-14 days</v>
      </c>
      <c r="P591" t="s">
        <v>80</v>
      </c>
      <c r="Q591" t="s">
        <v>21</v>
      </c>
      <c r="R591">
        <v>0</v>
      </c>
      <c r="S591" t="str">
        <f>IF(Table1[prior_dna_count]&gt;=1,"Has prior DNA history","No prior DNA history")</f>
        <v>No prior DNA history</v>
      </c>
      <c r="T591" t="s">
        <v>22</v>
      </c>
      <c r="U591" t="str">
        <f t="shared" si="9"/>
        <v>1</v>
      </c>
      <c r="V591" t="str">
        <f>IF(Table1[appointment_status]="Attended","1","0")</f>
        <v>1</v>
      </c>
      <c r="W591" t="str">
        <f>IF(Table1[appointment_status]="Cancelled","1","0")</f>
        <v>0</v>
      </c>
    </row>
    <row r="592" spans="1:23">
      <c r="A592" t="s">
        <v>1132</v>
      </c>
      <c r="B592" t="s">
        <v>1133</v>
      </c>
      <c r="C592">
        <v>41</v>
      </c>
      <c r="D592" t="str" cm="1">
        <f t="array" ref="D592">_xlfn.IFS(Table1[[#This Row],[age]]&lt;=17,"0-17",C592&lt;=29,"18-29",C592&lt;=44,"30-44",C592&lt;=59,"45-59",C592&lt;=74,"60-74",TRUE,"75+")</f>
        <v>30-44</v>
      </c>
      <c r="E592" t="s">
        <v>29</v>
      </c>
      <c r="F592">
        <v>2</v>
      </c>
      <c r="G592" t="str" cm="1">
        <f t="array" ref="G592">_xlfn.IFS(_xlfn.SINGLE(Table1[imd_decile])&lt;=3,"Most Deprived",F592&lt;=7,"Moderately Deprived",F592&lt;=10,"Least Deprived")</f>
        <v>Most Deprived</v>
      </c>
      <c r="H592">
        <v>3.5</v>
      </c>
      <c r="I592" t="s">
        <v>25</v>
      </c>
      <c r="J592" t="s">
        <v>19</v>
      </c>
      <c r="K592" s="1">
        <v>45676</v>
      </c>
      <c r="L592" s="1">
        <v>45763</v>
      </c>
      <c r="M592" s="1" t="str">
        <f>TEXT(Table1[[#This Row],[appointment_date]],"MM/YYYY")</f>
        <v>04/2025</v>
      </c>
      <c r="N592">
        <v>87</v>
      </c>
      <c r="O592" t="str" cm="1">
        <f t="array" ref="O592">_xlfn.IFS(Table1[[#This Row],[lead_time_days]]&lt;=7,"0-7 days",N592&lt;=14,"8-14 days",N592&lt;=30,"15-30 days",N592&lt;=60,"31-60 days",TRUE,"61+ days")</f>
        <v>61+ days</v>
      </c>
      <c r="P592" t="s">
        <v>80</v>
      </c>
      <c r="Q592" t="s">
        <v>21</v>
      </c>
      <c r="R592">
        <v>1</v>
      </c>
      <c r="S592" t="str">
        <f>IF(Table1[prior_dna_count]&gt;=1,"Has prior DNA history","No prior DNA history")</f>
        <v>Has prior DNA history</v>
      </c>
      <c r="T592" t="s">
        <v>22</v>
      </c>
      <c r="U592" t="str">
        <f t="shared" si="9"/>
        <v>1</v>
      </c>
      <c r="V592" t="str">
        <f>IF(Table1[appointment_status]="Attended","1","0")</f>
        <v>1</v>
      </c>
      <c r="W592" t="str">
        <f>IF(Table1[appointment_status]="Cancelled","1","0")</f>
        <v>0</v>
      </c>
    </row>
    <row r="593" spans="1:23">
      <c r="A593" t="s">
        <v>1134</v>
      </c>
      <c r="B593" t="s">
        <v>1135</v>
      </c>
      <c r="C593">
        <v>27</v>
      </c>
      <c r="D593" t="str" cm="1">
        <f t="array" ref="D593">_xlfn.IFS(Table1[[#This Row],[age]]&lt;=17,"0-17",C593&lt;=29,"18-29",C593&lt;=44,"30-44",C593&lt;=59,"45-59",C593&lt;=74,"60-74",TRUE,"75+")</f>
        <v>18-29</v>
      </c>
      <c r="E593" t="s">
        <v>29</v>
      </c>
      <c r="F593">
        <v>1</v>
      </c>
      <c r="G593" t="str" cm="1">
        <f t="array" ref="G593">_xlfn.IFS(_xlfn.SINGLE(Table1[imd_decile])&lt;=3,"Most Deprived",F593&lt;=7,"Moderately Deprived",F593&lt;=10,"Least Deprived")</f>
        <v>Most Deprived</v>
      </c>
      <c r="H593">
        <v>4.7</v>
      </c>
      <c r="I593" t="s">
        <v>42</v>
      </c>
      <c r="J593" t="s">
        <v>26</v>
      </c>
      <c r="K593" s="1">
        <v>45747</v>
      </c>
      <c r="L593" s="1">
        <v>45763</v>
      </c>
      <c r="M593" s="1" t="str">
        <f>TEXT(Table1[[#This Row],[appointment_date]],"MM/YYYY")</f>
        <v>04/2025</v>
      </c>
      <c r="N593">
        <v>16</v>
      </c>
      <c r="O593" t="str" cm="1">
        <f t="array" ref="O593">_xlfn.IFS(Table1[[#This Row],[lead_time_days]]&lt;=7,"0-7 days",N593&lt;=14,"8-14 days",N593&lt;=30,"15-30 days",N593&lt;=60,"31-60 days",TRUE,"61+ days")</f>
        <v>15-30 days</v>
      </c>
      <c r="P593" t="s">
        <v>80</v>
      </c>
      <c r="Q593" t="s">
        <v>21</v>
      </c>
      <c r="R593">
        <v>0</v>
      </c>
      <c r="S593" t="str">
        <f>IF(Table1[prior_dna_count]&gt;=1,"Has prior DNA history","No prior DNA history")</f>
        <v>No prior DNA history</v>
      </c>
      <c r="T593" t="s">
        <v>22</v>
      </c>
      <c r="U593" t="str">
        <f t="shared" si="9"/>
        <v>1</v>
      </c>
      <c r="V593" t="str">
        <f>IF(Table1[appointment_status]="Attended","1","0")</f>
        <v>1</v>
      </c>
      <c r="W593" t="str">
        <f>IF(Table1[appointment_status]="Cancelled","1","0")</f>
        <v>0</v>
      </c>
    </row>
    <row r="594" spans="1:23">
      <c r="A594" t="s">
        <v>1136</v>
      </c>
      <c r="B594" t="s">
        <v>1137</v>
      </c>
      <c r="C594">
        <v>62</v>
      </c>
      <c r="D594" t="str" cm="1">
        <f t="array" ref="D594">_xlfn.IFS(Table1[[#This Row],[age]]&lt;=17,"0-17",C594&lt;=29,"18-29",C594&lt;=44,"30-44",C594&lt;=59,"45-59",C594&lt;=74,"60-74",TRUE,"75+")</f>
        <v>60-74</v>
      </c>
      <c r="E594" t="s">
        <v>29</v>
      </c>
      <c r="F594">
        <v>5</v>
      </c>
      <c r="G594" t="str" cm="1">
        <f t="array" ref="G594">_xlfn.IFS(_xlfn.SINGLE(Table1[imd_decile])&lt;=3,"Most Deprived",F594&lt;=7,"Moderately Deprived",F594&lt;=10,"Least Deprived")</f>
        <v>Moderately Deprived</v>
      </c>
      <c r="H594">
        <v>8</v>
      </c>
      <c r="I594" t="s">
        <v>18</v>
      </c>
      <c r="J594" t="s">
        <v>26</v>
      </c>
      <c r="K594" s="1">
        <v>45748</v>
      </c>
      <c r="L594" s="1">
        <v>45763</v>
      </c>
      <c r="M594" s="1" t="str">
        <f>TEXT(Table1[[#This Row],[appointment_date]],"MM/YYYY")</f>
        <v>04/2025</v>
      </c>
      <c r="N594">
        <v>15</v>
      </c>
      <c r="O594" t="str" cm="1">
        <f t="array" ref="O594">_xlfn.IFS(Table1[[#This Row],[lead_time_days]]&lt;=7,"0-7 days",N594&lt;=14,"8-14 days",N594&lt;=30,"15-30 days",N594&lt;=60,"31-60 days",TRUE,"61+ days")</f>
        <v>15-30 days</v>
      </c>
      <c r="P594" t="s">
        <v>80</v>
      </c>
      <c r="Q594" t="s">
        <v>21</v>
      </c>
      <c r="R594">
        <v>0</v>
      </c>
      <c r="S594" t="str">
        <f>IF(Table1[prior_dna_count]&gt;=1,"Has prior DNA history","No prior DNA history")</f>
        <v>No prior DNA history</v>
      </c>
      <c r="T594" t="s">
        <v>22</v>
      </c>
      <c r="U594" t="str">
        <f t="shared" si="9"/>
        <v>1</v>
      </c>
      <c r="V594" t="str">
        <f>IF(Table1[appointment_status]="Attended","1","0")</f>
        <v>1</v>
      </c>
      <c r="W594" t="str">
        <f>IF(Table1[appointment_status]="Cancelled","1","0")</f>
        <v>0</v>
      </c>
    </row>
    <row r="595" spans="1:23">
      <c r="A595" t="s">
        <v>1138</v>
      </c>
      <c r="B595" t="s">
        <v>1139</v>
      </c>
      <c r="C595">
        <v>43</v>
      </c>
      <c r="D595" t="str" cm="1">
        <f t="array" ref="D595">_xlfn.IFS(Table1[[#This Row],[age]]&lt;=17,"0-17",C595&lt;=29,"18-29",C595&lt;=44,"30-44",C595&lt;=59,"45-59",C595&lt;=74,"60-74",TRUE,"75+")</f>
        <v>30-44</v>
      </c>
      <c r="E595" t="s">
        <v>29</v>
      </c>
      <c r="F595">
        <v>2</v>
      </c>
      <c r="G595" t="str" cm="1">
        <f t="array" ref="G595">_xlfn.IFS(_xlfn.SINGLE(Table1[imd_decile])&lt;=3,"Most Deprived",F595&lt;=7,"Moderately Deprived",F595&lt;=10,"Least Deprived")</f>
        <v>Most Deprived</v>
      </c>
      <c r="H595">
        <v>4.0999999999999996</v>
      </c>
      <c r="I595" t="s">
        <v>45</v>
      </c>
      <c r="J595" t="s">
        <v>19</v>
      </c>
      <c r="K595" s="1">
        <v>45704</v>
      </c>
      <c r="L595" s="1">
        <v>45763</v>
      </c>
      <c r="M595" s="1" t="str">
        <f>TEXT(Table1[[#This Row],[appointment_date]],"MM/YYYY")</f>
        <v>04/2025</v>
      </c>
      <c r="N595">
        <v>59</v>
      </c>
      <c r="O595" t="str" cm="1">
        <f t="array" ref="O595">_xlfn.IFS(Table1[[#This Row],[lead_time_days]]&lt;=7,"0-7 days",N595&lt;=14,"8-14 days",N595&lt;=30,"15-30 days",N595&lt;=60,"31-60 days",TRUE,"61+ days")</f>
        <v>31-60 days</v>
      </c>
      <c r="P595" t="s">
        <v>80</v>
      </c>
      <c r="Q595" t="s">
        <v>21</v>
      </c>
      <c r="R595">
        <v>0</v>
      </c>
      <c r="S595" t="str">
        <f>IF(Table1[prior_dna_count]&gt;=1,"Has prior DNA history","No prior DNA history")</f>
        <v>No prior DNA history</v>
      </c>
      <c r="T595" t="s">
        <v>22</v>
      </c>
      <c r="U595" t="str">
        <f t="shared" si="9"/>
        <v>1</v>
      </c>
      <c r="V595" t="str">
        <f>IF(Table1[appointment_status]="Attended","1","0")</f>
        <v>1</v>
      </c>
      <c r="W595" t="str">
        <f>IF(Table1[appointment_status]="Cancelled","1","0")</f>
        <v>0</v>
      </c>
    </row>
    <row r="596" spans="1:23">
      <c r="A596" t="s">
        <v>1140</v>
      </c>
      <c r="B596" t="s">
        <v>1135</v>
      </c>
      <c r="C596">
        <v>27</v>
      </c>
      <c r="D596" t="str" cm="1">
        <f t="array" ref="D596">_xlfn.IFS(Table1[[#This Row],[age]]&lt;=17,"0-17",C596&lt;=29,"18-29",C596&lt;=44,"30-44",C596&lt;=59,"45-59",C596&lt;=74,"60-74",TRUE,"75+")</f>
        <v>18-29</v>
      </c>
      <c r="E596" t="s">
        <v>29</v>
      </c>
      <c r="F596">
        <v>1</v>
      </c>
      <c r="G596" t="str" cm="1">
        <f t="array" ref="G596">_xlfn.IFS(_xlfn.SINGLE(Table1[imd_decile])&lt;=3,"Most Deprived",F596&lt;=7,"Moderately Deprived",F596&lt;=10,"Least Deprived")</f>
        <v>Most Deprived</v>
      </c>
      <c r="H596">
        <v>4.7</v>
      </c>
      <c r="I596" t="s">
        <v>38</v>
      </c>
      <c r="J596" t="s">
        <v>26</v>
      </c>
      <c r="K596" s="1">
        <v>45753</v>
      </c>
      <c r="L596" s="1">
        <v>45764</v>
      </c>
      <c r="M596" s="1" t="str">
        <f>TEXT(Table1[[#This Row],[appointment_date]],"MM/YYYY")</f>
        <v>04/2025</v>
      </c>
      <c r="N596">
        <v>11</v>
      </c>
      <c r="O596" t="str" cm="1">
        <f t="array" ref="O596">_xlfn.IFS(Table1[[#This Row],[lead_time_days]]&lt;=7,"0-7 days",N596&lt;=14,"8-14 days",N596&lt;=30,"15-30 days",N596&lt;=60,"31-60 days",TRUE,"61+ days")</f>
        <v>8-14 days</v>
      </c>
      <c r="P596" t="s">
        <v>20</v>
      </c>
      <c r="Q596" t="s">
        <v>21</v>
      </c>
      <c r="R596">
        <v>0</v>
      </c>
      <c r="S596" t="str">
        <f>IF(Table1[prior_dna_count]&gt;=1,"Has prior DNA history","No prior DNA history")</f>
        <v>No prior DNA history</v>
      </c>
      <c r="T596" t="s">
        <v>22</v>
      </c>
      <c r="U596" t="str">
        <f t="shared" si="9"/>
        <v>1</v>
      </c>
      <c r="V596" t="str">
        <f>IF(Table1[appointment_status]="Attended","1","0")</f>
        <v>1</v>
      </c>
      <c r="W596" t="str">
        <f>IF(Table1[appointment_status]="Cancelled","1","0")</f>
        <v>0</v>
      </c>
    </row>
    <row r="597" spans="1:23">
      <c r="A597" t="s">
        <v>1141</v>
      </c>
      <c r="B597" t="s">
        <v>1142</v>
      </c>
      <c r="C597">
        <v>59</v>
      </c>
      <c r="D597" t="str" cm="1">
        <f t="array" ref="D597">_xlfn.IFS(Table1[[#This Row],[age]]&lt;=17,"0-17",C597&lt;=29,"18-29",C597&lt;=44,"30-44",C597&lt;=59,"45-59",C597&lt;=74,"60-74",TRUE,"75+")</f>
        <v>45-59</v>
      </c>
      <c r="E597" t="s">
        <v>17</v>
      </c>
      <c r="F597">
        <v>3</v>
      </c>
      <c r="G597" t="str" cm="1">
        <f t="array" ref="G597">_xlfn.IFS(_xlfn.SINGLE(Table1[imd_decile])&lt;=3,"Most Deprived",F597&lt;=7,"Moderately Deprived",F597&lt;=10,"Least Deprived")</f>
        <v>Most Deprived</v>
      </c>
      <c r="H597">
        <v>20.7</v>
      </c>
      <c r="I597" t="s">
        <v>45</v>
      </c>
      <c r="J597" t="s">
        <v>19</v>
      </c>
      <c r="K597" s="1">
        <v>45750</v>
      </c>
      <c r="L597" s="1">
        <v>45764</v>
      </c>
      <c r="M597" s="1" t="str">
        <f>TEXT(Table1[[#This Row],[appointment_date]],"MM/YYYY")</f>
        <v>04/2025</v>
      </c>
      <c r="N597">
        <v>14</v>
      </c>
      <c r="O597" t="str" cm="1">
        <f t="array" ref="O597">_xlfn.IFS(Table1[[#This Row],[lead_time_days]]&lt;=7,"0-7 days",N597&lt;=14,"8-14 days",N597&lt;=30,"15-30 days",N597&lt;=60,"31-60 days",TRUE,"61+ days")</f>
        <v>8-14 days</v>
      </c>
      <c r="P597" t="s">
        <v>20</v>
      </c>
      <c r="Q597" t="s">
        <v>21</v>
      </c>
      <c r="R597">
        <v>0</v>
      </c>
      <c r="S597" t="str">
        <f>IF(Table1[prior_dna_count]&gt;=1,"Has prior DNA history","No prior DNA history")</f>
        <v>No prior DNA history</v>
      </c>
      <c r="T597" t="s">
        <v>22</v>
      </c>
      <c r="U597" t="str">
        <f t="shared" si="9"/>
        <v>1</v>
      </c>
      <c r="V597" t="str">
        <f>IF(Table1[appointment_status]="Attended","1","0")</f>
        <v>1</v>
      </c>
      <c r="W597" t="str">
        <f>IF(Table1[appointment_status]="Cancelled","1","0")</f>
        <v>0</v>
      </c>
    </row>
    <row r="598" spans="1:23">
      <c r="A598" t="s">
        <v>1143</v>
      </c>
      <c r="B598" t="s">
        <v>1144</v>
      </c>
      <c r="C598">
        <v>69</v>
      </c>
      <c r="D598" t="str" cm="1">
        <f t="array" ref="D598">_xlfn.IFS(Table1[[#This Row],[age]]&lt;=17,"0-17",C598&lt;=29,"18-29",C598&lt;=44,"30-44",C598&lt;=59,"45-59",C598&lt;=74,"60-74",TRUE,"75+")</f>
        <v>60-74</v>
      </c>
      <c r="E598" t="s">
        <v>29</v>
      </c>
      <c r="F598">
        <v>8</v>
      </c>
      <c r="G598" t="str" cm="1">
        <f t="array" ref="G598">_xlfn.IFS(_xlfn.SINGLE(Table1[imd_decile])&lt;=3,"Most Deprived",F598&lt;=7,"Moderately Deprived",F598&lt;=10,"Least Deprived")</f>
        <v>Least Deprived</v>
      </c>
      <c r="H598">
        <v>4.7</v>
      </c>
      <c r="I598" t="s">
        <v>49</v>
      </c>
      <c r="J598" t="s">
        <v>26</v>
      </c>
      <c r="K598" s="1">
        <v>45703</v>
      </c>
      <c r="L598" s="1">
        <v>45764</v>
      </c>
      <c r="M598" s="1" t="str">
        <f>TEXT(Table1[[#This Row],[appointment_date]],"MM/YYYY")</f>
        <v>04/2025</v>
      </c>
      <c r="N598">
        <v>61</v>
      </c>
      <c r="O598" t="str" cm="1">
        <f t="array" ref="O598">_xlfn.IFS(Table1[[#This Row],[lead_time_days]]&lt;=7,"0-7 days",N598&lt;=14,"8-14 days",N598&lt;=30,"15-30 days",N598&lt;=60,"31-60 days",TRUE,"61+ days")</f>
        <v>61+ days</v>
      </c>
      <c r="P598" t="s">
        <v>20</v>
      </c>
      <c r="Q598" t="s">
        <v>32</v>
      </c>
      <c r="R598">
        <v>0</v>
      </c>
      <c r="S598" t="str">
        <f>IF(Table1[prior_dna_count]&gt;=1,"Has prior DNA history","No prior DNA history")</f>
        <v>No prior DNA history</v>
      </c>
      <c r="T598" t="s">
        <v>39</v>
      </c>
      <c r="U598" t="str">
        <f t="shared" si="9"/>
        <v>1</v>
      </c>
      <c r="V598" t="str">
        <f>IF(Table1[appointment_status]="Attended","1","0")</f>
        <v>0</v>
      </c>
      <c r="W598" t="str">
        <f>IF(Table1[appointment_status]="Cancelled","1","0")</f>
        <v>0</v>
      </c>
    </row>
    <row r="599" spans="1:23">
      <c r="A599" t="s">
        <v>1145</v>
      </c>
      <c r="B599" t="s">
        <v>804</v>
      </c>
      <c r="C599">
        <v>74</v>
      </c>
      <c r="D599" t="str" cm="1">
        <f t="array" ref="D599">_xlfn.IFS(Table1[[#This Row],[age]]&lt;=17,"0-17",C599&lt;=29,"18-29",C599&lt;=44,"30-44",C599&lt;=59,"45-59",C599&lt;=74,"60-74",TRUE,"75+")</f>
        <v>60-74</v>
      </c>
      <c r="E599" t="s">
        <v>29</v>
      </c>
      <c r="F599">
        <v>10</v>
      </c>
      <c r="G599" t="str" cm="1">
        <f t="array" ref="G599">_xlfn.IFS(_xlfn.SINGLE(Table1[imd_decile])&lt;=3,"Most Deprived",F599&lt;=7,"Moderately Deprived",F599&lt;=10,"Least Deprived")</f>
        <v>Least Deprived</v>
      </c>
      <c r="H599">
        <v>1.6</v>
      </c>
      <c r="I599" t="s">
        <v>42</v>
      </c>
      <c r="J599" t="s">
        <v>19</v>
      </c>
      <c r="K599" s="1">
        <v>45738</v>
      </c>
      <c r="L599" s="1">
        <v>45764</v>
      </c>
      <c r="M599" s="1" t="str">
        <f>TEXT(Table1[[#This Row],[appointment_date]],"MM/YYYY")</f>
        <v>04/2025</v>
      </c>
      <c r="N599">
        <v>26</v>
      </c>
      <c r="O599" t="str" cm="1">
        <f t="array" ref="O599">_xlfn.IFS(Table1[[#This Row],[lead_time_days]]&lt;=7,"0-7 days",N599&lt;=14,"8-14 days",N599&lt;=30,"15-30 days",N599&lt;=60,"31-60 days",TRUE,"61+ days")</f>
        <v>15-30 days</v>
      </c>
      <c r="P599" t="s">
        <v>20</v>
      </c>
      <c r="Q599" t="s">
        <v>21</v>
      </c>
      <c r="R599">
        <v>0</v>
      </c>
      <c r="S599" t="str">
        <f>IF(Table1[prior_dna_count]&gt;=1,"Has prior DNA history","No prior DNA history")</f>
        <v>No prior DNA history</v>
      </c>
      <c r="T599" t="s">
        <v>22</v>
      </c>
      <c r="U599" t="str">
        <f t="shared" si="9"/>
        <v>0</v>
      </c>
      <c r="V599" t="str">
        <f>IF(Table1[appointment_status]="Attended","1","0")</f>
        <v>1</v>
      </c>
      <c r="W599" t="str">
        <f>IF(Table1[appointment_status]="Cancelled","1","0")</f>
        <v>0</v>
      </c>
    </row>
    <row r="600" spans="1:23">
      <c r="A600" t="s">
        <v>1146</v>
      </c>
      <c r="B600" t="s">
        <v>1147</v>
      </c>
      <c r="C600">
        <v>59</v>
      </c>
      <c r="D600" t="str" cm="1">
        <f t="array" ref="D600">_xlfn.IFS(Table1[[#This Row],[age]]&lt;=17,"0-17",C600&lt;=29,"18-29",C600&lt;=44,"30-44",C600&lt;=59,"45-59",C600&lt;=74,"60-74",TRUE,"75+")</f>
        <v>45-59</v>
      </c>
      <c r="E600" t="s">
        <v>29</v>
      </c>
      <c r="F600">
        <v>9</v>
      </c>
      <c r="G600" t="str" cm="1">
        <f t="array" ref="G600">_xlfn.IFS(_xlfn.SINGLE(Table1[imd_decile])&lt;=3,"Most Deprived",F600&lt;=7,"Moderately Deprived",F600&lt;=10,"Least Deprived")</f>
        <v>Least Deprived</v>
      </c>
      <c r="H600">
        <v>10.8</v>
      </c>
      <c r="I600" t="s">
        <v>25</v>
      </c>
      <c r="J600" t="s">
        <v>19</v>
      </c>
      <c r="K600" s="1">
        <v>45747</v>
      </c>
      <c r="L600" s="1">
        <v>45764</v>
      </c>
      <c r="M600" s="1" t="str">
        <f>TEXT(Table1[[#This Row],[appointment_date]],"MM/YYYY")</f>
        <v>04/2025</v>
      </c>
      <c r="N600">
        <v>17</v>
      </c>
      <c r="O600" t="str" cm="1">
        <f t="array" ref="O600">_xlfn.IFS(Table1[[#This Row],[lead_time_days]]&lt;=7,"0-7 days",N600&lt;=14,"8-14 days",N600&lt;=30,"15-30 days",N600&lt;=60,"31-60 days",TRUE,"61+ days")</f>
        <v>15-30 days</v>
      </c>
      <c r="P600" t="s">
        <v>20</v>
      </c>
      <c r="Q600" t="s">
        <v>21</v>
      </c>
      <c r="R600">
        <v>0</v>
      </c>
      <c r="S600" t="str">
        <f>IF(Table1[prior_dna_count]&gt;=1,"Has prior DNA history","No prior DNA history")</f>
        <v>No prior DNA history</v>
      </c>
      <c r="T600" t="s">
        <v>22</v>
      </c>
      <c r="U600" t="str">
        <f t="shared" si="9"/>
        <v>1</v>
      </c>
      <c r="V600" t="str">
        <f>IF(Table1[appointment_status]="Attended","1","0")</f>
        <v>1</v>
      </c>
      <c r="W600" t="str">
        <f>IF(Table1[appointment_status]="Cancelled","1","0")</f>
        <v>0</v>
      </c>
    </row>
    <row r="601" spans="1:23">
      <c r="A601" t="s">
        <v>1148</v>
      </c>
      <c r="B601" t="s">
        <v>1149</v>
      </c>
      <c r="C601">
        <v>28</v>
      </c>
      <c r="D601" t="str" cm="1">
        <f t="array" ref="D601">_xlfn.IFS(Table1[[#This Row],[age]]&lt;=17,"0-17",C601&lt;=29,"18-29",C601&lt;=44,"30-44",C601&lt;=59,"45-59",C601&lt;=74,"60-74",TRUE,"75+")</f>
        <v>18-29</v>
      </c>
      <c r="E601" t="s">
        <v>29</v>
      </c>
      <c r="F601">
        <v>10</v>
      </c>
      <c r="G601" t="str" cm="1">
        <f t="array" ref="G601">_xlfn.IFS(_xlfn.SINGLE(Table1[imd_decile])&lt;=3,"Most Deprived",F601&lt;=7,"Moderately Deprived",F601&lt;=10,"Least Deprived")</f>
        <v>Least Deprived</v>
      </c>
      <c r="H601">
        <v>0.9</v>
      </c>
      <c r="I601" t="s">
        <v>42</v>
      </c>
      <c r="J601" t="s">
        <v>19</v>
      </c>
      <c r="K601" s="1">
        <v>45737</v>
      </c>
      <c r="L601" s="1">
        <v>45764</v>
      </c>
      <c r="M601" s="1" t="str">
        <f>TEXT(Table1[[#This Row],[appointment_date]],"MM/YYYY")</f>
        <v>04/2025</v>
      </c>
      <c r="N601">
        <v>27</v>
      </c>
      <c r="O601" t="str" cm="1">
        <f t="array" ref="O601">_xlfn.IFS(Table1[[#This Row],[lead_time_days]]&lt;=7,"0-7 days",N601&lt;=14,"8-14 days",N601&lt;=30,"15-30 days",N601&lt;=60,"31-60 days",TRUE,"61+ days")</f>
        <v>15-30 days</v>
      </c>
      <c r="P601" t="s">
        <v>20</v>
      </c>
      <c r="Q601" t="s">
        <v>21</v>
      </c>
      <c r="R601">
        <v>0</v>
      </c>
      <c r="S601" t="str">
        <f>IF(Table1[prior_dna_count]&gt;=1,"Has prior DNA history","No prior DNA history")</f>
        <v>No prior DNA history</v>
      </c>
      <c r="T601" t="s">
        <v>22</v>
      </c>
      <c r="U601" t="str">
        <f t="shared" si="9"/>
        <v>1</v>
      </c>
      <c r="V601" t="str">
        <f>IF(Table1[appointment_status]="Attended","1","0")</f>
        <v>1</v>
      </c>
      <c r="W601" t="str">
        <f>IF(Table1[appointment_status]="Cancelled","1","0")</f>
        <v>0</v>
      </c>
    </row>
    <row r="602" spans="1:23">
      <c r="A602" t="s">
        <v>1150</v>
      </c>
      <c r="B602" t="s">
        <v>1151</v>
      </c>
      <c r="C602">
        <v>40</v>
      </c>
      <c r="D602" t="str" cm="1">
        <f t="array" ref="D602">_xlfn.IFS(Table1[[#This Row],[age]]&lt;=17,"0-17",C602&lt;=29,"18-29",C602&lt;=44,"30-44",C602&lt;=59,"45-59",C602&lt;=74,"60-74",TRUE,"75+")</f>
        <v>30-44</v>
      </c>
      <c r="E602" t="s">
        <v>29</v>
      </c>
      <c r="F602">
        <v>5</v>
      </c>
      <c r="G602" t="str" cm="1">
        <f t="array" ref="G602">_xlfn.IFS(_xlfn.SINGLE(Table1[imd_decile])&lt;=3,"Most Deprived",F602&lt;=7,"Moderately Deprived",F602&lt;=10,"Least Deprived")</f>
        <v>Moderately Deprived</v>
      </c>
      <c r="H602">
        <v>1.5</v>
      </c>
      <c r="I602" t="s">
        <v>58</v>
      </c>
      <c r="J602" t="s">
        <v>19</v>
      </c>
      <c r="K602" s="1">
        <v>45744</v>
      </c>
      <c r="L602" s="1">
        <v>45764</v>
      </c>
      <c r="M602" s="1" t="str">
        <f>TEXT(Table1[[#This Row],[appointment_date]],"MM/YYYY")</f>
        <v>04/2025</v>
      </c>
      <c r="N602">
        <v>20</v>
      </c>
      <c r="O602" t="str" cm="1">
        <f t="array" ref="O602">_xlfn.IFS(Table1[[#This Row],[lead_time_days]]&lt;=7,"0-7 days",N602&lt;=14,"8-14 days",N602&lt;=30,"15-30 days",N602&lt;=60,"31-60 days",TRUE,"61+ days")</f>
        <v>15-30 days</v>
      </c>
      <c r="P602" t="s">
        <v>20</v>
      </c>
      <c r="Q602" t="s">
        <v>21</v>
      </c>
      <c r="R602">
        <v>0</v>
      </c>
      <c r="S602" t="str">
        <f>IF(Table1[prior_dna_count]&gt;=1,"Has prior DNA history","No prior DNA history")</f>
        <v>No prior DNA history</v>
      </c>
      <c r="T602" t="s">
        <v>22</v>
      </c>
      <c r="U602" t="str">
        <f t="shared" si="9"/>
        <v>1</v>
      </c>
      <c r="V602" t="str">
        <f>IF(Table1[appointment_status]="Attended","1","0")</f>
        <v>1</v>
      </c>
      <c r="W602" t="str">
        <f>IF(Table1[appointment_status]="Cancelled","1","0")</f>
        <v>0</v>
      </c>
    </row>
    <row r="603" spans="1:23">
      <c r="A603" t="s">
        <v>1152</v>
      </c>
      <c r="B603" t="s">
        <v>1153</v>
      </c>
      <c r="C603">
        <v>46</v>
      </c>
      <c r="D603" t="str" cm="1">
        <f t="array" ref="D603">_xlfn.IFS(Table1[[#This Row],[age]]&lt;=17,"0-17",C603&lt;=29,"18-29",C603&lt;=44,"30-44",C603&lt;=59,"45-59",C603&lt;=74,"60-74",TRUE,"75+")</f>
        <v>45-59</v>
      </c>
      <c r="E603" t="s">
        <v>29</v>
      </c>
      <c r="F603">
        <v>5</v>
      </c>
      <c r="G603" t="str" cm="1">
        <f t="array" ref="G603">_xlfn.IFS(_xlfn.SINGLE(Table1[imd_decile])&lt;=3,"Most Deprived",F603&lt;=7,"Moderately Deprived",F603&lt;=10,"Least Deprived")</f>
        <v>Moderately Deprived</v>
      </c>
      <c r="H603">
        <v>5.2</v>
      </c>
      <c r="I603" t="s">
        <v>42</v>
      </c>
      <c r="J603" t="s">
        <v>19</v>
      </c>
      <c r="K603" s="1">
        <v>45696</v>
      </c>
      <c r="L603" s="1">
        <v>45765</v>
      </c>
      <c r="M603" s="1" t="str">
        <f>TEXT(Table1[[#This Row],[appointment_date]],"MM/YYYY")</f>
        <v>04/2025</v>
      </c>
      <c r="N603">
        <v>69</v>
      </c>
      <c r="O603" t="str" cm="1">
        <f t="array" ref="O603">_xlfn.IFS(Table1[[#This Row],[lead_time_days]]&lt;=7,"0-7 days",N603&lt;=14,"8-14 days",N603&lt;=30,"15-30 days",N603&lt;=60,"31-60 days",TRUE,"61+ days")</f>
        <v>61+ days</v>
      </c>
      <c r="P603" t="s">
        <v>52</v>
      </c>
      <c r="Q603" t="s">
        <v>21</v>
      </c>
      <c r="R603">
        <v>0</v>
      </c>
      <c r="S603" t="str">
        <f>IF(Table1[prior_dna_count]&gt;=1,"Has prior DNA history","No prior DNA history")</f>
        <v>No prior DNA history</v>
      </c>
      <c r="T603" t="s">
        <v>22</v>
      </c>
      <c r="U603" t="str">
        <f t="shared" si="9"/>
        <v>1</v>
      </c>
      <c r="V603" t="str">
        <f>IF(Table1[appointment_status]="Attended","1","0")</f>
        <v>1</v>
      </c>
      <c r="W603" t="str">
        <f>IF(Table1[appointment_status]="Cancelled","1","0")</f>
        <v>0</v>
      </c>
    </row>
    <row r="604" spans="1:23">
      <c r="A604" t="s">
        <v>1154</v>
      </c>
      <c r="B604" t="s">
        <v>1155</v>
      </c>
      <c r="C604">
        <v>64</v>
      </c>
      <c r="D604" t="str" cm="1">
        <f t="array" ref="D604">_xlfn.IFS(Table1[[#This Row],[age]]&lt;=17,"0-17",C604&lt;=29,"18-29",C604&lt;=44,"30-44",C604&lt;=59,"45-59",C604&lt;=74,"60-74",TRUE,"75+")</f>
        <v>60-74</v>
      </c>
      <c r="E604" t="s">
        <v>29</v>
      </c>
      <c r="F604">
        <v>8</v>
      </c>
      <c r="G604" t="str" cm="1">
        <f t="array" ref="G604">_xlfn.IFS(_xlfn.SINGLE(Table1[imd_decile])&lt;=3,"Most Deprived",F604&lt;=7,"Moderately Deprived",F604&lt;=10,"Least Deprived")</f>
        <v>Least Deprived</v>
      </c>
      <c r="H604">
        <v>4.2</v>
      </c>
      <c r="I604" t="s">
        <v>25</v>
      </c>
      <c r="J604" t="s">
        <v>19</v>
      </c>
      <c r="K604" s="1">
        <v>45715</v>
      </c>
      <c r="L604" s="1">
        <v>45765</v>
      </c>
      <c r="M604" s="1" t="str">
        <f>TEXT(Table1[[#This Row],[appointment_date]],"MM/YYYY")</f>
        <v>04/2025</v>
      </c>
      <c r="N604">
        <v>50</v>
      </c>
      <c r="O604" t="str" cm="1">
        <f t="array" ref="O604">_xlfn.IFS(Table1[[#This Row],[lead_time_days]]&lt;=7,"0-7 days",N604&lt;=14,"8-14 days",N604&lt;=30,"15-30 days",N604&lt;=60,"31-60 days",TRUE,"61+ days")</f>
        <v>31-60 days</v>
      </c>
      <c r="P604" t="s">
        <v>52</v>
      </c>
      <c r="Q604" t="s">
        <v>21</v>
      </c>
      <c r="R604">
        <v>0</v>
      </c>
      <c r="S604" t="str">
        <f>IF(Table1[prior_dna_count]&gt;=1,"Has prior DNA history","No prior DNA history")</f>
        <v>No prior DNA history</v>
      </c>
      <c r="T604" t="s">
        <v>39</v>
      </c>
      <c r="U604" t="str">
        <f t="shared" si="9"/>
        <v>1</v>
      </c>
      <c r="V604" t="str">
        <f>IF(Table1[appointment_status]="Attended","1","0")</f>
        <v>0</v>
      </c>
      <c r="W604" t="str">
        <f>IF(Table1[appointment_status]="Cancelled","1","0")</f>
        <v>0</v>
      </c>
    </row>
    <row r="605" spans="1:23">
      <c r="A605" t="s">
        <v>1156</v>
      </c>
      <c r="B605" t="s">
        <v>1157</v>
      </c>
      <c r="C605">
        <v>47</v>
      </c>
      <c r="D605" t="str" cm="1">
        <f t="array" ref="D605">_xlfn.IFS(Table1[[#This Row],[age]]&lt;=17,"0-17",C605&lt;=29,"18-29",C605&lt;=44,"30-44",C605&lt;=59,"45-59",C605&lt;=74,"60-74",TRUE,"75+")</f>
        <v>45-59</v>
      </c>
      <c r="E605" t="s">
        <v>29</v>
      </c>
      <c r="F605">
        <v>10</v>
      </c>
      <c r="G605" t="str" cm="1">
        <f t="array" ref="G605">_xlfn.IFS(_xlfn.SINGLE(Table1[imd_decile])&lt;=3,"Most Deprived",F605&lt;=7,"Moderately Deprived",F605&lt;=10,"Least Deprived")</f>
        <v>Least Deprived</v>
      </c>
      <c r="H605">
        <v>6.8</v>
      </c>
      <c r="I605" t="s">
        <v>91</v>
      </c>
      <c r="J605" t="s">
        <v>26</v>
      </c>
      <c r="K605" s="1">
        <v>45758</v>
      </c>
      <c r="L605" s="1">
        <v>45765</v>
      </c>
      <c r="M605" s="1" t="str">
        <f>TEXT(Table1[[#This Row],[appointment_date]],"MM/YYYY")</f>
        <v>04/2025</v>
      </c>
      <c r="N605">
        <v>7</v>
      </c>
      <c r="O605" t="str" cm="1">
        <f t="array" ref="O605">_xlfn.IFS(Table1[[#This Row],[lead_time_days]]&lt;=7,"0-7 days",N605&lt;=14,"8-14 days",N605&lt;=30,"15-30 days",N605&lt;=60,"31-60 days",TRUE,"61+ days")</f>
        <v>0-7 days</v>
      </c>
      <c r="P605" t="s">
        <v>52</v>
      </c>
      <c r="Q605" t="s">
        <v>21</v>
      </c>
      <c r="R605">
        <v>0</v>
      </c>
      <c r="S605" t="str">
        <f>IF(Table1[prior_dna_count]&gt;=1,"Has prior DNA history","No prior DNA history")</f>
        <v>No prior DNA history</v>
      </c>
      <c r="T605" t="s">
        <v>46</v>
      </c>
      <c r="U605" t="str">
        <f t="shared" si="9"/>
        <v>0</v>
      </c>
      <c r="V605" t="str">
        <f>IF(Table1[appointment_status]="Attended","1","0")</f>
        <v>0</v>
      </c>
      <c r="W605" t="str">
        <f>IF(Table1[appointment_status]="Cancelled","1","0")</f>
        <v>1</v>
      </c>
    </row>
    <row r="606" spans="1:23">
      <c r="A606" t="s">
        <v>1158</v>
      </c>
      <c r="B606" t="s">
        <v>840</v>
      </c>
      <c r="C606">
        <v>35</v>
      </c>
      <c r="D606" t="str" cm="1">
        <f t="array" ref="D606">_xlfn.IFS(Table1[[#This Row],[age]]&lt;=17,"0-17",C606&lt;=29,"18-29",C606&lt;=44,"30-44",C606&lt;=59,"45-59",C606&lt;=74,"60-74",TRUE,"75+")</f>
        <v>30-44</v>
      </c>
      <c r="E606" t="s">
        <v>29</v>
      </c>
      <c r="F606">
        <v>5</v>
      </c>
      <c r="G606" t="str" cm="1">
        <f t="array" ref="G606">_xlfn.IFS(_xlfn.SINGLE(Table1[imd_decile])&lt;=3,"Most Deprived",F606&lt;=7,"Moderately Deprived",F606&lt;=10,"Least Deprived")</f>
        <v>Moderately Deprived</v>
      </c>
      <c r="H606">
        <v>7.1</v>
      </c>
      <c r="I606" t="s">
        <v>30</v>
      </c>
      <c r="J606" t="s">
        <v>19</v>
      </c>
      <c r="K606" s="1">
        <v>45753</v>
      </c>
      <c r="L606" s="1">
        <v>45765</v>
      </c>
      <c r="M606" s="1" t="str">
        <f>TEXT(Table1[[#This Row],[appointment_date]],"MM/YYYY")</f>
        <v>04/2025</v>
      </c>
      <c r="N606">
        <v>12</v>
      </c>
      <c r="O606" t="str" cm="1">
        <f t="array" ref="O606">_xlfn.IFS(Table1[[#This Row],[lead_time_days]]&lt;=7,"0-7 days",N606&lt;=14,"8-14 days",N606&lt;=30,"15-30 days",N606&lt;=60,"31-60 days",TRUE,"61+ days")</f>
        <v>8-14 days</v>
      </c>
      <c r="P606" t="s">
        <v>52</v>
      </c>
      <c r="Q606" t="s">
        <v>21</v>
      </c>
      <c r="R606">
        <v>0</v>
      </c>
      <c r="S606" t="str">
        <f>IF(Table1[prior_dna_count]&gt;=1,"Has prior DNA history","No prior DNA history")</f>
        <v>No prior DNA history</v>
      </c>
      <c r="T606" t="s">
        <v>22</v>
      </c>
      <c r="U606" t="str">
        <f t="shared" si="9"/>
        <v>0</v>
      </c>
      <c r="V606" t="str">
        <f>IF(Table1[appointment_status]="Attended","1","0")</f>
        <v>1</v>
      </c>
      <c r="W606" t="str">
        <f>IF(Table1[appointment_status]="Cancelled","1","0")</f>
        <v>0</v>
      </c>
    </row>
    <row r="607" spans="1:23">
      <c r="A607" t="s">
        <v>1159</v>
      </c>
      <c r="B607" t="s">
        <v>1160</v>
      </c>
      <c r="C607">
        <v>35</v>
      </c>
      <c r="D607" t="str" cm="1">
        <f t="array" ref="D607">_xlfn.IFS(Table1[[#This Row],[age]]&lt;=17,"0-17",C607&lt;=29,"18-29",C607&lt;=44,"30-44",C607&lt;=59,"45-59",C607&lt;=74,"60-74",TRUE,"75+")</f>
        <v>30-44</v>
      </c>
      <c r="E607" t="s">
        <v>17</v>
      </c>
      <c r="F607">
        <v>4</v>
      </c>
      <c r="G607" t="str" cm="1">
        <f t="array" ref="G607">_xlfn.IFS(_xlfn.SINGLE(Table1[imd_decile])&lt;=3,"Most Deprived",F607&lt;=7,"Moderately Deprived",F607&lt;=10,"Least Deprived")</f>
        <v>Moderately Deprived</v>
      </c>
      <c r="H607">
        <v>27.6</v>
      </c>
      <c r="I607" t="s">
        <v>30</v>
      </c>
      <c r="J607" t="s">
        <v>26</v>
      </c>
      <c r="K607" s="1">
        <v>45735</v>
      </c>
      <c r="L607" s="1">
        <v>45765</v>
      </c>
      <c r="M607" s="1" t="str">
        <f>TEXT(Table1[[#This Row],[appointment_date]],"MM/YYYY")</f>
        <v>04/2025</v>
      </c>
      <c r="N607">
        <v>30</v>
      </c>
      <c r="O607" t="str" cm="1">
        <f t="array" ref="O607">_xlfn.IFS(Table1[[#This Row],[lead_time_days]]&lt;=7,"0-7 days",N607&lt;=14,"8-14 days",N607&lt;=30,"15-30 days",N607&lt;=60,"31-60 days",TRUE,"61+ days")</f>
        <v>15-30 days</v>
      </c>
      <c r="P607" t="s">
        <v>52</v>
      </c>
      <c r="Q607" t="s">
        <v>21</v>
      </c>
      <c r="R607">
        <v>0</v>
      </c>
      <c r="S607" t="str">
        <f>IF(Table1[prior_dna_count]&gt;=1,"Has prior DNA history","No prior DNA history")</f>
        <v>No prior DNA history</v>
      </c>
      <c r="T607" t="s">
        <v>22</v>
      </c>
      <c r="U607" t="str">
        <f t="shared" si="9"/>
        <v>1</v>
      </c>
      <c r="V607" t="str">
        <f>IF(Table1[appointment_status]="Attended","1","0")</f>
        <v>1</v>
      </c>
      <c r="W607" t="str">
        <f>IF(Table1[appointment_status]="Cancelled","1","0")</f>
        <v>0</v>
      </c>
    </row>
    <row r="608" spans="1:23">
      <c r="A608" t="s">
        <v>1161</v>
      </c>
      <c r="B608" t="s">
        <v>1162</v>
      </c>
      <c r="C608">
        <v>55</v>
      </c>
      <c r="D608" t="str" cm="1">
        <f t="array" ref="D608">_xlfn.IFS(Table1[[#This Row],[age]]&lt;=17,"0-17",C608&lt;=29,"18-29",C608&lt;=44,"30-44",C608&lt;=59,"45-59",C608&lt;=74,"60-74",TRUE,"75+")</f>
        <v>45-59</v>
      </c>
      <c r="E608" t="s">
        <v>17</v>
      </c>
      <c r="F608">
        <v>6</v>
      </c>
      <c r="G608" t="str" cm="1">
        <f t="array" ref="G608">_xlfn.IFS(_xlfn.SINGLE(Table1[imd_decile])&lt;=3,"Most Deprived",F608&lt;=7,"Moderately Deprived",F608&lt;=10,"Least Deprived")</f>
        <v>Moderately Deprived</v>
      </c>
      <c r="H608">
        <v>3</v>
      </c>
      <c r="I608" t="s">
        <v>155</v>
      </c>
      <c r="J608" t="s">
        <v>26</v>
      </c>
      <c r="K608" s="1">
        <v>45763</v>
      </c>
      <c r="L608" s="1">
        <v>45766</v>
      </c>
      <c r="M608" s="1" t="str">
        <f>TEXT(Table1[[#This Row],[appointment_date]],"MM/YYYY")</f>
        <v>04/2025</v>
      </c>
      <c r="N608">
        <v>3</v>
      </c>
      <c r="O608" t="str" cm="1">
        <f t="array" ref="O608">_xlfn.IFS(Table1[[#This Row],[lead_time_days]]&lt;=7,"0-7 days",N608&lt;=14,"8-14 days",N608&lt;=30,"15-30 days",N608&lt;=60,"31-60 days",TRUE,"61+ days")</f>
        <v>0-7 days</v>
      </c>
      <c r="P608" t="s">
        <v>55</v>
      </c>
      <c r="Q608" t="s">
        <v>21</v>
      </c>
      <c r="R608">
        <v>0</v>
      </c>
      <c r="S608" t="str">
        <f>IF(Table1[prior_dna_count]&gt;=1,"Has prior DNA history","No prior DNA history")</f>
        <v>No prior DNA history</v>
      </c>
      <c r="T608" t="s">
        <v>22</v>
      </c>
      <c r="U608" t="str">
        <f t="shared" si="9"/>
        <v>1</v>
      </c>
      <c r="V608" t="str">
        <f>IF(Table1[appointment_status]="Attended","1","0")</f>
        <v>1</v>
      </c>
      <c r="W608" t="str">
        <f>IF(Table1[appointment_status]="Cancelled","1","0")</f>
        <v>0</v>
      </c>
    </row>
    <row r="609" spans="1:23">
      <c r="A609" t="s">
        <v>1163</v>
      </c>
      <c r="B609" t="s">
        <v>1164</v>
      </c>
      <c r="C609">
        <v>63</v>
      </c>
      <c r="D609" t="str" cm="1">
        <f t="array" ref="D609">_xlfn.IFS(Table1[[#This Row],[age]]&lt;=17,"0-17",C609&lt;=29,"18-29",C609&lt;=44,"30-44",C609&lt;=59,"45-59",C609&lt;=74,"60-74",TRUE,"75+")</f>
        <v>60-74</v>
      </c>
      <c r="E609" t="s">
        <v>17</v>
      </c>
      <c r="F609">
        <v>3</v>
      </c>
      <c r="G609" t="str" cm="1">
        <f t="array" ref="G609">_xlfn.IFS(_xlfn.SINGLE(Table1[imd_decile])&lt;=3,"Most Deprived",F609&lt;=7,"Moderately Deprived",F609&lt;=10,"Least Deprived")</f>
        <v>Most Deprived</v>
      </c>
      <c r="H609">
        <v>17.7</v>
      </c>
      <c r="I609" t="s">
        <v>25</v>
      </c>
      <c r="J609" t="s">
        <v>19</v>
      </c>
      <c r="K609" s="1">
        <v>45722</v>
      </c>
      <c r="L609" s="1">
        <v>45766</v>
      </c>
      <c r="M609" s="1" t="str">
        <f>TEXT(Table1[[#This Row],[appointment_date]],"MM/YYYY")</f>
        <v>04/2025</v>
      </c>
      <c r="N609">
        <v>44</v>
      </c>
      <c r="O609" t="str" cm="1">
        <f t="array" ref="O609">_xlfn.IFS(Table1[[#This Row],[lead_time_days]]&lt;=7,"0-7 days",N609&lt;=14,"8-14 days",N609&lt;=30,"15-30 days",N609&lt;=60,"31-60 days",TRUE,"61+ days")</f>
        <v>31-60 days</v>
      </c>
      <c r="P609" t="s">
        <v>55</v>
      </c>
      <c r="Q609" t="s">
        <v>21</v>
      </c>
      <c r="R609">
        <v>0</v>
      </c>
      <c r="S609" t="str">
        <f>IF(Table1[prior_dna_count]&gt;=1,"Has prior DNA history","No prior DNA history")</f>
        <v>No prior DNA history</v>
      </c>
      <c r="T609" t="s">
        <v>39</v>
      </c>
      <c r="U609" t="str">
        <f t="shared" si="9"/>
        <v>1</v>
      </c>
      <c r="V609" t="str">
        <f>IF(Table1[appointment_status]="Attended","1","0")</f>
        <v>0</v>
      </c>
      <c r="W609" t="str">
        <f>IF(Table1[appointment_status]="Cancelled","1","0")</f>
        <v>0</v>
      </c>
    </row>
    <row r="610" spans="1:23">
      <c r="A610" t="s">
        <v>1165</v>
      </c>
      <c r="B610" t="s">
        <v>596</v>
      </c>
      <c r="C610">
        <v>85</v>
      </c>
      <c r="D610" t="str" cm="1">
        <f t="array" ref="D610">_xlfn.IFS(Table1[[#This Row],[age]]&lt;=17,"0-17",C610&lt;=29,"18-29",C610&lt;=44,"30-44",C610&lt;=59,"45-59",C610&lt;=74,"60-74",TRUE,"75+")</f>
        <v>75+</v>
      </c>
      <c r="E610" t="s">
        <v>29</v>
      </c>
      <c r="F610">
        <v>1</v>
      </c>
      <c r="G610" t="str" cm="1">
        <f t="array" ref="G610">_xlfn.IFS(_xlfn.SINGLE(Table1[imd_decile])&lt;=3,"Most Deprived",F610&lt;=7,"Moderately Deprived",F610&lt;=10,"Least Deprived")</f>
        <v>Most Deprived</v>
      </c>
      <c r="H610">
        <v>5.0999999999999996</v>
      </c>
      <c r="I610" t="s">
        <v>45</v>
      </c>
      <c r="J610" t="s">
        <v>26</v>
      </c>
      <c r="K610" s="1">
        <v>45713</v>
      </c>
      <c r="L610" s="1">
        <v>45766</v>
      </c>
      <c r="M610" s="1" t="str">
        <f>TEXT(Table1[[#This Row],[appointment_date]],"MM/YYYY")</f>
        <v>04/2025</v>
      </c>
      <c r="N610">
        <v>53</v>
      </c>
      <c r="O610" t="str" cm="1">
        <f t="array" ref="O610">_xlfn.IFS(Table1[[#This Row],[lead_time_days]]&lt;=7,"0-7 days",N610&lt;=14,"8-14 days",N610&lt;=30,"15-30 days",N610&lt;=60,"31-60 days",TRUE,"61+ days")</f>
        <v>31-60 days</v>
      </c>
      <c r="P610" t="s">
        <v>55</v>
      </c>
      <c r="Q610" t="s">
        <v>21</v>
      </c>
      <c r="R610">
        <v>0</v>
      </c>
      <c r="S610" t="str">
        <f>IF(Table1[prior_dna_count]&gt;=1,"Has prior DNA history","No prior DNA history")</f>
        <v>No prior DNA history</v>
      </c>
      <c r="T610" t="s">
        <v>22</v>
      </c>
      <c r="U610" t="str">
        <f t="shared" si="9"/>
        <v>0</v>
      </c>
      <c r="V610" t="str">
        <f>IF(Table1[appointment_status]="Attended","1","0")</f>
        <v>1</v>
      </c>
      <c r="W610" t="str">
        <f>IF(Table1[appointment_status]="Cancelled","1","0")</f>
        <v>0</v>
      </c>
    </row>
    <row r="611" spans="1:23">
      <c r="A611" t="s">
        <v>1166</v>
      </c>
      <c r="B611" t="s">
        <v>1167</v>
      </c>
      <c r="C611">
        <v>50</v>
      </c>
      <c r="D611" t="str" cm="1">
        <f t="array" ref="D611">_xlfn.IFS(Table1[[#This Row],[age]]&lt;=17,"0-17",C611&lt;=29,"18-29",C611&lt;=44,"30-44",C611&lt;=59,"45-59",C611&lt;=74,"60-74",TRUE,"75+")</f>
        <v>45-59</v>
      </c>
      <c r="E611" t="s">
        <v>17</v>
      </c>
      <c r="F611">
        <v>7</v>
      </c>
      <c r="G611" t="str" cm="1">
        <f t="array" ref="G611">_xlfn.IFS(_xlfn.SINGLE(Table1[imd_decile])&lt;=3,"Most Deprived",F611&lt;=7,"Moderately Deprived",F611&lt;=10,"Least Deprived")</f>
        <v>Moderately Deprived</v>
      </c>
      <c r="H611">
        <v>4.4000000000000004</v>
      </c>
      <c r="I611" t="s">
        <v>91</v>
      </c>
      <c r="J611" t="s">
        <v>19</v>
      </c>
      <c r="K611" s="1">
        <v>45738</v>
      </c>
      <c r="L611" s="1">
        <v>45766</v>
      </c>
      <c r="M611" s="1" t="str">
        <f>TEXT(Table1[[#This Row],[appointment_date]],"MM/YYYY")</f>
        <v>04/2025</v>
      </c>
      <c r="N611">
        <v>28</v>
      </c>
      <c r="O611" t="str" cm="1">
        <f t="array" ref="O611">_xlfn.IFS(Table1[[#This Row],[lead_time_days]]&lt;=7,"0-7 days",N611&lt;=14,"8-14 days",N611&lt;=30,"15-30 days",N611&lt;=60,"31-60 days",TRUE,"61+ days")</f>
        <v>15-30 days</v>
      </c>
      <c r="P611" t="s">
        <v>55</v>
      </c>
      <c r="Q611" t="s">
        <v>21</v>
      </c>
      <c r="R611">
        <v>0</v>
      </c>
      <c r="S611" t="str">
        <f>IF(Table1[prior_dna_count]&gt;=1,"Has prior DNA history","No prior DNA history")</f>
        <v>No prior DNA history</v>
      </c>
      <c r="T611" t="s">
        <v>22</v>
      </c>
      <c r="U611" t="str">
        <f t="shared" si="9"/>
        <v>1</v>
      </c>
      <c r="V611" t="str">
        <f>IF(Table1[appointment_status]="Attended","1","0")</f>
        <v>1</v>
      </c>
      <c r="W611" t="str">
        <f>IF(Table1[appointment_status]="Cancelled","1","0")</f>
        <v>0</v>
      </c>
    </row>
    <row r="612" spans="1:23">
      <c r="A612" t="s">
        <v>1168</v>
      </c>
      <c r="B612" t="s">
        <v>1169</v>
      </c>
      <c r="C612">
        <v>36</v>
      </c>
      <c r="D612" t="str" cm="1">
        <f t="array" ref="D612">_xlfn.IFS(Table1[[#This Row],[age]]&lt;=17,"0-17",C612&lt;=29,"18-29",C612&lt;=44,"30-44",C612&lt;=59,"45-59",C612&lt;=74,"60-74",TRUE,"75+")</f>
        <v>30-44</v>
      </c>
      <c r="E612" t="s">
        <v>17</v>
      </c>
      <c r="F612">
        <v>4</v>
      </c>
      <c r="G612" t="str" cm="1">
        <f t="array" ref="G612">_xlfn.IFS(_xlfn.SINGLE(Table1[imd_decile])&lt;=3,"Most Deprived",F612&lt;=7,"Moderately Deprived",F612&lt;=10,"Least Deprived")</f>
        <v>Moderately Deprived</v>
      </c>
      <c r="H612">
        <v>6.3</v>
      </c>
      <c r="I612" t="s">
        <v>30</v>
      </c>
      <c r="J612" t="s">
        <v>19</v>
      </c>
      <c r="K612" s="1">
        <v>45690</v>
      </c>
      <c r="L612" s="1">
        <v>45766</v>
      </c>
      <c r="M612" s="1" t="str">
        <f>TEXT(Table1[[#This Row],[appointment_date]],"MM/YYYY")</f>
        <v>04/2025</v>
      </c>
      <c r="N612">
        <v>76</v>
      </c>
      <c r="O612" t="str" cm="1">
        <f t="array" ref="O612">_xlfn.IFS(Table1[[#This Row],[lead_time_days]]&lt;=7,"0-7 days",N612&lt;=14,"8-14 days",N612&lt;=30,"15-30 days",N612&lt;=60,"31-60 days",TRUE,"61+ days")</f>
        <v>61+ days</v>
      </c>
      <c r="P612" t="s">
        <v>55</v>
      </c>
      <c r="Q612" t="s">
        <v>32</v>
      </c>
      <c r="R612">
        <v>0</v>
      </c>
      <c r="S612" t="str">
        <f>IF(Table1[prior_dna_count]&gt;=1,"Has prior DNA history","No prior DNA history")</f>
        <v>No prior DNA history</v>
      </c>
      <c r="T612" t="s">
        <v>39</v>
      </c>
      <c r="U612" t="str">
        <f t="shared" si="9"/>
        <v>1</v>
      </c>
      <c r="V612" t="str">
        <f>IF(Table1[appointment_status]="Attended","1","0")</f>
        <v>0</v>
      </c>
      <c r="W612" t="str">
        <f>IF(Table1[appointment_status]="Cancelled","1","0")</f>
        <v>0</v>
      </c>
    </row>
    <row r="613" spans="1:23">
      <c r="A613" t="s">
        <v>1170</v>
      </c>
      <c r="B613" t="s">
        <v>329</v>
      </c>
      <c r="C613">
        <v>64</v>
      </c>
      <c r="D613" t="str" cm="1">
        <f t="array" ref="D613">_xlfn.IFS(Table1[[#This Row],[age]]&lt;=17,"0-17",C613&lt;=29,"18-29",C613&lt;=44,"30-44",C613&lt;=59,"45-59",C613&lt;=74,"60-74",TRUE,"75+")</f>
        <v>60-74</v>
      </c>
      <c r="E613" t="s">
        <v>17</v>
      </c>
      <c r="F613">
        <v>7</v>
      </c>
      <c r="G613" t="str" cm="1">
        <f t="array" ref="G613">_xlfn.IFS(_xlfn.SINGLE(Table1[imd_decile])&lt;=3,"Most Deprived",F613&lt;=7,"Moderately Deprived",F613&lt;=10,"Least Deprived")</f>
        <v>Moderately Deprived</v>
      </c>
      <c r="H613">
        <v>8.8000000000000007</v>
      </c>
      <c r="I613" t="s">
        <v>18</v>
      </c>
      <c r="J613" t="s">
        <v>19</v>
      </c>
      <c r="K613" s="1">
        <v>45743</v>
      </c>
      <c r="L613" s="1">
        <v>45766</v>
      </c>
      <c r="M613" s="1" t="str">
        <f>TEXT(Table1[[#This Row],[appointment_date]],"MM/YYYY")</f>
        <v>04/2025</v>
      </c>
      <c r="N613">
        <v>23</v>
      </c>
      <c r="O613" t="str" cm="1">
        <f t="array" ref="O613">_xlfn.IFS(Table1[[#This Row],[lead_time_days]]&lt;=7,"0-7 days",N613&lt;=14,"8-14 days",N613&lt;=30,"15-30 days",N613&lt;=60,"31-60 days",TRUE,"61+ days")</f>
        <v>15-30 days</v>
      </c>
      <c r="P613" t="s">
        <v>55</v>
      </c>
      <c r="Q613" t="s">
        <v>21</v>
      </c>
      <c r="R613">
        <v>0</v>
      </c>
      <c r="S613" t="str">
        <f>IF(Table1[prior_dna_count]&gt;=1,"Has prior DNA history","No prior DNA history")</f>
        <v>No prior DNA history</v>
      </c>
      <c r="T613" t="s">
        <v>22</v>
      </c>
      <c r="U613" t="str">
        <f t="shared" si="9"/>
        <v>0</v>
      </c>
      <c r="V613" t="str">
        <f>IF(Table1[appointment_status]="Attended","1","0")</f>
        <v>1</v>
      </c>
      <c r="W613" t="str">
        <f>IF(Table1[appointment_status]="Cancelled","1","0")</f>
        <v>0</v>
      </c>
    </row>
    <row r="614" spans="1:23">
      <c r="A614" t="s">
        <v>1171</v>
      </c>
      <c r="B614" t="s">
        <v>1172</v>
      </c>
      <c r="C614">
        <v>36</v>
      </c>
      <c r="D614" t="str" cm="1">
        <f t="array" ref="D614">_xlfn.IFS(Table1[[#This Row],[age]]&lt;=17,"0-17",C614&lt;=29,"18-29",C614&lt;=44,"30-44",C614&lt;=59,"45-59",C614&lt;=74,"60-74",TRUE,"75+")</f>
        <v>30-44</v>
      </c>
      <c r="E614" t="s">
        <v>29</v>
      </c>
      <c r="F614">
        <v>10</v>
      </c>
      <c r="G614" t="str" cm="1">
        <f t="array" ref="G614">_xlfn.IFS(_xlfn.SINGLE(Table1[imd_decile])&lt;=3,"Most Deprived",F614&lt;=7,"Moderately Deprived",F614&lt;=10,"Least Deprived")</f>
        <v>Least Deprived</v>
      </c>
      <c r="H614">
        <v>8.4</v>
      </c>
      <c r="I614" t="s">
        <v>18</v>
      </c>
      <c r="J614" t="s">
        <v>19</v>
      </c>
      <c r="K614" s="1">
        <v>45748</v>
      </c>
      <c r="L614" s="1">
        <v>45767</v>
      </c>
      <c r="M614" s="1" t="str">
        <f>TEXT(Table1[[#This Row],[appointment_date]],"MM/YYYY")</f>
        <v>04/2025</v>
      </c>
      <c r="N614">
        <v>19</v>
      </c>
      <c r="O614" t="str" cm="1">
        <f t="array" ref="O614">_xlfn.IFS(Table1[[#This Row],[lead_time_days]]&lt;=7,"0-7 days",N614&lt;=14,"8-14 days",N614&lt;=30,"15-30 days",N614&lt;=60,"31-60 days",TRUE,"61+ days")</f>
        <v>15-30 days</v>
      </c>
      <c r="P614" t="s">
        <v>31</v>
      </c>
      <c r="Q614" t="s">
        <v>21</v>
      </c>
      <c r="R614">
        <v>0</v>
      </c>
      <c r="S614" t="str">
        <f>IF(Table1[prior_dna_count]&gt;=1,"Has prior DNA history","No prior DNA history")</f>
        <v>No prior DNA history</v>
      </c>
      <c r="T614" t="s">
        <v>22</v>
      </c>
      <c r="U614" t="str">
        <f t="shared" si="9"/>
        <v>1</v>
      </c>
      <c r="V614" t="str">
        <f>IF(Table1[appointment_status]="Attended","1","0")</f>
        <v>1</v>
      </c>
      <c r="W614" t="str">
        <f>IF(Table1[appointment_status]="Cancelled","1","0")</f>
        <v>0</v>
      </c>
    </row>
    <row r="615" spans="1:23">
      <c r="A615" t="s">
        <v>1173</v>
      </c>
      <c r="B615" t="s">
        <v>1174</v>
      </c>
      <c r="C615">
        <v>49</v>
      </c>
      <c r="D615" t="str" cm="1">
        <f t="array" ref="D615">_xlfn.IFS(Table1[[#This Row],[age]]&lt;=17,"0-17",C615&lt;=29,"18-29",C615&lt;=44,"30-44",C615&lt;=59,"45-59",C615&lt;=74,"60-74",TRUE,"75+")</f>
        <v>45-59</v>
      </c>
      <c r="E615" t="s">
        <v>17</v>
      </c>
      <c r="F615">
        <v>3</v>
      </c>
      <c r="G615" t="str" cm="1">
        <f t="array" ref="G615">_xlfn.IFS(_xlfn.SINGLE(Table1[imd_decile])&lt;=3,"Most Deprived",F615&lt;=7,"Moderately Deprived",F615&lt;=10,"Least Deprived")</f>
        <v>Most Deprived</v>
      </c>
      <c r="H615">
        <v>1.4</v>
      </c>
      <c r="I615" t="s">
        <v>38</v>
      </c>
      <c r="J615" t="s">
        <v>26</v>
      </c>
      <c r="K615" s="1">
        <v>45751</v>
      </c>
      <c r="L615" s="1">
        <v>45767</v>
      </c>
      <c r="M615" s="1" t="str">
        <f>TEXT(Table1[[#This Row],[appointment_date]],"MM/YYYY")</f>
        <v>04/2025</v>
      </c>
      <c r="N615">
        <v>16</v>
      </c>
      <c r="O615" t="str" cm="1">
        <f t="array" ref="O615">_xlfn.IFS(Table1[[#This Row],[lead_time_days]]&lt;=7,"0-7 days",N615&lt;=14,"8-14 days",N615&lt;=30,"15-30 days",N615&lt;=60,"31-60 days",TRUE,"61+ days")</f>
        <v>15-30 days</v>
      </c>
      <c r="P615" t="s">
        <v>31</v>
      </c>
      <c r="Q615" t="s">
        <v>32</v>
      </c>
      <c r="R615">
        <v>0</v>
      </c>
      <c r="S615" t="str">
        <f>IF(Table1[prior_dna_count]&gt;=1,"Has prior DNA history","No prior DNA history")</f>
        <v>No prior DNA history</v>
      </c>
      <c r="T615" t="s">
        <v>39</v>
      </c>
      <c r="U615" t="str">
        <f t="shared" si="9"/>
        <v>1</v>
      </c>
      <c r="V615" t="str">
        <f>IF(Table1[appointment_status]="Attended","1","0")</f>
        <v>0</v>
      </c>
      <c r="W615" t="str">
        <f>IF(Table1[appointment_status]="Cancelled","1","0")</f>
        <v>0</v>
      </c>
    </row>
    <row r="616" spans="1:23">
      <c r="A616" t="s">
        <v>1175</v>
      </c>
      <c r="B616" t="s">
        <v>207</v>
      </c>
      <c r="C616">
        <v>31</v>
      </c>
      <c r="D616" t="str" cm="1">
        <f t="array" ref="D616">_xlfn.IFS(Table1[[#This Row],[age]]&lt;=17,"0-17",C616&lt;=29,"18-29",C616&lt;=44,"30-44",C616&lt;=59,"45-59",C616&lt;=74,"60-74",TRUE,"75+")</f>
        <v>30-44</v>
      </c>
      <c r="E616" t="s">
        <v>17</v>
      </c>
      <c r="F616">
        <v>5</v>
      </c>
      <c r="G616" t="str" cm="1">
        <f t="array" ref="G616">_xlfn.IFS(_xlfn.SINGLE(Table1[imd_decile])&lt;=3,"Most Deprived",F616&lt;=7,"Moderately Deprived",F616&lt;=10,"Least Deprived")</f>
        <v>Moderately Deprived</v>
      </c>
      <c r="H616">
        <v>7.5</v>
      </c>
      <c r="I616" t="s">
        <v>25</v>
      </c>
      <c r="J616" t="s">
        <v>19</v>
      </c>
      <c r="K616" s="1">
        <v>45742</v>
      </c>
      <c r="L616" s="1">
        <v>45767</v>
      </c>
      <c r="M616" s="1" t="str">
        <f>TEXT(Table1[[#This Row],[appointment_date]],"MM/YYYY")</f>
        <v>04/2025</v>
      </c>
      <c r="N616">
        <v>25</v>
      </c>
      <c r="O616" t="str" cm="1">
        <f t="array" ref="O616">_xlfn.IFS(Table1[[#This Row],[lead_time_days]]&lt;=7,"0-7 days",N616&lt;=14,"8-14 days",N616&lt;=30,"15-30 days",N616&lt;=60,"31-60 days",TRUE,"61+ days")</f>
        <v>15-30 days</v>
      </c>
      <c r="P616" t="s">
        <v>31</v>
      </c>
      <c r="Q616" t="s">
        <v>21</v>
      </c>
      <c r="R616">
        <v>0</v>
      </c>
      <c r="S616" t="str">
        <f>IF(Table1[prior_dna_count]&gt;=1,"Has prior DNA history","No prior DNA history")</f>
        <v>No prior DNA history</v>
      </c>
      <c r="T616" t="s">
        <v>22</v>
      </c>
      <c r="U616" t="str">
        <f t="shared" si="9"/>
        <v>0</v>
      </c>
      <c r="V616" t="str">
        <f>IF(Table1[appointment_status]="Attended","1","0")</f>
        <v>1</v>
      </c>
      <c r="W616" t="str">
        <f>IF(Table1[appointment_status]="Cancelled","1","0")</f>
        <v>0</v>
      </c>
    </row>
    <row r="617" spans="1:23">
      <c r="A617" t="s">
        <v>1176</v>
      </c>
      <c r="B617" t="s">
        <v>468</v>
      </c>
      <c r="C617">
        <v>35</v>
      </c>
      <c r="D617" t="str" cm="1">
        <f t="array" ref="D617">_xlfn.IFS(Table1[[#This Row],[age]]&lt;=17,"0-17",C617&lt;=29,"18-29",C617&lt;=44,"30-44",C617&lt;=59,"45-59",C617&lt;=74,"60-74",TRUE,"75+")</f>
        <v>30-44</v>
      </c>
      <c r="E617" t="s">
        <v>17</v>
      </c>
      <c r="F617">
        <v>3</v>
      </c>
      <c r="G617" t="str" cm="1">
        <f t="array" ref="G617">_xlfn.IFS(_xlfn.SINGLE(Table1[imd_decile])&lt;=3,"Most Deprived",F617&lt;=7,"Moderately Deprived",F617&lt;=10,"Least Deprived")</f>
        <v>Most Deprived</v>
      </c>
      <c r="H617">
        <v>11.7</v>
      </c>
      <c r="I617" t="s">
        <v>58</v>
      </c>
      <c r="J617" t="s">
        <v>26</v>
      </c>
      <c r="K617" s="1">
        <v>45736</v>
      </c>
      <c r="L617" s="1">
        <v>45767</v>
      </c>
      <c r="M617" s="1" t="str">
        <f>TEXT(Table1[[#This Row],[appointment_date]],"MM/YYYY")</f>
        <v>04/2025</v>
      </c>
      <c r="N617">
        <v>31</v>
      </c>
      <c r="O617" t="str" cm="1">
        <f t="array" ref="O617">_xlfn.IFS(Table1[[#This Row],[lead_time_days]]&lt;=7,"0-7 days",N617&lt;=14,"8-14 days",N617&lt;=30,"15-30 days",N617&lt;=60,"31-60 days",TRUE,"61+ days")</f>
        <v>31-60 days</v>
      </c>
      <c r="P617" t="s">
        <v>31</v>
      </c>
      <c r="Q617" t="s">
        <v>32</v>
      </c>
      <c r="R617">
        <v>0</v>
      </c>
      <c r="S617" t="str">
        <f>IF(Table1[prior_dna_count]&gt;=1,"Has prior DNA history","No prior DNA history")</f>
        <v>No prior DNA history</v>
      </c>
      <c r="T617" t="s">
        <v>22</v>
      </c>
      <c r="U617" t="str">
        <f t="shared" si="9"/>
        <v>1</v>
      </c>
      <c r="V617" t="str">
        <f>IF(Table1[appointment_status]="Attended","1","0")</f>
        <v>1</v>
      </c>
      <c r="W617" t="str">
        <f>IF(Table1[appointment_status]="Cancelled","1","0")</f>
        <v>0</v>
      </c>
    </row>
    <row r="618" spans="1:23">
      <c r="A618" t="s">
        <v>1177</v>
      </c>
      <c r="B618" t="s">
        <v>1178</v>
      </c>
      <c r="C618">
        <v>43</v>
      </c>
      <c r="D618" t="str" cm="1">
        <f t="array" ref="D618">_xlfn.IFS(Table1[[#This Row],[age]]&lt;=17,"0-17",C618&lt;=29,"18-29",C618&lt;=44,"30-44",C618&lt;=59,"45-59",C618&lt;=74,"60-74",TRUE,"75+")</f>
        <v>30-44</v>
      </c>
      <c r="E618" t="s">
        <v>29</v>
      </c>
      <c r="F618">
        <v>10</v>
      </c>
      <c r="G618" t="str" cm="1">
        <f t="array" ref="G618">_xlfn.IFS(_xlfn.SINGLE(Table1[imd_decile])&lt;=3,"Most Deprived",F618&lt;=7,"Moderately Deprived",F618&lt;=10,"Least Deprived")</f>
        <v>Least Deprived</v>
      </c>
      <c r="H618">
        <v>7.7</v>
      </c>
      <c r="I618" t="s">
        <v>91</v>
      </c>
      <c r="J618" t="s">
        <v>19</v>
      </c>
      <c r="K618" s="1">
        <v>45754</v>
      </c>
      <c r="L618" s="1">
        <v>45767</v>
      </c>
      <c r="M618" s="1" t="str">
        <f>TEXT(Table1[[#This Row],[appointment_date]],"MM/YYYY")</f>
        <v>04/2025</v>
      </c>
      <c r="N618">
        <v>13</v>
      </c>
      <c r="O618" t="str" cm="1">
        <f t="array" ref="O618">_xlfn.IFS(Table1[[#This Row],[lead_time_days]]&lt;=7,"0-7 days",N618&lt;=14,"8-14 days",N618&lt;=30,"15-30 days",N618&lt;=60,"31-60 days",TRUE,"61+ days")</f>
        <v>8-14 days</v>
      </c>
      <c r="P618" t="s">
        <v>31</v>
      </c>
      <c r="Q618" t="s">
        <v>21</v>
      </c>
      <c r="R618">
        <v>0</v>
      </c>
      <c r="S618" t="str">
        <f>IF(Table1[prior_dna_count]&gt;=1,"Has prior DNA history","No prior DNA history")</f>
        <v>No prior DNA history</v>
      </c>
      <c r="T618" t="s">
        <v>22</v>
      </c>
      <c r="U618" t="str">
        <f t="shared" si="9"/>
        <v>1</v>
      </c>
      <c r="V618" t="str">
        <f>IF(Table1[appointment_status]="Attended","1","0")</f>
        <v>1</v>
      </c>
      <c r="W618" t="str">
        <f>IF(Table1[appointment_status]="Cancelled","1","0")</f>
        <v>0</v>
      </c>
    </row>
    <row r="619" spans="1:23">
      <c r="A619" t="s">
        <v>1179</v>
      </c>
      <c r="B619" t="s">
        <v>1180</v>
      </c>
      <c r="C619">
        <v>44</v>
      </c>
      <c r="D619" t="str" cm="1">
        <f t="array" ref="D619">_xlfn.IFS(Table1[[#This Row],[age]]&lt;=17,"0-17",C619&lt;=29,"18-29",C619&lt;=44,"30-44",C619&lt;=59,"45-59",C619&lt;=74,"60-74",TRUE,"75+")</f>
        <v>30-44</v>
      </c>
      <c r="E619" t="s">
        <v>29</v>
      </c>
      <c r="F619">
        <v>6</v>
      </c>
      <c r="G619" t="str" cm="1">
        <f t="array" ref="G619">_xlfn.IFS(_xlfn.SINGLE(Table1[imd_decile])&lt;=3,"Most Deprived",F619&lt;=7,"Moderately Deprived",F619&lt;=10,"Least Deprived")</f>
        <v>Moderately Deprived</v>
      </c>
      <c r="H619">
        <v>0.7</v>
      </c>
      <c r="I619" t="s">
        <v>155</v>
      </c>
      <c r="J619" t="s">
        <v>19</v>
      </c>
      <c r="K619" s="1">
        <v>45735</v>
      </c>
      <c r="L619" s="1">
        <v>45767</v>
      </c>
      <c r="M619" s="1" t="str">
        <f>TEXT(Table1[[#This Row],[appointment_date]],"MM/YYYY")</f>
        <v>04/2025</v>
      </c>
      <c r="N619">
        <v>32</v>
      </c>
      <c r="O619" t="str" cm="1">
        <f t="array" ref="O619">_xlfn.IFS(Table1[[#This Row],[lead_time_days]]&lt;=7,"0-7 days",N619&lt;=14,"8-14 days",N619&lt;=30,"15-30 days",N619&lt;=60,"31-60 days",TRUE,"61+ days")</f>
        <v>31-60 days</v>
      </c>
      <c r="P619" t="s">
        <v>31</v>
      </c>
      <c r="Q619" t="s">
        <v>21</v>
      </c>
      <c r="R619">
        <v>1</v>
      </c>
      <c r="S619" t="str">
        <f>IF(Table1[prior_dna_count]&gt;=1,"Has prior DNA history","No prior DNA history")</f>
        <v>Has prior DNA history</v>
      </c>
      <c r="T619" t="s">
        <v>22</v>
      </c>
      <c r="U619" t="str">
        <f t="shared" si="9"/>
        <v>1</v>
      </c>
      <c r="V619" t="str">
        <f>IF(Table1[appointment_status]="Attended","1","0")</f>
        <v>1</v>
      </c>
      <c r="W619" t="str">
        <f>IF(Table1[appointment_status]="Cancelled","1","0")</f>
        <v>0</v>
      </c>
    </row>
    <row r="620" spans="1:23">
      <c r="A620" t="s">
        <v>1181</v>
      </c>
      <c r="B620" t="s">
        <v>1182</v>
      </c>
      <c r="C620">
        <v>48</v>
      </c>
      <c r="D620" t="str" cm="1">
        <f t="array" ref="D620">_xlfn.IFS(Table1[[#This Row],[age]]&lt;=17,"0-17",C620&lt;=29,"18-29",C620&lt;=44,"30-44",C620&lt;=59,"45-59",C620&lt;=74,"60-74",TRUE,"75+")</f>
        <v>45-59</v>
      </c>
      <c r="E620" t="s">
        <v>29</v>
      </c>
      <c r="F620">
        <v>1</v>
      </c>
      <c r="G620" t="str" cm="1">
        <f t="array" ref="G620">_xlfn.IFS(_xlfn.SINGLE(Table1[imd_decile])&lt;=3,"Most Deprived",F620&lt;=7,"Moderately Deprived",F620&lt;=10,"Least Deprived")</f>
        <v>Most Deprived</v>
      </c>
      <c r="H620">
        <v>3.9</v>
      </c>
      <c r="I620" t="s">
        <v>49</v>
      </c>
      <c r="J620" t="s">
        <v>19</v>
      </c>
      <c r="K620" s="1">
        <v>45754</v>
      </c>
      <c r="L620" s="1">
        <v>45768</v>
      </c>
      <c r="M620" s="1" t="str">
        <f>TEXT(Table1[[#This Row],[appointment_date]],"MM/YYYY")</f>
        <v>04/2025</v>
      </c>
      <c r="N620">
        <v>14</v>
      </c>
      <c r="O620" t="str" cm="1">
        <f t="array" ref="O620">_xlfn.IFS(Table1[[#This Row],[lead_time_days]]&lt;=7,"0-7 days",N620&lt;=14,"8-14 days",N620&lt;=30,"15-30 days",N620&lt;=60,"31-60 days",TRUE,"61+ days")</f>
        <v>8-14 days</v>
      </c>
      <c r="P620" t="s">
        <v>35</v>
      </c>
      <c r="Q620" t="s">
        <v>21</v>
      </c>
      <c r="R620">
        <v>0</v>
      </c>
      <c r="S620" t="str">
        <f>IF(Table1[prior_dna_count]&gt;=1,"Has prior DNA history","No prior DNA history")</f>
        <v>No prior DNA history</v>
      </c>
      <c r="T620" t="s">
        <v>22</v>
      </c>
      <c r="U620" t="str">
        <f t="shared" si="9"/>
        <v>1</v>
      </c>
      <c r="V620" t="str">
        <f>IF(Table1[appointment_status]="Attended","1","0")</f>
        <v>1</v>
      </c>
      <c r="W620" t="str">
        <f>IF(Table1[appointment_status]="Cancelled","1","0")</f>
        <v>0</v>
      </c>
    </row>
    <row r="621" spans="1:23">
      <c r="A621" t="s">
        <v>1183</v>
      </c>
      <c r="B621" t="s">
        <v>1184</v>
      </c>
      <c r="C621">
        <v>64</v>
      </c>
      <c r="D621" t="str" cm="1">
        <f t="array" ref="D621">_xlfn.IFS(Table1[[#This Row],[age]]&lt;=17,"0-17",C621&lt;=29,"18-29",C621&lt;=44,"30-44",C621&lt;=59,"45-59",C621&lt;=74,"60-74",TRUE,"75+")</f>
        <v>60-74</v>
      </c>
      <c r="E621" t="s">
        <v>17</v>
      </c>
      <c r="F621">
        <v>1</v>
      </c>
      <c r="G621" t="str" cm="1">
        <f t="array" ref="G621">_xlfn.IFS(_xlfn.SINGLE(Table1[imd_decile])&lt;=3,"Most Deprived",F621&lt;=7,"Moderately Deprived",F621&lt;=10,"Least Deprived")</f>
        <v>Most Deprived</v>
      </c>
      <c r="H621">
        <v>11.1</v>
      </c>
      <c r="I621" t="s">
        <v>25</v>
      </c>
      <c r="J621" t="s">
        <v>19</v>
      </c>
      <c r="K621" s="1">
        <v>45735</v>
      </c>
      <c r="L621" s="1">
        <v>45768</v>
      </c>
      <c r="M621" s="1" t="str">
        <f>TEXT(Table1[[#This Row],[appointment_date]],"MM/YYYY")</f>
        <v>04/2025</v>
      </c>
      <c r="N621">
        <v>33</v>
      </c>
      <c r="O621" t="str" cm="1">
        <f t="array" ref="O621">_xlfn.IFS(Table1[[#This Row],[lead_time_days]]&lt;=7,"0-7 days",N621&lt;=14,"8-14 days",N621&lt;=30,"15-30 days",N621&lt;=60,"31-60 days",TRUE,"61+ days")</f>
        <v>31-60 days</v>
      </c>
      <c r="P621" t="s">
        <v>35</v>
      </c>
      <c r="Q621" t="s">
        <v>21</v>
      </c>
      <c r="R621">
        <v>0</v>
      </c>
      <c r="S621" t="str">
        <f>IF(Table1[prior_dna_count]&gt;=1,"Has prior DNA history","No prior DNA history")</f>
        <v>No prior DNA history</v>
      </c>
      <c r="T621" t="s">
        <v>39</v>
      </c>
      <c r="U621" t="str">
        <f t="shared" si="9"/>
        <v>1</v>
      </c>
      <c r="V621" t="str">
        <f>IF(Table1[appointment_status]="Attended","1","0")</f>
        <v>0</v>
      </c>
      <c r="W621" t="str">
        <f>IF(Table1[appointment_status]="Cancelled","1","0")</f>
        <v>0</v>
      </c>
    </row>
    <row r="622" spans="1:23">
      <c r="A622" t="s">
        <v>1185</v>
      </c>
      <c r="B622" t="s">
        <v>611</v>
      </c>
      <c r="C622">
        <v>20</v>
      </c>
      <c r="D622" t="str" cm="1">
        <f t="array" ref="D622">_xlfn.IFS(Table1[[#This Row],[age]]&lt;=17,"0-17",C622&lt;=29,"18-29",C622&lt;=44,"30-44",C622&lt;=59,"45-59",C622&lt;=74,"60-74",TRUE,"75+")</f>
        <v>18-29</v>
      </c>
      <c r="E622" t="s">
        <v>17</v>
      </c>
      <c r="F622">
        <v>3</v>
      </c>
      <c r="G622" t="str" cm="1">
        <f t="array" ref="G622">_xlfn.IFS(_xlfn.SINGLE(Table1[imd_decile])&lt;=3,"Most Deprived",F622&lt;=7,"Moderately Deprived",F622&lt;=10,"Least Deprived")</f>
        <v>Most Deprived</v>
      </c>
      <c r="H622">
        <v>3.7</v>
      </c>
      <c r="I622" t="s">
        <v>42</v>
      </c>
      <c r="J622" t="s">
        <v>19</v>
      </c>
      <c r="K622" s="1">
        <v>45725</v>
      </c>
      <c r="L622" s="1">
        <v>45768</v>
      </c>
      <c r="M622" s="1" t="str">
        <f>TEXT(Table1[[#This Row],[appointment_date]],"MM/YYYY")</f>
        <v>04/2025</v>
      </c>
      <c r="N622">
        <v>43</v>
      </c>
      <c r="O622" t="str" cm="1">
        <f t="array" ref="O622">_xlfn.IFS(Table1[[#This Row],[lead_time_days]]&lt;=7,"0-7 days",N622&lt;=14,"8-14 days",N622&lt;=30,"15-30 days",N622&lt;=60,"31-60 days",TRUE,"61+ days")</f>
        <v>31-60 days</v>
      </c>
      <c r="P622" t="s">
        <v>35</v>
      </c>
      <c r="Q622" t="s">
        <v>21</v>
      </c>
      <c r="R622">
        <v>1</v>
      </c>
      <c r="S622" t="str">
        <f>IF(Table1[prior_dna_count]&gt;=1,"Has prior DNA history","No prior DNA history")</f>
        <v>Has prior DNA history</v>
      </c>
      <c r="T622" t="s">
        <v>46</v>
      </c>
      <c r="U622" t="str">
        <f t="shared" si="9"/>
        <v>0</v>
      </c>
      <c r="V622" t="str">
        <f>IF(Table1[appointment_status]="Attended","1","0")</f>
        <v>0</v>
      </c>
      <c r="W622" t="str">
        <f>IF(Table1[appointment_status]="Cancelled","1","0")</f>
        <v>1</v>
      </c>
    </row>
    <row r="623" spans="1:23">
      <c r="A623" t="s">
        <v>1186</v>
      </c>
      <c r="B623" t="s">
        <v>726</v>
      </c>
      <c r="C623">
        <v>65</v>
      </c>
      <c r="D623" t="str" cm="1">
        <f t="array" ref="D623">_xlfn.IFS(Table1[[#This Row],[age]]&lt;=17,"0-17",C623&lt;=29,"18-29",C623&lt;=44,"30-44",C623&lt;=59,"45-59",C623&lt;=74,"60-74",TRUE,"75+")</f>
        <v>60-74</v>
      </c>
      <c r="E623" t="s">
        <v>17</v>
      </c>
      <c r="F623">
        <v>5</v>
      </c>
      <c r="G623" t="str" cm="1">
        <f t="array" ref="G623">_xlfn.IFS(_xlfn.SINGLE(Table1[imd_decile])&lt;=3,"Most Deprived",F623&lt;=7,"Moderately Deprived",F623&lt;=10,"Least Deprived")</f>
        <v>Moderately Deprived</v>
      </c>
      <c r="H623">
        <v>4.9000000000000004</v>
      </c>
      <c r="I623" t="s">
        <v>38</v>
      </c>
      <c r="J623" t="s">
        <v>19</v>
      </c>
      <c r="K623" s="1">
        <v>45748</v>
      </c>
      <c r="L623" s="1">
        <v>45768</v>
      </c>
      <c r="M623" s="1" t="str">
        <f>TEXT(Table1[[#This Row],[appointment_date]],"MM/YYYY")</f>
        <v>04/2025</v>
      </c>
      <c r="N623">
        <v>20</v>
      </c>
      <c r="O623" t="str" cm="1">
        <f t="array" ref="O623">_xlfn.IFS(Table1[[#This Row],[lead_time_days]]&lt;=7,"0-7 days",N623&lt;=14,"8-14 days",N623&lt;=30,"15-30 days",N623&lt;=60,"31-60 days",TRUE,"61+ days")</f>
        <v>15-30 days</v>
      </c>
      <c r="P623" t="s">
        <v>35</v>
      </c>
      <c r="Q623" t="s">
        <v>21</v>
      </c>
      <c r="R623">
        <v>0</v>
      </c>
      <c r="S623" t="str">
        <f>IF(Table1[prior_dna_count]&gt;=1,"Has prior DNA history","No prior DNA history")</f>
        <v>No prior DNA history</v>
      </c>
      <c r="T623" t="s">
        <v>22</v>
      </c>
      <c r="U623" t="str">
        <f t="shared" si="9"/>
        <v>0</v>
      </c>
      <c r="V623" t="str">
        <f>IF(Table1[appointment_status]="Attended","1","0")</f>
        <v>1</v>
      </c>
      <c r="W623" t="str">
        <f>IF(Table1[appointment_status]="Cancelled","1","0")</f>
        <v>0</v>
      </c>
    </row>
    <row r="624" spans="1:23">
      <c r="A624" t="s">
        <v>1187</v>
      </c>
      <c r="B624" t="s">
        <v>1188</v>
      </c>
      <c r="C624">
        <v>45</v>
      </c>
      <c r="D624" t="str" cm="1">
        <f t="array" ref="D624">_xlfn.IFS(Table1[[#This Row],[age]]&lt;=17,"0-17",C624&lt;=29,"18-29",C624&lt;=44,"30-44",C624&lt;=59,"45-59",C624&lt;=74,"60-74",TRUE,"75+")</f>
        <v>45-59</v>
      </c>
      <c r="E624" t="s">
        <v>17</v>
      </c>
      <c r="F624">
        <v>3</v>
      </c>
      <c r="G624" t="str" cm="1">
        <f t="array" ref="G624">_xlfn.IFS(_xlfn.SINGLE(Table1[imd_decile])&lt;=3,"Most Deprived",F624&lt;=7,"Moderately Deprived",F624&lt;=10,"Least Deprived")</f>
        <v>Most Deprived</v>
      </c>
      <c r="H624">
        <v>12.1</v>
      </c>
      <c r="I624" t="s">
        <v>18</v>
      </c>
      <c r="J624" t="s">
        <v>19</v>
      </c>
      <c r="K624" s="1">
        <v>45754</v>
      </c>
      <c r="L624" s="1">
        <v>45768</v>
      </c>
      <c r="M624" s="1" t="str">
        <f>TEXT(Table1[[#This Row],[appointment_date]],"MM/YYYY")</f>
        <v>04/2025</v>
      </c>
      <c r="N624">
        <v>14</v>
      </c>
      <c r="O624" t="str" cm="1">
        <f t="array" ref="O624">_xlfn.IFS(Table1[[#This Row],[lead_time_days]]&lt;=7,"0-7 days",N624&lt;=14,"8-14 days",N624&lt;=30,"15-30 days",N624&lt;=60,"31-60 days",TRUE,"61+ days")</f>
        <v>8-14 days</v>
      </c>
      <c r="P624" t="s">
        <v>35</v>
      </c>
      <c r="Q624" t="s">
        <v>32</v>
      </c>
      <c r="R624">
        <v>0</v>
      </c>
      <c r="S624" t="str">
        <f>IF(Table1[prior_dna_count]&gt;=1,"Has prior DNA history","No prior DNA history")</f>
        <v>No prior DNA history</v>
      </c>
      <c r="T624" t="s">
        <v>46</v>
      </c>
      <c r="U624" t="str">
        <f t="shared" si="9"/>
        <v>1</v>
      </c>
      <c r="V624" t="str">
        <f>IF(Table1[appointment_status]="Attended","1","0")</f>
        <v>0</v>
      </c>
      <c r="W624" t="str">
        <f>IF(Table1[appointment_status]="Cancelled","1","0")</f>
        <v>1</v>
      </c>
    </row>
    <row r="625" spans="1:23">
      <c r="A625" t="s">
        <v>1189</v>
      </c>
      <c r="B625" t="s">
        <v>1190</v>
      </c>
      <c r="C625">
        <v>47</v>
      </c>
      <c r="D625" t="str" cm="1">
        <f t="array" ref="D625">_xlfn.IFS(Table1[[#This Row],[age]]&lt;=17,"0-17",C625&lt;=29,"18-29",C625&lt;=44,"30-44",C625&lt;=59,"45-59",C625&lt;=74,"60-74",TRUE,"75+")</f>
        <v>45-59</v>
      </c>
      <c r="E625" t="s">
        <v>17</v>
      </c>
      <c r="F625">
        <v>6</v>
      </c>
      <c r="G625" t="str" cm="1">
        <f t="array" ref="G625">_xlfn.IFS(_xlfn.SINGLE(Table1[imd_decile])&lt;=3,"Most Deprived",F625&lt;=7,"Moderately Deprived",F625&lt;=10,"Least Deprived")</f>
        <v>Moderately Deprived</v>
      </c>
      <c r="H625">
        <v>10.9</v>
      </c>
      <c r="I625" t="s">
        <v>49</v>
      </c>
      <c r="J625" t="s">
        <v>19</v>
      </c>
      <c r="K625" s="1">
        <v>45761</v>
      </c>
      <c r="L625" s="1">
        <v>45769</v>
      </c>
      <c r="M625" s="1" t="str">
        <f>TEXT(Table1[[#This Row],[appointment_date]],"MM/YYYY")</f>
        <v>04/2025</v>
      </c>
      <c r="N625">
        <v>8</v>
      </c>
      <c r="O625" t="str" cm="1">
        <f t="array" ref="O625">_xlfn.IFS(Table1[[#This Row],[lead_time_days]]&lt;=7,"0-7 days",N625&lt;=14,"8-14 days",N625&lt;=30,"15-30 days",N625&lt;=60,"31-60 days",TRUE,"61+ days")</f>
        <v>8-14 days</v>
      </c>
      <c r="P625" t="s">
        <v>71</v>
      </c>
      <c r="Q625" t="s">
        <v>32</v>
      </c>
      <c r="R625">
        <v>0</v>
      </c>
      <c r="S625" t="str">
        <f>IF(Table1[prior_dna_count]&gt;=1,"Has prior DNA history","No prior DNA history")</f>
        <v>No prior DNA history</v>
      </c>
      <c r="T625" t="s">
        <v>22</v>
      </c>
      <c r="U625" t="str">
        <f t="shared" si="9"/>
        <v>0</v>
      </c>
      <c r="V625" t="str">
        <f>IF(Table1[appointment_status]="Attended","1","0")</f>
        <v>1</v>
      </c>
      <c r="W625" t="str">
        <f>IF(Table1[appointment_status]="Cancelled","1","0")</f>
        <v>0</v>
      </c>
    </row>
    <row r="626" spans="1:23">
      <c r="A626" t="s">
        <v>1191</v>
      </c>
      <c r="B626" t="s">
        <v>290</v>
      </c>
      <c r="C626">
        <v>56</v>
      </c>
      <c r="D626" t="str" cm="1">
        <f t="array" ref="D626">_xlfn.IFS(Table1[[#This Row],[age]]&lt;=17,"0-17",C626&lt;=29,"18-29",C626&lt;=44,"30-44",C626&lt;=59,"45-59",C626&lt;=74,"60-74",TRUE,"75+")</f>
        <v>45-59</v>
      </c>
      <c r="E626" t="s">
        <v>17</v>
      </c>
      <c r="F626">
        <v>9</v>
      </c>
      <c r="G626" t="str" cm="1">
        <f t="array" ref="G626">_xlfn.IFS(_xlfn.SINGLE(Table1[imd_decile])&lt;=3,"Most Deprived",F626&lt;=7,"Moderately Deprived",F626&lt;=10,"Least Deprived")</f>
        <v>Least Deprived</v>
      </c>
      <c r="H626">
        <v>2.2999999999999998</v>
      </c>
      <c r="I626" t="s">
        <v>30</v>
      </c>
      <c r="J626" t="s">
        <v>19</v>
      </c>
      <c r="K626" s="1">
        <v>45722</v>
      </c>
      <c r="L626" s="1">
        <v>45769</v>
      </c>
      <c r="M626" s="1" t="str">
        <f>TEXT(Table1[[#This Row],[appointment_date]],"MM/YYYY")</f>
        <v>04/2025</v>
      </c>
      <c r="N626">
        <v>47</v>
      </c>
      <c r="O626" t="str" cm="1">
        <f t="array" ref="O626">_xlfn.IFS(Table1[[#This Row],[lead_time_days]]&lt;=7,"0-7 days",N626&lt;=14,"8-14 days",N626&lt;=30,"15-30 days",N626&lt;=60,"31-60 days",TRUE,"61+ days")</f>
        <v>31-60 days</v>
      </c>
      <c r="P626" t="s">
        <v>71</v>
      </c>
      <c r="Q626" t="s">
        <v>21</v>
      </c>
      <c r="R626">
        <v>0</v>
      </c>
      <c r="S626" t="str">
        <f>IF(Table1[prior_dna_count]&gt;=1,"Has prior DNA history","No prior DNA history")</f>
        <v>No prior DNA history</v>
      </c>
      <c r="T626" t="s">
        <v>22</v>
      </c>
      <c r="U626" t="str">
        <f t="shared" si="9"/>
        <v>1</v>
      </c>
      <c r="V626" t="str">
        <f>IF(Table1[appointment_status]="Attended","1","0")</f>
        <v>1</v>
      </c>
      <c r="W626" t="str">
        <f>IF(Table1[appointment_status]="Cancelled","1","0")</f>
        <v>0</v>
      </c>
    </row>
    <row r="627" spans="1:23">
      <c r="A627" t="s">
        <v>1192</v>
      </c>
      <c r="B627" t="s">
        <v>1193</v>
      </c>
      <c r="C627">
        <v>40</v>
      </c>
      <c r="D627" t="str" cm="1">
        <f t="array" ref="D627">_xlfn.IFS(Table1[[#This Row],[age]]&lt;=17,"0-17",C627&lt;=29,"18-29",C627&lt;=44,"30-44",C627&lt;=59,"45-59",C627&lt;=74,"60-74",TRUE,"75+")</f>
        <v>30-44</v>
      </c>
      <c r="E627" t="s">
        <v>17</v>
      </c>
      <c r="F627">
        <v>1</v>
      </c>
      <c r="G627" t="str" cm="1">
        <f t="array" ref="G627">_xlfn.IFS(_xlfn.SINGLE(Table1[imd_decile])&lt;=3,"Most Deprived",F627&lt;=7,"Moderately Deprived",F627&lt;=10,"Least Deprived")</f>
        <v>Most Deprived</v>
      </c>
      <c r="H627">
        <v>3</v>
      </c>
      <c r="I627" t="s">
        <v>49</v>
      </c>
      <c r="J627" t="s">
        <v>26</v>
      </c>
      <c r="K627" s="1">
        <v>45762</v>
      </c>
      <c r="L627" s="1">
        <v>45769</v>
      </c>
      <c r="M627" s="1" t="str">
        <f>TEXT(Table1[[#This Row],[appointment_date]],"MM/YYYY")</f>
        <v>04/2025</v>
      </c>
      <c r="N627">
        <v>7</v>
      </c>
      <c r="O627" t="str" cm="1">
        <f t="array" ref="O627">_xlfn.IFS(Table1[[#This Row],[lead_time_days]]&lt;=7,"0-7 days",N627&lt;=14,"8-14 days",N627&lt;=30,"15-30 days",N627&lt;=60,"31-60 days",TRUE,"61+ days")</f>
        <v>0-7 days</v>
      </c>
      <c r="P627" t="s">
        <v>71</v>
      </c>
      <c r="Q627" t="s">
        <v>21</v>
      </c>
      <c r="R627">
        <v>0</v>
      </c>
      <c r="S627" t="str">
        <f>IF(Table1[prior_dna_count]&gt;=1,"Has prior DNA history","No prior DNA history")</f>
        <v>No prior DNA history</v>
      </c>
      <c r="T627" t="s">
        <v>22</v>
      </c>
      <c r="U627" t="str">
        <f t="shared" si="9"/>
        <v>1</v>
      </c>
      <c r="V627" t="str">
        <f>IF(Table1[appointment_status]="Attended","1","0")</f>
        <v>1</v>
      </c>
      <c r="W627" t="str">
        <f>IF(Table1[appointment_status]="Cancelled","1","0")</f>
        <v>0</v>
      </c>
    </row>
    <row r="628" spans="1:23">
      <c r="A628" t="s">
        <v>1194</v>
      </c>
      <c r="B628" t="s">
        <v>1195</v>
      </c>
      <c r="C628">
        <v>64</v>
      </c>
      <c r="D628" t="str" cm="1">
        <f t="array" ref="D628">_xlfn.IFS(Table1[[#This Row],[age]]&lt;=17,"0-17",C628&lt;=29,"18-29",C628&lt;=44,"30-44",C628&lt;=59,"45-59",C628&lt;=74,"60-74",TRUE,"75+")</f>
        <v>60-74</v>
      </c>
      <c r="E628" t="s">
        <v>17</v>
      </c>
      <c r="F628">
        <v>8</v>
      </c>
      <c r="G628" t="str" cm="1">
        <f t="array" ref="G628">_xlfn.IFS(_xlfn.SINGLE(Table1[imd_decile])&lt;=3,"Most Deprived",F628&lt;=7,"Moderately Deprived",F628&lt;=10,"Least Deprived")</f>
        <v>Least Deprived</v>
      </c>
      <c r="H628">
        <v>19.100000000000001</v>
      </c>
      <c r="I628" t="s">
        <v>58</v>
      </c>
      <c r="J628" t="s">
        <v>26</v>
      </c>
      <c r="K628" s="1">
        <v>45755</v>
      </c>
      <c r="L628" s="1">
        <v>45769</v>
      </c>
      <c r="M628" s="1" t="str">
        <f>TEXT(Table1[[#This Row],[appointment_date]],"MM/YYYY")</f>
        <v>04/2025</v>
      </c>
      <c r="N628">
        <v>14</v>
      </c>
      <c r="O628" t="str" cm="1">
        <f t="array" ref="O628">_xlfn.IFS(Table1[[#This Row],[lead_time_days]]&lt;=7,"0-7 days",N628&lt;=14,"8-14 days",N628&lt;=30,"15-30 days",N628&lt;=60,"31-60 days",TRUE,"61+ days")</f>
        <v>8-14 days</v>
      </c>
      <c r="P628" t="s">
        <v>71</v>
      </c>
      <c r="Q628" t="s">
        <v>21</v>
      </c>
      <c r="R628">
        <v>0</v>
      </c>
      <c r="S628" t="str">
        <f>IF(Table1[prior_dna_count]&gt;=1,"Has prior DNA history","No prior DNA history")</f>
        <v>No prior DNA history</v>
      </c>
      <c r="T628" t="s">
        <v>22</v>
      </c>
      <c r="U628" t="str">
        <f t="shared" si="9"/>
        <v>1</v>
      </c>
      <c r="V628" t="str">
        <f>IF(Table1[appointment_status]="Attended","1","0")</f>
        <v>1</v>
      </c>
      <c r="W628" t="str">
        <f>IF(Table1[appointment_status]="Cancelled","1","0")</f>
        <v>0</v>
      </c>
    </row>
    <row r="629" spans="1:23">
      <c r="A629" t="s">
        <v>1196</v>
      </c>
      <c r="B629" t="s">
        <v>1197</v>
      </c>
      <c r="C629">
        <v>11</v>
      </c>
      <c r="D629" t="str" cm="1">
        <f t="array" ref="D629">_xlfn.IFS(Table1[[#This Row],[age]]&lt;=17,"0-17",C629&lt;=29,"18-29",C629&lt;=44,"30-44",C629&lt;=59,"45-59",C629&lt;=74,"60-74",TRUE,"75+")</f>
        <v>0-17</v>
      </c>
      <c r="E629" t="s">
        <v>17</v>
      </c>
      <c r="F629">
        <v>2</v>
      </c>
      <c r="G629" t="str" cm="1">
        <f t="array" ref="G629">_xlfn.IFS(_xlfn.SINGLE(Table1[imd_decile])&lt;=3,"Most Deprived",F629&lt;=7,"Moderately Deprived",F629&lt;=10,"Least Deprived")</f>
        <v>Most Deprived</v>
      </c>
      <c r="H629">
        <v>4.5999999999999996</v>
      </c>
      <c r="I629" t="s">
        <v>91</v>
      </c>
      <c r="J629" t="s">
        <v>19</v>
      </c>
      <c r="K629" s="1">
        <v>45736</v>
      </c>
      <c r="L629" s="1">
        <v>45769</v>
      </c>
      <c r="M629" s="1" t="str">
        <f>TEXT(Table1[[#This Row],[appointment_date]],"MM/YYYY")</f>
        <v>04/2025</v>
      </c>
      <c r="N629">
        <v>33</v>
      </c>
      <c r="O629" t="str" cm="1">
        <f t="array" ref="O629">_xlfn.IFS(Table1[[#This Row],[lead_time_days]]&lt;=7,"0-7 days",N629&lt;=14,"8-14 days",N629&lt;=30,"15-30 days",N629&lt;=60,"31-60 days",TRUE,"61+ days")</f>
        <v>31-60 days</v>
      </c>
      <c r="P629" t="s">
        <v>71</v>
      </c>
      <c r="Q629" t="s">
        <v>21</v>
      </c>
      <c r="R629">
        <v>0</v>
      </c>
      <c r="S629" t="str">
        <f>IF(Table1[prior_dna_count]&gt;=1,"Has prior DNA history","No prior DNA history")</f>
        <v>No prior DNA history</v>
      </c>
      <c r="T629" t="s">
        <v>22</v>
      </c>
      <c r="U629" t="str">
        <f t="shared" si="9"/>
        <v>1</v>
      </c>
      <c r="V629" t="str">
        <f>IF(Table1[appointment_status]="Attended","1","0")</f>
        <v>1</v>
      </c>
      <c r="W629" t="str">
        <f>IF(Table1[appointment_status]="Cancelled","1","0")</f>
        <v>0</v>
      </c>
    </row>
    <row r="630" spans="1:23">
      <c r="A630" t="s">
        <v>1198</v>
      </c>
      <c r="B630" t="s">
        <v>482</v>
      </c>
      <c r="C630">
        <v>54</v>
      </c>
      <c r="D630" t="str" cm="1">
        <f t="array" ref="D630">_xlfn.IFS(Table1[[#This Row],[age]]&lt;=17,"0-17",C630&lt;=29,"18-29",C630&lt;=44,"30-44",C630&lt;=59,"45-59",C630&lt;=74,"60-74",TRUE,"75+")</f>
        <v>45-59</v>
      </c>
      <c r="E630" t="s">
        <v>29</v>
      </c>
      <c r="F630">
        <v>6</v>
      </c>
      <c r="G630" t="str" cm="1">
        <f t="array" ref="G630">_xlfn.IFS(_xlfn.SINGLE(Table1[imd_decile])&lt;=3,"Most Deprived",F630&lt;=7,"Moderately Deprived",F630&lt;=10,"Least Deprived")</f>
        <v>Moderately Deprived</v>
      </c>
      <c r="H630">
        <v>4.2</v>
      </c>
      <c r="I630" t="s">
        <v>45</v>
      </c>
      <c r="J630" t="s">
        <v>26</v>
      </c>
      <c r="K630" s="1">
        <v>45746</v>
      </c>
      <c r="L630" s="1">
        <v>45769</v>
      </c>
      <c r="M630" s="1" t="str">
        <f>TEXT(Table1[[#This Row],[appointment_date]],"MM/YYYY")</f>
        <v>04/2025</v>
      </c>
      <c r="N630">
        <v>23</v>
      </c>
      <c r="O630" t="str" cm="1">
        <f t="array" ref="O630">_xlfn.IFS(Table1[[#This Row],[lead_time_days]]&lt;=7,"0-7 days",N630&lt;=14,"8-14 days",N630&lt;=30,"15-30 days",N630&lt;=60,"31-60 days",TRUE,"61+ days")</f>
        <v>15-30 days</v>
      </c>
      <c r="P630" t="s">
        <v>71</v>
      </c>
      <c r="Q630" t="s">
        <v>32</v>
      </c>
      <c r="R630">
        <v>0</v>
      </c>
      <c r="S630" t="str">
        <f>IF(Table1[prior_dna_count]&gt;=1,"Has prior DNA history","No prior DNA history")</f>
        <v>No prior DNA history</v>
      </c>
      <c r="T630" t="s">
        <v>22</v>
      </c>
      <c r="U630" t="str">
        <f t="shared" si="9"/>
        <v>1</v>
      </c>
      <c r="V630" t="str">
        <f>IF(Table1[appointment_status]="Attended","1","0")</f>
        <v>1</v>
      </c>
      <c r="W630" t="str">
        <f>IF(Table1[appointment_status]="Cancelled","1","0")</f>
        <v>0</v>
      </c>
    </row>
    <row r="631" spans="1:23">
      <c r="A631" t="s">
        <v>1199</v>
      </c>
      <c r="B631" t="s">
        <v>385</v>
      </c>
      <c r="C631">
        <v>47</v>
      </c>
      <c r="D631" t="str" cm="1">
        <f t="array" ref="D631">_xlfn.IFS(Table1[[#This Row],[age]]&lt;=17,"0-17",C631&lt;=29,"18-29",C631&lt;=44,"30-44",C631&lt;=59,"45-59",C631&lt;=74,"60-74",TRUE,"75+")</f>
        <v>45-59</v>
      </c>
      <c r="E631" t="s">
        <v>29</v>
      </c>
      <c r="F631">
        <v>8</v>
      </c>
      <c r="G631" t="str" cm="1">
        <f t="array" ref="G631">_xlfn.IFS(_xlfn.SINGLE(Table1[imd_decile])&lt;=3,"Most Deprived",F631&lt;=7,"Moderately Deprived",F631&lt;=10,"Least Deprived")</f>
        <v>Least Deprived</v>
      </c>
      <c r="H631">
        <v>11.6</v>
      </c>
      <c r="I631" t="s">
        <v>25</v>
      </c>
      <c r="J631" t="s">
        <v>19</v>
      </c>
      <c r="K631" s="1">
        <v>45739</v>
      </c>
      <c r="L631" s="1">
        <v>45769</v>
      </c>
      <c r="M631" s="1" t="str">
        <f>TEXT(Table1[[#This Row],[appointment_date]],"MM/YYYY")</f>
        <v>04/2025</v>
      </c>
      <c r="N631">
        <v>30</v>
      </c>
      <c r="O631" t="str" cm="1">
        <f t="array" ref="O631">_xlfn.IFS(Table1[[#This Row],[lead_time_days]]&lt;=7,"0-7 days",N631&lt;=14,"8-14 days",N631&lt;=30,"15-30 days",N631&lt;=60,"31-60 days",TRUE,"61+ days")</f>
        <v>15-30 days</v>
      </c>
      <c r="P631" t="s">
        <v>71</v>
      </c>
      <c r="Q631" t="s">
        <v>32</v>
      </c>
      <c r="R631">
        <v>0</v>
      </c>
      <c r="S631" t="str">
        <f>IF(Table1[prior_dna_count]&gt;=1,"Has prior DNA history","No prior DNA history")</f>
        <v>No prior DNA history</v>
      </c>
      <c r="T631" t="s">
        <v>46</v>
      </c>
      <c r="U631" t="str">
        <f t="shared" si="9"/>
        <v>1</v>
      </c>
      <c r="V631" t="str">
        <f>IF(Table1[appointment_status]="Attended","1","0")</f>
        <v>0</v>
      </c>
      <c r="W631" t="str">
        <f>IF(Table1[appointment_status]="Cancelled","1","0")</f>
        <v>1</v>
      </c>
    </row>
    <row r="632" spans="1:23">
      <c r="A632" t="s">
        <v>1200</v>
      </c>
      <c r="B632" t="s">
        <v>1201</v>
      </c>
      <c r="C632">
        <v>30</v>
      </c>
      <c r="D632" t="str" cm="1">
        <f t="array" ref="D632">_xlfn.IFS(Table1[[#This Row],[age]]&lt;=17,"0-17",C632&lt;=29,"18-29",C632&lt;=44,"30-44",C632&lt;=59,"45-59",C632&lt;=74,"60-74",TRUE,"75+")</f>
        <v>30-44</v>
      </c>
      <c r="E632" t="s">
        <v>17</v>
      </c>
      <c r="F632">
        <v>10</v>
      </c>
      <c r="G632" t="str" cm="1">
        <f t="array" ref="G632">_xlfn.IFS(_xlfn.SINGLE(Table1[imd_decile])&lt;=3,"Most Deprived",F632&lt;=7,"Moderately Deprived",F632&lt;=10,"Least Deprived")</f>
        <v>Least Deprived</v>
      </c>
      <c r="H632">
        <v>8.6999999999999993</v>
      </c>
      <c r="I632" t="s">
        <v>91</v>
      </c>
      <c r="J632" t="s">
        <v>19</v>
      </c>
      <c r="K632" s="1">
        <v>45737</v>
      </c>
      <c r="L632" s="1">
        <v>45770</v>
      </c>
      <c r="M632" s="1" t="str">
        <f>TEXT(Table1[[#This Row],[appointment_date]],"MM/YYYY")</f>
        <v>04/2025</v>
      </c>
      <c r="N632">
        <v>33</v>
      </c>
      <c r="O632" t="str" cm="1">
        <f t="array" ref="O632">_xlfn.IFS(Table1[[#This Row],[lead_time_days]]&lt;=7,"0-7 days",N632&lt;=14,"8-14 days",N632&lt;=30,"15-30 days",N632&lt;=60,"31-60 days",TRUE,"61+ days")</f>
        <v>31-60 days</v>
      </c>
      <c r="P632" t="s">
        <v>80</v>
      </c>
      <c r="Q632" t="s">
        <v>21</v>
      </c>
      <c r="R632">
        <v>0</v>
      </c>
      <c r="S632" t="str">
        <f>IF(Table1[prior_dna_count]&gt;=1,"Has prior DNA history","No prior DNA history")</f>
        <v>No prior DNA history</v>
      </c>
      <c r="T632" t="s">
        <v>22</v>
      </c>
      <c r="U632" t="str">
        <f t="shared" si="9"/>
        <v>0</v>
      </c>
      <c r="V632" t="str">
        <f>IF(Table1[appointment_status]="Attended","1","0")</f>
        <v>1</v>
      </c>
      <c r="W632" t="str">
        <f>IF(Table1[appointment_status]="Cancelled","1","0")</f>
        <v>0</v>
      </c>
    </row>
    <row r="633" spans="1:23">
      <c r="A633" t="s">
        <v>1202</v>
      </c>
      <c r="B633" t="s">
        <v>661</v>
      </c>
      <c r="C633">
        <v>23</v>
      </c>
      <c r="D633" t="str" cm="1">
        <f t="array" ref="D633">_xlfn.IFS(Table1[[#This Row],[age]]&lt;=17,"0-17",C633&lt;=29,"18-29",C633&lt;=44,"30-44",C633&lt;=59,"45-59",C633&lt;=74,"60-74",TRUE,"75+")</f>
        <v>18-29</v>
      </c>
      <c r="E633" t="s">
        <v>29</v>
      </c>
      <c r="F633">
        <v>1</v>
      </c>
      <c r="G633" t="str" cm="1">
        <f t="array" ref="G633">_xlfn.IFS(_xlfn.SINGLE(Table1[imd_decile])&lt;=3,"Most Deprived",F633&lt;=7,"Moderately Deprived",F633&lt;=10,"Least Deprived")</f>
        <v>Most Deprived</v>
      </c>
      <c r="H633">
        <v>4.5999999999999996</v>
      </c>
      <c r="I633" t="s">
        <v>49</v>
      </c>
      <c r="J633" t="s">
        <v>26</v>
      </c>
      <c r="K633" s="1">
        <v>45747</v>
      </c>
      <c r="L633" s="1">
        <v>45770</v>
      </c>
      <c r="M633" s="1" t="str">
        <f>TEXT(Table1[[#This Row],[appointment_date]],"MM/YYYY")</f>
        <v>04/2025</v>
      </c>
      <c r="N633">
        <v>23</v>
      </c>
      <c r="O633" t="str" cm="1">
        <f t="array" ref="O633">_xlfn.IFS(Table1[[#This Row],[lead_time_days]]&lt;=7,"0-7 days",N633&lt;=14,"8-14 days",N633&lt;=30,"15-30 days",N633&lt;=60,"31-60 days",TRUE,"61+ days")</f>
        <v>15-30 days</v>
      </c>
      <c r="P633" t="s">
        <v>80</v>
      </c>
      <c r="Q633" t="s">
        <v>21</v>
      </c>
      <c r="R633">
        <v>1</v>
      </c>
      <c r="S633" t="str">
        <f>IF(Table1[prior_dna_count]&gt;=1,"Has prior DNA history","No prior DNA history")</f>
        <v>Has prior DNA history</v>
      </c>
      <c r="T633" t="s">
        <v>22</v>
      </c>
      <c r="U633" t="str">
        <f t="shared" si="9"/>
        <v>1</v>
      </c>
      <c r="V633" t="str">
        <f>IF(Table1[appointment_status]="Attended","1","0")</f>
        <v>1</v>
      </c>
      <c r="W633" t="str">
        <f>IF(Table1[appointment_status]="Cancelled","1","0")</f>
        <v>0</v>
      </c>
    </row>
    <row r="634" spans="1:23">
      <c r="A634" t="s">
        <v>1203</v>
      </c>
      <c r="B634" t="s">
        <v>403</v>
      </c>
      <c r="C634">
        <v>57</v>
      </c>
      <c r="D634" t="str" cm="1">
        <f t="array" ref="D634">_xlfn.IFS(Table1[[#This Row],[age]]&lt;=17,"0-17",C634&lt;=29,"18-29",C634&lt;=44,"30-44",C634&lt;=59,"45-59",C634&lt;=74,"60-74",TRUE,"75+")</f>
        <v>45-59</v>
      </c>
      <c r="E634" t="s">
        <v>17</v>
      </c>
      <c r="F634">
        <v>4</v>
      </c>
      <c r="G634" t="str" cm="1">
        <f t="array" ref="G634">_xlfn.IFS(_xlfn.SINGLE(Table1[imd_decile])&lt;=3,"Most Deprived",F634&lt;=7,"Moderately Deprived",F634&lt;=10,"Least Deprived")</f>
        <v>Moderately Deprived</v>
      </c>
      <c r="H634">
        <v>1.5</v>
      </c>
      <c r="I634" t="s">
        <v>18</v>
      </c>
      <c r="J634" t="s">
        <v>19</v>
      </c>
      <c r="K634" s="1">
        <v>45748</v>
      </c>
      <c r="L634" s="1">
        <v>45770</v>
      </c>
      <c r="M634" s="1" t="str">
        <f>TEXT(Table1[[#This Row],[appointment_date]],"MM/YYYY")</f>
        <v>04/2025</v>
      </c>
      <c r="N634">
        <v>22</v>
      </c>
      <c r="O634" t="str" cm="1">
        <f t="array" ref="O634">_xlfn.IFS(Table1[[#This Row],[lead_time_days]]&lt;=7,"0-7 days",N634&lt;=14,"8-14 days",N634&lt;=30,"15-30 days",N634&lt;=60,"31-60 days",TRUE,"61+ days")</f>
        <v>15-30 days</v>
      </c>
      <c r="P634" t="s">
        <v>80</v>
      </c>
      <c r="Q634" t="s">
        <v>32</v>
      </c>
      <c r="R634">
        <v>0</v>
      </c>
      <c r="S634" t="str">
        <f>IF(Table1[prior_dna_count]&gt;=1,"Has prior DNA history","No prior DNA history")</f>
        <v>No prior DNA history</v>
      </c>
      <c r="T634" t="s">
        <v>22</v>
      </c>
      <c r="U634" t="str">
        <f t="shared" si="9"/>
        <v>1</v>
      </c>
      <c r="V634" t="str">
        <f>IF(Table1[appointment_status]="Attended","1","0")</f>
        <v>1</v>
      </c>
      <c r="W634" t="str">
        <f>IF(Table1[appointment_status]="Cancelled","1","0")</f>
        <v>0</v>
      </c>
    </row>
    <row r="635" spans="1:23">
      <c r="A635" t="s">
        <v>1204</v>
      </c>
      <c r="B635" t="s">
        <v>1205</v>
      </c>
      <c r="C635">
        <v>50</v>
      </c>
      <c r="D635" t="str" cm="1">
        <f t="array" ref="D635">_xlfn.IFS(Table1[[#This Row],[age]]&lt;=17,"0-17",C635&lt;=29,"18-29",C635&lt;=44,"30-44",C635&lt;=59,"45-59",C635&lt;=74,"60-74",TRUE,"75+")</f>
        <v>45-59</v>
      </c>
      <c r="E635" t="s">
        <v>17</v>
      </c>
      <c r="F635">
        <v>3</v>
      </c>
      <c r="G635" t="str" cm="1">
        <f t="array" ref="G635">_xlfn.IFS(_xlfn.SINGLE(Table1[imd_decile])&lt;=3,"Most Deprived",F635&lt;=7,"Moderately Deprived",F635&lt;=10,"Least Deprived")</f>
        <v>Most Deprived</v>
      </c>
      <c r="H635">
        <v>3.6</v>
      </c>
      <c r="I635" t="s">
        <v>58</v>
      </c>
      <c r="J635" t="s">
        <v>26</v>
      </c>
      <c r="K635" s="1">
        <v>45756</v>
      </c>
      <c r="L635" s="1">
        <v>45770</v>
      </c>
      <c r="M635" s="1" t="str">
        <f>TEXT(Table1[[#This Row],[appointment_date]],"MM/YYYY")</f>
        <v>04/2025</v>
      </c>
      <c r="N635">
        <v>14</v>
      </c>
      <c r="O635" t="str" cm="1">
        <f t="array" ref="O635">_xlfn.IFS(Table1[[#This Row],[lead_time_days]]&lt;=7,"0-7 days",N635&lt;=14,"8-14 days",N635&lt;=30,"15-30 days",N635&lt;=60,"31-60 days",TRUE,"61+ days")</f>
        <v>8-14 days</v>
      </c>
      <c r="P635" t="s">
        <v>80</v>
      </c>
      <c r="Q635" t="s">
        <v>21</v>
      </c>
      <c r="R635">
        <v>0</v>
      </c>
      <c r="S635" t="str">
        <f>IF(Table1[prior_dna_count]&gt;=1,"Has prior DNA history","No prior DNA history")</f>
        <v>No prior DNA history</v>
      </c>
      <c r="T635" t="s">
        <v>22</v>
      </c>
      <c r="U635" t="str">
        <f t="shared" si="9"/>
        <v>1</v>
      </c>
      <c r="V635" t="str">
        <f>IF(Table1[appointment_status]="Attended","1","0")</f>
        <v>1</v>
      </c>
      <c r="W635" t="str">
        <f>IF(Table1[appointment_status]="Cancelled","1","0")</f>
        <v>0</v>
      </c>
    </row>
    <row r="636" spans="1:23">
      <c r="A636" t="s">
        <v>1206</v>
      </c>
      <c r="B636" t="s">
        <v>1207</v>
      </c>
      <c r="C636">
        <v>43</v>
      </c>
      <c r="D636" t="str" cm="1">
        <f t="array" ref="D636">_xlfn.IFS(Table1[[#This Row],[age]]&lt;=17,"0-17",C636&lt;=29,"18-29",C636&lt;=44,"30-44",C636&lt;=59,"45-59",C636&lt;=74,"60-74",TRUE,"75+")</f>
        <v>30-44</v>
      </c>
      <c r="E636" t="s">
        <v>17</v>
      </c>
      <c r="F636">
        <v>3</v>
      </c>
      <c r="G636" t="str" cm="1">
        <f t="array" ref="G636">_xlfn.IFS(_xlfn.SINGLE(Table1[imd_decile])&lt;=3,"Most Deprived",F636&lt;=7,"Moderately Deprived",F636&lt;=10,"Least Deprived")</f>
        <v>Most Deprived</v>
      </c>
      <c r="H636">
        <v>9.6</v>
      </c>
      <c r="I636" t="s">
        <v>45</v>
      </c>
      <c r="J636" t="s">
        <v>19</v>
      </c>
      <c r="K636" s="1">
        <v>45759</v>
      </c>
      <c r="L636" s="1">
        <v>45770</v>
      </c>
      <c r="M636" s="1" t="str">
        <f>TEXT(Table1[[#This Row],[appointment_date]],"MM/YYYY")</f>
        <v>04/2025</v>
      </c>
      <c r="N636">
        <v>11</v>
      </c>
      <c r="O636" t="str" cm="1">
        <f t="array" ref="O636">_xlfn.IFS(Table1[[#This Row],[lead_time_days]]&lt;=7,"0-7 days",N636&lt;=14,"8-14 days",N636&lt;=30,"15-30 days",N636&lt;=60,"31-60 days",TRUE,"61+ days")</f>
        <v>8-14 days</v>
      </c>
      <c r="P636" t="s">
        <v>80</v>
      </c>
      <c r="Q636" t="s">
        <v>21</v>
      </c>
      <c r="R636">
        <v>0</v>
      </c>
      <c r="S636" t="str">
        <f>IF(Table1[prior_dna_count]&gt;=1,"Has prior DNA history","No prior DNA history")</f>
        <v>No prior DNA history</v>
      </c>
      <c r="T636" t="s">
        <v>22</v>
      </c>
      <c r="U636" t="str">
        <f t="shared" si="9"/>
        <v>1</v>
      </c>
      <c r="V636" t="str">
        <f>IF(Table1[appointment_status]="Attended","1","0")</f>
        <v>1</v>
      </c>
      <c r="W636" t="str">
        <f>IF(Table1[appointment_status]="Cancelled","1","0")</f>
        <v>0</v>
      </c>
    </row>
    <row r="637" spans="1:23">
      <c r="A637" t="s">
        <v>1208</v>
      </c>
      <c r="B637" t="s">
        <v>1093</v>
      </c>
      <c r="C637">
        <v>49</v>
      </c>
      <c r="D637" t="str" cm="1">
        <f t="array" ref="D637">_xlfn.IFS(Table1[[#This Row],[age]]&lt;=17,"0-17",C637&lt;=29,"18-29",C637&lt;=44,"30-44",C637&lt;=59,"45-59",C637&lt;=74,"60-74",TRUE,"75+")</f>
        <v>45-59</v>
      </c>
      <c r="E637" t="s">
        <v>29</v>
      </c>
      <c r="F637">
        <v>9</v>
      </c>
      <c r="G637" t="str" cm="1">
        <f t="array" ref="G637">_xlfn.IFS(_xlfn.SINGLE(Table1[imd_decile])&lt;=3,"Most Deprived",F637&lt;=7,"Moderately Deprived",F637&lt;=10,"Least Deprived")</f>
        <v>Least Deprived</v>
      </c>
      <c r="H637">
        <v>7.7</v>
      </c>
      <c r="I637" t="s">
        <v>91</v>
      </c>
      <c r="J637" t="s">
        <v>19</v>
      </c>
      <c r="K637" s="1">
        <v>45740</v>
      </c>
      <c r="L637" s="1">
        <v>45770</v>
      </c>
      <c r="M637" s="1" t="str">
        <f>TEXT(Table1[[#This Row],[appointment_date]],"MM/YYYY")</f>
        <v>04/2025</v>
      </c>
      <c r="N637">
        <v>30</v>
      </c>
      <c r="O637" t="str" cm="1">
        <f t="array" ref="O637">_xlfn.IFS(Table1[[#This Row],[lead_time_days]]&lt;=7,"0-7 days",N637&lt;=14,"8-14 days",N637&lt;=30,"15-30 days",N637&lt;=60,"31-60 days",TRUE,"61+ days")</f>
        <v>15-30 days</v>
      </c>
      <c r="P637" t="s">
        <v>80</v>
      </c>
      <c r="Q637" t="s">
        <v>21</v>
      </c>
      <c r="R637">
        <v>0</v>
      </c>
      <c r="S637" t="str">
        <f>IF(Table1[prior_dna_count]&gt;=1,"Has prior DNA history","No prior DNA history")</f>
        <v>No prior DNA history</v>
      </c>
      <c r="T637" t="s">
        <v>22</v>
      </c>
      <c r="U637" t="str">
        <f t="shared" si="9"/>
        <v>1</v>
      </c>
      <c r="V637" t="str">
        <f>IF(Table1[appointment_status]="Attended","1","0")</f>
        <v>1</v>
      </c>
      <c r="W637" t="str">
        <f>IF(Table1[appointment_status]="Cancelled","1","0")</f>
        <v>0</v>
      </c>
    </row>
    <row r="638" spans="1:23">
      <c r="A638" t="s">
        <v>1209</v>
      </c>
      <c r="B638" t="s">
        <v>1210</v>
      </c>
      <c r="C638">
        <v>38</v>
      </c>
      <c r="D638" t="str" cm="1">
        <f t="array" ref="D638">_xlfn.IFS(Table1[[#This Row],[age]]&lt;=17,"0-17",C638&lt;=29,"18-29",C638&lt;=44,"30-44",C638&lt;=59,"45-59",C638&lt;=74,"60-74",TRUE,"75+")</f>
        <v>30-44</v>
      </c>
      <c r="E638" t="s">
        <v>29</v>
      </c>
      <c r="F638">
        <v>8</v>
      </c>
      <c r="G638" t="str" cm="1">
        <f t="array" ref="G638">_xlfn.IFS(_xlfn.SINGLE(Table1[imd_decile])&lt;=3,"Most Deprived",F638&lt;=7,"Moderately Deprived",F638&lt;=10,"Least Deprived")</f>
        <v>Least Deprived</v>
      </c>
      <c r="H638">
        <v>17.899999999999999</v>
      </c>
      <c r="I638" t="s">
        <v>45</v>
      </c>
      <c r="J638" t="s">
        <v>19</v>
      </c>
      <c r="K638" s="1">
        <v>45731</v>
      </c>
      <c r="L638" s="1">
        <v>45770</v>
      </c>
      <c r="M638" s="1" t="str">
        <f>TEXT(Table1[[#This Row],[appointment_date]],"MM/YYYY")</f>
        <v>04/2025</v>
      </c>
      <c r="N638">
        <v>39</v>
      </c>
      <c r="O638" t="str" cm="1">
        <f t="array" ref="O638">_xlfn.IFS(Table1[[#This Row],[lead_time_days]]&lt;=7,"0-7 days",N638&lt;=14,"8-14 days",N638&lt;=30,"15-30 days",N638&lt;=60,"31-60 days",TRUE,"61+ days")</f>
        <v>31-60 days</v>
      </c>
      <c r="P638" t="s">
        <v>80</v>
      </c>
      <c r="Q638" t="s">
        <v>32</v>
      </c>
      <c r="R638">
        <v>0</v>
      </c>
      <c r="S638" t="str">
        <f>IF(Table1[prior_dna_count]&gt;=1,"Has prior DNA history","No prior DNA history")</f>
        <v>No prior DNA history</v>
      </c>
      <c r="T638" t="s">
        <v>22</v>
      </c>
      <c r="U638" t="str">
        <f t="shared" si="9"/>
        <v>1</v>
      </c>
      <c r="V638" t="str">
        <f>IF(Table1[appointment_status]="Attended","1","0")</f>
        <v>1</v>
      </c>
      <c r="W638" t="str">
        <f>IF(Table1[appointment_status]="Cancelled","1","0")</f>
        <v>0</v>
      </c>
    </row>
    <row r="639" spans="1:23">
      <c r="A639" t="s">
        <v>1211</v>
      </c>
      <c r="B639" t="s">
        <v>809</v>
      </c>
      <c r="C639">
        <v>40</v>
      </c>
      <c r="D639" t="str" cm="1">
        <f t="array" ref="D639">_xlfn.IFS(Table1[[#This Row],[age]]&lt;=17,"0-17",C639&lt;=29,"18-29",C639&lt;=44,"30-44",C639&lt;=59,"45-59",C639&lt;=74,"60-74",TRUE,"75+")</f>
        <v>30-44</v>
      </c>
      <c r="E639" t="s">
        <v>17</v>
      </c>
      <c r="F639">
        <v>2</v>
      </c>
      <c r="G639" t="str" cm="1">
        <f t="array" ref="G639">_xlfn.IFS(_xlfn.SINGLE(Table1[imd_decile])&lt;=3,"Most Deprived",F639&lt;=7,"Moderately Deprived",F639&lt;=10,"Least Deprived")</f>
        <v>Most Deprived</v>
      </c>
      <c r="H639">
        <v>29.3</v>
      </c>
      <c r="I639" t="s">
        <v>18</v>
      </c>
      <c r="J639" t="s">
        <v>26</v>
      </c>
      <c r="K639" s="1">
        <v>45764</v>
      </c>
      <c r="L639" s="1">
        <v>45770</v>
      </c>
      <c r="M639" s="1" t="str">
        <f>TEXT(Table1[[#This Row],[appointment_date]],"MM/YYYY")</f>
        <v>04/2025</v>
      </c>
      <c r="N639">
        <v>6</v>
      </c>
      <c r="O639" t="str" cm="1">
        <f t="array" ref="O639">_xlfn.IFS(Table1[[#This Row],[lead_time_days]]&lt;=7,"0-7 days",N639&lt;=14,"8-14 days",N639&lt;=30,"15-30 days",N639&lt;=60,"31-60 days",TRUE,"61+ days")</f>
        <v>0-7 days</v>
      </c>
      <c r="P639" t="s">
        <v>80</v>
      </c>
      <c r="Q639" t="s">
        <v>32</v>
      </c>
      <c r="R639">
        <v>0</v>
      </c>
      <c r="S639" t="str">
        <f>IF(Table1[prior_dna_count]&gt;=1,"Has prior DNA history","No prior DNA history")</f>
        <v>No prior DNA history</v>
      </c>
      <c r="T639" t="s">
        <v>22</v>
      </c>
      <c r="U639" t="str">
        <f t="shared" si="9"/>
        <v>1</v>
      </c>
      <c r="V639" t="str">
        <f>IF(Table1[appointment_status]="Attended","1","0")</f>
        <v>1</v>
      </c>
      <c r="W639" t="str">
        <f>IF(Table1[appointment_status]="Cancelled","1","0")</f>
        <v>0</v>
      </c>
    </row>
    <row r="640" spans="1:23">
      <c r="A640" t="s">
        <v>1212</v>
      </c>
      <c r="B640" t="s">
        <v>1213</v>
      </c>
      <c r="C640">
        <v>55</v>
      </c>
      <c r="D640" t="str" cm="1">
        <f t="array" ref="D640">_xlfn.IFS(Table1[[#This Row],[age]]&lt;=17,"0-17",C640&lt;=29,"18-29",C640&lt;=44,"30-44",C640&lt;=59,"45-59",C640&lt;=74,"60-74",TRUE,"75+")</f>
        <v>45-59</v>
      </c>
      <c r="E640" t="s">
        <v>29</v>
      </c>
      <c r="F640">
        <v>7</v>
      </c>
      <c r="G640" t="str" cm="1">
        <f t="array" ref="G640">_xlfn.IFS(_xlfn.SINGLE(Table1[imd_decile])&lt;=3,"Most Deprived",F640&lt;=7,"Moderately Deprived",F640&lt;=10,"Least Deprived")</f>
        <v>Moderately Deprived</v>
      </c>
      <c r="H640">
        <v>11.8</v>
      </c>
      <c r="I640" t="s">
        <v>155</v>
      </c>
      <c r="J640" t="s">
        <v>26</v>
      </c>
      <c r="K640" s="1">
        <v>45740</v>
      </c>
      <c r="L640" s="1">
        <v>45771</v>
      </c>
      <c r="M640" s="1" t="str">
        <f>TEXT(Table1[[#This Row],[appointment_date]],"MM/YYYY")</f>
        <v>04/2025</v>
      </c>
      <c r="N640">
        <v>31</v>
      </c>
      <c r="O640" t="str" cm="1">
        <f t="array" ref="O640">_xlfn.IFS(Table1[[#This Row],[lead_time_days]]&lt;=7,"0-7 days",N640&lt;=14,"8-14 days",N640&lt;=30,"15-30 days",N640&lt;=60,"31-60 days",TRUE,"61+ days")</f>
        <v>31-60 days</v>
      </c>
      <c r="P640" t="s">
        <v>20</v>
      </c>
      <c r="Q640" t="s">
        <v>21</v>
      </c>
      <c r="R640">
        <v>0</v>
      </c>
      <c r="S640" t="str">
        <f>IF(Table1[prior_dna_count]&gt;=1,"Has prior DNA history","No prior DNA history")</f>
        <v>No prior DNA history</v>
      </c>
      <c r="T640" t="s">
        <v>22</v>
      </c>
      <c r="U640" t="str">
        <f t="shared" si="9"/>
        <v>1</v>
      </c>
      <c r="V640" t="str">
        <f>IF(Table1[appointment_status]="Attended","1","0")</f>
        <v>1</v>
      </c>
      <c r="W640" t="str">
        <f>IF(Table1[appointment_status]="Cancelled","1","0")</f>
        <v>0</v>
      </c>
    </row>
    <row r="641" spans="1:23">
      <c r="A641" t="s">
        <v>1214</v>
      </c>
      <c r="B641" t="s">
        <v>989</v>
      </c>
      <c r="C641">
        <v>63</v>
      </c>
      <c r="D641" t="str" cm="1">
        <f t="array" ref="D641">_xlfn.IFS(Table1[[#This Row],[age]]&lt;=17,"0-17",C641&lt;=29,"18-29",C641&lt;=44,"30-44",C641&lt;=59,"45-59",C641&lt;=74,"60-74",TRUE,"75+")</f>
        <v>60-74</v>
      </c>
      <c r="E641" t="s">
        <v>29</v>
      </c>
      <c r="F641">
        <v>10</v>
      </c>
      <c r="G641" t="str" cm="1">
        <f t="array" ref="G641">_xlfn.IFS(_xlfn.SINGLE(Table1[imd_decile])&lt;=3,"Most Deprived",F641&lt;=7,"Moderately Deprived",F641&lt;=10,"Least Deprived")</f>
        <v>Least Deprived</v>
      </c>
      <c r="H641">
        <v>2.2999999999999998</v>
      </c>
      <c r="I641" t="s">
        <v>42</v>
      </c>
      <c r="J641" t="s">
        <v>26</v>
      </c>
      <c r="K641" s="1">
        <v>45760</v>
      </c>
      <c r="L641" s="1">
        <v>45771</v>
      </c>
      <c r="M641" s="1" t="str">
        <f>TEXT(Table1[[#This Row],[appointment_date]],"MM/YYYY")</f>
        <v>04/2025</v>
      </c>
      <c r="N641">
        <v>11</v>
      </c>
      <c r="O641" t="str" cm="1">
        <f t="array" ref="O641">_xlfn.IFS(Table1[[#This Row],[lead_time_days]]&lt;=7,"0-7 days",N641&lt;=14,"8-14 days",N641&lt;=30,"15-30 days",N641&lt;=60,"31-60 days",TRUE,"61+ days")</f>
        <v>8-14 days</v>
      </c>
      <c r="P641" t="s">
        <v>20</v>
      </c>
      <c r="Q641" t="s">
        <v>21</v>
      </c>
      <c r="R641">
        <v>0</v>
      </c>
      <c r="S641" t="str">
        <f>IF(Table1[prior_dna_count]&gt;=1,"Has prior DNA history","No prior DNA history")</f>
        <v>No prior DNA history</v>
      </c>
      <c r="T641" t="s">
        <v>22</v>
      </c>
      <c r="U641" t="str">
        <f t="shared" si="9"/>
        <v>1</v>
      </c>
      <c r="V641" t="str">
        <f>IF(Table1[appointment_status]="Attended","1","0")</f>
        <v>1</v>
      </c>
      <c r="W641" t="str">
        <f>IF(Table1[appointment_status]="Cancelled","1","0")</f>
        <v>0</v>
      </c>
    </row>
    <row r="642" spans="1:23">
      <c r="A642" t="s">
        <v>1215</v>
      </c>
      <c r="B642" t="s">
        <v>1216</v>
      </c>
      <c r="C642">
        <v>38</v>
      </c>
      <c r="D642" t="str" cm="1">
        <f t="array" ref="D642">_xlfn.IFS(Table1[[#This Row],[age]]&lt;=17,"0-17",C642&lt;=29,"18-29",C642&lt;=44,"30-44",C642&lt;=59,"45-59",C642&lt;=74,"60-74",TRUE,"75+")</f>
        <v>30-44</v>
      </c>
      <c r="E642" t="s">
        <v>17</v>
      </c>
      <c r="F642">
        <v>2</v>
      </c>
      <c r="G642" t="str" cm="1">
        <f t="array" ref="G642">_xlfn.IFS(_xlfn.SINGLE(Table1[imd_decile])&lt;=3,"Most Deprived",F642&lt;=7,"Moderately Deprived",F642&lt;=10,"Least Deprived")</f>
        <v>Most Deprived</v>
      </c>
      <c r="H642">
        <v>11.1</v>
      </c>
      <c r="I642" t="s">
        <v>49</v>
      </c>
      <c r="J642" t="s">
        <v>19</v>
      </c>
      <c r="K642" s="1">
        <v>45729</v>
      </c>
      <c r="L642" s="1">
        <v>45771</v>
      </c>
      <c r="M642" s="1" t="str">
        <f>TEXT(Table1[[#This Row],[appointment_date]],"MM/YYYY")</f>
        <v>04/2025</v>
      </c>
      <c r="N642">
        <v>42</v>
      </c>
      <c r="O642" t="str" cm="1">
        <f t="array" ref="O642">_xlfn.IFS(Table1[[#This Row],[lead_time_days]]&lt;=7,"0-7 days",N642&lt;=14,"8-14 days",N642&lt;=30,"15-30 days",N642&lt;=60,"31-60 days",TRUE,"61+ days")</f>
        <v>31-60 days</v>
      </c>
      <c r="P642" t="s">
        <v>20</v>
      </c>
      <c r="Q642" t="s">
        <v>21</v>
      </c>
      <c r="R642">
        <v>0</v>
      </c>
      <c r="S642" t="str">
        <f>IF(Table1[prior_dna_count]&gt;=1,"Has prior DNA history","No prior DNA history")</f>
        <v>No prior DNA history</v>
      </c>
      <c r="T642" t="s">
        <v>46</v>
      </c>
      <c r="U642" t="str">
        <f t="shared" ref="U642:U705" si="10">V641</f>
        <v>1</v>
      </c>
      <c r="V642" t="str">
        <f>IF(Table1[appointment_status]="Attended","1","0")</f>
        <v>0</v>
      </c>
      <c r="W642" t="str">
        <f>IF(Table1[appointment_status]="Cancelled","1","0")</f>
        <v>1</v>
      </c>
    </row>
    <row r="643" spans="1:23">
      <c r="A643" t="s">
        <v>1217</v>
      </c>
      <c r="B643" t="s">
        <v>1218</v>
      </c>
      <c r="C643">
        <v>51</v>
      </c>
      <c r="D643" t="str" cm="1">
        <f t="array" ref="D643">_xlfn.IFS(Table1[[#This Row],[age]]&lt;=17,"0-17",C643&lt;=29,"18-29",C643&lt;=44,"30-44",C643&lt;=59,"45-59",C643&lt;=74,"60-74",TRUE,"75+")</f>
        <v>45-59</v>
      </c>
      <c r="E643" t="s">
        <v>17</v>
      </c>
      <c r="F643">
        <v>10</v>
      </c>
      <c r="G643" t="str" cm="1">
        <f t="array" ref="G643">_xlfn.IFS(_xlfn.SINGLE(Table1[imd_decile])&lt;=3,"Most Deprived",F643&lt;=7,"Moderately Deprived",F643&lt;=10,"Least Deprived")</f>
        <v>Least Deprived</v>
      </c>
      <c r="H643">
        <v>23.2</v>
      </c>
      <c r="I643" t="s">
        <v>25</v>
      </c>
      <c r="J643" t="s">
        <v>19</v>
      </c>
      <c r="K643" s="1">
        <v>45740</v>
      </c>
      <c r="L643" s="1">
        <v>45771</v>
      </c>
      <c r="M643" s="1" t="str">
        <f>TEXT(Table1[[#This Row],[appointment_date]],"MM/YYYY")</f>
        <v>04/2025</v>
      </c>
      <c r="N643">
        <v>31</v>
      </c>
      <c r="O643" t="str" cm="1">
        <f t="array" ref="O643">_xlfn.IFS(Table1[[#This Row],[lead_time_days]]&lt;=7,"0-7 days",N643&lt;=14,"8-14 days",N643&lt;=30,"15-30 days",N643&lt;=60,"31-60 days",TRUE,"61+ days")</f>
        <v>31-60 days</v>
      </c>
      <c r="P643" t="s">
        <v>20</v>
      </c>
      <c r="Q643" t="s">
        <v>32</v>
      </c>
      <c r="R643">
        <v>0</v>
      </c>
      <c r="S643" t="str">
        <f>IF(Table1[prior_dna_count]&gt;=1,"Has prior DNA history","No prior DNA history")</f>
        <v>No prior DNA history</v>
      </c>
      <c r="T643" t="s">
        <v>22</v>
      </c>
      <c r="U643" t="str">
        <f t="shared" si="10"/>
        <v>0</v>
      </c>
      <c r="V643" t="str">
        <f>IF(Table1[appointment_status]="Attended","1","0")</f>
        <v>1</v>
      </c>
      <c r="W643" t="str">
        <f>IF(Table1[appointment_status]="Cancelled","1","0")</f>
        <v>0</v>
      </c>
    </row>
    <row r="644" spans="1:23">
      <c r="A644" t="s">
        <v>1219</v>
      </c>
      <c r="B644" t="s">
        <v>1220</v>
      </c>
      <c r="C644">
        <v>54</v>
      </c>
      <c r="D644" t="str" cm="1">
        <f t="array" ref="D644">_xlfn.IFS(Table1[[#This Row],[age]]&lt;=17,"0-17",C644&lt;=29,"18-29",C644&lt;=44,"30-44",C644&lt;=59,"45-59",C644&lt;=74,"60-74",TRUE,"75+")</f>
        <v>45-59</v>
      </c>
      <c r="E644" t="s">
        <v>17</v>
      </c>
      <c r="F644">
        <v>9</v>
      </c>
      <c r="G644" t="str" cm="1">
        <f t="array" ref="G644">_xlfn.IFS(_xlfn.SINGLE(Table1[imd_decile])&lt;=3,"Most Deprived",F644&lt;=7,"Moderately Deprived",F644&lt;=10,"Least Deprived")</f>
        <v>Least Deprived</v>
      </c>
      <c r="H644">
        <v>30.2</v>
      </c>
      <c r="I644" t="s">
        <v>30</v>
      </c>
      <c r="J644" t="s">
        <v>26</v>
      </c>
      <c r="K644" s="1">
        <v>45764</v>
      </c>
      <c r="L644" s="1">
        <v>45771</v>
      </c>
      <c r="M644" s="1" t="str">
        <f>TEXT(Table1[[#This Row],[appointment_date]],"MM/YYYY")</f>
        <v>04/2025</v>
      </c>
      <c r="N644">
        <v>7</v>
      </c>
      <c r="O644" t="str" cm="1">
        <f t="array" ref="O644">_xlfn.IFS(Table1[[#This Row],[lead_time_days]]&lt;=7,"0-7 days",N644&lt;=14,"8-14 days",N644&lt;=30,"15-30 days",N644&lt;=60,"31-60 days",TRUE,"61+ days")</f>
        <v>0-7 days</v>
      </c>
      <c r="P644" t="s">
        <v>20</v>
      </c>
      <c r="Q644" t="s">
        <v>21</v>
      </c>
      <c r="R644">
        <v>0</v>
      </c>
      <c r="S644" t="str">
        <f>IF(Table1[prior_dna_count]&gt;=1,"Has prior DNA history","No prior DNA history")</f>
        <v>No prior DNA history</v>
      </c>
      <c r="T644" t="s">
        <v>22</v>
      </c>
      <c r="U644" t="str">
        <f t="shared" si="10"/>
        <v>1</v>
      </c>
      <c r="V644" t="str">
        <f>IF(Table1[appointment_status]="Attended","1","0")</f>
        <v>1</v>
      </c>
      <c r="W644" t="str">
        <f>IF(Table1[appointment_status]="Cancelled","1","0")</f>
        <v>0</v>
      </c>
    </row>
    <row r="645" spans="1:23">
      <c r="A645" t="s">
        <v>1221</v>
      </c>
      <c r="B645" t="s">
        <v>51</v>
      </c>
      <c r="C645">
        <v>17</v>
      </c>
      <c r="D645" t="str" cm="1">
        <f t="array" ref="D645">_xlfn.IFS(Table1[[#This Row],[age]]&lt;=17,"0-17",C645&lt;=29,"18-29",C645&lt;=44,"30-44",C645&lt;=59,"45-59",C645&lt;=74,"60-74",TRUE,"75+")</f>
        <v>0-17</v>
      </c>
      <c r="E645" t="s">
        <v>29</v>
      </c>
      <c r="F645">
        <v>6</v>
      </c>
      <c r="G645" t="str" cm="1">
        <f t="array" ref="G645">_xlfn.IFS(_xlfn.SINGLE(Table1[imd_decile])&lt;=3,"Most Deprived",F645&lt;=7,"Moderately Deprived",F645&lt;=10,"Least Deprived")</f>
        <v>Moderately Deprived</v>
      </c>
      <c r="H645">
        <v>17.7</v>
      </c>
      <c r="I645" t="s">
        <v>58</v>
      </c>
      <c r="J645" t="s">
        <v>26</v>
      </c>
      <c r="K645" s="1">
        <v>45666</v>
      </c>
      <c r="L645" s="1">
        <v>45771</v>
      </c>
      <c r="M645" s="1" t="str">
        <f>TEXT(Table1[[#This Row],[appointment_date]],"MM/YYYY")</f>
        <v>04/2025</v>
      </c>
      <c r="N645">
        <v>105</v>
      </c>
      <c r="O645" t="str" cm="1">
        <f t="array" ref="O645">_xlfn.IFS(Table1[[#This Row],[lead_time_days]]&lt;=7,"0-7 days",N645&lt;=14,"8-14 days",N645&lt;=30,"15-30 days",N645&lt;=60,"31-60 days",TRUE,"61+ days")</f>
        <v>61+ days</v>
      </c>
      <c r="P645" t="s">
        <v>20</v>
      </c>
      <c r="Q645" t="s">
        <v>21</v>
      </c>
      <c r="R645">
        <v>0</v>
      </c>
      <c r="S645" t="str">
        <f>IF(Table1[prior_dna_count]&gt;=1,"Has prior DNA history","No prior DNA history")</f>
        <v>No prior DNA history</v>
      </c>
      <c r="T645" t="s">
        <v>22</v>
      </c>
      <c r="U645" t="str">
        <f t="shared" si="10"/>
        <v>1</v>
      </c>
      <c r="V645" t="str">
        <f>IF(Table1[appointment_status]="Attended","1","0")</f>
        <v>1</v>
      </c>
      <c r="W645" t="str">
        <f>IF(Table1[appointment_status]="Cancelled","1","0")</f>
        <v>0</v>
      </c>
    </row>
    <row r="646" spans="1:23">
      <c r="A646" t="s">
        <v>1222</v>
      </c>
      <c r="B646" t="s">
        <v>1223</v>
      </c>
      <c r="C646">
        <v>38</v>
      </c>
      <c r="D646" t="str" cm="1">
        <f t="array" ref="D646">_xlfn.IFS(Table1[[#This Row],[age]]&lt;=17,"0-17",C646&lt;=29,"18-29",C646&lt;=44,"30-44",C646&lt;=59,"45-59",C646&lt;=74,"60-74",TRUE,"75+")</f>
        <v>30-44</v>
      </c>
      <c r="E646" t="s">
        <v>17</v>
      </c>
      <c r="F646">
        <v>5</v>
      </c>
      <c r="G646" t="str" cm="1">
        <f t="array" ref="G646">_xlfn.IFS(_xlfn.SINGLE(Table1[imd_decile])&lt;=3,"Most Deprived",F646&lt;=7,"Moderately Deprived",F646&lt;=10,"Least Deprived")</f>
        <v>Moderately Deprived</v>
      </c>
      <c r="H646">
        <v>7.4</v>
      </c>
      <c r="I646" t="s">
        <v>18</v>
      </c>
      <c r="J646" t="s">
        <v>19</v>
      </c>
      <c r="K646" s="1">
        <v>45755</v>
      </c>
      <c r="L646" s="1">
        <v>45771</v>
      </c>
      <c r="M646" s="1" t="str">
        <f>TEXT(Table1[[#This Row],[appointment_date]],"MM/YYYY")</f>
        <v>04/2025</v>
      </c>
      <c r="N646">
        <v>16</v>
      </c>
      <c r="O646" t="str" cm="1">
        <f t="array" ref="O646">_xlfn.IFS(Table1[[#This Row],[lead_time_days]]&lt;=7,"0-7 days",N646&lt;=14,"8-14 days",N646&lt;=30,"15-30 days",N646&lt;=60,"31-60 days",TRUE,"61+ days")</f>
        <v>15-30 days</v>
      </c>
      <c r="P646" t="s">
        <v>20</v>
      </c>
      <c r="Q646" t="s">
        <v>21</v>
      </c>
      <c r="R646">
        <v>0</v>
      </c>
      <c r="S646" t="str">
        <f>IF(Table1[prior_dna_count]&gt;=1,"Has prior DNA history","No prior DNA history")</f>
        <v>No prior DNA history</v>
      </c>
      <c r="T646" t="s">
        <v>22</v>
      </c>
      <c r="U646" t="str">
        <f t="shared" si="10"/>
        <v>1</v>
      </c>
      <c r="V646" t="str">
        <f>IF(Table1[appointment_status]="Attended","1","0")</f>
        <v>1</v>
      </c>
      <c r="W646" t="str">
        <f>IF(Table1[appointment_status]="Cancelled","1","0")</f>
        <v>0</v>
      </c>
    </row>
    <row r="647" spans="1:23">
      <c r="A647" t="s">
        <v>1224</v>
      </c>
      <c r="B647" t="s">
        <v>1225</v>
      </c>
      <c r="C647">
        <v>15</v>
      </c>
      <c r="D647" t="str" cm="1">
        <f t="array" ref="D647">_xlfn.IFS(Table1[[#This Row],[age]]&lt;=17,"0-17",C647&lt;=29,"18-29",C647&lt;=44,"30-44",C647&lt;=59,"45-59",C647&lt;=74,"60-74",TRUE,"75+")</f>
        <v>0-17</v>
      </c>
      <c r="E647" t="s">
        <v>17</v>
      </c>
      <c r="F647">
        <v>4</v>
      </c>
      <c r="G647" t="str" cm="1">
        <f t="array" ref="G647">_xlfn.IFS(_xlfn.SINGLE(Table1[imd_decile])&lt;=3,"Most Deprived",F647&lt;=7,"Moderately Deprived",F647&lt;=10,"Least Deprived")</f>
        <v>Moderately Deprived</v>
      </c>
      <c r="H647">
        <v>9.6</v>
      </c>
      <c r="I647" t="s">
        <v>18</v>
      </c>
      <c r="J647" t="s">
        <v>26</v>
      </c>
      <c r="K647" s="1">
        <v>45761</v>
      </c>
      <c r="L647" s="1">
        <v>45771</v>
      </c>
      <c r="M647" s="1" t="str">
        <f>TEXT(Table1[[#This Row],[appointment_date]],"MM/YYYY")</f>
        <v>04/2025</v>
      </c>
      <c r="N647">
        <v>10</v>
      </c>
      <c r="O647" t="str" cm="1">
        <f t="array" ref="O647">_xlfn.IFS(Table1[[#This Row],[lead_time_days]]&lt;=7,"0-7 days",N647&lt;=14,"8-14 days",N647&lt;=30,"15-30 days",N647&lt;=60,"31-60 days",TRUE,"61+ days")</f>
        <v>8-14 days</v>
      </c>
      <c r="P647" t="s">
        <v>20</v>
      </c>
      <c r="Q647" t="s">
        <v>21</v>
      </c>
      <c r="R647">
        <v>0</v>
      </c>
      <c r="S647" t="str">
        <f>IF(Table1[prior_dna_count]&gt;=1,"Has prior DNA history","No prior DNA history")</f>
        <v>No prior DNA history</v>
      </c>
      <c r="T647" t="s">
        <v>22</v>
      </c>
      <c r="U647" t="str">
        <f t="shared" si="10"/>
        <v>1</v>
      </c>
      <c r="V647" t="str">
        <f>IF(Table1[appointment_status]="Attended","1","0")</f>
        <v>1</v>
      </c>
      <c r="W647" t="str">
        <f>IF(Table1[appointment_status]="Cancelled","1","0")</f>
        <v>0</v>
      </c>
    </row>
    <row r="648" spans="1:23">
      <c r="A648" t="s">
        <v>1226</v>
      </c>
      <c r="B648" t="s">
        <v>1227</v>
      </c>
      <c r="C648">
        <v>61</v>
      </c>
      <c r="D648" t="str" cm="1">
        <f t="array" ref="D648">_xlfn.IFS(Table1[[#This Row],[age]]&lt;=17,"0-17",C648&lt;=29,"18-29",C648&lt;=44,"30-44",C648&lt;=59,"45-59",C648&lt;=74,"60-74",TRUE,"75+")</f>
        <v>60-74</v>
      </c>
      <c r="E648" t="s">
        <v>29</v>
      </c>
      <c r="F648">
        <v>6</v>
      </c>
      <c r="G648" t="str" cm="1">
        <f t="array" ref="G648">_xlfn.IFS(_xlfn.SINGLE(Table1[imd_decile])&lt;=3,"Most Deprived",F648&lt;=7,"Moderately Deprived",F648&lt;=10,"Least Deprived")</f>
        <v>Moderately Deprived</v>
      </c>
      <c r="H648">
        <v>6.8</v>
      </c>
      <c r="I648" t="s">
        <v>58</v>
      </c>
      <c r="J648" t="s">
        <v>19</v>
      </c>
      <c r="K648" s="1">
        <v>45720</v>
      </c>
      <c r="L648" s="1">
        <v>45771</v>
      </c>
      <c r="M648" s="1" t="str">
        <f>TEXT(Table1[[#This Row],[appointment_date]],"MM/YYYY")</f>
        <v>04/2025</v>
      </c>
      <c r="N648">
        <v>51</v>
      </c>
      <c r="O648" t="str" cm="1">
        <f t="array" ref="O648">_xlfn.IFS(Table1[[#This Row],[lead_time_days]]&lt;=7,"0-7 days",N648&lt;=14,"8-14 days",N648&lt;=30,"15-30 days",N648&lt;=60,"31-60 days",TRUE,"61+ days")</f>
        <v>31-60 days</v>
      </c>
      <c r="P648" t="s">
        <v>20</v>
      </c>
      <c r="Q648" t="s">
        <v>21</v>
      </c>
      <c r="R648">
        <v>0</v>
      </c>
      <c r="S648" t="str">
        <f>IF(Table1[prior_dna_count]&gt;=1,"Has prior DNA history","No prior DNA history")</f>
        <v>No prior DNA history</v>
      </c>
      <c r="T648" t="s">
        <v>22</v>
      </c>
      <c r="U648" t="str">
        <f t="shared" si="10"/>
        <v>1</v>
      </c>
      <c r="V648" t="str">
        <f>IF(Table1[appointment_status]="Attended","1","0")</f>
        <v>1</v>
      </c>
      <c r="W648" t="str">
        <f>IF(Table1[appointment_status]="Cancelled","1","0")</f>
        <v>0</v>
      </c>
    </row>
    <row r="649" spans="1:23">
      <c r="A649" t="s">
        <v>1228</v>
      </c>
      <c r="B649" t="s">
        <v>1229</v>
      </c>
      <c r="C649">
        <v>39</v>
      </c>
      <c r="D649" t="str" cm="1">
        <f t="array" ref="D649">_xlfn.IFS(Table1[[#This Row],[age]]&lt;=17,"0-17",C649&lt;=29,"18-29",C649&lt;=44,"30-44",C649&lt;=59,"45-59",C649&lt;=74,"60-74",TRUE,"75+")</f>
        <v>30-44</v>
      </c>
      <c r="E649" t="s">
        <v>17</v>
      </c>
      <c r="F649">
        <v>8</v>
      </c>
      <c r="G649" t="str" cm="1">
        <f t="array" ref="G649">_xlfn.IFS(_xlfn.SINGLE(Table1[imd_decile])&lt;=3,"Most Deprived",F649&lt;=7,"Moderately Deprived",F649&lt;=10,"Least Deprived")</f>
        <v>Least Deprived</v>
      </c>
      <c r="H649">
        <v>14.2</v>
      </c>
      <c r="I649" t="s">
        <v>30</v>
      </c>
      <c r="J649" t="s">
        <v>19</v>
      </c>
      <c r="K649" s="1">
        <v>45698</v>
      </c>
      <c r="L649" s="1">
        <v>45771</v>
      </c>
      <c r="M649" s="1" t="str">
        <f>TEXT(Table1[[#This Row],[appointment_date]],"MM/YYYY")</f>
        <v>04/2025</v>
      </c>
      <c r="N649">
        <v>73</v>
      </c>
      <c r="O649" t="str" cm="1">
        <f t="array" ref="O649">_xlfn.IFS(Table1[[#This Row],[lead_time_days]]&lt;=7,"0-7 days",N649&lt;=14,"8-14 days",N649&lt;=30,"15-30 days",N649&lt;=60,"31-60 days",TRUE,"61+ days")</f>
        <v>61+ days</v>
      </c>
      <c r="P649" t="s">
        <v>20</v>
      </c>
      <c r="Q649" t="s">
        <v>21</v>
      </c>
      <c r="R649">
        <v>0</v>
      </c>
      <c r="S649" t="str">
        <f>IF(Table1[prior_dna_count]&gt;=1,"Has prior DNA history","No prior DNA history")</f>
        <v>No prior DNA history</v>
      </c>
      <c r="T649" t="s">
        <v>22</v>
      </c>
      <c r="U649" t="str">
        <f t="shared" si="10"/>
        <v>1</v>
      </c>
      <c r="V649" t="str">
        <f>IF(Table1[appointment_status]="Attended","1","0")</f>
        <v>1</v>
      </c>
      <c r="W649" t="str">
        <f>IF(Table1[appointment_status]="Cancelled","1","0")</f>
        <v>0</v>
      </c>
    </row>
    <row r="650" spans="1:23">
      <c r="A650" t="s">
        <v>1230</v>
      </c>
      <c r="B650" t="s">
        <v>1231</v>
      </c>
      <c r="C650">
        <v>50</v>
      </c>
      <c r="D650" t="str" cm="1">
        <f t="array" ref="D650">_xlfn.IFS(Table1[[#This Row],[age]]&lt;=17,"0-17",C650&lt;=29,"18-29",C650&lt;=44,"30-44",C650&lt;=59,"45-59",C650&lt;=74,"60-74",TRUE,"75+")</f>
        <v>45-59</v>
      </c>
      <c r="E650" t="s">
        <v>17</v>
      </c>
      <c r="F650">
        <v>5</v>
      </c>
      <c r="G650" t="str" cm="1">
        <f t="array" ref="G650">_xlfn.IFS(_xlfn.SINGLE(Table1[imd_decile])&lt;=3,"Most Deprived",F650&lt;=7,"Moderately Deprived",F650&lt;=10,"Least Deprived")</f>
        <v>Moderately Deprived</v>
      </c>
      <c r="H650">
        <v>9.9</v>
      </c>
      <c r="I650" t="s">
        <v>155</v>
      </c>
      <c r="J650" t="s">
        <v>19</v>
      </c>
      <c r="K650" s="1">
        <v>45760</v>
      </c>
      <c r="L650" s="1">
        <v>45772</v>
      </c>
      <c r="M650" s="1" t="str">
        <f>TEXT(Table1[[#This Row],[appointment_date]],"MM/YYYY")</f>
        <v>04/2025</v>
      </c>
      <c r="N650">
        <v>12</v>
      </c>
      <c r="O650" t="str" cm="1">
        <f t="array" ref="O650">_xlfn.IFS(Table1[[#This Row],[lead_time_days]]&lt;=7,"0-7 days",N650&lt;=14,"8-14 days",N650&lt;=30,"15-30 days",N650&lt;=60,"31-60 days",TRUE,"61+ days")</f>
        <v>8-14 days</v>
      </c>
      <c r="P650" t="s">
        <v>52</v>
      </c>
      <c r="Q650" t="s">
        <v>21</v>
      </c>
      <c r="R650">
        <v>0</v>
      </c>
      <c r="S650" t="str">
        <f>IF(Table1[prior_dna_count]&gt;=1,"Has prior DNA history","No prior DNA history")</f>
        <v>No prior DNA history</v>
      </c>
      <c r="T650" t="s">
        <v>22</v>
      </c>
      <c r="U650" t="str">
        <f t="shared" si="10"/>
        <v>1</v>
      </c>
      <c r="V650" t="str">
        <f>IF(Table1[appointment_status]="Attended","1","0")</f>
        <v>1</v>
      </c>
      <c r="W650" t="str">
        <f>IF(Table1[appointment_status]="Cancelled","1","0")</f>
        <v>0</v>
      </c>
    </row>
    <row r="651" spans="1:23">
      <c r="A651" t="s">
        <v>1232</v>
      </c>
      <c r="B651" t="s">
        <v>752</v>
      </c>
      <c r="C651">
        <v>68</v>
      </c>
      <c r="D651" t="str" cm="1">
        <f t="array" ref="D651">_xlfn.IFS(Table1[[#This Row],[age]]&lt;=17,"0-17",C651&lt;=29,"18-29",C651&lt;=44,"30-44",C651&lt;=59,"45-59",C651&lt;=74,"60-74",TRUE,"75+")</f>
        <v>60-74</v>
      </c>
      <c r="E651" t="s">
        <v>17</v>
      </c>
      <c r="F651">
        <v>5</v>
      </c>
      <c r="G651" t="str" cm="1">
        <f t="array" ref="G651">_xlfn.IFS(_xlfn.SINGLE(Table1[imd_decile])&lt;=3,"Most Deprived",F651&lt;=7,"Moderately Deprived",F651&lt;=10,"Least Deprived")</f>
        <v>Moderately Deprived</v>
      </c>
      <c r="H651">
        <v>6.4</v>
      </c>
      <c r="I651" t="s">
        <v>42</v>
      </c>
      <c r="J651" t="s">
        <v>19</v>
      </c>
      <c r="K651" s="1">
        <v>45755</v>
      </c>
      <c r="L651" s="1">
        <v>45772</v>
      </c>
      <c r="M651" s="1" t="str">
        <f>TEXT(Table1[[#This Row],[appointment_date]],"MM/YYYY")</f>
        <v>04/2025</v>
      </c>
      <c r="N651">
        <v>17</v>
      </c>
      <c r="O651" t="str" cm="1">
        <f t="array" ref="O651">_xlfn.IFS(Table1[[#This Row],[lead_time_days]]&lt;=7,"0-7 days",N651&lt;=14,"8-14 days",N651&lt;=30,"15-30 days",N651&lt;=60,"31-60 days",TRUE,"61+ days")</f>
        <v>15-30 days</v>
      </c>
      <c r="P651" t="s">
        <v>52</v>
      </c>
      <c r="Q651" t="s">
        <v>32</v>
      </c>
      <c r="R651">
        <v>0</v>
      </c>
      <c r="S651" t="str">
        <f>IF(Table1[prior_dna_count]&gt;=1,"Has prior DNA history","No prior DNA history")</f>
        <v>No prior DNA history</v>
      </c>
      <c r="T651" t="s">
        <v>22</v>
      </c>
      <c r="U651" t="str">
        <f t="shared" si="10"/>
        <v>1</v>
      </c>
      <c r="V651" t="str">
        <f>IF(Table1[appointment_status]="Attended","1","0")</f>
        <v>1</v>
      </c>
      <c r="W651" t="str">
        <f>IF(Table1[appointment_status]="Cancelled","1","0")</f>
        <v>0</v>
      </c>
    </row>
    <row r="652" spans="1:23">
      <c r="A652" t="s">
        <v>1233</v>
      </c>
      <c r="B652" t="s">
        <v>41</v>
      </c>
      <c r="C652">
        <v>52</v>
      </c>
      <c r="D652" t="str" cm="1">
        <f t="array" ref="D652">_xlfn.IFS(Table1[[#This Row],[age]]&lt;=17,"0-17",C652&lt;=29,"18-29",C652&lt;=44,"30-44",C652&lt;=59,"45-59",C652&lt;=74,"60-74",TRUE,"75+")</f>
        <v>45-59</v>
      </c>
      <c r="E652" t="s">
        <v>29</v>
      </c>
      <c r="F652">
        <v>8</v>
      </c>
      <c r="G652" t="str" cm="1">
        <f t="array" ref="G652">_xlfn.IFS(_xlfn.SINGLE(Table1[imd_decile])&lt;=3,"Most Deprived",F652&lt;=7,"Moderately Deprived",F652&lt;=10,"Least Deprived")</f>
        <v>Least Deprived</v>
      </c>
      <c r="H652">
        <v>3.9</v>
      </c>
      <c r="I652" t="s">
        <v>30</v>
      </c>
      <c r="J652" t="s">
        <v>26</v>
      </c>
      <c r="K652" s="1">
        <v>45758</v>
      </c>
      <c r="L652" s="1">
        <v>45772</v>
      </c>
      <c r="M652" s="1" t="str">
        <f>TEXT(Table1[[#This Row],[appointment_date]],"MM/YYYY")</f>
        <v>04/2025</v>
      </c>
      <c r="N652">
        <v>14</v>
      </c>
      <c r="O652" t="str" cm="1">
        <f t="array" ref="O652">_xlfn.IFS(Table1[[#This Row],[lead_time_days]]&lt;=7,"0-7 days",N652&lt;=14,"8-14 days",N652&lt;=30,"15-30 days",N652&lt;=60,"31-60 days",TRUE,"61+ days")</f>
        <v>8-14 days</v>
      </c>
      <c r="P652" t="s">
        <v>52</v>
      </c>
      <c r="Q652" t="s">
        <v>21</v>
      </c>
      <c r="R652">
        <v>0</v>
      </c>
      <c r="S652" t="str">
        <f>IF(Table1[prior_dna_count]&gt;=1,"Has prior DNA history","No prior DNA history")</f>
        <v>No prior DNA history</v>
      </c>
      <c r="T652" t="s">
        <v>22</v>
      </c>
      <c r="U652" t="str">
        <f t="shared" si="10"/>
        <v>1</v>
      </c>
      <c r="V652" t="str">
        <f>IF(Table1[appointment_status]="Attended","1","0")</f>
        <v>1</v>
      </c>
      <c r="W652" t="str">
        <f>IF(Table1[appointment_status]="Cancelled","1","0")</f>
        <v>0</v>
      </c>
    </row>
    <row r="653" spans="1:23">
      <c r="A653" t="s">
        <v>1234</v>
      </c>
      <c r="B653" t="s">
        <v>1235</v>
      </c>
      <c r="C653">
        <v>56</v>
      </c>
      <c r="D653" t="str" cm="1">
        <f t="array" ref="D653">_xlfn.IFS(Table1[[#This Row],[age]]&lt;=17,"0-17",C653&lt;=29,"18-29",C653&lt;=44,"30-44",C653&lt;=59,"45-59",C653&lt;=74,"60-74",TRUE,"75+")</f>
        <v>45-59</v>
      </c>
      <c r="E653" t="s">
        <v>29</v>
      </c>
      <c r="F653">
        <v>6</v>
      </c>
      <c r="G653" t="str" cm="1">
        <f t="array" ref="G653">_xlfn.IFS(_xlfn.SINGLE(Table1[imd_decile])&lt;=3,"Most Deprived",F653&lt;=7,"Moderately Deprived",F653&lt;=10,"Least Deprived")</f>
        <v>Moderately Deprived</v>
      </c>
      <c r="H653">
        <v>3.2</v>
      </c>
      <c r="I653" t="s">
        <v>58</v>
      </c>
      <c r="J653" t="s">
        <v>19</v>
      </c>
      <c r="K653" s="1">
        <v>45747</v>
      </c>
      <c r="L653" s="1">
        <v>45772</v>
      </c>
      <c r="M653" s="1" t="str">
        <f>TEXT(Table1[[#This Row],[appointment_date]],"MM/YYYY")</f>
        <v>04/2025</v>
      </c>
      <c r="N653">
        <v>25</v>
      </c>
      <c r="O653" t="str" cm="1">
        <f t="array" ref="O653">_xlfn.IFS(Table1[[#This Row],[lead_time_days]]&lt;=7,"0-7 days",N653&lt;=14,"8-14 days",N653&lt;=30,"15-30 days",N653&lt;=60,"31-60 days",TRUE,"61+ days")</f>
        <v>15-30 days</v>
      </c>
      <c r="P653" t="s">
        <v>52</v>
      </c>
      <c r="Q653" t="s">
        <v>21</v>
      </c>
      <c r="R653">
        <v>0</v>
      </c>
      <c r="S653" t="str">
        <f>IF(Table1[prior_dna_count]&gt;=1,"Has prior DNA history","No prior DNA history")</f>
        <v>No prior DNA history</v>
      </c>
      <c r="T653" t="s">
        <v>22</v>
      </c>
      <c r="U653" t="str">
        <f t="shared" si="10"/>
        <v>1</v>
      </c>
      <c r="V653" t="str">
        <f>IF(Table1[appointment_status]="Attended","1","0")</f>
        <v>1</v>
      </c>
      <c r="W653" t="str">
        <f>IF(Table1[appointment_status]="Cancelled","1","0")</f>
        <v>0</v>
      </c>
    </row>
    <row r="654" spans="1:23">
      <c r="A654" t="s">
        <v>1236</v>
      </c>
      <c r="B654" t="s">
        <v>1237</v>
      </c>
      <c r="C654">
        <v>18</v>
      </c>
      <c r="D654" t="str" cm="1">
        <f t="array" ref="D654">_xlfn.IFS(Table1[[#This Row],[age]]&lt;=17,"0-17",C654&lt;=29,"18-29",C654&lt;=44,"30-44",C654&lt;=59,"45-59",C654&lt;=74,"60-74",TRUE,"75+")</f>
        <v>18-29</v>
      </c>
      <c r="E654" t="s">
        <v>17</v>
      </c>
      <c r="F654">
        <v>5</v>
      </c>
      <c r="G654" t="str" cm="1">
        <f t="array" ref="G654">_xlfn.IFS(_xlfn.SINGLE(Table1[imd_decile])&lt;=3,"Most Deprived",F654&lt;=7,"Moderately Deprived",F654&lt;=10,"Least Deprived")</f>
        <v>Moderately Deprived</v>
      </c>
      <c r="H654">
        <v>3.7</v>
      </c>
      <c r="I654" t="s">
        <v>25</v>
      </c>
      <c r="J654" t="s">
        <v>19</v>
      </c>
      <c r="K654" s="1">
        <v>45750</v>
      </c>
      <c r="L654" s="1">
        <v>45772</v>
      </c>
      <c r="M654" s="1" t="str">
        <f>TEXT(Table1[[#This Row],[appointment_date]],"MM/YYYY")</f>
        <v>04/2025</v>
      </c>
      <c r="N654">
        <v>22</v>
      </c>
      <c r="O654" t="str" cm="1">
        <f t="array" ref="O654">_xlfn.IFS(Table1[[#This Row],[lead_time_days]]&lt;=7,"0-7 days",N654&lt;=14,"8-14 days",N654&lt;=30,"15-30 days",N654&lt;=60,"31-60 days",TRUE,"61+ days")</f>
        <v>15-30 days</v>
      </c>
      <c r="P654" t="s">
        <v>52</v>
      </c>
      <c r="Q654" t="s">
        <v>21</v>
      </c>
      <c r="R654">
        <v>0</v>
      </c>
      <c r="S654" t="str">
        <f>IF(Table1[prior_dna_count]&gt;=1,"Has prior DNA history","No prior DNA history")</f>
        <v>No prior DNA history</v>
      </c>
      <c r="T654" t="s">
        <v>22</v>
      </c>
      <c r="U654" t="str">
        <f t="shared" si="10"/>
        <v>1</v>
      </c>
      <c r="V654" t="str">
        <f>IF(Table1[appointment_status]="Attended","1","0")</f>
        <v>1</v>
      </c>
      <c r="W654" t="str">
        <f>IF(Table1[appointment_status]="Cancelled","1","0")</f>
        <v>0</v>
      </c>
    </row>
    <row r="655" spans="1:23">
      <c r="A655" t="s">
        <v>1238</v>
      </c>
      <c r="B655" t="s">
        <v>930</v>
      </c>
      <c r="C655">
        <v>60</v>
      </c>
      <c r="D655" t="str" cm="1">
        <f t="array" ref="D655">_xlfn.IFS(Table1[[#This Row],[age]]&lt;=17,"0-17",C655&lt;=29,"18-29",C655&lt;=44,"30-44",C655&lt;=59,"45-59",C655&lt;=74,"60-74",TRUE,"75+")</f>
        <v>60-74</v>
      </c>
      <c r="E655" t="s">
        <v>29</v>
      </c>
      <c r="F655">
        <v>7</v>
      </c>
      <c r="G655" t="str" cm="1">
        <f t="array" ref="G655">_xlfn.IFS(_xlfn.SINGLE(Table1[imd_decile])&lt;=3,"Most Deprived",F655&lt;=7,"Moderately Deprived",F655&lt;=10,"Least Deprived")</f>
        <v>Moderately Deprived</v>
      </c>
      <c r="H655">
        <v>4.5999999999999996</v>
      </c>
      <c r="I655" t="s">
        <v>58</v>
      </c>
      <c r="J655" t="s">
        <v>26</v>
      </c>
      <c r="K655" s="1">
        <v>45763</v>
      </c>
      <c r="L655" s="1">
        <v>45772</v>
      </c>
      <c r="M655" s="1" t="str">
        <f>TEXT(Table1[[#This Row],[appointment_date]],"MM/YYYY")</f>
        <v>04/2025</v>
      </c>
      <c r="N655">
        <v>9</v>
      </c>
      <c r="O655" t="str" cm="1">
        <f t="array" ref="O655">_xlfn.IFS(Table1[[#This Row],[lead_time_days]]&lt;=7,"0-7 days",N655&lt;=14,"8-14 days",N655&lt;=30,"15-30 days",N655&lt;=60,"31-60 days",TRUE,"61+ days")</f>
        <v>8-14 days</v>
      </c>
      <c r="P655" t="s">
        <v>52</v>
      </c>
      <c r="Q655" t="s">
        <v>21</v>
      </c>
      <c r="R655">
        <v>0</v>
      </c>
      <c r="S655" t="str">
        <f>IF(Table1[prior_dna_count]&gt;=1,"Has prior DNA history","No prior DNA history")</f>
        <v>No prior DNA history</v>
      </c>
      <c r="T655" t="s">
        <v>22</v>
      </c>
      <c r="U655" t="str">
        <f t="shared" si="10"/>
        <v>1</v>
      </c>
      <c r="V655" t="str">
        <f>IF(Table1[appointment_status]="Attended","1","0")</f>
        <v>1</v>
      </c>
      <c r="W655" t="str">
        <f>IF(Table1[appointment_status]="Cancelled","1","0")</f>
        <v>0</v>
      </c>
    </row>
    <row r="656" spans="1:23">
      <c r="A656" t="s">
        <v>1239</v>
      </c>
      <c r="B656" t="s">
        <v>1240</v>
      </c>
      <c r="C656">
        <v>57</v>
      </c>
      <c r="D656" t="str" cm="1">
        <f t="array" ref="D656">_xlfn.IFS(Table1[[#This Row],[age]]&lt;=17,"0-17",C656&lt;=29,"18-29",C656&lt;=44,"30-44",C656&lt;=59,"45-59",C656&lt;=74,"60-74",TRUE,"75+")</f>
        <v>45-59</v>
      </c>
      <c r="E656" t="s">
        <v>29</v>
      </c>
      <c r="F656">
        <v>1</v>
      </c>
      <c r="G656" t="str" cm="1">
        <f t="array" ref="G656">_xlfn.IFS(_xlfn.SINGLE(Table1[imd_decile])&lt;=3,"Most Deprived",F656&lt;=7,"Moderately Deprived",F656&lt;=10,"Least Deprived")</f>
        <v>Most Deprived</v>
      </c>
      <c r="H656">
        <v>14</v>
      </c>
      <c r="I656" t="s">
        <v>18</v>
      </c>
      <c r="J656" t="s">
        <v>26</v>
      </c>
      <c r="K656" s="1">
        <v>45750</v>
      </c>
      <c r="L656" s="1">
        <v>45773</v>
      </c>
      <c r="M656" s="1" t="str">
        <f>TEXT(Table1[[#This Row],[appointment_date]],"MM/YYYY")</f>
        <v>04/2025</v>
      </c>
      <c r="N656">
        <v>23</v>
      </c>
      <c r="O656" t="str" cm="1">
        <f t="array" ref="O656">_xlfn.IFS(Table1[[#This Row],[lead_time_days]]&lt;=7,"0-7 days",N656&lt;=14,"8-14 days",N656&lt;=30,"15-30 days",N656&lt;=60,"31-60 days",TRUE,"61+ days")</f>
        <v>15-30 days</v>
      </c>
      <c r="P656" t="s">
        <v>55</v>
      </c>
      <c r="Q656" t="s">
        <v>32</v>
      </c>
      <c r="R656">
        <v>0</v>
      </c>
      <c r="S656" t="str">
        <f>IF(Table1[prior_dna_count]&gt;=1,"Has prior DNA history","No prior DNA history")</f>
        <v>No prior DNA history</v>
      </c>
      <c r="T656" t="s">
        <v>46</v>
      </c>
      <c r="U656" t="str">
        <f t="shared" si="10"/>
        <v>1</v>
      </c>
      <c r="V656" t="str">
        <f>IF(Table1[appointment_status]="Attended","1","0")</f>
        <v>0</v>
      </c>
      <c r="W656" t="str">
        <f>IF(Table1[appointment_status]="Cancelled","1","0")</f>
        <v>1</v>
      </c>
    </row>
    <row r="657" spans="1:23">
      <c r="A657" t="s">
        <v>1241</v>
      </c>
      <c r="B657" t="s">
        <v>1242</v>
      </c>
      <c r="C657">
        <v>76</v>
      </c>
      <c r="D657" t="str" cm="1">
        <f t="array" ref="D657">_xlfn.IFS(Table1[[#This Row],[age]]&lt;=17,"0-17",C657&lt;=29,"18-29",C657&lt;=44,"30-44",C657&lt;=59,"45-59",C657&lt;=74,"60-74",TRUE,"75+")</f>
        <v>75+</v>
      </c>
      <c r="E657" t="s">
        <v>29</v>
      </c>
      <c r="F657">
        <v>4</v>
      </c>
      <c r="G657" t="str" cm="1">
        <f t="array" ref="G657">_xlfn.IFS(_xlfn.SINGLE(Table1[imd_decile])&lt;=3,"Most Deprived",F657&lt;=7,"Moderately Deprived",F657&lt;=10,"Least Deprived")</f>
        <v>Moderately Deprived</v>
      </c>
      <c r="H657">
        <v>10.3</v>
      </c>
      <c r="I657" t="s">
        <v>42</v>
      </c>
      <c r="J657" t="s">
        <v>19</v>
      </c>
      <c r="K657" s="1">
        <v>45730</v>
      </c>
      <c r="L657" s="1">
        <v>45773</v>
      </c>
      <c r="M657" s="1" t="str">
        <f>TEXT(Table1[[#This Row],[appointment_date]],"MM/YYYY")</f>
        <v>04/2025</v>
      </c>
      <c r="N657">
        <v>43</v>
      </c>
      <c r="O657" t="str" cm="1">
        <f t="array" ref="O657">_xlfn.IFS(Table1[[#This Row],[lead_time_days]]&lt;=7,"0-7 days",N657&lt;=14,"8-14 days",N657&lt;=30,"15-30 days",N657&lt;=60,"31-60 days",TRUE,"61+ days")</f>
        <v>31-60 days</v>
      </c>
      <c r="P657" t="s">
        <v>55</v>
      </c>
      <c r="Q657" t="s">
        <v>32</v>
      </c>
      <c r="R657">
        <v>1</v>
      </c>
      <c r="S657" t="str">
        <f>IF(Table1[prior_dna_count]&gt;=1,"Has prior DNA history","No prior DNA history")</f>
        <v>Has prior DNA history</v>
      </c>
      <c r="T657" t="s">
        <v>22</v>
      </c>
      <c r="U657" t="str">
        <f t="shared" si="10"/>
        <v>0</v>
      </c>
      <c r="V657" t="str">
        <f>IF(Table1[appointment_status]="Attended","1","0")</f>
        <v>1</v>
      </c>
      <c r="W657" t="str">
        <f>IF(Table1[appointment_status]="Cancelled","1","0")</f>
        <v>0</v>
      </c>
    </row>
    <row r="658" spans="1:23">
      <c r="A658" t="s">
        <v>1243</v>
      </c>
      <c r="B658" t="s">
        <v>1213</v>
      </c>
      <c r="C658">
        <v>55</v>
      </c>
      <c r="D658" t="str" cm="1">
        <f t="array" ref="D658">_xlfn.IFS(Table1[[#This Row],[age]]&lt;=17,"0-17",C658&lt;=29,"18-29",C658&lt;=44,"30-44",C658&lt;=59,"45-59",C658&lt;=74,"60-74",TRUE,"75+")</f>
        <v>45-59</v>
      </c>
      <c r="E658" t="s">
        <v>29</v>
      </c>
      <c r="F658">
        <v>7</v>
      </c>
      <c r="G658" t="str" cm="1">
        <f t="array" ref="G658">_xlfn.IFS(_xlfn.SINGLE(Table1[imd_decile])&lt;=3,"Most Deprived",F658&lt;=7,"Moderately Deprived",F658&lt;=10,"Least Deprived")</f>
        <v>Moderately Deprived</v>
      </c>
      <c r="H658">
        <v>11.8</v>
      </c>
      <c r="I658" t="s">
        <v>30</v>
      </c>
      <c r="J658" t="s">
        <v>19</v>
      </c>
      <c r="K658" s="1">
        <v>45738</v>
      </c>
      <c r="L658" s="1">
        <v>45773</v>
      </c>
      <c r="M658" s="1" t="str">
        <f>TEXT(Table1[[#This Row],[appointment_date]],"MM/YYYY")</f>
        <v>04/2025</v>
      </c>
      <c r="N658">
        <v>35</v>
      </c>
      <c r="O658" t="str" cm="1">
        <f t="array" ref="O658">_xlfn.IFS(Table1[[#This Row],[lead_time_days]]&lt;=7,"0-7 days",N658&lt;=14,"8-14 days",N658&lt;=30,"15-30 days",N658&lt;=60,"31-60 days",TRUE,"61+ days")</f>
        <v>31-60 days</v>
      </c>
      <c r="P658" t="s">
        <v>55</v>
      </c>
      <c r="Q658" t="s">
        <v>21</v>
      </c>
      <c r="R658">
        <v>0</v>
      </c>
      <c r="S658" t="str">
        <f>IF(Table1[prior_dna_count]&gt;=1,"Has prior DNA history","No prior DNA history")</f>
        <v>No prior DNA history</v>
      </c>
      <c r="T658" t="s">
        <v>22</v>
      </c>
      <c r="U658" t="str">
        <f t="shared" si="10"/>
        <v>1</v>
      </c>
      <c r="V658" t="str">
        <f>IF(Table1[appointment_status]="Attended","1","0")</f>
        <v>1</v>
      </c>
      <c r="W658" t="str">
        <f>IF(Table1[appointment_status]="Cancelled","1","0")</f>
        <v>0</v>
      </c>
    </row>
    <row r="659" spans="1:23">
      <c r="A659" t="s">
        <v>1244</v>
      </c>
      <c r="B659" t="s">
        <v>1245</v>
      </c>
      <c r="C659">
        <v>54</v>
      </c>
      <c r="D659" t="str" cm="1">
        <f t="array" ref="D659">_xlfn.IFS(Table1[[#This Row],[age]]&lt;=17,"0-17",C659&lt;=29,"18-29",C659&lt;=44,"30-44",C659&lt;=59,"45-59",C659&lt;=74,"60-74",TRUE,"75+")</f>
        <v>45-59</v>
      </c>
      <c r="E659" t="s">
        <v>17</v>
      </c>
      <c r="F659">
        <v>3</v>
      </c>
      <c r="G659" t="str" cm="1">
        <f t="array" ref="G659">_xlfn.IFS(_xlfn.SINGLE(Table1[imd_decile])&lt;=3,"Most Deprived",F659&lt;=7,"Moderately Deprived",F659&lt;=10,"Least Deprived")</f>
        <v>Most Deprived</v>
      </c>
      <c r="H659">
        <v>3.2</v>
      </c>
      <c r="I659" t="s">
        <v>45</v>
      </c>
      <c r="J659" t="s">
        <v>19</v>
      </c>
      <c r="K659" s="1">
        <v>45685</v>
      </c>
      <c r="L659" s="1">
        <v>45773</v>
      </c>
      <c r="M659" s="1" t="str">
        <f>TEXT(Table1[[#This Row],[appointment_date]],"MM/YYYY")</f>
        <v>04/2025</v>
      </c>
      <c r="N659">
        <v>88</v>
      </c>
      <c r="O659" t="str" cm="1">
        <f t="array" ref="O659">_xlfn.IFS(Table1[[#This Row],[lead_time_days]]&lt;=7,"0-7 days",N659&lt;=14,"8-14 days",N659&lt;=30,"15-30 days",N659&lt;=60,"31-60 days",TRUE,"61+ days")</f>
        <v>61+ days</v>
      </c>
      <c r="P659" t="s">
        <v>55</v>
      </c>
      <c r="Q659" t="s">
        <v>21</v>
      </c>
      <c r="R659">
        <v>0</v>
      </c>
      <c r="S659" t="str">
        <f>IF(Table1[prior_dna_count]&gt;=1,"Has prior DNA history","No prior DNA history")</f>
        <v>No prior DNA history</v>
      </c>
      <c r="T659" t="s">
        <v>39</v>
      </c>
      <c r="U659" t="str">
        <f t="shared" si="10"/>
        <v>1</v>
      </c>
      <c r="V659" t="str">
        <f>IF(Table1[appointment_status]="Attended","1","0")</f>
        <v>0</v>
      </c>
      <c r="W659" t="str">
        <f>IF(Table1[appointment_status]="Cancelled","1","0")</f>
        <v>0</v>
      </c>
    </row>
    <row r="660" spans="1:23">
      <c r="A660" t="s">
        <v>1246</v>
      </c>
      <c r="B660" t="s">
        <v>183</v>
      </c>
      <c r="C660">
        <v>36</v>
      </c>
      <c r="D660" t="str" cm="1">
        <f t="array" ref="D660">_xlfn.IFS(Table1[[#This Row],[age]]&lt;=17,"0-17",C660&lt;=29,"18-29",C660&lt;=44,"30-44",C660&lt;=59,"45-59",C660&lt;=74,"60-74",TRUE,"75+")</f>
        <v>30-44</v>
      </c>
      <c r="E660" t="s">
        <v>17</v>
      </c>
      <c r="F660">
        <v>7</v>
      </c>
      <c r="G660" t="str" cm="1">
        <f t="array" ref="G660">_xlfn.IFS(_xlfn.SINGLE(Table1[imd_decile])&lt;=3,"Most Deprived",F660&lt;=7,"Moderately Deprived",F660&lt;=10,"Least Deprived")</f>
        <v>Moderately Deprived</v>
      </c>
      <c r="H660">
        <v>9.1999999999999993</v>
      </c>
      <c r="I660" t="s">
        <v>155</v>
      </c>
      <c r="J660" t="s">
        <v>19</v>
      </c>
      <c r="K660" s="1">
        <v>45740</v>
      </c>
      <c r="L660" s="1">
        <v>45773</v>
      </c>
      <c r="M660" s="1" t="str">
        <f>TEXT(Table1[[#This Row],[appointment_date]],"MM/YYYY")</f>
        <v>04/2025</v>
      </c>
      <c r="N660">
        <v>33</v>
      </c>
      <c r="O660" t="str" cm="1">
        <f t="array" ref="O660">_xlfn.IFS(Table1[[#This Row],[lead_time_days]]&lt;=7,"0-7 days",N660&lt;=14,"8-14 days",N660&lt;=30,"15-30 days",N660&lt;=60,"31-60 days",TRUE,"61+ days")</f>
        <v>31-60 days</v>
      </c>
      <c r="P660" t="s">
        <v>55</v>
      </c>
      <c r="Q660" t="s">
        <v>21</v>
      </c>
      <c r="R660">
        <v>0</v>
      </c>
      <c r="S660" t="str">
        <f>IF(Table1[prior_dna_count]&gt;=1,"Has prior DNA history","No prior DNA history")</f>
        <v>No prior DNA history</v>
      </c>
      <c r="T660" t="s">
        <v>22</v>
      </c>
      <c r="U660" t="str">
        <f t="shared" si="10"/>
        <v>0</v>
      </c>
      <c r="V660" t="str">
        <f>IF(Table1[appointment_status]="Attended","1","0")</f>
        <v>1</v>
      </c>
      <c r="W660" t="str">
        <f>IF(Table1[appointment_status]="Cancelled","1","0")</f>
        <v>0</v>
      </c>
    </row>
    <row r="661" spans="1:23">
      <c r="A661" t="s">
        <v>1247</v>
      </c>
      <c r="B661" t="s">
        <v>498</v>
      </c>
      <c r="C661">
        <v>51</v>
      </c>
      <c r="D661" t="str" cm="1">
        <f t="array" ref="D661">_xlfn.IFS(Table1[[#This Row],[age]]&lt;=17,"0-17",C661&lt;=29,"18-29",C661&lt;=44,"30-44",C661&lt;=59,"45-59",C661&lt;=74,"60-74",TRUE,"75+")</f>
        <v>45-59</v>
      </c>
      <c r="E661" t="s">
        <v>17</v>
      </c>
      <c r="F661">
        <v>2</v>
      </c>
      <c r="G661" t="str" cm="1">
        <f t="array" ref="G661">_xlfn.IFS(_xlfn.SINGLE(Table1[imd_decile])&lt;=3,"Most Deprived",F661&lt;=7,"Moderately Deprived",F661&lt;=10,"Least Deprived")</f>
        <v>Most Deprived</v>
      </c>
      <c r="H661">
        <v>5.3</v>
      </c>
      <c r="I661" t="s">
        <v>38</v>
      </c>
      <c r="J661" t="s">
        <v>19</v>
      </c>
      <c r="K661" s="1">
        <v>45693</v>
      </c>
      <c r="L661" s="1">
        <v>45773</v>
      </c>
      <c r="M661" s="1" t="str">
        <f>TEXT(Table1[[#This Row],[appointment_date]],"MM/YYYY")</f>
        <v>04/2025</v>
      </c>
      <c r="N661">
        <v>80</v>
      </c>
      <c r="O661" t="str" cm="1">
        <f t="array" ref="O661">_xlfn.IFS(Table1[[#This Row],[lead_time_days]]&lt;=7,"0-7 days",N661&lt;=14,"8-14 days",N661&lt;=30,"15-30 days",N661&lt;=60,"31-60 days",TRUE,"61+ days")</f>
        <v>61+ days</v>
      </c>
      <c r="P661" t="s">
        <v>55</v>
      </c>
      <c r="Q661" t="s">
        <v>21</v>
      </c>
      <c r="R661">
        <v>0</v>
      </c>
      <c r="S661" t="str">
        <f>IF(Table1[prior_dna_count]&gt;=1,"Has prior DNA history","No prior DNA history")</f>
        <v>No prior DNA history</v>
      </c>
      <c r="T661" t="s">
        <v>22</v>
      </c>
      <c r="U661" t="str">
        <f t="shared" si="10"/>
        <v>1</v>
      </c>
      <c r="V661" t="str">
        <f>IF(Table1[appointment_status]="Attended","1","0")</f>
        <v>1</v>
      </c>
      <c r="W661" t="str">
        <f>IF(Table1[appointment_status]="Cancelled","1","0")</f>
        <v>0</v>
      </c>
    </row>
    <row r="662" spans="1:23">
      <c r="A662" t="s">
        <v>1248</v>
      </c>
      <c r="B662" t="s">
        <v>1249</v>
      </c>
      <c r="C662">
        <v>52</v>
      </c>
      <c r="D662" t="str" cm="1">
        <f t="array" ref="D662">_xlfn.IFS(Table1[[#This Row],[age]]&lt;=17,"0-17",C662&lt;=29,"18-29",C662&lt;=44,"30-44",C662&lt;=59,"45-59",C662&lt;=74,"60-74",TRUE,"75+")</f>
        <v>45-59</v>
      </c>
      <c r="E662" t="s">
        <v>29</v>
      </c>
      <c r="F662">
        <v>10</v>
      </c>
      <c r="G662" t="str" cm="1">
        <f t="array" ref="G662">_xlfn.IFS(_xlfn.SINGLE(Table1[imd_decile])&lt;=3,"Most Deprived",F662&lt;=7,"Moderately Deprived",F662&lt;=10,"Least Deprived")</f>
        <v>Least Deprived</v>
      </c>
      <c r="H662">
        <v>7.7</v>
      </c>
      <c r="I662" t="s">
        <v>18</v>
      </c>
      <c r="J662" t="s">
        <v>19</v>
      </c>
      <c r="K662" s="1">
        <v>45758</v>
      </c>
      <c r="L662" s="1">
        <v>45773</v>
      </c>
      <c r="M662" s="1" t="str">
        <f>TEXT(Table1[[#This Row],[appointment_date]],"MM/YYYY")</f>
        <v>04/2025</v>
      </c>
      <c r="N662">
        <v>15</v>
      </c>
      <c r="O662" t="str" cm="1">
        <f t="array" ref="O662">_xlfn.IFS(Table1[[#This Row],[lead_time_days]]&lt;=7,"0-7 days",N662&lt;=14,"8-14 days",N662&lt;=30,"15-30 days",N662&lt;=60,"31-60 days",TRUE,"61+ days")</f>
        <v>15-30 days</v>
      </c>
      <c r="P662" t="s">
        <v>55</v>
      </c>
      <c r="Q662" t="s">
        <v>21</v>
      </c>
      <c r="R662">
        <v>0</v>
      </c>
      <c r="S662" t="str">
        <f>IF(Table1[prior_dna_count]&gt;=1,"Has prior DNA history","No prior DNA history")</f>
        <v>No prior DNA history</v>
      </c>
      <c r="T662" t="s">
        <v>22</v>
      </c>
      <c r="U662" t="str">
        <f t="shared" si="10"/>
        <v>1</v>
      </c>
      <c r="V662" t="str">
        <f>IF(Table1[appointment_status]="Attended","1","0")</f>
        <v>1</v>
      </c>
      <c r="W662" t="str">
        <f>IF(Table1[appointment_status]="Cancelled","1","0")</f>
        <v>0</v>
      </c>
    </row>
    <row r="663" spans="1:23">
      <c r="A663" t="s">
        <v>1250</v>
      </c>
      <c r="B663" t="s">
        <v>1251</v>
      </c>
      <c r="C663">
        <v>46</v>
      </c>
      <c r="D663" t="str" cm="1">
        <f t="array" ref="D663">_xlfn.IFS(Table1[[#This Row],[age]]&lt;=17,"0-17",C663&lt;=29,"18-29",C663&lt;=44,"30-44",C663&lt;=59,"45-59",C663&lt;=74,"60-74",TRUE,"75+")</f>
        <v>45-59</v>
      </c>
      <c r="E663" t="s">
        <v>29</v>
      </c>
      <c r="F663">
        <v>10</v>
      </c>
      <c r="G663" t="str" cm="1">
        <f t="array" ref="G663">_xlfn.IFS(_xlfn.SINGLE(Table1[imd_decile])&lt;=3,"Most Deprived",F663&lt;=7,"Moderately Deprived",F663&lt;=10,"Least Deprived")</f>
        <v>Least Deprived</v>
      </c>
      <c r="H663">
        <v>5.8</v>
      </c>
      <c r="I663" t="s">
        <v>38</v>
      </c>
      <c r="J663" t="s">
        <v>19</v>
      </c>
      <c r="K663" s="1">
        <v>45748</v>
      </c>
      <c r="L663" s="1">
        <v>45773</v>
      </c>
      <c r="M663" s="1" t="str">
        <f>TEXT(Table1[[#This Row],[appointment_date]],"MM/YYYY")</f>
        <v>04/2025</v>
      </c>
      <c r="N663">
        <v>25</v>
      </c>
      <c r="O663" t="str" cm="1">
        <f t="array" ref="O663">_xlfn.IFS(Table1[[#This Row],[lead_time_days]]&lt;=7,"0-7 days",N663&lt;=14,"8-14 days",N663&lt;=30,"15-30 days",N663&lt;=60,"31-60 days",TRUE,"61+ days")</f>
        <v>15-30 days</v>
      </c>
      <c r="P663" t="s">
        <v>55</v>
      </c>
      <c r="Q663" t="s">
        <v>21</v>
      </c>
      <c r="R663">
        <v>0</v>
      </c>
      <c r="S663" t="str">
        <f>IF(Table1[prior_dna_count]&gt;=1,"Has prior DNA history","No prior DNA history")</f>
        <v>No prior DNA history</v>
      </c>
      <c r="T663" t="s">
        <v>22</v>
      </c>
      <c r="U663" t="str">
        <f t="shared" si="10"/>
        <v>1</v>
      </c>
      <c r="V663" t="str">
        <f>IF(Table1[appointment_status]="Attended","1","0")</f>
        <v>1</v>
      </c>
      <c r="W663" t="str">
        <f>IF(Table1[appointment_status]="Cancelled","1","0")</f>
        <v>0</v>
      </c>
    </row>
    <row r="664" spans="1:23">
      <c r="A664" t="s">
        <v>1252</v>
      </c>
      <c r="B664" t="s">
        <v>1142</v>
      </c>
      <c r="C664">
        <v>59</v>
      </c>
      <c r="D664" t="str" cm="1">
        <f t="array" ref="D664">_xlfn.IFS(Table1[[#This Row],[age]]&lt;=17,"0-17",C664&lt;=29,"18-29",C664&lt;=44,"30-44",C664&lt;=59,"45-59",C664&lt;=74,"60-74",TRUE,"75+")</f>
        <v>45-59</v>
      </c>
      <c r="E664" t="s">
        <v>17</v>
      </c>
      <c r="F664">
        <v>3</v>
      </c>
      <c r="G664" t="str" cm="1">
        <f t="array" ref="G664">_xlfn.IFS(_xlfn.SINGLE(Table1[imd_decile])&lt;=3,"Most Deprived",F664&lt;=7,"Moderately Deprived",F664&lt;=10,"Least Deprived")</f>
        <v>Most Deprived</v>
      </c>
      <c r="H664">
        <v>20.7</v>
      </c>
      <c r="I664" t="s">
        <v>25</v>
      </c>
      <c r="J664" t="s">
        <v>19</v>
      </c>
      <c r="K664" s="1">
        <v>45753</v>
      </c>
      <c r="L664" s="1">
        <v>45774</v>
      </c>
      <c r="M664" s="1" t="str">
        <f>TEXT(Table1[[#This Row],[appointment_date]],"MM/YYYY")</f>
        <v>04/2025</v>
      </c>
      <c r="N664">
        <v>21</v>
      </c>
      <c r="O664" t="str" cm="1">
        <f t="array" ref="O664">_xlfn.IFS(Table1[[#This Row],[lead_time_days]]&lt;=7,"0-7 days",N664&lt;=14,"8-14 days",N664&lt;=30,"15-30 days",N664&lt;=60,"31-60 days",TRUE,"61+ days")</f>
        <v>15-30 days</v>
      </c>
      <c r="P664" t="s">
        <v>31</v>
      </c>
      <c r="Q664" t="s">
        <v>21</v>
      </c>
      <c r="R664">
        <v>0</v>
      </c>
      <c r="S664" t="str">
        <f>IF(Table1[prior_dna_count]&gt;=1,"Has prior DNA history","No prior DNA history")</f>
        <v>No prior DNA history</v>
      </c>
      <c r="T664" t="s">
        <v>22</v>
      </c>
      <c r="U664" t="str">
        <f t="shared" si="10"/>
        <v>1</v>
      </c>
      <c r="V664" t="str">
        <f>IF(Table1[appointment_status]="Attended","1","0")</f>
        <v>1</v>
      </c>
      <c r="W664" t="str">
        <f>IF(Table1[appointment_status]="Cancelled","1","0")</f>
        <v>0</v>
      </c>
    </row>
    <row r="665" spans="1:23">
      <c r="A665" t="s">
        <v>1253</v>
      </c>
      <c r="B665" t="s">
        <v>1254</v>
      </c>
      <c r="C665">
        <v>55</v>
      </c>
      <c r="D665" t="str" cm="1">
        <f t="array" ref="D665">_xlfn.IFS(Table1[[#This Row],[age]]&lt;=17,"0-17",C665&lt;=29,"18-29",C665&lt;=44,"30-44",C665&lt;=59,"45-59",C665&lt;=74,"60-74",TRUE,"75+")</f>
        <v>45-59</v>
      </c>
      <c r="E665" t="s">
        <v>17</v>
      </c>
      <c r="F665">
        <v>9</v>
      </c>
      <c r="G665" t="str" cm="1">
        <f t="array" ref="G665">_xlfn.IFS(_xlfn.SINGLE(Table1[imd_decile])&lt;=3,"Most Deprived",F665&lt;=7,"Moderately Deprived",F665&lt;=10,"Least Deprived")</f>
        <v>Least Deprived</v>
      </c>
      <c r="H665">
        <v>4.7</v>
      </c>
      <c r="I665" t="s">
        <v>42</v>
      </c>
      <c r="J665" t="s">
        <v>19</v>
      </c>
      <c r="K665" s="1">
        <v>45745</v>
      </c>
      <c r="L665" s="1">
        <v>45774</v>
      </c>
      <c r="M665" s="1" t="str">
        <f>TEXT(Table1[[#This Row],[appointment_date]],"MM/YYYY")</f>
        <v>04/2025</v>
      </c>
      <c r="N665">
        <v>29</v>
      </c>
      <c r="O665" t="str" cm="1">
        <f t="array" ref="O665">_xlfn.IFS(Table1[[#This Row],[lead_time_days]]&lt;=7,"0-7 days",N665&lt;=14,"8-14 days",N665&lt;=30,"15-30 days",N665&lt;=60,"31-60 days",TRUE,"61+ days")</f>
        <v>15-30 days</v>
      </c>
      <c r="P665" t="s">
        <v>31</v>
      </c>
      <c r="Q665" t="s">
        <v>21</v>
      </c>
      <c r="R665">
        <v>0</v>
      </c>
      <c r="S665" t="str">
        <f>IF(Table1[prior_dna_count]&gt;=1,"Has prior DNA history","No prior DNA history")</f>
        <v>No prior DNA history</v>
      </c>
      <c r="T665" t="s">
        <v>46</v>
      </c>
      <c r="U665" t="str">
        <f t="shared" si="10"/>
        <v>1</v>
      </c>
      <c r="V665" t="str">
        <f>IF(Table1[appointment_status]="Attended","1","0")</f>
        <v>0</v>
      </c>
      <c r="W665" t="str">
        <f>IF(Table1[appointment_status]="Cancelled","1","0")</f>
        <v>1</v>
      </c>
    </row>
    <row r="666" spans="1:23">
      <c r="A666" t="s">
        <v>1255</v>
      </c>
      <c r="B666" t="s">
        <v>1256</v>
      </c>
      <c r="C666">
        <v>79</v>
      </c>
      <c r="D666" t="str" cm="1">
        <f t="array" ref="D666">_xlfn.IFS(Table1[[#This Row],[age]]&lt;=17,"0-17",C666&lt;=29,"18-29",C666&lt;=44,"30-44",C666&lt;=59,"45-59",C666&lt;=74,"60-74",TRUE,"75+")</f>
        <v>75+</v>
      </c>
      <c r="E666" t="s">
        <v>29</v>
      </c>
      <c r="F666">
        <v>7</v>
      </c>
      <c r="G666" t="str" cm="1">
        <f t="array" ref="G666">_xlfn.IFS(_xlfn.SINGLE(Table1[imd_decile])&lt;=3,"Most Deprived",F666&lt;=7,"Moderately Deprived",F666&lt;=10,"Least Deprived")</f>
        <v>Moderately Deprived</v>
      </c>
      <c r="H666">
        <v>8.8000000000000007</v>
      </c>
      <c r="I666" t="s">
        <v>25</v>
      </c>
      <c r="J666" t="s">
        <v>19</v>
      </c>
      <c r="K666" s="1">
        <v>45740</v>
      </c>
      <c r="L666" s="1">
        <v>45774</v>
      </c>
      <c r="M666" s="1" t="str">
        <f>TEXT(Table1[[#This Row],[appointment_date]],"MM/YYYY")</f>
        <v>04/2025</v>
      </c>
      <c r="N666">
        <v>34</v>
      </c>
      <c r="O666" t="str" cm="1">
        <f t="array" ref="O666">_xlfn.IFS(Table1[[#This Row],[lead_time_days]]&lt;=7,"0-7 days",N666&lt;=14,"8-14 days",N666&lt;=30,"15-30 days",N666&lt;=60,"31-60 days",TRUE,"61+ days")</f>
        <v>31-60 days</v>
      </c>
      <c r="P666" t="s">
        <v>31</v>
      </c>
      <c r="Q666" t="s">
        <v>21</v>
      </c>
      <c r="R666">
        <v>0</v>
      </c>
      <c r="S666" t="str">
        <f>IF(Table1[prior_dna_count]&gt;=1,"Has prior DNA history","No prior DNA history")</f>
        <v>No prior DNA history</v>
      </c>
      <c r="T666" t="s">
        <v>22</v>
      </c>
      <c r="U666" t="str">
        <f t="shared" si="10"/>
        <v>0</v>
      </c>
      <c r="V666" t="str">
        <f>IF(Table1[appointment_status]="Attended","1","0")</f>
        <v>1</v>
      </c>
      <c r="W666" t="str">
        <f>IF(Table1[appointment_status]="Cancelled","1","0")</f>
        <v>0</v>
      </c>
    </row>
    <row r="667" spans="1:23">
      <c r="A667" t="s">
        <v>1257</v>
      </c>
      <c r="B667" t="s">
        <v>1258</v>
      </c>
      <c r="C667">
        <v>72</v>
      </c>
      <c r="D667" t="str" cm="1">
        <f t="array" ref="D667">_xlfn.IFS(Table1[[#This Row],[age]]&lt;=17,"0-17",C667&lt;=29,"18-29",C667&lt;=44,"30-44",C667&lt;=59,"45-59",C667&lt;=74,"60-74",TRUE,"75+")</f>
        <v>60-74</v>
      </c>
      <c r="E667" t="s">
        <v>17</v>
      </c>
      <c r="F667">
        <v>7</v>
      </c>
      <c r="G667" t="str" cm="1">
        <f t="array" ref="G667">_xlfn.IFS(_xlfn.SINGLE(Table1[imd_decile])&lt;=3,"Most Deprived",F667&lt;=7,"Moderately Deprived",F667&lt;=10,"Least Deprived")</f>
        <v>Moderately Deprived</v>
      </c>
      <c r="H667">
        <v>6.3</v>
      </c>
      <c r="I667" t="s">
        <v>42</v>
      </c>
      <c r="J667" t="s">
        <v>19</v>
      </c>
      <c r="K667" s="1">
        <v>45714</v>
      </c>
      <c r="L667" s="1">
        <v>45774</v>
      </c>
      <c r="M667" s="1" t="str">
        <f>TEXT(Table1[[#This Row],[appointment_date]],"MM/YYYY")</f>
        <v>04/2025</v>
      </c>
      <c r="N667">
        <v>60</v>
      </c>
      <c r="O667" t="str" cm="1">
        <f t="array" ref="O667">_xlfn.IFS(Table1[[#This Row],[lead_time_days]]&lt;=7,"0-7 days",N667&lt;=14,"8-14 days",N667&lt;=30,"15-30 days",N667&lt;=60,"31-60 days",TRUE,"61+ days")</f>
        <v>31-60 days</v>
      </c>
      <c r="P667" t="s">
        <v>31</v>
      </c>
      <c r="Q667" t="s">
        <v>21</v>
      </c>
      <c r="R667">
        <v>1</v>
      </c>
      <c r="S667" t="str">
        <f>IF(Table1[prior_dna_count]&gt;=1,"Has prior DNA history","No prior DNA history")</f>
        <v>Has prior DNA history</v>
      </c>
      <c r="T667" t="s">
        <v>22</v>
      </c>
      <c r="U667" t="str">
        <f t="shared" si="10"/>
        <v>1</v>
      </c>
      <c r="V667" t="str">
        <f>IF(Table1[appointment_status]="Attended","1","0")</f>
        <v>1</v>
      </c>
      <c r="W667" t="str">
        <f>IF(Table1[appointment_status]="Cancelled","1","0")</f>
        <v>0</v>
      </c>
    </row>
    <row r="668" spans="1:23">
      <c r="A668" t="s">
        <v>1259</v>
      </c>
      <c r="B668" t="s">
        <v>1260</v>
      </c>
      <c r="C668">
        <v>56</v>
      </c>
      <c r="D668" t="str" cm="1">
        <f t="array" ref="D668">_xlfn.IFS(Table1[[#This Row],[age]]&lt;=17,"0-17",C668&lt;=29,"18-29",C668&lt;=44,"30-44",C668&lt;=59,"45-59",C668&lt;=74,"60-74",TRUE,"75+")</f>
        <v>45-59</v>
      </c>
      <c r="E668" t="s">
        <v>29</v>
      </c>
      <c r="F668">
        <v>3</v>
      </c>
      <c r="G668" t="str" cm="1">
        <f t="array" ref="G668">_xlfn.IFS(_xlfn.SINGLE(Table1[imd_decile])&lt;=3,"Most Deprived",F668&lt;=7,"Moderately Deprived",F668&lt;=10,"Least Deprived")</f>
        <v>Most Deprived</v>
      </c>
      <c r="H668">
        <v>3.8</v>
      </c>
      <c r="I668" t="s">
        <v>42</v>
      </c>
      <c r="J668" t="s">
        <v>19</v>
      </c>
      <c r="K668" s="1">
        <v>45729</v>
      </c>
      <c r="L668" s="1">
        <v>45774</v>
      </c>
      <c r="M668" s="1" t="str">
        <f>TEXT(Table1[[#This Row],[appointment_date]],"MM/YYYY")</f>
        <v>04/2025</v>
      </c>
      <c r="N668">
        <v>45</v>
      </c>
      <c r="O668" t="str" cm="1">
        <f t="array" ref="O668">_xlfn.IFS(Table1[[#This Row],[lead_time_days]]&lt;=7,"0-7 days",N668&lt;=14,"8-14 days",N668&lt;=30,"15-30 days",N668&lt;=60,"31-60 days",TRUE,"61+ days")</f>
        <v>31-60 days</v>
      </c>
      <c r="P668" t="s">
        <v>31</v>
      </c>
      <c r="Q668" t="s">
        <v>21</v>
      </c>
      <c r="R668">
        <v>0</v>
      </c>
      <c r="S668" t="str">
        <f>IF(Table1[prior_dna_count]&gt;=1,"Has prior DNA history","No prior DNA history")</f>
        <v>No prior DNA history</v>
      </c>
      <c r="T668" t="s">
        <v>22</v>
      </c>
      <c r="U668" t="str">
        <f t="shared" si="10"/>
        <v>1</v>
      </c>
      <c r="V668" t="str">
        <f>IF(Table1[appointment_status]="Attended","1","0")</f>
        <v>1</v>
      </c>
      <c r="W668" t="str">
        <f>IF(Table1[appointment_status]="Cancelled","1","0")</f>
        <v>0</v>
      </c>
    </row>
    <row r="669" spans="1:23">
      <c r="A669" t="s">
        <v>1261</v>
      </c>
      <c r="B669" t="s">
        <v>1262</v>
      </c>
      <c r="C669">
        <v>45</v>
      </c>
      <c r="D669" t="str" cm="1">
        <f t="array" ref="D669">_xlfn.IFS(Table1[[#This Row],[age]]&lt;=17,"0-17",C669&lt;=29,"18-29",C669&lt;=44,"30-44",C669&lt;=59,"45-59",C669&lt;=74,"60-74",TRUE,"75+")</f>
        <v>45-59</v>
      </c>
      <c r="E669" t="s">
        <v>29</v>
      </c>
      <c r="F669">
        <v>2</v>
      </c>
      <c r="G669" t="str" cm="1">
        <f t="array" ref="G669">_xlfn.IFS(_xlfn.SINGLE(Table1[imd_decile])&lt;=3,"Most Deprived",F669&lt;=7,"Moderately Deprived",F669&lt;=10,"Least Deprived")</f>
        <v>Most Deprived</v>
      </c>
      <c r="H669">
        <v>5.5</v>
      </c>
      <c r="I669" t="s">
        <v>45</v>
      </c>
      <c r="J669" t="s">
        <v>19</v>
      </c>
      <c r="K669" s="1">
        <v>45765</v>
      </c>
      <c r="L669" s="1">
        <v>45774</v>
      </c>
      <c r="M669" s="1" t="str">
        <f>TEXT(Table1[[#This Row],[appointment_date]],"MM/YYYY")</f>
        <v>04/2025</v>
      </c>
      <c r="N669">
        <v>9</v>
      </c>
      <c r="O669" t="str" cm="1">
        <f t="array" ref="O669">_xlfn.IFS(Table1[[#This Row],[lead_time_days]]&lt;=7,"0-7 days",N669&lt;=14,"8-14 days",N669&lt;=30,"15-30 days",N669&lt;=60,"31-60 days",TRUE,"61+ days")</f>
        <v>8-14 days</v>
      </c>
      <c r="P669" t="s">
        <v>31</v>
      </c>
      <c r="Q669" t="s">
        <v>32</v>
      </c>
      <c r="R669">
        <v>0</v>
      </c>
      <c r="S669" t="str">
        <f>IF(Table1[prior_dna_count]&gt;=1,"Has prior DNA history","No prior DNA history")</f>
        <v>No prior DNA history</v>
      </c>
      <c r="T669" t="s">
        <v>22</v>
      </c>
      <c r="U669" t="str">
        <f t="shared" si="10"/>
        <v>1</v>
      </c>
      <c r="V669" t="str">
        <f>IF(Table1[appointment_status]="Attended","1","0")</f>
        <v>1</v>
      </c>
      <c r="W669" t="str">
        <f>IF(Table1[appointment_status]="Cancelled","1","0")</f>
        <v>0</v>
      </c>
    </row>
    <row r="670" spans="1:23">
      <c r="A670" t="s">
        <v>1263</v>
      </c>
      <c r="B670" t="s">
        <v>1264</v>
      </c>
      <c r="C670">
        <v>82</v>
      </c>
      <c r="D670" t="str" cm="1">
        <f t="array" ref="D670">_xlfn.IFS(Table1[[#This Row],[age]]&lt;=17,"0-17",C670&lt;=29,"18-29",C670&lt;=44,"30-44",C670&lt;=59,"45-59",C670&lt;=74,"60-74",TRUE,"75+")</f>
        <v>75+</v>
      </c>
      <c r="E670" t="s">
        <v>29</v>
      </c>
      <c r="F670">
        <v>8</v>
      </c>
      <c r="G670" t="str" cm="1">
        <f t="array" ref="G670">_xlfn.IFS(_xlfn.SINGLE(Table1[imd_decile])&lt;=3,"Most Deprived",F670&lt;=7,"Moderately Deprived",F670&lt;=10,"Least Deprived")</f>
        <v>Least Deprived</v>
      </c>
      <c r="H670">
        <v>11.6</v>
      </c>
      <c r="I670" t="s">
        <v>42</v>
      </c>
      <c r="J670" t="s">
        <v>19</v>
      </c>
      <c r="K670" s="1">
        <v>45748</v>
      </c>
      <c r="L670" s="1">
        <v>45774</v>
      </c>
      <c r="M670" s="1" t="str">
        <f>TEXT(Table1[[#This Row],[appointment_date]],"MM/YYYY")</f>
        <v>04/2025</v>
      </c>
      <c r="N670">
        <v>26</v>
      </c>
      <c r="O670" t="str" cm="1">
        <f t="array" ref="O670">_xlfn.IFS(Table1[[#This Row],[lead_time_days]]&lt;=7,"0-7 days",N670&lt;=14,"8-14 days",N670&lt;=30,"15-30 days",N670&lt;=60,"31-60 days",TRUE,"61+ days")</f>
        <v>15-30 days</v>
      </c>
      <c r="P670" t="s">
        <v>31</v>
      </c>
      <c r="Q670" t="s">
        <v>21</v>
      </c>
      <c r="R670">
        <v>0</v>
      </c>
      <c r="S670" t="str">
        <f>IF(Table1[prior_dna_count]&gt;=1,"Has prior DNA history","No prior DNA history")</f>
        <v>No prior DNA history</v>
      </c>
      <c r="T670" t="s">
        <v>22</v>
      </c>
      <c r="U670" t="str">
        <f t="shared" si="10"/>
        <v>1</v>
      </c>
      <c r="V670" t="str">
        <f>IF(Table1[appointment_status]="Attended","1","0")</f>
        <v>1</v>
      </c>
      <c r="W670" t="str">
        <f>IF(Table1[appointment_status]="Cancelled","1","0")</f>
        <v>0</v>
      </c>
    </row>
    <row r="671" spans="1:23">
      <c r="A671" t="s">
        <v>1265</v>
      </c>
      <c r="B671" t="s">
        <v>1266</v>
      </c>
      <c r="C671">
        <v>30</v>
      </c>
      <c r="D671" t="str" cm="1">
        <f t="array" ref="D671">_xlfn.IFS(Table1[[#This Row],[age]]&lt;=17,"0-17",C671&lt;=29,"18-29",C671&lt;=44,"30-44",C671&lt;=59,"45-59",C671&lt;=74,"60-74",TRUE,"75+")</f>
        <v>30-44</v>
      </c>
      <c r="E671" t="s">
        <v>17</v>
      </c>
      <c r="F671">
        <v>5</v>
      </c>
      <c r="G671" t="str" cm="1">
        <f t="array" ref="G671">_xlfn.IFS(_xlfn.SINGLE(Table1[imd_decile])&lt;=3,"Most Deprived",F671&lt;=7,"Moderately Deprived",F671&lt;=10,"Least Deprived")</f>
        <v>Moderately Deprived</v>
      </c>
      <c r="H671">
        <v>18</v>
      </c>
      <c r="I671" t="s">
        <v>58</v>
      </c>
      <c r="J671" t="s">
        <v>26</v>
      </c>
      <c r="K671" s="1">
        <v>45769</v>
      </c>
      <c r="L671" s="1">
        <v>45775</v>
      </c>
      <c r="M671" s="1" t="str">
        <f>TEXT(Table1[[#This Row],[appointment_date]],"MM/YYYY")</f>
        <v>04/2025</v>
      </c>
      <c r="N671">
        <v>6</v>
      </c>
      <c r="O671" t="str" cm="1">
        <f t="array" ref="O671">_xlfn.IFS(Table1[[#This Row],[lead_time_days]]&lt;=7,"0-7 days",N671&lt;=14,"8-14 days",N671&lt;=30,"15-30 days",N671&lt;=60,"31-60 days",TRUE,"61+ days")</f>
        <v>0-7 days</v>
      </c>
      <c r="P671" t="s">
        <v>35</v>
      </c>
      <c r="Q671" t="s">
        <v>21</v>
      </c>
      <c r="R671">
        <v>1</v>
      </c>
      <c r="S671" t="str">
        <f>IF(Table1[prior_dna_count]&gt;=1,"Has prior DNA history","No prior DNA history")</f>
        <v>Has prior DNA history</v>
      </c>
      <c r="T671" t="s">
        <v>22</v>
      </c>
      <c r="U671" t="str">
        <f t="shared" si="10"/>
        <v>1</v>
      </c>
      <c r="V671" t="str">
        <f>IF(Table1[appointment_status]="Attended","1","0")</f>
        <v>1</v>
      </c>
      <c r="W671" t="str">
        <f>IF(Table1[appointment_status]="Cancelled","1","0")</f>
        <v>0</v>
      </c>
    </row>
    <row r="672" spans="1:23">
      <c r="A672" t="s">
        <v>1267</v>
      </c>
      <c r="B672" t="s">
        <v>795</v>
      </c>
      <c r="C672">
        <v>52</v>
      </c>
      <c r="D672" t="str" cm="1">
        <f t="array" ref="D672">_xlfn.IFS(Table1[[#This Row],[age]]&lt;=17,"0-17",C672&lt;=29,"18-29",C672&lt;=44,"30-44",C672&lt;=59,"45-59",C672&lt;=74,"60-74",TRUE,"75+")</f>
        <v>45-59</v>
      </c>
      <c r="E672" t="s">
        <v>29</v>
      </c>
      <c r="F672">
        <v>10</v>
      </c>
      <c r="G672" t="str" cm="1">
        <f t="array" ref="G672">_xlfn.IFS(_xlfn.SINGLE(Table1[imd_decile])&lt;=3,"Most Deprived",F672&lt;=7,"Moderately Deprived",F672&lt;=10,"Least Deprived")</f>
        <v>Least Deprived</v>
      </c>
      <c r="H672">
        <v>6.7</v>
      </c>
      <c r="I672" t="s">
        <v>45</v>
      </c>
      <c r="J672" t="s">
        <v>19</v>
      </c>
      <c r="K672" s="1">
        <v>45712</v>
      </c>
      <c r="L672" s="1">
        <v>45775</v>
      </c>
      <c r="M672" s="1" t="str">
        <f>TEXT(Table1[[#This Row],[appointment_date]],"MM/YYYY")</f>
        <v>04/2025</v>
      </c>
      <c r="N672">
        <v>63</v>
      </c>
      <c r="O672" t="str" cm="1">
        <f t="array" ref="O672">_xlfn.IFS(Table1[[#This Row],[lead_time_days]]&lt;=7,"0-7 days",N672&lt;=14,"8-14 days",N672&lt;=30,"15-30 days",N672&lt;=60,"31-60 days",TRUE,"61+ days")</f>
        <v>61+ days</v>
      </c>
      <c r="P672" t="s">
        <v>35</v>
      </c>
      <c r="Q672" t="s">
        <v>32</v>
      </c>
      <c r="R672">
        <v>0</v>
      </c>
      <c r="S672" t="str">
        <f>IF(Table1[prior_dna_count]&gt;=1,"Has prior DNA history","No prior DNA history")</f>
        <v>No prior DNA history</v>
      </c>
      <c r="T672" t="s">
        <v>22</v>
      </c>
      <c r="U672" t="str">
        <f t="shared" si="10"/>
        <v>1</v>
      </c>
      <c r="V672" t="str">
        <f>IF(Table1[appointment_status]="Attended","1","0")</f>
        <v>1</v>
      </c>
      <c r="W672" t="str">
        <f>IF(Table1[appointment_status]="Cancelled","1","0")</f>
        <v>0</v>
      </c>
    </row>
    <row r="673" spans="1:23">
      <c r="A673" t="s">
        <v>1268</v>
      </c>
      <c r="B673" t="s">
        <v>1269</v>
      </c>
      <c r="C673">
        <v>72</v>
      </c>
      <c r="D673" t="str" cm="1">
        <f t="array" ref="D673">_xlfn.IFS(Table1[[#This Row],[age]]&lt;=17,"0-17",C673&lt;=29,"18-29",C673&lt;=44,"30-44",C673&lt;=59,"45-59",C673&lt;=74,"60-74",TRUE,"75+")</f>
        <v>60-74</v>
      </c>
      <c r="E673" t="s">
        <v>29</v>
      </c>
      <c r="F673">
        <v>1</v>
      </c>
      <c r="G673" t="str" cm="1">
        <f t="array" ref="G673">_xlfn.IFS(_xlfn.SINGLE(Table1[imd_decile])&lt;=3,"Most Deprived",F673&lt;=7,"Moderately Deprived",F673&lt;=10,"Least Deprived")</f>
        <v>Most Deprived</v>
      </c>
      <c r="H673">
        <v>3.7</v>
      </c>
      <c r="I673" t="s">
        <v>58</v>
      </c>
      <c r="J673" t="s">
        <v>19</v>
      </c>
      <c r="K673" s="1">
        <v>45732</v>
      </c>
      <c r="L673" s="1">
        <v>45775</v>
      </c>
      <c r="M673" s="1" t="str">
        <f>TEXT(Table1[[#This Row],[appointment_date]],"MM/YYYY")</f>
        <v>04/2025</v>
      </c>
      <c r="N673">
        <v>43</v>
      </c>
      <c r="O673" t="str" cm="1">
        <f t="array" ref="O673">_xlfn.IFS(Table1[[#This Row],[lead_time_days]]&lt;=7,"0-7 days",N673&lt;=14,"8-14 days",N673&lt;=30,"15-30 days",N673&lt;=60,"31-60 days",TRUE,"61+ days")</f>
        <v>31-60 days</v>
      </c>
      <c r="P673" t="s">
        <v>35</v>
      </c>
      <c r="Q673" t="s">
        <v>21</v>
      </c>
      <c r="R673">
        <v>0</v>
      </c>
      <c r="S673" t="str">
        <f>IF(Table1[prior_dna_count]&gt;=1,"Has prior DNA history","No prior DNA history")</f>
        <v>No prior DNA history</v>
      </c>
      <c r="T673" t="s">
        <v>22</v>
      </c>
      <c r="U673" t="str">
        <f t="shared" si="10"/>
        <v>1</v>
      </c>
      <c r="V673" t="str">
        <f>IF(Table1[appointment_status]="Attended","1","0")</f>
        <v>1</v>
      </c>
      <c r="W673" t="str">
        <f>IF(Table1[appointment_status]="Cancelled","1","0")</f>
        <v>0</v>
      </c>
    </row>
    <row r="674" spans="1:23">
      <c r="A674" t="s">
        <v>1270</v>
      </c>
      <c r="B674" t="s">
        <v>1271</v>
      </c>
      <c r="C674">
        <v>47</v>
      </c>
      <c r="D674" t="str" cm="1">
        <f t="array" ref="D674">_xlfn.IFS(Table1[[#This Row],[age]]&lt;=17,"0-17",C674&lt;=29,"18-29",C674&lt;=44,"30-44",C674&lt;=59,"45-59",C674&lt;=74,"60-74",TRUE,"75+")</f>
        <v>45-59</v>
      </c>
      <c r="E674" t="s">
        <v>29</v>
      </c>
      <c r="F674">
        <v>10</v>
      </c>
      <c r="G674" t="str" cm="1">
        <f t="array" ref="G674">_xlfn.IFS(_xlfn.SINGLE(Table1[imd_decile])&lt;=3,"Most Deprived",F674&lt;=7,"Moderately Deprived",F674&lt;=10,"Least Deprived")</f>
        <v>Least Deprived</v>
      </c>
      <c r="H674">
        <v>7.5</v>
      </c>
      <c r="I674" t="s">
        <v>18</v>
      </c>
      <c r="J674" t="s">
        <v>26</v>
      </c>
      <c r="K674" s="1">
        <v>45743</v>
      </c>
      <c r="L674" s="1">
        <v>45775</v>
      </c>
      <c r="M674" s="1" t="str">
        <f>TEXT(Table1[[#This Row],[appointment_date]],"MM/YYYY")</f>
        <v>04/2025</v>
      </c>
      <c r="N674">
        <v>32</v>
      </c>
      <c r="O674" t="str" cm="1">
        <f t="array" ref="O674">_xlfn.IFS(Table1[[#This Row],[lead_time_days]]&lt;=7,"0-7 days",N674&lt;=14,"8-14 days",N674&lt;=30,"15-30 days",N674&lt;=60,"31-60 days",TRUE,"61+ days")</f>
        <v>31-60 days</v>
      </c>
      <c r="P674" t="s">
        <v>35</v>
      </c>
      <c r="Q674" t="s">
        <v>32</v>
      </c>
      <c r="R674">
        <v>0</v>
      </c>
      <c r="S674" t="str">
        <f>IF(Table1[prior_dna_count]&gt;=1,"Has prior DNA history","No prior DNA history")</f>
        <v>No prior DNA history</v>
      </c>
      <c r="T674" t="s">
        <v>22</v>
      </c>
      <c r="U674" t="str">
        <f t="shared" si="10"/>
        <v>1</v>
      </c>
      <c r="V674" t="str">
        <f>IF(Table1[appointment_status]="Attended","1","0")</f>
        <v>1</v>
      </c>
      <c r="W674" t="str">
        <f>IF(Table1[appointment_status]="Cancelled","1","0")</f>
        <v>0</v>
      </c>
    </row>
    <row r="675" spans="1:23">
      <c r="A675" t="s">
        <v>1272</v>
      </c>
      <c r="B675" t="s">
        <v>1273</v>
      </c>
      <c r="C675">
        <v>55</v>
      </c>
      <c r="D675" t="str" cm="1">
        <f t="array" ref="D675">_xlfn.IFS(Table1[[#This Row],[age]]&lt;=17,"0-17",C675&lt;=29,"18-29",C675&lt;=44,"30-44",C675&lt;=59,"45-59",C675&lt;=74,"60-74",TRUE,"75+")</f>
        <v>45-59</v>
      </c>
      <c r="E675" t="s">
        <v>17</v>
      </c>
      <c r="F675">
        <v>7</v>
      </c>
      <c r="G675" t="str" cm="1">
        <f t="array" ref="G675">_xlfn.IFS(_xlfn.SINGLE(Table1[imd_decile])&lt;=3,"Most Deprived",F675&lt;=7,"Moderately Deprived",F675&lt;=10,"Least Deprived")</f>
        <v>Moderately Deprived</v>
      </c>
      <c r="H675">
        <v>8.1999999999999993</v>
      </c>
      <c r="I675" t="s">
        <v>49</v>
      </c>
      <c r="J675" t="s">
        <v>19</v>
      </c>
      <c r="K675" s="1">
        <v>45746</v>
      </c>
      <c r="L675" s="1">
        <v>45776</v>
      </c>
      <c r="M675" s="1" t="str">
        <f>TEXT(Table1[[#This Row],[appointment_date]],"MM/YYYY")</f>
        <v>04/2025</v>
      </c>
      <c r="N675">
        <v>30</v>
      </c>
      <c r="O675" t="str" cm="1">
        <f t="array" ref="O675">_xlfn.IFS(Table1[[#This Row],[lead_time_days]]&lt;=7,"0-7 days",N675&lt;=14,"8-14 days",N675&lt;=30,"15-30 days",N675&lt;=60,"31-60 days",TRUE,"61+ days")</f>
        <v>15-30 days</v>
      </c>
      <c r="P675" t="s">
        <v>71</v>
      </c>
      <c r="Q675" t="s">
        <v>21</v>
      </c>
      <c r="R675">
        <v>0</v>
      </c>
      <c r="S675" t="str">
        <f>IF(Table1[prior_dna_count]&gt;=1,"Has prior DNA history","No prior DNA history")</f>
        <v>No prior DNA history</v>
      </c>
      <c r="T675" t="s">
        <v>22</v>
      </c>
      <c r="U675" t="str">
        <f t="shared" si="10"/>
        <v>1</v>
      </c>
      <c r="V675" t="str">
        <f>IF(Table1[appointment_status]="Attended","1","0")</f>
        <v>1</v>
      </c>
      <c r="W675" t="str">
        <f>IF(Table1[appointment_status]="Cancelled","1","0")</f>
        <v>0</v>
      </c>
    </row>
    <row r="676" spans="1:23">
      <c r="A676" t="s">
        <v>1274</v>
      </c>
      <c r="B676" t="s">
        <v>636</v>
      </c>
      <c r="C676">
        <v>31</v>
      </c>
      <c r="D676" t="str" cm="1">
        <f t="array" ref="D676">_xlfn.IFS(Table1[[#This Row],[age]]&lt;=17,"0-17",C676&lt;=29,"18-29",C676&lt;=44,"30-44",C676&lt;=59,"45-59",C676&lt;=74,"60-74",TRUE,"75+")</f>
        <v>30-44</v>
      </c>
      <c r="E676" t="s">
        <v>17</v>
      </c>
      <c r="F676">
        <v>1</v>
      </c>
      <c r="G676" t="str" cm="1">
        <f t="array" ref="G676">_xlfn.IFS(_xlfn.SINGLE(Table1[imd_decile])&lt;=3,"Most Deprived",F676&lt;=7,"Moderately Deprived",F676&lt;=10,"Least Deprived")</f>
        <v>Most Deprived</v>
      </c>
      <c r="H676">
        <v>4.5999999999999996</v>
      </c>
      <c r="I676" t="s">
        <v>49</v>
      </c>
      <c r="J676" t="s">
        <v>19</v>
      </c>
      <c r="K676" s="1">
        <v>45744</v>
      </c>
      <c r="L676" s="1">
        <v>45776</v>
      </c>
      <c r="M676" s="1" t="str">
        <f>TEXT(Table1[[#This Row],[appointment_date]],"MM/YYYY")</f>
        <v>04/2025</v>
      </c>
      <c r="N676">
        <v>32</v>
      </c>
      <c r="O676" t="str" cm="1">
        <f t="array" ref="O676">_xlfn.IFS(Table1[[#This Row],[lead_time_days]]&lt;=7,"0-7 days",N676&lt;=14,"8-14 days",N676&lt;=30,"15-30 days",N676&lt;=60,"31-60 days",TRUE,"61+ days")</f>
        <v>31-60 days</v>
      </c>
      <c r="P676" t="s">
        <v>71</v>
      </c>
      <c r="Q676" t="s">
        <v>32</v>
      </c>
      <c r="R676">
        <v>0</v>
      </c>
      <c r="S676" t="str">
        <f>IF(Table1[prior_dna_count]&gt;=1,"Has prior DNA history","No prior DNA history")</f>
        <v>No prior DNA history</v>
      </c>
      <c r="T676" t="s">
        <v>22</v>
      </c>
      <c r="U676" t="str">
        <f t="shared" si="10"/>
        <v>1</v>
      </c>
      <c r="V676" t="str">
        <f>IF(Table1[appointment_status]="Attended","1","0")</f>
        <v>1</v>
      </c>
      <c r="W676" t="str">
        <f>IF(Table1[appointment_status]="Cancelled","1","0")</f>
        <v>0</v>
      </c>
    </row>
    <row r="677" spans="1:23">
      <c r="A677" t="s">
        <v>1275</v>
      </c>
      <c r="B677" t="s">
        <v>1276</v>
      </c>
      <c r="C677">
        <v>44</v>
      </c>
      <c r="D677" t="str" cm="1">
        <f t="array" ref="D677">_xlfn.IFS(Table1[[#This Row],[age]]&lt;=17,"0-17",C677&lt;=29,"18-29",C677&lt;=44,"30-44",C677&lt;=59,"45-59",C677&lt;=74,"60-74",TRUE,"75+")</f>
        <v>30-44</v>
      </c>
      <c r="E677" t="s">
        <v>29</v>
      </c>
      <c r="F677">
        <v>5</v>
      </c>
      <c r="G677" t="str" cm="1">
        <f t="array" ref="G677">_xlfn.IFS(_xlfn.SINGLE(Table1[imd_decile])&lt;=3,"Most Deprived",F677&lt;=7,"Moderately Deprived",F677&lt;=10,"Least Deprived")</f>
        <v>Moderately Deprived</v>
      </c>
      <c r="H677">
        <v>16</v>
      </c>
      <c r="I677" t="s">
        <v>42</v>
      </c>
      <c r="J677" t="s">
        <v>19</v>
      </c>
      <c r="K677" s="1">
        <v>45751</v>
      </c>
      <c r="L677" s="1">
        <v>45776</v>
      </c>
      <c r="M677" s="1" t="str">
        <f>TEXT(Table1[[#This Row],[appointment_date]],"MM/YYYY")</f>
        <v>04/2025</v>
      </c>
      <c r="N677">
        <v>25</v>
      </c>
      <c r="O677" t="str" cm="1">
        <f t="array" ref="O677">_xlfn.IFS(Table1[[#This Row],[lead_time_days]]&lt;=7,"0-7 days",N677&lt;=14,"8-14 days",N677&lt;=30,"15-30 days",N677&lt;=60,"31-60 days",TRUE,"61+ days")</f>
        <v>15-30 days</v>
      </c>
      <c r="P677" t="s">
        <v>71</v>
      </c>
      <c r="Q677" t="s">
        <v>21</v>
      </c>
      <c r="R677">
        <v>0</v>
      </c>
      <c r="S677" t="str">
        <f>IF(Table1[prior_dna_count]&gt;=1,"Has prior DNA history","No prior DNA history")</f>
        <v>No prior DNA history</v>
      </c>
      <c r="T677" t="s">
        <v>22</v>
      </c>
      <c r="U677" t="str">
        <f t="shared" si="10"/>
        <v>1</v>
      </c>
      <c r="V677" t="str">
        <f>IF(Table1[appointment_status]="Attended","1","0")</f>
        <v>1</v>
      </c>
      <c r="W677" t="str">
        <f>IF(Table1[appointment_status]="Cancelled","1","0")</f>
        <v>0</v>
      </c>
    </row>
    <row r="678" spans="1:23">
      <c r="A678" t="s">
        <v>1277</v>
      </c>
      <c r="B678" t="s">
        <v>1278</v>
      </c>
      <c r="C678">
        <v>49</v>
      </c>
      <c r="D678" t="str" cm="1">
        <f t="array" ref="D678">_xlfn.IFS(Table1[[#This Row],[age]]&lt;=17,"0-17",C678&lt;=29,"18-29",C678&lt;=44,"30-44",C678&lt;=59,"45-59",C678&lt;=74,"60-74",TRUE,"75+")</f>
        <v>45-59</v>
      </c>
      <c r="E678" t="s">
        <v>29</v>
      </c>
      <c r="F678">
        <v>1</v>
      </c>
      <c r="G678" t="str" cm="1">
        <f t="array" ref="G678">_xlfn.IFS(_xlfn.SINGLE(Table1[imd_decile])&lt;=3,"Most Deprived",F678&lt;=7,"Moderately Deprived",F678&lt;=10,"Least Deprived")</f>
        <v>Most Deprived</v>
      </c>
      <c r="H678">
        <v>21.4</v>
      </c>
      <c r="I678" t="s">
        <v>38</v>
      </c>
      <c r="J678" t="s">
        <v>19</v>
      </c>
      <c r="K678" s="1">
        <v>45700</v>
      </c>
      <c r="L678" s="1">
        <v>45776</v>
      </c>
      <c r="M678" s="1" t="str">
        <f>TEXT(Table1[[#This Row],[appointment_date]],"MM/YYYY")</f>
        <v>04/2025</v>
      </c>
      <c r="N678">
        <v>76</v>
      </c>
      <c r="O678" t="str" cm="1">
        <f t="array" ref="O678">_xlfn.IFS(Table1[[#This Row],[lead_time_days]]&lt;=7,"0-7 days",N678&lt;=14,"8-14 days",N678&lt;=30,"15-30 days",N678&lt;=60,"31-60 days",TRUE,"61+ days")</f>
        <v>61+ days</v>
      </c>
      <c r="P678" t="s">
        <v>71</v>
      </c>
      <c r="Q678" t="s">
        <v>32</v>
      </c>
      <c r="R678">
        <v>0</v>
      </c>
      <c r="S678" t="str">
        <f>IF(Table1[prior_dna_count]&gt;=1,"Has prior DNA history","No prior DNA history")</f>
        <v>No prior DNA history</v>
      </c>
      <c r="T678" t="s">
        <v>22</v>
      </c>
      <c r="U678" t="str">
        <f t="shared" si="10"/>
        <v>1</v>
      </c>
      <c r="V678" t="str">
        <f>IF(Table1[appointment_status]="Attended","1","0")</f>
        <v>1</v>
      </c>
      <c r="W678" t="str">
        <f>IF(Table1[appointment_status]="Cancelled","1","0")</f>
        <v>0</v>
      </c>
    </row>
    <row r="679" spans="1:23">
      <c r="A679" t="s">
        <v>1279</v>
      </c>
      <c r="B679" t="s">
        <v>1280</v>
      </c>
      <c r="C679">
        <v>60</v>
      </c>
      <c r="D679" t="str" cm="1">
        <f t="array" ref="D679">_xlfn.IFS(Table1[[#This Row],[age]]&lt;=17,"0-17",C679&lt;=29,"18-29",C679&lt;=44,"30-44",C679&lt;=59,"45-59",C679&lt;=74,"60-74",TRUE,"75+")</f>
        <v>60-74</v>
      </c>
      <c r="E679" t="s">
        <v>17</v>
      </c>
      <c r="F679">
        <v>2</v>
      </c>
      <c r="G679" t="str" cm="1">
        <f t="array" ref="G679">_xlfn.IFS(_xlfn.SINGLE(Table1[imd_decile])&lt;=3,"Most Deprived",F679&lt;=7,"Moderately Deprived",F679&lt;=10,"Least Deprived")</f>
        <v>Most Deprived</v>
      </c>
      <c r="H679">
        <v>7.5</v>
      </c>
      <c r="I679" t="s">
        <v>155</v>
      </c>
      <c r="J679" t="s">
        <v>19</v>
      </c>
      <c r="K679" s="1">
        <v>45754</v>
      </c>
      <c r="L679" s="1">
        <v>45776</v>
      </c>
      <c r="M679" s="1" t="str">
        <f>TEXT(Table1[[#This Row],[appointment_date]],"MM/YYYY")</f>
        <v>04/2025</v>
      </c>
      <c r="N679">
        <v>22</v>
      </c>
      <c r="O679" t="str" cm="1">
        <f t="array" ref="O679">_xlfn.IFS(Table1[[#This Row],[lead_time_days]]&lt;=7,"0-7 days",N679&lt;=14,"8-14 days",N679&lt;=30,"15-30 days",N679&lt;=60,"31-60 days",TRUE,"61+ days")</f>
        <v>15-30 days</v>
      </c>
      <c r="P679" t="s">
        <v>71</v>
      </c>
      <c r="Q679" t="s">
        <v>21</v>
      </c>
      <c r="R679">
        <v>0</v>
      </c>
      <c r="S679" t="str">
        <f>IF(Table1[prior_dna_count]&gt;=1,"Has prior DNA history","No prior DNA history")</f>
        <v>No prior DNA history</v>
      </c>
      <c r="T679" t="s">
        <v>22</v>
      </c>
      <c r="U679" t="str">
        <f t="shared" si="10"/>
        <v>1</v>
      </c>
      <c r="V679" t="str">
        <f>IF(Table1[appointment_status]="Attended","1","0")</f>
        <v>1</v>
      </c>
      <c r="W679" t="str">
        <f>IF(Table1[appointment_status]="Cancelled","1","0")</f>
        <v>0</v>
      </c>
    </row>
    <row r="680" spans="1:23">
      <c r="A680" t="s">
        <v>1281</v>
      </c>
      <c r="B680" t="s">
        <v>1282</v>
      </c>
      <c r="C680">
        <v>29</v>
      </c>
      <c r="D680" t="str" cm="1">
        <f t="array" ref="D680">_xlfn.IFS(Table1[[#This Row],[age]]&lt;=17,"0-17",C680&lt;=29,"18-29",C680&lt;=44,"30-44",C680&lt;=59,"45-59",C680&lt;=74,"60-74",TRUE,"75+")</f>
        <v>18-29</v>
      </c>
      <c r="E680" t="s">
        <v>17</v>
      </c>
      <c r="F680">
        <v>9</v>
      </c>
      <c r="G680" t="str" cm="1">
        <f t="array" ref="G680">_xlfn.IFS(_xlfn.SINGLE(Table1[imd_decile])&lt;=3,"Most Deprived",F680&lt;=7,"Moderately Deprived",F680&lt;=10,"Least Deprived")</f>
        <v>Least Deprived</v>
      </c>
      <c r="H680">
        <v>7.3</v>
      </c>
      <c r="I680" t="s">
        <v>45</v>
      </c>
      <c r="J680" t="s">
        <v>26</v>
      </c>
      <c r="K680" s="1">
        <v>45745</v>
      </c>
      <c r="L680" s="1">
        <v>45776</v>
      </c>
      <c r="M680" s="1" t="str">
        <f>TEXT(Table1[[#This Row],[appointment_date]],"MM/YYYY")</f>
        <v>04/2025</v>
      </c>
      <c r="N680">
        <v>31</v>
      </c>
      <c r="O680" t="str" cm="1">
        <f t="array" ref="O680">_xlfn.IFS(Table1[[#This Row],[lead_time_days]]&lt;=7,"0-7 days",N680&lt;=14,"8-14 days",N680&lt;=30,"15-30 days",N680&lt;=60,"31-60 days",TRUE,"61+ days")</f>
        <v>31-60 days</v>
      </c>
      <c r="P680" t="s">
        <v>71</v>
      </c>
      <c r="Q680" t="s">
        <v>32</v>
      </c>
      <c r="R680">
        <v>0</v>
      </c>
      <c r="S680" t="str">
        <f>IF(Table1[prior_dna_count]&gt;=1,"Has prior DNA history","No prior DNA history")</f>
        <v>No prior DNA history</v>
      </c>
      <c r="T680" t="s">
        <v>22</v>
      </c>
      <c r="U680" t="str">
        <f t="shared" si="10"/>
        <v>1</v>
      </c>
      <c r="V680" t="str">
        <f>IF(Table1[appointment_status]="Attended","1","0")</f>
        <v>1</v>
      </c>
      <c r="W680" t="str">
        <f>IF(Table1[appointment_status]="Cancelled","1","0")</f>
        <v>0</v>
      </c>
    </row>
    <row r="681" spans="1:23">
      <c r="A681" t="s">
        <v>1283</v>
      </c>
      <c r="B681" t="s">
        <v>1284</v>
      </c>
      <c r="C681">
        <v>39</v>
      </c>
      <c r="D681" t="str" cm="1">
        <f t="array" ref="D681">_xlfn.IFS(Table1[[#This Row],[age]]&lt;=17,"0-17",C681&lt;=29,"18-29",C681&lt;=44,"30-44",C681&lt;=59,"45-59",C681&lt;=74,"60-74",TRUE,"75+")</f>
        <v>30-44</v>
      </c>
      <c r="E681" t="s">
        <v>29</v>
      </c>
      <c r="F681">
        <v>6</v>
      </c>
      <c r="G681" t="str" cm="1">
        <f t="array" ref="G681">_xlfn.IFS(_xlfn.SINGLE(Table1[imd_decile])&lt;=3,"Most Deprived",F681&lt;=7,"Moderately Deprived",F681&lt;=10,"Least Deprived")</f>
        <v>Moderately Deprived</v>
      </c>
      <c r="H681">
        <v>10.7</v>
      </c>
      <c r="I681" t="s">
        <v>58</v>
      </c>
      <c r="J681" t="s">
        <v>26</v>
      </c>
      <c r="K681" s="1">
        <v>45768</v>
      </c>
      <c r="L681" s="1">
        <v>45776</v>
      </c>
      <c r="M681" s="1" t="str">
        <f>TEXT(Table1[[#This Row],[appointment_date]],"MM/YYYY")</f>
        <v>04/2025</v>
      </c>
      <c r="N681">
        <v>8</v>
      </c>
      <c r="O681" t="str" cm="1">
        <f t="array" ref="O681">_xlfn.IFS(Table1[[#This Row],[lead_time_days]]&lt;=7,"0-7 days",N681&lt;=14,"8-14 days",N681&lt;=30,"15-30 days",N681&lt;=60,"31-60 days",TRUE,"61+ days")</f>
        <v>8-14 days</v>
      </c>
      <c r="P681" t="s">
        <v>71</v>
      </c>
      <c r="Q681" t="s">
        <v>21</v>
      </c>
      <c r="R681">
        <v>0</v>
      </c>
      <c r="S681" t="str">
        <f>IF(Table1[prior_dna_count]&gt;=1,"Has prior DNA history","No prior DNA history")</f>
        <v>No prior DNA history</v>
      </c>
      <c r="T681" t="s">
        <v>22</v>
      </c>
      <c r="U681" t="str">
        <f t="shared" si="10"/>
        <v>1</v>
      </c>
      <c r="V681" t="str">
        <f>IF(Table1[appointment_status]="Attended","1","0")</f>
        <v>1</v>
      </c>
      <c r="W681" t="str">
        <f>IF(Table1[appointment_status]="Cancelled","1","0")</f>
        <v>0</v>
      </c>
    </row>
    <row r="682" spans="1:23">
      <c r="A682" t="s">
        <v>1285</v>
      </c>
      <c r="B682" t="s">
        <v>1286</v>
      </c>
      <c r="C682">
        <v>69</v>
      </c>
      <c r="D682" t="str" cm="1">
        <f t="array" ref="D682">_xlfn.IFS(Table1[[#This Row],[age]]&lt;=17,"0-17",C682&lt;=29,"18-29",C682&lt;=44,"30-44",C682&lt;=59,"45-59",C682&lt;=74,"60-74",TRUE,"75+")</f>
        <v>60-74</v>
      </c>
      <c r="E682" t="s">
        <v>29</v>
      </c>
      <c r="F682">
        <v>7</v>
      </c>
      <c r="G682" t="str" cm="1">
        <f t="array" ref="G682">_xlfn.IFS(_xlfn.SINGLE(Table1[imd_decile])&lt;=3,"Most Deprived",F682&lt;=7,"Moderately Deprived",F682&lt;=10,"Least Deprived")</f>
        <v>Moderately Deprived</v>
      </c>
      <c r="H682">
        <v>3.3</v>
      </c>
      <c r="I682" t="s">
        <v>30</v>
      </c>
      <c r="J682" t="s">
        <v>19</v>
      </c>
      <c r="K682" s="1">
        <v>45762</v>
      </c>
      <c r="L682" s="1">
        <v>45776</v>
      </c>
      <c r="M682" s="1" t="str">
        <f>TEXT(Table1[[#This Row],[appointment_date]],"MM/YYYY")</f>
        <v>04/2025</v>
      </c>
      <c r="N682">
        <v>14</v>
      </c>
      <c r="O682" t="str" cm="1">
        <f t="array" ref="O682">_xlfn.IFS(Table1[[#This Row],[lead_time_days]]&lt;=7,"0-7 days",N682&lt;=14,"8-14 days",N682&lt;=30,"15-30 days",N682&lt;=60,"31-60 days",TRUE,"61+ days")</f>
        <v>8-14 days</v>
      </c>
      <c r="P682" t="s">
        <v>71</v>
      </c>
      <c r="Q682" t="s">
        <v>32</v>
      </c>
      <c r="R682">
        <v>0</v>
      </c>
      <c r="S682" t="str">
        <f>IF(Table1[prior_dna_count]&gt;=1,"Has prior DNA history","No prior DNA history")</f>
        <v>No prior DNA history</v>
      </c>
      <c r="T682" t="s">
        <v>39</v>
      </c>
      <c r="U682" t="str">
        <f t="shared" si="10"/>
        <v>1</v>
      </c>
      <c r="V682" t="str">
        <f>IF(Table1[appointment_status]="Attended","1","0")</f>
        <v>0</v>
      </c>
      <c r="W682" t="str">
        <f>IF(Table1[appointment_status]="Cancelled","1","0")</f>
        <v>0</v>
      </c>
    </row>
    <row r="683" spans="1:23">
      <c r="A683" t="s">
        <v>1287</v>
      </c>
      <c r="B683" t="s">
        <v>883</v>
      </c>
      <c r="C683">
        <v>49</v>
      </c>
      <c r="D683" t="str" cm="1">
        <f t="array" ref="D683">_xlfn.IFS(Table1[[#This Row],[age]]&lt;=17,"0-17",C683&lt;=29,"18-29",C683&lt;=44,"30-44",C683&lt;=59,"45-59",C683&lt;=74,"60-74",TRUE,"75+")</f>
        <v>45-59</v>
      </c>
      <c r="E683" t="s">
        <v>29</v>
      </c>
      <c r="F683">
        <v>7</v>
      </c>
      <c r="G683" t="str" cm="1">
        <f t="array" ref="G683">_xlfn.IFS(_xlfn.SINGLE(Table1[imd_decile])&lt;=3,"Most Deprived",F683&lt;=7,"Moderately Deprived",F683&lt;=10,"Least Deprived")</f>
        <v>Moderately Deprived</v>
      </c>
      <c r="H683">
        <v>16.899999999999999</v>
      </c>
      <c r="I683" t="s">
        <v>49</v>
      </c>
      <c r="J683" t="s">
        <v>19</v>
      </c>
      <c r="K683" s="1">
        <v>45733</v>
      </c>
      <c r="L683" s="1">
        <v>45776</v>
      </c>
      <c r="M683" s="1" t="str">
        <f>TEXT(Table1[[#This Row],[appointment_date]],"MM/YYYY")</f>
        <v>04/2025</v>
      </c>
      <c r="N683">
        <v>43</v>
      </c>
      <c r="O683" t="str" cm="1">
        <f t="array" ref="O683">_xlfn.IFS(Table1[[#This Row],[lead_time_days]]&lt;=7,"0-7 days",N683&lt;=14,"8-14 days",N683&lt;=30,"15-30 days",N683&lt;=60,"31-60 days",TRUE,"61+ days")</f>
        <v>31-60 days</v>
      </c>
      <c r="P683" t="s">
        <v>71</v>
      </c>
      <c r="Q683" t="s">
        <v>21</v>
      </c>
      <c r="R683">
        <v>0</v>
      </c>
      <c r="S683" t="str">
        <f>IF(Table1[prior_dna_count]&gt;=1,"Has prior DNA history","No prior DNA history")</f>
        <v>No prior DNA history</v>
      </c>
      <c r="T683" t="s">
        <v>39</v>
      </c>
      <c r="U683" t="str">
        <f t="shared" si="10"/>
        <v>0</v>
      </c>
      <c r="V683" t="str">
        <f>IF(Table1[appointment_status]="Attended","1","0")</f>
        <v>0</v>
      </c>
      <c r="W683" t="str">
        <f>IF(Table1[appointment_status]="Cancelled","1","0")</f>
        <v>0</v>
      </c>
    </row>
    <row r="684" spans="1:23">
      <c r="A684" t="s">
        <v>1288</v>
      </c>
      <c r="B684" t="s">
        <v>1289</v>
      </c>
      <c r="C684">
        <v>41</v>
      </c>
      <c r="D684" t="str" cm="1">
        <f t="array" ref="D684">_xlfn.IFS(Table1[[#This Row],[age]]&lt;=17,"0-17",C684&lt;=29,"18-29",C684&lt;=44,"30-44",C684&lt;=59,"45-59",C684&lt;=74,"60-74",TRUE,"75+")</f>
        <v>30-44</v>
      </c>
      <c r="E684" t="s">
        <v>29</v>
      </c>
      <c r="F684">
        <v>3</v>
      </c>
      <c r="G684" t="str" cm="1">
        <f t="array" ref="G684">_xlfn.IFS(_xlfn.SINGLE(Table1[imd_decile])&lt;=3,"Most Deprived",F684&lt;=7,"Moderately Deprived",F684&lt;=10,"Least Deprived")</f>
        <v>Most Deprived</v>
      </c>
      <c r="H684">
        <v>20.8</v>
      </c>
      <c r="I684" t="s">
        <v>42</v>
      </c>
      <c r="J684" t="s">
        <v>19</v>
      </c>
      <c r="K684" s="1">
        <v>45670</v>
      </c>
      <c r="L684" s="1">
        <v>45777</v>
      </c>
      <c r="M684" s="1" t="str">
        <f>TEXT(Table1[[#This Row],[appointment_date]],"MM/YYYY")</f>
        <v>04/2025</v>
      </c>
      <c r="N684">
        <v>107</v>
      </c>
      <c r="O684" t="str" cm="1">
        <f t="array" ref="O684">_xlfn.IFS(Table1[[#This Row],[lead_time_days]]&lt;=7,"0-7 days",N684&lt;=14,"8-14 days",N684&lt;=30,"15-30 days",N684&lt;=60,"31-60 days",TRUE,"61+ days")</f>
        <v>61+ days</v>
      </c>
      <c r="P684" t="s">
        <v>80</v>
      </c>
      <c r="Q684" t="s">
        <v>21</v>
      </c>
      <c r="R684">
        <v>0</v>
      </c>
      <c r="S684" t="str">
        <f>IF(Table1[prior_dna_count]&gt;=1,"Has prior DNA history","No prior DNA history")</f>
        <v>No prior DNA history</v>
      </c>
      <c r="T684" t="s">
        <v>22</v>
      </c>
      <c r="U684" t="str">
        <f t="shared" si="10"/>
        <v>0</v>
      </c>
      <c r="V684" t="str">
        <f>IF(Table1[appointment_status]="Attended","1","0")</f>
        <v>1</v>
      </c>
      <c r="W684" t="str">
        <f>IF(Table1[appointment_status]="Cancelled","1","0")</f>
        <v>0</v>
      </c>
    </row>
    <row r="685" spans="1:23">
      <c r="A685" t="s">
        <v>1290</v>
      </c>
      <c r="B685" t="s">
        <v>1291</v>
      </c>
      <c r="C685">
        <v>55</v>
      </c>
      <c r="D685" t="str" cm="1">
        <f t="array" ref="D685">_xlfn.IFS(Table1[[#This Row],[age]]&lt;=17,"0-17",C685&lt;=29,"18-29",C685&lt;=44,"30-44",C685&lt;=59,"45-59",C685&lt;=74,"60-74",TRUE,"75+")</f>
        <v>45-59</v>
      </c>
      <c r="E685" t="s">
        <v>17</v>
      </c>
      <c r="F685">
        <v>9</v>
      </c>
      <c r="G685" t="str" cm="1">
        <f t="array" ref="G685">_xlfn.IFS(_xlfn.SINGLE(Table1[imd_decile])&lt;=3,"Most Deprived",F685&lt;=7,"Moderately Deprived",F685&lt;=10,"Least Deprived")</f>
        <v>Least Deprived</v>
      </c>
      <c r="H685">
        <v>1.6</v>
      </c>
      <c r="I685" t="s">
        <v>42</v>
      </c>
      <c r="J685" t="s">
        <v>26</v>
      </c>
      <c r="K685" s="1">
        <v>45749</v>
      </c>
      <c r="L685" s="1">
        <v>45777</v>
      </c>
      <c r="M685" s="1" t="str">
        <f>TEXT(Table1[[#This Row],[appointment_date]],"MM/YYYY")</f>
        <v>04/2025</v>
      </c>
      <c r="N685">
        <v>28</v>
      </c>
      <c r="O685" t="str" cm="1">
        <f t="array" ref="O685">_xlfn.IFS(Table1[[#This Row],[lead_time_days]]&lt;=7,"0-7 days",N685&lt;=14,"8-14 days",N685&lt;=30,"15-30 days",N685&lt;=60,"31-60 days",TRUE,"61+ days")</f>
        <v>15-30 days</v>
      </c>
      <c r="P685" t="s">
        <v>80</v>
      </c>
      <c r="Q685" t="s">
        <v>21</v>
      </c>
      <c r="R685">
        <v>0</v>
      </c>
      <c r="S685" t="str">
        <f>IF(Table1[prior_dna_count]&gt;=1,"Has prior DNA history","No prior DNA history")</f>
        <v>No prior DNA history</v>
      </c>
      <c r="T685" t="s">
        <v>22</v>
      </c>
      <c r="U685" t="str">
        <f t="shared" si="10"/>
        <v>1</v>
      </c>
      <c r="V685" t="str">
        <f>IF(Table1[appointment_status]="Attended","1","0")</f>
        <v>1</v>
      </c>
      <c r="W685" t="str">
        <f>IF(Table1[appointment_status]="Cancelled","1","0")</f>
        <v>0</v>
      </c>
    </row>
    <row r="686" spans="1:23">
      <c r="A686" t="s">
        <v>1292</v>
      </c>
      <c r="B686" t="s">
        <v>255</v>
      </c>
      <c r="C686">
        <v>50</v>
      </c>
      <c r="D686" t="str" cm="1">
        <f t="array" ref="D686">_xlfn.IFS(Table1[[#This Row],[age]]&lt;=17,"0-17",C686&lt;=29,"18-29",C686&lt;=44,"30-44",C686&lt;=59,"45-59",C686&lt;=74,"60-74",TRUE,"75+")</f>
        <v>45-59</v>
      </c>
      <c r="E686" t="s">
        <v>17</v>
      </c>
      <c r="F686">
        <v>7</v>
      </c>
      <c r="G686" t="str" cm="1">
        <f t="array" ref="G686">_xlfn.IFS(_xlfn.SINGLE(Table1[imd_decile])&lt;=3,"Most Deprived",F686&lt;=7,"Moderately Deprived",F686&lt;=10,"Least Deprived")</f>
        <v>Moderately Deprived</v>
      </c>
      <c r="H686">
        <v>5.5</v>
      </c>
      <c r="I686" t="s">
        <v>58</v>
      </c>
      <c r="J686" t="s">
        <v>19</v>
      </c>
      <c r="K686" s="1">
        <v>45747</v>
      </c>
      <c r="L686" s="1">
        <v>45777</v>
      </c>
      <c r="M686" s="1" t="str">
        <f>TEXT(Table1[[#This Row],[appointment_date]],"MM/YYYY")</f>
        <v>04/2025</v>
      </c>
      <c r="N686">
        <v>30</v>
      </c>
      <c r="O686" t="str" cm="1">
        <f t="array" ref="O686">_xlfn.IFS(Table1[[#This Row],[lead_time_days]]&lt;=7,"0-7 days",N686&lt;=14,"8-14 days",N686&lt;=30,"15-30 days",N686&lt;=60,"31-60 days",TRUE,"61+ days")</f>
        <v>15-30 days</v>
      </c>
      <c r="P686" t="s">
        <v>80</v>
      </c>
      <c r="Q686" t="s">
        <v>21</v>
      </c>
      <c r="R686">
        <v>0</v>
      </c>
      <c r="S686" t="str">
        <f>IF(Table1[prior_dna_count]&gt;=1,"Has prior DNA history","No prior DNA history")</f>
        <v>No prior DNA history</v>
      </c>
      <c r="T686" t="s">
        <v>22</v>
      </c>
      <c r="U686" t="str">
        <f t="shared" si="10"/>
        <v>1</v>
      </c>
      <c r="V686" t="str">
        <f>IF(Table1[appointment_status]="Attended","1","0")</f>
        <v>1</v>
      </c>
      <c r="W686" t="str">
        <f>IF(Table1[appointment_status]="Cancelled","1","0")</f>
        <v>0</v>
      </c>
    </row>
    <row r="687" spans="1:23">
      <c r="A687" t="s">
        <v>1293</v>
      </c>
      <c r="B687" t="s">
        <v>1294</v>
      </c>
      <c r="C687">
        <v>37</v>
      </c>
      <c r="D687" t="str" cm="1">
        <f t="array" ref="D687">_xlfn.IFS(Table1[[#This Row],[age]]&lt;=17,"0-17",C687&lt;=29,"18-29",C687&lt;=44,"30-44",C687&lt;=59,"45-59",C687&lt;=74,"60-74",TRUE,"75+")</f>
        <v>30-44</v>
      </c>
      <c r="E687" t="s">
        <v>17</v>
      </c>
      <c r="F687">
        <v>1</v>
      </c>
      <c r="G687" t="str" cm="1">
        <f t="array" ref="G687">_xlfn.IFS(_xlfn.SINGLE(Table1[imd_decile])&lt;=3,"Most Deprived",F687&lt;=7,"Moderately Deprived",F687&lt;=10,"Least Deprived")</f>
        <v>Most Deprived</v>
      </c>
      <c r="H687">
        <v>6.4</v>
      </c>
      <c r="I687" t="s">
        <v>18</v>
      </c>
      <c r="J687" t="s">
        <v>26</v>
      </c>
      <c r="K687" s="1">
        <v>45751</v>
      </c>
      <c r="L687" s="1">
        <v>45777</v>
      </c>
      <c r="M687" s="1" t="str">
        <f>TEXT(Table1[[#This Row],[appointment_date]],"MM/YYYY")</f>
        <v>04/2025</v>
      </c>
      <c r="N687">
        <v>26</v>
      </c>
      <c r="O687" t="str" cm="1">
        <f t="array" ref="O687">_xlfn.IFS(Table1[[#This Row],[lead_time_days]]&lt;=7,"0-7 days",N687&lt;=14,"8-14 days",N687&lt;=30,"15-30 days",N687&lt;=60,"31-60 days",TRUE,"61+ days")</f>
        <v>15-30 days</v>
      </c>
      <c r="P687" t="s">
        <v>80</v>
      </c>
      <c r="Q687" t="s">
        <v>32</v>
      </c>
      <c r="R687">
        <v>1</v>
      </c>
      <c r="S687" t="str">
        <f>IF(Table1[prior_dna_count]&gt;=1,"Has prior DNA history","No prior DNA history")</f>
        <v>Has prior DNA history</v>
      </c>
      <c r="T687" t="s">
        <v>22</v>
      </c>
      <c r="U687" t="str">
        <f t="shared" si="10"/>
        <v>1</v>
      </c>
      <c r="V687" t="str">
        <f>IF(Table1[appointment_status]="Attended","1","0")</f>
        <v>1</v>
      </c>
      <c r="W687" t="str">
        <f>IF(Table1[appointment_status]="Cancelled","1","0")</f>
        <v>0</v>
      </c>
    </row>
    <row r="688" spans="1:23">
      <c r="A688" t="s">
        <v>1295</v>
      </c>
      <c r="B688" t="s">
        <v>1296</v>
      </c>
      <c r="C688">
        <v>31</v>
      </c>
      <c r="D688" t="str" cm="1">
        <f t="array" ref="D688">_xlfn.IFS(Table1[[#This Row],[age]]&lt;=17,"0-17",C688&lt;=29,"18-29",C688&lt;=44,"30-44",C688&lt;=59,"45-59",C688&lt;=74,"60-74",TRUE,"75+")</f>
        <v>30-44</v>
      </c>
      <c r="E688" t="s">
        <v>17</v>
      </c>
      <c r="F688">
        <v>7</v>
      </c>
      <c r="G688" t="str" cm="1">
        <f t="array" ref="G688">_xlfn.IFS(_xlfn.SINGLE(Table1[imd_decile])&lt;=3,"Most Deprived",F688&lt;=7,"Moderately Deprived",F688&lt;=10,"Least Deprived")</f>
        <v>Moderately Deprived</v>
      </c>
      <c r="H688">
        <v>13.3</v>
      </c>
      <c r="I688" t="s">
        <v>38</v>
      </c>
      <c r="J688" t="s">
        <v>26</v>
      </c>
      <c r="K688" s="1">
        <v>45773</v>
      </c>
      <c r="L688" s="1">
        <v>45777</v>
      </c>
      <c r="M688" s="1" t="str">
        <f>TEXT(Table1[[#This Row],[appointment_date]],"MM/YYYY")</f>
        <v>04/2025</v>
      </c>
      <c r="N688">
        <v>4</v>
      </c>
      <c r="O688" t="str" cm="1">
        <f t="array" ref="O688">_xlfn.IFS(Table1[[#This Row],[lead_time_days]]&lt;=7,"0-7 days",N688&lt;=14,"8-14 days",N688&lt;=30,"15-30 days",N688&lt;=60,"31-60 days",TRUE,"61+ days")</f>
        <v>0-7 days</v>
      </c>
      <c r="P688" t="s">
        <v>80</v>
      </c>
      <c r="Q688" t="s">
        <v>32</v>
      </c>
      <c r="R688">
        <v>0</v>
      </c>
      <c r="S688" t="str">
        <f>IF(Table1[prior_dna_count]&gt;=1,"Has prior DNA history","No prior DNA history")</f>
        <v>No prior DNA history</v>
      </c>
      <c r="T688" t="s">
        <v>22</v>
      </c>
      <c r="U688" t="str">
        <f t="shared" si="10"/>
        <v>1</v>
      </c>
      <c r="V688" t="str">
        <f>IF(Table1[appointment_status]="Attended","1","0")</f>
        <v>1</v>
      </c>
      <c r="W688" t="str">
        <f>IF(Table1[appointment_status]="Cancelled","1","0")</f>
        <v>0</v>
      </c>
    </row>
    <row r="689" spans="1:23">
      <c r="A689" t="s">
        <v>1297</v>
      </c>
      <c r="B689" t="s">
        <v>409</v>
      </c>
      <c r="C689">
        <v>50</v>
      </c>
      <c r="D689" t="str" cm="1">
        <f t="array" ref="D689">_xlfn.IFS(Table1[[#This Row],[age]]&lt;=17,"0-17",C689&lt;=29,"18-29",C689&lt;=44,"30-44",C689&lt;=59,"45-59",C689&lt;=74,"60-74",TRUE,"75+")</f>
        <v>45-59</v>
      </c>
      <c r="E689" t="s">
        <v>17</v>
      </c>
      <c r="F689">
        <v>3</v>
      </c>
      <c r="G689" t="str" cm="1">
        <f t="array" ref="G689">_xlfn.IFS(_xlfn.SINGLE(Table1[imd_decile])&lt;=3,"Most Deprived",F689&lt;=7,"Moderately Deprived",F689&lt;=10,"Least Deprived")</f>
        <v>Most Deprived</v>
      </c>
      <c r="H689">
        <v>4.2</v>
      </c>
      <c r="I689" t="s">
        <v>25</v>
      </c>
      <c r="J689" t="s">
        <v>19</v>
      </c>
      <c r="K689" s="1">
        <v>45747</v>
      </c>
      <c r="L689" s="1">
        <v>45778</v>
      </c>
      <c r="M689" s="1" t="str">
        <f>TEXT(Table1[[#This Row],[appointment_date]],"MM/YYYY")</f>
        <v>05/2025</v>
      </c>
      <c r="N689">
        <v>31</v>
      </c>
      <c r="O689" t="str" cm="1">
        <f t="array" ref="O689">_xlfn.IFS(Table1[[#This Row],[lead_time_days]]&lt;=7,"0-7 days",N689&lt;=14,"8-14 days",N689&lt;=30,"15-30 days",N689&lt;=60,"31-60 days",TRUE,"61+ days")</f>
        <v>31-60 days</v>
      </c>
      <c r="P689" t="s">
        <v>20</v>
      </c>
      <c r="Q689" t="s">
        <v>21</v>
      </c>
      <c r="R689">
        <v>0</v>
      </c>
      <c r="S689" t="str">
        <f>IF(Table1[prior_dna_count]&gt;=1,"Has prior DNA history","No prior DNA history")</f>
        <v>No prior DNA history</v>
      </c>
      <c r="T689" t="s">
        <v>22</v>
      </c>
      <c r="U689" t="str">
        <f t="shared" si="10"/>
        <v>1</v>
      </c>
      <c r="V689" t="str">
        <f>IF(Table1[appointment_status]="Attended","1","0")</f>
        <v>1</v>
      </c>
      <c r="W689" t="str">
        <f>IF(Table1[appointment_status]="Cancelled","1","0")</f>
        <v>0</v>
      </c>
    </row>
    <row r="690" spans="1:23">
      <c r="A690" t="s">
        <v>1298</v>
      </c>
      <c r="B690" t="s">
        <v>1299</v>
      </c>
      <c r="C690">
        <v>12</v>
      </c>
      <c r="D690" t="str" cm="1">
        <f t="array" ref="D690">_xlfn.IFS(Table1[[#This Row],[age]]&lt;=17,"0-17",C690&lt;=29,"18-29",C690&lt;=44,"30-44",C690&lt;=59,"45-59",C690&lt;=74,"60-74",TRUE,"75+")</f>
        <v>0-17</v>
      </c>
      <c r="E690" t="s">
        <v>17</v>
      </c>
      <c r="F690">
        <v>6</v>
      </c>
      <c r="G690" t="str" cm="1">
        <f t="array" ref="G690">_xlfn.IFS(_xlfn.SINGLE(Table1[imd_decile])&lt;=3,"Most Deprived",F690&lt;=7,"Moderately Deprived",F690&lt;=10,"Least Deprived")</f>
        <v>Moderately Deprived</v>
      </c>
      <c r="H690">
        <v>12.3</v>
      </c>
      <c r="I690" t="s">
        <v>25</v>
      </c>
      <c r="J690" t="s">
        <v>26</v>
      </c>
      <c r="K690" s="1">
        <v>45760</v>
      </c>
      <c r="L690" s="1">
        <v>45778</v>
      </c>
      <c r="M690" s="1" t="str">
        <f>TEXT(Table1[[#This Row],[appointment_date]],"MM/YYYY")</f>
        <v>05/2025</v>
      </c>
      <c r="N690">
        <v>18</v>
      </c>
      <c r="O690" t="str" cm="1">
        <f t="array" ref="O690">_xlfn.IFS(Table1[[#This Row],[lead_time_days]]&lt;=7,"0-7 days",N690&lt;=14,"8-14 days",N690&lt;=30,"15-30 days",N690&lt;=60,"31-60 days",TRUE,"61+ days")</f>
        <v>15-30 days</v>
      </c>
      <c r="P690" t="s">
        <v>20</v>
      </c>
      <c r="Q690" t="s">
        <v>21</v>
      </c>
      <c r="R690">
        <v>0</v>
      </c>
      <c r="S690" t="str">
        <f>IF(Table1[prior_dna_count]&gt;=1,"Has prior DNA history","No prior DNA history")</f>
        <v>No prior DNA history</v>
      </c>
      <c r="T690" t="s">
        <v>22</v>
      </c>
      <c r="U690" t="str">
        <f t="shared" si="10"/>
        <v>1</v>
      </c>
      <c r="V690" t="str">
        <f>IF(Table1[appointment_status]="Attended","1","0")</f>
        <v>1</v>
      </c>
      <c r="W690" t="str">
        <f>IF(Table1[appointment_status]="Cancelled","1","0")</f>
        <v>0</v>
      </c>
    </row>
    <row r="691" spans="1:23">
      <c r="A691" t="s">
        <v>1300</v>
      </c>
      <c r="B691" t="s">
        <v>1301</v>
      </c>
      <c r="C691">
        <v>14</v>
      </c>
      <c r="D691" t="str" cm="1">
        <f t="array" ref="D691">_xlfn.IFS(Table1[[#This Row],[age]]&lt;=17,"0-17",C691&lt;=29,"18-29",C691&lt;=44,"30-44",C691&lt;=59,"45-59",C691&lt;=74,"60-74",TRUE,"75+")</f>
        <v>0-17</v>
      </c>
      <c r="E691" t="s">
        <v>17</v>
      </c>
      <c r="F691">
        <v>3</v>
      </c>
      <c r="G691" t="str" cm="1">
        <f t="array" ref="G691">_xlfn.IFS(_xlfn.SINGLE(Table1[imd_decile])&lt;=3,"Most Deprived",F691&lt;=7,"Moderately Deprived",F691&lt;=10,"Least Deprived")</f>
        <v>Most Deprived</v>
      </c>
      <c r="H691">
        <v>14.9</v>
      </c>
      <c r="I691" t="s">
        <v>38</v>
      </c>
      <c r="J691" t="s">
        <v>26</v>
      </c>
      <c r="K691" s="1">
        <v>45730</v>
      </c>
      <c r="L691" s="1">
        <v>45778</v>
      </c>
      <c r="M691" s="1" t="str">
        <f>TEXT(Table1[[#This Row],[appointment_date]],"MM/YYYY")</f>
        <v>05/2025</v>
      </c>
      <c r="N691">
        <v>48</v>
      </c>
      <c r="O691" t="str" cm="1">
        <f t="array" ref="O691">_xlfn.IFS(Table1[[#This Row],[lead_time_days]]&lt;=7,"0-7 days",N691&lt;=14,"8-14 days",N691&lt;=30,"15-30 days",N691&lt;=60,"31-60 days",TRUE,"61+ days")</f>
        <v>31-60 days</v>
      </c>
      <c r="P691" t="s">
        <v>20</v>
      </c>
      <c r="Q691" t="s">
        <v>32</v>
      </c>
      <c r="R691">
        <v>0</v>
      </c>
      <c r="S691" t="str">
        <f>IF(Table1[prior_dna_count]&gt;=1,"Has prior DNA history","No prior DNA history")</f>
        <v>No prior DNA history</v>
      </c>
      <c r="T691" t="s">
        <v>39</v>
      </c>
      <c r="U691" t="str">
        <f t="shared" si="10"/>
        <v>1</v>
      </c>
      <c r="V691" t="str">
        <f>IF(Table1[appointment_status]="Attended","1","0")</f>
        <v>0</v>
      </c>
      <c r="W691" t="str">
        <f>IF(Table1[appointment_status]="Cancelled","1","0")</f>
        <v>0</v>
      </c>
    </row>
    <row r="692" spans="1:23">
      <c r="A692" t="s">
        <v>1302</v>
      </c>
      <c r="B692" t="s">
        <v>1303</v>
      </c>
      <c r="C692">
        <v>70</v>
      </c>
      <c r="D692" t="str" cm="1">
        <f t="array" ref="D692">_xlfn.IFS(Table1[[#This Row],[age]]&lt;=17,"0-17",C692&lt;=29,"18-29",C692&lt;=44,"30-44",C692&lt;=59,"45-59",C692&lt;=74,"60-74",TRUE,"75+")</f>
        <v>60-74</v>
      </c>
      <c r="E692" t="s">
        <v>29</v>
      </c>
      <c r="F692">
        <v>4</v>
      </c>
      <c r="G692" t="str" cm="1">
        <f t="array" ref="G692">_xlfn.IFS(_xlfn.SINGLE(Table1[imd_decile])&lt;=3,"Most Deprived",F692&lt;=7,"Moderately Deprived",F692&lt;=10,"Least Deprived")</f>
        <v>Moderately Deprived</v>
      </c>
      <c r="H692">
        <v>9.3000000000000007</v>
      </c>
      <c r="I692" t="s">
        <v>18</v>
      </c>
      <c r="J692" t="s">
        <v>19</v>
      </c>
      <c r="K692" s="1">
        <v>45776</v>
      </c>
      <c r="L692" s="1">
        <v>45778</v>
      </c>
      <c r="M692" s="1" t="str">
        <f>TEXT(Table1[[#This Row],[appointment_date]],"MM/YYYY")</f>
        <v>05/2025</v>
      </c>
      <c r="N692">
        <v>2</v>
      </c>
      <c r="O692" t="str" cm="1">
        <f t="array" ref="O692">_xlfn.IFS(Table1[[#This Row],[lead_time_days]]&lt;=7,"0-7 days",N692&lt;=14,"8-14 days",N692&lt;=30,"15-30 days",N692&lt;=60,"31-60 days",TRUE,"61+ days")</f>
        <v>0-7 days</v>
      </c>
      <c r="P692" t="s">
        <v>20</v>
      </c>
      <c r="Q692" t="s">
        <v>32</v>
      </c>
      <c r="R692">
        <v>0</v>
      </c>
      <c r="S692" t="str">
        <f>IF(Table1[prior_dna_count]&gt;=1,"Has prior DNA history","No prior DNA history")</f>
        <v>No prior DNA history</v>
      </c>
      <c r="T692" t="s">
        <v>22</v>
      </c>
      <c r="U692" t="str">
        <f t="shared" si="10"/>
        <v>0</v>
      </c>
      <c r="V692" t="str">
        <f>IF(Table1[appointment_status]="Attended","1","0")</f>
        <v>1</v>
      </c>
      <c r="W692" t="str">
        <f>IF(Table1[appointment_status]="Cancelled","1","0")</f>
        <v>0</v>
      </c>
    </row>
    <row r="693" spans="1:23">
      <c r="A693" t="s">
        <v>1304</v>
      </c>
      <c r="B693" t="s">
        <v>1305</v>
      </c>
      <c r="C693">
        <v>53</v>
      </c>
      <c r="D693" t="str" cm="1">
        <f t="array" ref="D693">_xlfn.IFS(Table1[[#This Row],[age]]&lt;=17,"0-17",C693&lt;=29,"18-29",C693&lt;=44,"30-44",C693&lt;=59,"45-59",C693&lt;=74,"60-74",TRUE,"75+")</f>
        <v>45-59</v>
      </c>
      <c r="E693" t="s">
        <v>29</v>
      </c>
      <c r="F693">
        <v>10</v>
      </c>
      <c r="G693" t="str" cm="1">
        <f t="array" ref="G693">_xlfn.IFS(_xlfn.SINGLE(Table1[imd_decile])&lt;=3,"Most Deprived",F693&lt;=7,"Moderately Deprived",F693&lt;=10,"Least Deprived")</f>
        <v>Least Deprived</v>
      </c>
      <c r="H693">
        <v>2.6</v>
      </c>
      <c r="I693" t="s">
        <v>18</v>
      </c>
      <c r="J693" t="s">
        <v>26</v>
      </c>
      <c r="K693" s="1">
        <v>45730</v>
      </c>
      <c r="L693" s="1">
        <v>45778</v>
      </c>
      <c r="M693" s="1" t="str">
        <f>TEXT(Table1[[#This Row],[appointment_date]],"MM/YYYY")</f>
        <v>05/2025</v>
      </c>
      <c r="N693">
        <v>48</v>
      </c>
      <c r="O693" t="str" cm="1">
        <f t="array" ref="O693">_xlfn.IFS(Table1[[#This Row],[lead_time_days]]&lt;=7,"0-7 days",N693&lt;=14,"8-14 days",N693&lt;=30,"15-30 days",N693&lt;=60,"31-60 days",TRUE,"61+ days")</f>
        <v>31-60 days</v>
      </c>
      <c r="P693" t="s">
        <v>20</v>
      </c>
      <c r="Q693" t="s">
        <v>21</v>
      </c>
      <c r="R693">
        <v>0</v>
      </c>
      <c r="S693" t="str">
        <f>IF(Table1[prior_dna_count]&gt;=1,"Has prior DNA history","No prior DNA history")</f>
        <v>No prior DNA history</v>
      </c>
      <c r="T693" t="s">
        <v>22</v>
      </c>
      <c r="U693" t="str">
        <f t="shared" si="10"/>
        <v>1</v>
      </c>
      <c r="V693" t="str">
        <f>IF(Table1[appointment_status]="Attended","1","0")</f>
        <v>1</v>
      </c>
      <c r="W693" t="str">
        <f>IF(Table1[appointment_status]="Cancelled","1","0")</f>
        <v>0</v>
      </c>
    </row>
    <row r="694" spans="1:23">
      <c r="A694" t="s">
        <v>1306</v>
      </c>
      <c r="B694" t="s">
        <v>1227</v>
      </c>
      <c r="C694">
        <v>61</v>
      </c>
      <c r="D694" t="str" cm="1">
        <f t="array" ref="D694">_xlfn.IFS(Table1[[#This Row],[age]]&lt;=17,"0-17",C694&lt;=29,"18-29",C694&lt;=44,"30-44",C694&lt;=59,"45-59",C694&lt;=74,"60-74",TRUE,"75+")</f>
        <v>60-74</v>
      </c>
      <c r="E694" t="s">
        <v>29</v>
      </c>
      <c r="F694">
        <v>6</v>
      </c>
      <c r="G694" t="str" cm="1">
        <f t="array" ref="G694">_xlfn.IFS(_xlfn.SINGLE(Table1[imd_decile])&lt;=3,"Most Deprived",F694&lt;=7,"Moderately Deprived",F694&lt;=10,"Least Deprived")</f>
        <v>Moderately Deprived</v>
      </c>
      <c r="H694">
        <v>6.8</v>
      </c>
      <c r="I694" t="s">
        <v>58</v>
      </c>
      <c r="J694" t="s">
        <v>19</v>
      </c>
      <c r="K694" s="1">
        <v>45770</v>
      </c>
      <c r="L694" s="1">
        <v>45778</v>
      </c>
      <c r="M694" s="1" t="str">
        <f>TEXT(Table1[[#This Row],[appointment_date]],"MM/YYYY")</f>
        <v>05/2025</v>
      </c>
      <c r="N694">
        <v>8</v>
      </c>
      <c r="O694" t="str" cm="1">
        <f t="array" ref="O694">_xlfn.IFS(Table1[[#This Row],[lead_time_days]]&lt;=7,"0-7 days",N694&lt;=14,"8-14 days",N694&lt;=30,"15-30 days",N694&lt;=60,"31-60 days",TRUE,"61+ days")</f>
        <v>8-14 days</v>
      </c>
      <c r="P694" t="s">
        <v>20</v>
      </c>
      <c r="Q694" t="s">
        <v>21</v>
      </c>
      <c r="R694">
        <v>0</v>
      </c>
      <c r="S694" t="str">
        <f>IF(Table1[prior_dna_count]&gt;=1,"Has prior DNA history","No prior DNA history")</f>
        <v>No prior DNA history</v>
      </c>
      <c r="T694" t="s">
        <v>22</v>
      </c>
      <c r="U694" t="str">
        <f t="shared" si="10"/>
        <v>1</v>
      </c>
      <c r="V694" t="str">
        <f>IF(Table1[appointment_status]="Attended","1","0")</f>
        <v>1</v>
      </c>
      <c r="W694" t="str">
        <f>IF(Table1[appointment_status]="Cancelled","1","0")</f>
        <v>0</v>
      </c>
    </row>
    <row r="695" spans="1:23">
      <c r="A695" t="s">
        <v>1307</v>
      </c>
      <c r="B695" t="s">
        <v>1308</v>
      </c>
      <c r="C695">
        <v>41</v>
      </c>
      <c r="D695" t="str" cm="1">
        <f t="array" ref="D695">_xlfn.IFS(Table1[[#This Row],[age]]&lt;=17,"0-17",C695&lt;=29,"18-29",C695&lt;=44,"30-44",C695&lt;=59,"45-59",C695&lt;=74,"60-74",TRUE,"75+")</f>
        <v>30-44</v>
      </c>
      <c r="E695" t="s">
        <v>29</v>
      </c>
      <c r="F695">
        <v>1</v>
      </c>
      <c r="G695" t="str" cm="1">
        <f t="array" ref="G695">_xlfn.IFS(_xlfn.SINGLE(Table1[imd_decile])&lt;=3,"Most Deprived",F695&lt;=7,"Moderately Deprived",F695&lt;=10,"Least Deprived")</f>
        <v>Most Deprived</v>
      </c>
      <c r="H695">
        <v>15.2</v>
      </c>
      <c r="I695" t="s">
        <v>155</v>
      </c>
      <c r="J695" t="s">
        <v>19</v>
      </c>
      <c r="K695" s="1">
        <v>45745</v>
      </c>
      <c r="L695" s="1">
        <v>45778</v>
      </c>
      <c r="M695" s="1" t="str">
        <f>TEXT(Table1[[#This Row],[appointment_date]],"MM/YYYY")</f>
        <v>05/2025</v>
      </c>
      <c r="N695">
        <v>33</v>
      </c>
      <c r="O695" t="str" cm="1">
        <f t="array" ref="O695">_xlfn.IFS(Table1[[#This Row],[lead_time_days]]&lt;=7,"0-7 days",N695&lt;=14,"8-14 days",N695&lt;=30,"15-30 days",N695&lt;=60,"31-60 days",TRUE,"61+ days")</f>
        <v>31-60 days</v>
      </c>
      <c r="P695" t="s">
        <v>20</v>
      </c>
      <c r="Q695" t="s">
        <v>21</v>
      </c>
      <c r="R695">
        <v>0</v>
      </c>
      <c r="S695" t="str">
        <f>IF(Table1[prior_dna_count]&gt;=1,"Has prior DNA history","No prior DNA history")</f>
        <v>No prior DNA history</v>
      </c>
      <c r="T695" t="s">
        <v>39</v>
      </c>
      <c r="U695" t="str">
        <f t="shared" si="10"/>
        <v>1</v>
      </c>
      <c r="V695" t="str">
        <f>IF(Table1[appointment_status]="Attended","1","0")</f>
        <v>0</v>
      </c>
      <c r="W695" t="str">
        <f>IF(Table1[appointment_status]="Cancelled","1","0")</f>
        <v>0</v>
      </c>
    </row>
    <row r="696" spans="1:23">
      <c r="A696" t="s">
        <v>1309</v>
      </c>
      <c r="B696" t="s">
        <v>1310</v>
      </c>
      <c r="C696">
        <v>73</v>
      </c>
      <c r="D696" t="str" cm="1">
        <f t="array" ref="D696">_xlfn.IFS(Table1[[#This Row],[age]]&lt;=17,"0-17",C696&lt;=29,"18-29",C696&lt;=44,"30-44",C696&lt;=59,"45-59",C696&lt;=74,"60-74",TRUE,"75+")</f>
        <v>60-74</v>
      </c>
      <c r="E696" t="s">
        <v>29</v>
      </c>
      <c r="F696">
        <v>3</v>
      </c>
      <c r="G696" t="str" cm="1">
        <f t="array" ref="G696">_xlfn.IFS(_xlfn.SINGLE(Table1[imd_decile])&lt;=3,"Most Deprived",F696&lt;=7,"Moderately Deprived",F696&lt;=10,"Least Deprived")</f>
        <v>Most Deprived</v>
      </c>
      <c r="H696">
        <v>4.9000000000000004</v>
      </c>
      <c r="I696" t="s">
        <v>45</v>
      </c>
      <c r="J696" t="s">
        <v>19</v>
      </c>
      <c r="K696" s="1">
        <v>45765</v>
      </c>
      <c r="L696" s="1">
        <v>45778</v>
      </c>
      <c r="M696" s="1" t="str">
        <f>TEXT(Table1[[#This Row],[appointment_date]],"MM/YYYY")</f>
        <v>05/2025</v>
      </c>
      <c r="N696">
        <v>13</v>
      </c>
      <c r="O696" t="str" cm="1">
        <f t="array" ref="O696">_xlfn.IFS(Table1[[#This Row],[lead_time_days]]&lt;=7,"0-7 days",N696&lt;=14,"8-14 days",N696&lt;=30,"15-30 days",N696&lt;=60,"31-60 days",TRUE,"61+ days")</f>
        <v>8-14 days</v>
      </c>
      <c r="P696" t="s">
        <v>20</v>
      </c>
      <c r="Q696" t="s">
        <v>21</v>
      </c>
      <c r="R696">
        <v>0</v>
      </c>
      <c r="S696" t="str">
        <f>IF(Table1[prior_dna_count]&gt;=1,"Has prior DNA history","No prior DNA history")</f>
        <v>No prior DNA history</v>
      </c>
      <c r="T696" t="s">
        <v>22</v>
      </c>
      <c r="U696" t="str">
        <f t="shared" si="10"/>
        <v>0</v>
      </c>
      <c r="V696" t="str">
        <f>IF(Table1[appointment_status]="Attended","1","0")</f>
        <v>1</v>
      </c>
      <c r="W696" t="str">
        <f>IF(Table1[appointment_status]="Cancelled","1","0")</f>
        <v>0</v>
      </c>
    </row>
    <row r="697" spans="1:23">
      <c r="A697" t="s">
        <v>1311</v>
      </c>
      <c r="B697" t="s">
        <v>887</v>
      </c>
      <c r="C697">
        <v>48</v>
      </c>
      <c r="D697" t="str" cm="1">
        <f t="array" ref="D697">_xlfn.IFS(Table1[[#This Row],[age]]&lt;=17,"0-17",C697&lt;=29,"18-29",C697&lt;=44,"30-44",C697&lt;=59,"45-59",C697&lt;=74,"60-74",TRUE,"75+")</f>
        <v>45-59</v>
      </c>
      <c r="E697" t="s">
        <v>17</v>
      </c>
      <c r="F697">
        <v>8</v>
      </c>
      <c r="G697" t="str" cm="1">
        <f t="array" ref="G697">_xlfn.IFS(_xlfn.SINGLE(Table1[imd_decile])&lt;=3,"Most Deprived",F697&lt;=7,"Moderately Deprived",F697&lt;=10,"Least Deprived")</f>
        <v>Least Deprived</v>
      </c>
      <c r="H697">
        <v>13.2</v>
      </c>
      <c r="I697" t="s">
        <v>18</v>
      </c>
      <c r="J697" t="s">
        <v>19</v>
      </c>
      <c r="K697" s="1">
        <v>45704</v>
      </c>
      <c r="L697" s="1">
        <v>45779</v>
      </c>
      <c r="M697" s="1" t="str">
        <f>TEXT(Table1[[#This Row],[appointment_date]],"MM/YYYY")</f>
        <v>05/2025</v>
      </c>
      <c r="N697">
        <v>75</v>
      </c>
      <c r="O697" t="str" cm="1">
        <f t="array" ref="O697">_xlfn.IFS(Table1[[#This Row],[lead_time_days]]&lt;=7,"0-7 days",N697&lt;=14,"8-14 days",N697&lt;=30,"15-30 days",N697&lt;=60,"31-60 days",TRUE,"61+ days")</f>
        <v>61+ days</v>
      </c>
      <c r="P697" t="s">
        <v>52</v>
      </c>
      <c r="Q697" t="s">
        <v>21</v>
      </c>
      <c r="R697">
        <v>0</v>
      </c>
      <c r="S697" t="str">
        <f>IF(Table1[prior_dna_count]&gt;=1,"Has prior DNA history","No prior DNA history")</f>
        <v>No prior DNA history</v>
      </c>
      <c r="T697" t="s">
        <v>39</v>
      </c>
      <c r="U697" t="str">
        <f t="shared" si="10"/>
        <v>1</v>
      </c>
      <c r="V697" t="str">
        <f>IF(Table1[appointment_status]="Attended","1","0")</f>
        <v>0</v>
      </c>
      <c r="W697" t="str">
        <f>IF(Table1[appointment_status]="Cancelled","1","0")</f>
        <v>0</v>
      </c>
    </row>
    <row r="698" spans="1:23">
      <c r="A698" t="s">
        <v>1312</v>
      </c>
      <c r="B698" t="s">
        <v>1313</v>
      </c>
      <c r="C698">
        <v>59</v>
      </c>
      <c r="D698" t="str" cm="1">
        <f t="array" ref="D698">_xlfn.IFS(Table1[[#This Row],[age]]&lt;=17,"0-17",C698&lt;=29,"18-29",C698&lt;=44,"30-44",C698&lt;=59,"45-59",C698&lt;=74,"60-74",TRUE,"75+")</f>
        <v>45-59</v>
      </c>
      <c r="E698" t="s">
        <v>29</v>
      </c>
      <c r="F698">
        <v>6</v>
      </c>
      <c r="G698" t="str" cm="1">
        <f t="array" ref="G698">_xlfn.IFS(_xlfn.SINGLE(Table1[imd_decile])&lt;=3,"Most Deprived",F698&lt;=7,"Moderately Deprived",F698&lt;=10,"Least Deprived")</f>
        <v>Moderately Deprived</v>
      </c>
      <c r="H698">
        <v>3.6</v>
      </c>
      <c r="I698" t="s">
        <v>30</v>
      </c>
      <c r="J698" t="s">
        <v>19</v>
      </c>
      <c r="K698" s="1">
        <v>45776</v>
      </c>
      <c r="L698" s="1">
        <v>45779</v>
      </c>
      <c r="M698" s="1" t="str">
        <f>TEXT(Table1[[#This Row],[appointment_date]],"MM/YYYY")</f>
        <v>05/2025</v>
      </c>
      <c r="N698">
        <v>3</v>
      </c>
      <c r="O698" t="str" cm="1">
        <f t="array" ref="O698">_xlfn.IFS(Table1[[#This Row],[lead_time_days]]&lt;=7,"0-7 days",N698&lt;=14,"8-14 days",N698&lt;=30,"15-30 days",N698&lt;=60,"31-60 days",TRUE,"61+ days")</f>
        <v>0-7 days</v>
      </c>
      <c r="P698" t="s">
        <v>52</v>
      </c>
      <c r="Q698" t="s">
        <v>21</v>
      </c>
      <c r="R698">
        <v>0</v>
      </c>
      <c r="S698" t="str">
        <f>IF(Table1[prior_dna_count]&gt;=1,"Has prior DNA history","No prior DNA history")</f>
        <v>No prior DNA history</v>
      </c>
      <c r="T698" t="s">
        <v>22</v>
      </c>
      <c r="U698" t="str">
        <f t="shared" si="10"/>
        <v>0</v>
      </c>
      <c r="V698" t="str">
        <f>IF(Table1[appointment_status]="Attended","1","0")</f>
        <v>1</v>
      </c>
      <c r="W698" t="str">
        <f>IF(Table1[appointment_status]="Cancelled","1","0")</f>
        <v>0</v>
      </c>
    </row>
    <row r="699" spans="1:23">
      <c r="A699" t="s">
        <v>1314</v>
      </c>
      <c r="B699" t="s">
        <v>1315</v>
      </c>
      <c r="C699">
        <v>40</v>
      </c>
      <c r="D699" t="str" cm="1">
        <f t="array" ref="D699">_xlfn.IFS(Table1[[#This Row],[age]]&lt;=17,"0-17",C699&lt;=29,"18-29",C699&lt;=44,"30-44",C699&lt;=59,"45-59",C699&lt;=74,"60-74",TRUE,"75+")</f>
        <v>30-44</v>
      </c>
      <c r="E699" t="s">
        <v>29</v>
      </c>
      <c r="F699">
        <v>2</v>
      </c>
      <c r="G699" t="str" cm="1">
        <f t="array" ref="G699">_xlfn.IFS(_xlfn.SINGLE(Table1[imd_decile])&lt;=3,"Most Deprived",F699&lt;=7,"Moderately Deprived",F699&lt;=10,"Least Deprived")</f>
        <v>Most Deprived</v>
      </c>
      <c r="H699">
        <v>11.8</v>
      </c>
      <c r="I699" t="s">
        <v>49</v>
      </c>
      <c r="J699" t="s">
        <v>19</v>
      </c>
      <c r="K699" s="1">
        <v>45761</v>
      </c>
      <c r="L699" s="1">
        <v>45779</v>
      </c>
      <c r="M699" s="1" t="str">
        <f>TEXT(Table1[[#This Row],[appointment_date]],"MM/YYYY")</f>
        <v>05/2025</v>
      </c>
      <c r="N699">
        <v>18</v>
      </c>
      <c r="O699" t="str" cm="1">
        <f t="array" ref="O699">_xlfn.IFS(Table1[[#This Row],[lead_time_days]]&lt;=7,"0-7 days",N699&lt;=14,"8-14 days",N699&lt;=30,"15-30 days",N699&lt;=60,"31-60 days",TRUE,"61+ days")</f>
        <v>15-30 days</v>
      </c>
      <c r="P699" t="s">
        <v>52</v>
      </c>
      <c r="Q699" t="s">
        <v>21</v>
      </c>
      <c r="R699">
        <v>1</v>
      </c>
      <c r="S699" t="str">
        <f>IF(Table1[prior_dna_count]&gt;=1,"Has prior DNA history","No prior DNA history")</f>
        <v>Has prior DNA history</v>
      </c>
      <c r="T699" t="s">
        <v>22</v>
      </c>
      <c r="U699" t="str">
        <f t="shared" si="10"/>
        <v>1</v>
      </c>
      <c r="V699" t="str">
        <f>IF(Table1[appointment_status]="Attended","1","0")</f>
        <v>1</v>
      </c>
      <c r="W699" t="str">
        <f>IF(Table1[appointment_status]="Cancelled","1","0")</f>
        <v>0</v>
      </c>
    </row>
    <row r="700" spans="1:23">
      <c r="A700" t="s">
        <v>1316</v>
      </c>
      <c r="B700" t="s">
        <v>947</v>
      </c>
      <c r="C700">
        <v>83</v>
      </c>
      <c r="D700" t="str" cm="1">
        <f t="array" ref="D700">_xlfn.IFS(Table1[[#This Row],[age]]&lt;=17,"0-17",C700&lt;=29,"18-29",C700&lt;=44,"30-44",C700&lt;=59,"45-59",C700&lt;=74,"60-74",TRUE,"75+")</f>
        <v>75+</v>
      </c>
      <c r="E700" t="s">
        <v>29</v>
      </c>
      <c r="F700">
        <v>9</v>
      </c>
      <c r="G700" t="str" cm="1">
        <f t="array" ref="G700">_xlfn.IFS(_xlfn.SINGLE(Table1[imd_decile])&lt;=3,"Most Deprived",F700&lt;=7,"Moderately Deprived",F700&lt;=10,"Least Deprived")</f>
        <v>Least Deprived</v>
      </c>
      <c r="H700">
        <v>6.4</v>
      </c>
      <c r="I700" t="s">
        <v>25</v>
      </c>
      <c r="J700" t="s">
        <v>19</v>
      </c>
      <c r="K700" s="1">
        <v>45753</v>
      </c>
      <c r="L700" s="1">
        <v>45779</v>
      </c>
      <c r="M700" s="1" t="str">
        <f>TEXT(Table1[[#This Row],[appointment_date]],"MM/YYYY")</f>
        <v>05/2025</v>
      </c>
      <c r="N700">
        <v>26</v>
      </c>
      <c r="O700" t="str" cm="1">
        <f t="array" ref="O700">_xlfn.IFS(Table1[[#This Row],[lead_time_days]]&lt;=7,"0-7 days",N700&lt;=14,"8-14 days",N700&lt;=30,"15-30 days",N700&lt;=60,"31-60 days",TRUE,"61+ days")</f>
        <v>15-30 days</v>
      </c>
      <c r="P700" t="s">
        <v>52</v>
      </c>
      <c r="Q700" t="s">
        <v>21</v>
      </c>
      <c r="R700">
        <v>0</v>
      </c>
      <c r="S700" t="str">
        <f>IF(Table1[prior_dna_count]&gt;=1,"Has prior DNA history","No prior DNA history")</f>
        <v>No prior DNA history</v>
      </c>
      <c r="T700" t="s">
        <v>22</v>
      </c>
      <c r="U700" t="str">
        <f t="shared" si="10"/>
        <v>1</v>
      </c>
      <c r="V700" t="str">
        <f>IF(Table1[appointment_status]="Attended","1","0")</f>
        <v>1</v>
      </c>
      <c r="W700" t="str">
        <f>IF(Table1[appointment_status]="Cancelled","1","0")</f>
        <v>0</v>
      </c>
    </row>
    <row r="701" spans="1:23">
      <c r="A701" t="s">
        <v>1317</v>
      </c>
      <c r="B701" t="s">
        <v>736</v>
      </c>
      <c r="C701">
        <v>26</v>
      </c>
      <c r="D701" t="str" cm="1">
        <f t="array" ref="D701">_xlfn.IFS(Table1[[#This Row],[age]]&lt;=17,"0-17",C701&lt;=29,"18-29",C701&lt;=44,"30-44",C701&lt;=59,"45-59",C701&lt;=74,"60-74",TRUE,"75+")</f>
        <v>18-29</v>
      </c>
      <c r="E701" t="s">
        <v>17</v>
      </c>
      <c r="F701">
        <v>1</v>
      </c>
      <c r="G701" t="str" cm="1">
        <f t="array" ref="G701">_xlfn.IFS(_xlfn.SINGLE(Table1[imd_decile])&lt;=3,"Most Deprived",F701&lt;=7,"Moderately Deprived",F701&lt;=10,"Least Deprived")</f>
        <v>Most Deprived</v>
      </c>
      <c r="H701">
        <v>10.7</v>
      </c>
      <c r="I701" t="s">
        <v>45</v>
      </c>
      <c r="J701" t="s">
        <v>19</v>
      </c>
      <c r="K701" s="1">
        <v>45716</v>
      </c>
      <c r="L701" s="1">
        <v>45779</v>
      </c>
      <c r="M701" s="1" t="str">
        <f>TEXT(Table1[[#This Row],[appointment_date]],"MM/YYYY")</f>
        <v>05/2025</v>
      </c>
      <c r="N701">
        <v>63</v>
      </c>
      <c r="O701" t="str" cm="1">
        <f t="array" ref="O701">_xlfn.IFS(Table1[[#This Row],[lead_time_days]]&lt;=7,"0-7 days",N701&lt;=14,"8-14 days",N701&lt;=30,"15-30 days",N701&lt;=60,"31-60 days",TRUE,"61+ days")</f>
        <v>61+ days</v>
      </c>
      <c r="P701" t="s">
        <v>52</v>
      </c>
      <c r="Q701" t="s">
        <v>32</v>
      </c>
      <c r="R701">
        <v>0</v>
      </c>
      <c r="S701" t="str">
        <f>IF(Table1[prior_dna_count]&gt;=1,"Has prior DNA history","No prior DNA history")</f>
        <v>No prior DNA history</v>
      </c>
      <c r="T701" t="s">
        <v>22</v>
      </c>
      <c r="U701" t="str">
        <f t="shared" si="10"/>
        <v>1</v>
      </c>
      <c r="V701" t="str">
        <f>IF(Table1[appointment_status]="Attended","1","0")</f>
        <v>1</v>
      </c>
      <c r="W701" t="str">
        <f>IF(Table1[appointment_status]="Cancelled","1","0")</f>
        <v>0</v>
      </c>
    </row>
    <row r="702" spans="1:23">
      <c r="A702" t="s">
        <v>1318</v>
      </c>
      <c r="B702" t="s">
        <v>1126</v>
      </c>
      <c r="C702">
        <v>22</v>
      </c>
      <c r="D702" t="str" cm="1">
        <f t="array" ref="D702">_xlfn.IFS(Table1[[#This Row],[age]]&lt;=17,"0-17",C702&lt;=29,"18-29",C702&lt;=44,"30-44",C702&lt;=59,"45-59",C702&lt;=74,"60-74",TRUE,"75+")</f>
        <v>18-29</v>
      </c>
      <c r="E702" t="s">
        <v>29</v>
      </c>
      <c r="F702">
        <v>9</v>
      </c>
      <c r="G702" t="str" cm="1">
        <f t="array" ref="G702">_xlfn.IFS(_xlfn.SINGLE(Table1[imd_decile])&lt;=3,"Most Deprived",F702&lt;=7,"Moderately Deprived",F702&lt;=10,"Least Deprived")</f>
        <v>Least Deprived</v>
      </c>
      <c r="H702">
        <v>3.8</v>
      </c>
      <c r="I702" t="s">
        <v>25</v>
      </c>
      <c r="J702" t="s">
        <v>19</v>
      </c>
      <c r="K702" s="1">
        <v>45758</v>
      </c>
      <c r="L702" s="1">
        <v>45779</v>
      </c>
      <c r="M702" s="1" t="str">
        <f>TEXT(Table1[[#This Row],[appointment_date]],"MM/YYYY")</f>
        <v>05/2025</v>
      </c>
      <c r="N702">
        <v>21</v>
      </c>
      <c r="O702" t="str" cm="1">
        <f t="array" ref="O702">_xlfn.IFS(Table1[[#This Row],[lead_time_days]]&lt;=7,"0-7 days",N702&lt;=14,"8-14 days",N702&lt;=30,"15-30 days",N702&lt;=60,"31-60 days",TRUE,"61+ days")</f>
        <v>15-30 days</v>
      </c>
      <c r="P702" t="s">
        <v>52</v>
      </c>
      <c r="Q702" t="s">
        <v>21</v>
      </c>
      <c r="R702">
        <v>0</v>
      </c>
      <c r="S702" t="str">
        <f>IF(Table1[prior_dna_count]&gt;=1,"Has prior DNA history","No prior DNA history")</f>
        <v>No prior DNA history</v>
      </c>
      <c r="T702" t="s">
        <v>22</v>
      </c>
      <c r="U702" t="str">
        <f t="shared" si="10"/>
        <v>1</v>
      </c>
      <c r="V702" t="str">
        <f>IF(Table1[appointment_status]="Attended","1","0")</f>
        <v>1</v>
      </c>
      <c r="W702" t="str">
        <f>IF(Table1[appointment_status]="Cancelled","1","0")</f>
        <v>0</v>
      </c>
    </row>
    <row r="703" spans="1:23">
      <c r="A703" t="s">
        <v>1319</v>
      </c>
      <c r="B703" t="s">
        <v>304</v>
      </c>
      <c r="C703">
        <v>68</v>
      </c>
      <c r="D703" t="str" cm="1">
        <f t="array" ref="D703">_xlfn.IFS(Table1[[#This Row],[age]]&lt;=17,"0-17",C703&lt;=29,"18-29",C703&lt;=44,"30-44",C703&lt;=59,"45-59",C703&lt;=74,"60-74",TRUE,"75+")</f>
        <v>60-74</v>
      </c>
      <c r="E703" t="s">
        <v>17</v>
      </c>
      <c r="F703">
        <v>6</v>
      </c>
      <c r="G703" t="str" cm="1">
        <f t="array" ref="G703">_xlfn.IFS(_xlfn.SINGLE(Table1[imd_decile])&lt;=3,"Most Deprived",F703&lt;=7,"Moderately Deprived",F703&lt;=10,"Least Deprived")</f>
        <v>Moderately Deprived</v>
      </c>
      <c r="H703">
        <v>14.4</v>
      </c>
      <c r="I703" t="s">
        <v>38</v>
      </c>
      <c r="J703" t="s">
        <v>19</v>
      </c>
      <c r="K703" s="1">
        <v>45763</v>
      </c>
      <c r="L703" s="1">
        <v>45779</v>
      </c>
      <c r="M703" s="1" t="str">
        <f>TEXT(Table1[[#This Row],[appointment_date]],"MM/YYYY")</f>
        <v>05/2025</v>
      </c>
      <c r="N703">
        <v>16</v>
      </c>
      <c r="O703" t="str" cm="1">
        <f t="array" ref="O703">_xlfn.IFS(Table1[[#This Row],[lead_time_days]]&lt;=7,"0-7 days",N703&lt;=14,"8-14 days",N703&lt;=30,"15-30 days",N703&lt;=60,"31-60 days",TRUE,"61+ days")</f>
        <v>15-30 days</v>
      </c>
      <c r="P703" t="s">
        <v>52</v>
      </c>
      <c r="Q703" t="s">
        <v>32</v>
      </c>
      <c r="R703">
        <v>0</v>
      </c>
      <c r="S703" t="str">
        <f>IF(Table1[prior_dna_count]&gt;=1,"Has prior DNA history","No prior DNA history")</f>
        <v>No prior DNA history</v>
      </c>
      <c r="T703" t="s">
        <v>22</v>
      </c>
      <c r="U703" t="str">
        <f t="shared" si="10"/>
        <v>1</v>
      </c>
      <c r="V703" t="str">
        <f>IF(Table1[appointment_status]="Attended","1","0")</f>
        <v>1</v>
      </c>
      <c r="W703" t="str">
        <f>IF(Table1[appointment_status]="Cancelled","1","0")</f>
        <v>0</v>
      </c>
    </row>
    <row r="704" spans="1:23">
      <c r="A704" t="s">
        <v>1320</v>
      </c>
      <c r="B704" t="s">
        <v>1321</v>
      </c>
      <c r="C704">
        <v>49</v>
      </c>
      <c r="D704" t="str" cm="1">
        <f t="array" ref="D704">_xlfn.IFS(Table1[[#This Row],[age]]&lt;=17,"0-17",C704&lt;=29,"18-29",C704&lt;=44,"30-44",C704&lt;=59,"45-59",C704&lt;=74,"60-74",TRUE,"75+")</f>
        <v>45-59</v>
      </c>
      <c r="E704" t="s">
        <v>29</v>
      </c>
      <c r="F704">
        <v>1</v>
      </c>
      <c r="G704" t="str" cm="1">
        <f t="array" ref="G704">_xlfn.IFS(_xlfn.SINGLE(Table1[imd_decile])&lt;=3,"Most Deprived",F704&lt;=7,"Moderately Deprived",F704&lt;=10,"Least Deprived")</f>
        <v>Most Deprived</v>
      </c>
      <c r="H704">
        <v>3</v>
      </c>
      <c r="I704" t="s">
        <v>49</v>
      </c>
      <c r="J704" t="s">
        <v>19</v>
      </c>
      <c r="K704" s="1">
        <v>45757</v>
      </c>
      <c r="L704" s="1">
        <v>45779</v>
      </c>
      <c r="M704" s="1" t="str">
        <f>TEXT(Table1[[#This Row],[appointment_date]],"MM/YYYY")</f>
        <v>05/2025</v>
      </c>
      <c r="N704">
        <v>22</v>
      </c>
      <c r="O704" t="str" cm="1">
        <f t="array" ref="O704">_xlfn.IFS(Table1[[#This Row],[lead_time_days]]&lt;=7,"0-7 days",N704&lt;=14,"8-14 days",N704&lt;=30,"15-30 days",N704&lt;=60,"31-60 days",TRUE,"61+ days")</f>
        <v>15-30 days</v>
      </c>
      <c r="P704" t="s">
        <v>52</v>
      </c>
      <c r="Q704" t="s">
        <v>21</v>
      </c>
      <c r="R704">
        <v>0</v>
      </c>
      <c r="S704" t="str">
        <f>IF(Table1[prior_dna_count]&gt;=1,"Has prior DNA history","No prior DNA history")</f>
        <v>No prior DNA history</v>
      </c>
      <c r="T704" t="s">
        <v>22</v>
      </c>
      <c r="U704" t="str">
        <f t="shared" si="10"/>
        <v>1</v>
      </c>
      <c r="V704" t="str">
        <f>IF(Table1[appointment_status]="Attended","1","0")</f>
        <v>1</v>
      </c>
      <c r="W704" t="str">
        <f>IF(Table1[appointment_status]="Cancelled","1","0")</f>
        <v>0</v>
      </c>
    </row>
    <row r="705" spans="1:23">
      <c r="A705" t="s">
        <v>1322</v>
      </c>
      <c r="B705" t="s">
        <v>1323</v>
      </c>
      <c r="C705">
        <v>46</v>
      </c>
      <c r="D705" t="str" cm="1">
        <f t="array" ref="D705">_xlfn.IFS(Table1[[#This Row],[age]]&lt;=17,"0-17",C705&lt;=29,"18-29",C705&lt;=44,"30-44",C705&lt;=59,"45-59",C705&lt;=74,"60-74",TRUE,"75+")</f>
        <v>45-59</v>
      </c>
      <c r="E705" t="s">
        <v>29</v>
      </c>
      <c r="F705">
        <v>2</v>
      </c>
      <c r="G705" t="str" cm="1">
        <f t="array" ref="G705">_xlfn.IFS(_xlfn.SINGLE(Table1[imd_decile])&lt;=3,"Most Deprived",F705&lt;=7,"Moderately Deprived",F705&lt;=10,"Least Deprived")</f>
        <v>Most Deprived</v>
      </c>
      <c r="H705">
        <v>5.8</v>
      </c>
      <c r="I705" t="s">
        <v>58</v>
      </c>
      <c r="J705" t="s">
        <v>26</v>
      </c>
      <c r="K705" s="1">
        <v>45768</v>
      </c>
      <c r="L705" s="1">
        <v>45779</v>
      </c>
      <c r="M705" s="1" t="str">
        <f>TEXT(Table1[[#This Row],[appointment_date]],"MM/YYYY")</f>
        <v>05/2025</v>
      </c>
      <c r="N705">
        <v>11</v>
      </c>
      <c r="O705" t="str" cm="1">
        <f t="array" ref="O705">_xlfn.IFS(Table1[[#This Row],[lead_time_days]]&lt;=7,"0-7 days",N705&lt;=14,"8-14 days",N705&lt;=30,"15-30 days",N705&lt;=60,"31-60 days",TRUE,"61+ days")</f>
        <v>8-14 days</v>
      </c>
      <c r="P705" t="s">
        <v>52</v>
      </c>
      <c r="Q705" t="s">
        <v>32</v>
      </c>
      <c r="R705">
        <v>0</v>
      </c>
      <c r="S705" t="str">
        <f>IF(Table1[prior_dna_count]&gt;=1,"Has prior DNA history","No prior DNA history")</f>
        <v>No prior DNA history</v>
      </c>
      <c r="T705" t="s">
        <v>22</v>
      </c>
      <c r="U705" t="str">
        <f t="shared" si="10"/>
        <v>1</v>
      </c>
      <c r="V705" t="str">
        <f>IF(Table1[appointment_status]="Attended","1","0")</f>
        <v>1</v>
      </c>
      <c r="W705" t="str">
        <f>IF(Table1[appointment_status]="Cancelled","1","0")</f>
        <v>0</v>
      </c>
    </row>
    <row r="706" spans="1:23">
      <c r="A706" t="s">
        <v>1324</v>
      </c>
      <c r="B706" t="s">
        <v>1325</v>
      </c>
      <c r="C706">
        <v>44</v>
      </c>
      <c r="D706" t="str" cm="1">
        <f t="array" ref="D706">_xlfn.IFS(Table1[[#This Row],[age]]&lt;=17,"0-17",C706&lt;=29,"18-29",C706&lt;=44,"30-44",C706&lt;=59,"45-59",C706&lt;=74,"60-74",TRUE,"75+")</f>
        <v>30-44</v>
      </c>
      <c r="E706" t="s">
        <v>17</v>
      </c>
      <c r="F706">
        <v>6</v>
      </c>
      <c r="G706" t="str" cm="1">
        <f t="array" ref="G706">_xlfn.IFS(_xlfn.SINGLE(Table1[imd_decile])&lt;=3,"Most Deprived",F706&lt;=7,"Moderately Deprived",F706&lt;=10,"Least Deprived")</f>
        <v>Moderately Deprived</v>
      </c>
      <c r="H706">
        <v>10.199999999999999</v>
      </c>
      <c r="I706" t="s">
        <v>45</v>
      </c>
      <c r="J706" t="s">
        <v>19</v>
      </c>
      <c r="K706" s="1">
        <v>45762</v>
      </c>
      <c r="L706" s="1">
        <v>45779</v>
      </c>
      <c r="M706" s="1" t="str">
        <f>TEXT(Table1[[#This Row],[appointment_date]],"MM/YYYY")</f>
        <v>05/2025</v>
      </c>
      <c r="N706">
        <v>17</v>
      </c>
      <c r="O706" t="str" cm="1">
        <f t="array" ref="O706">_xlfn.IFS(Table1[[#This Row],[lead_time_days]]&lt;=7,"0-7 days",N706&lt;=14,"8-14 days",N706&lt;=30,"15-30 days",N706&lt;=60,"31-60 days",TRUE,"61+ days")</f>
        <v>15-30 days</v>
      </c>
      <c r="P706" t="s">
        <v>52</v>
      </c>
      <c r="Q706" t="s">
        <v>32</v>
      </c>
      <c r="R706">
        <v>0</v>
      </c>
      <c r="S706" t="str">
        <f>IF(Table1[prior_dna_count]&gt;=1,"Has prior DNA history","No prior DNA history")</f>
        <v>No prior DNA history</v>
      </c>
      <c r="T706" t="s">
        <v>22</v>
      </c>
      <c r="U706" t="str">
        <f t="shared" ref="U706:U769" si="11">V705</f>
        <v>1</v>
      </c>
      <c r="V706" t="str">
        <f>IF(Table1[appointment_status]="Attended","1","0")</f>
        <v>1</v>
      </c>
      <c r="W706" t="str">
        <f>IF(Table1[appointment_status]="Cancelled","1","0")</f>
        <v>0</v>
      </c>
    </row>
    <row r="707" spans="1:23">
      <c r="A707" t="s">
        <v>1326</v>
      </c>
      <c r="B707" t="s">
        <v>891</v>
      </c>
      <c r="C707">
        <v>33</v>
      </c>
      <c r="D707" t="str" cm="1">
        <f t="array" ref="D707">_xlfn.IFS(Table1[[#This Row],[age]]&lt;=17,"0-17",C707&lt;=29,"18-29",C707&lt;=44,"30-44",C707&lt;=59,"45-59",C707&lt;=74,"60-74",TRUE,"75+")</f>
        <v>30-44</v>
      </c>
      <c r="E707" t="s">
        <v>17</v>
      </c>
      <c r="F707">
        <v>9</v>
      </c>
      <c r="G707" t="str" cm="1">
        <f t="array" ref="G707">_xlfn.IFS(_xlfn.SINGLE(Table1[imd_decile])&lt;=3,"Most Deprived",F707&lt;=7,"Moderately Deprived",F707&lt;=10,"Least Deprived")</f>
        <v>Least Deprived</v>
      </c>
      <c r="H707">
        <v>2.6</v>
      </c>
      <c r="I707" t="s">
        <v>18</v>
      </c>
      <c r="J707" t="s">
        <v>19</v>
      </c>
      <c r="K707" s="1">
        <v>45747</v>
      </c>
      <c r="L707" s="1">
        <v>45779</v>
      </c>
      <c r="M707" s="1" t="str">
        <f>TEXT(Table1[[#This Row],[appointment_date]],"MM/YYYY")</f>
        <v>05/2025</v>
      </c>
      <c r="N707">
        <v>32</v>
      </c>
      <c r="O707" t="str" cm="1">
        <f t="array" ref="O707">_xlfn.IFS(Table1[[#This Row],[lead_time_days]]&lt;=7,"0-7 days",N707&lt;=14,"8-14 days",N707&lt;=30,"15-30 days",N707&lt;=60,"31-60 days",TRUE,"61+ days")</f>
        <v>31-60 days</v>
      </c>
      <c r="P707" t="s">
        <v>52</v>
      </c>
      <c r="Q707" t="s">
        <v>21</v>
      </c>
      <c r="R707">
        <v>0</v>
      </c>
      <c r="S707" t="str">
        <f>IF(Table1[prior_dna_count]&gt;=1,"Has prior DNA history","No prior DNA history")</f>
        <v>No prior DNA history</v>
      </c>
      <c r="T707" t="s">
        <v>39</v>
      </c>
      <c r="U707" t="str">
        <f t="shared" si="11"/>
        <v>1</v>
      </c>
      <c r="V707" t="str">
        <f>IF(Table1[appointment_status]="Attended","1","0")</f>
        <v>0</v>
      </c>
      <c r="W707" t="str">
        <f>IF(Table1[appointment_status]="Cancelled","1","0")</f>
        <v>0</v>
      </c>
    </row>
    <row r="708" spans="1:23">
      <c r="A708" t="s">
        <v>1327</v>
      </c>
      <c r="B708" t="s">
        <v>887</v>
      </c>
      <c r="C708">
        <v>48</v>
      </c>
      <c r="D708" t="str" cm="1">
        <f t="array" ref="D708">_xlfn.IFS(Table1[[#This Row],[age]]&lt;=17,"0-17",C708&lt;=29,"18-29",C708&lt;=44,"30-44",C708&lt;=59,"45-59",C708&lt;=74,"60-74",TRUE,"75+")</f>
        <v>45-59</v>
      </c>
      <c r="E708" t="s">
        <v>17</v>
      </c>
      <c r="F708">
        <v>8</v>
      </c>
      <c r="G708" t="str" cm="1">
        <f t="array" ref="G708">_xlfn.IFS(_xlfn.SINGLE(Table1[imd_decile])&lt;=3,"Most Deprived",F708&lt;=7,"Moderately Deprived",F708&lt;=10,"Least Deprived")</f>
        <v>Least Deprived</v>
      </c>
      <c r="H708">
        <v>13.2</v>
      </c>
      <c r="I708" t="s">
        <v>18</v>
      </c>
      <c r="J708" t="s">
        <v>26</v>
      </c>
      <c r="K708" s="1">
        <v>45762</v>
      </c>
      <c r="L708" s="1">
        <v>45780</v>
      </c>
      <c r="M708" s="1" t="str">
        <f>TEXT(Table1[[#This Row],[appointment_date]],"MM/YYYY")</f>
        <v>05/2025</v>
      </c>
      <c r="N708">
        <v>18</v>
      </c>
      <c r="O708" t="str" cm="1">
        <f t="array" ref="O708">_xlfn.IFS(Table1[[#This Row],[lead_time_days]]&lt;=7,"0-7 days",N708&lt;=14,"8-14 days",N708&lt;=30,"15-30 days",N708&lt;=60,"31-60 days",TRUE,"61+ days")</f>
        <v>15-30 days</v>
      </c>
      <c r="P708" t="s">
        <v>55</v>
      </c>
      <c r="Q708" t="s">
        <v>32</v>
      </c>
      <c r="R708">
        <v>2</v>
      </c>
      <c r="S708" t="str">
        <f>IF(Table1[prior_dna_count]&gt;=1,"Has prior DNA history","No prior DNA history")</f>
        <v>Has prior DNA history</v>
      </c>
      <c r="T708" t="s">
        <v>22</v>
      </c>
      <c r="U708" t="str">
        <f t="shared" si="11"/>
        <v>0</v>
      </c>
      <c r="V708" t="str">
        <f>IF(Table1[appointment_status]="Attended","1","0")</f>
        <v>1</v>
      </c>
      <c r="W708" t="str">
        <f>IF(Table1[appointment_status]="Cancelled","1","0")</f>
        <v>0</v>
      </c>
    </row>
    <row r="709" spans="1:23">
      <c r="A709" t="s">
        <v>1328</v>
      </c>
      <c r="B709" t="s">
        <v>268</v>
      </c>
      <c r="C709">
        <v>18</v>
      </c>
      <c r="D709" t="str" cm="1">
        <f t="array" ref="D709">_xlfn.IFS(Table1[[#This Row],[age]]&lt;=17,"0-17",C709&lt;=29,"18-29",C709&lt;=44,"30-44",C709&lt;=59,"45-59",C709&lt;=74,"60-74",TRUE,"75+")</f>
        <v>18-29</v>
      </c>
      <c r="E709" t="s">
        <v>29</v>
      </c>
      <c r="F709">
        <v>4</v>
      </c>
      <c r="G709" t="str" cm="1">
        <f t="array" ref="G709">_xlfn.IFS(_xlfn.SINGLE(Table1[imd_decile])&lt;=3,"Most Deprived",F709&lt;=7,"Moderately Deprived",F709&lt;=10,"Least Deprived")</f>
        <v>Moderately Deprived</v>
      </c>
      <c r="H709">
        <v>14.5</v>
      </c>
      <c r="I709" t="s">
        <v>30</v>
      </c>
      <c r="J709" t="s">
        <v>26</v>
      </c>
      <c r="K709" s="1">
        <v>45766</v>
      </c>
      <c r="L709" s="1">
        <v>45780</v>
      </c>
      <c r="M709" s="1" t="str">
        <f>TEXT(Table1[[#This Row],[appointment_date]],"MM/YYYY")</f>
        <v>05/2025</v>
      </c>
      <c r="N709">
        <v>14</v>
      </c>
      <c r="O709" t="str" cm="1">
        <f t="array" ref="O709">_xlfn.IFS(Table1[[#This Row],[lead_time_days]]&lt;=7,"0-7 days",N709&lt;=14,"8-14 days",N709&lt;=30,"15-30 days",N709&lt;=60,"31-60 days",TRUE,"61+ days")</f>
        <v>8-14 days</v>
      </c>
      <c r="P709" t="s">
        <v>55</v>
      </c>
      <c r="Q709" t="s">
        <v>21</v>
      </c>
      <c r="R709">
        <v>0</v>
      </c>
      <c r="S709" t="str">
        <f>IF(Table1[prior_dna_count]&gt;=1,"Has prior DNA history","No prior DNA history")</f>
        <v>No prior DNA history</v>
      </c>
      <c r="T709" t="s">
        <v>22</v>
      </c>
      <c r="U709" t="str">
        <f t="shared" si="11"/>
        <v>1</v>
      </c>
      <c r="V709" t="str">
        <f>IF(Table1[appointment_status]="Attended","1","0")</f>
        <v>1</v>
      </c>
      <c r="W709" t="str">
        <f>IF(Table1[appointment_status]="Cancelled","1","0")</f>
        <v>0</v>
      </c>
    </row>
    <row r="710" spans="1:23">
      <c r="A710" t="s">
        <v>1329</v>
      </c>
      <c r="B710" t="s">
        <v>1330</v>
      </c>
      <c r="C710">
        <v>56</v>
      </c>
      <c r="D710" t="str" cm="1">
        <f t="array" ref="D710">_xlfn.IFS(Table1[[#This Row],[age]]&lt;=17,"0-17",C710&lt;=29,"18-29",C710&lt;=44,"30-44",C710&lt;=59,"45-59",C710&lt;=74,"60-74",TRUE,"75+")</f>
        <v>45-59</v>
      </c>
      <c r="E710" t="s">
        <v>29</v>
      </c>
      <c r="F710">
        <v>3</v>
      </c>
      <c r="G710" t="str" cm="1">
        <f t="array" ref="G710">_xlfn.IFS(_xlfn.SINGLE(Table1[imd_decile])&lt;=3,"Most Deprived",F710&lt;=7,"Moderately Deprived",F710&lt;=10,"Least Deprived")</f>
        <v>Most Deprived</v>
      </c>
      <c r="H710">
        <v>6.4</v>
      </c>
      <c r="I710" t="s">
        <v>155</v>
      </c>
      <c r="J710" t="s">
        <v>19</v>
      </c>
      <c r="K710" s="1">
        <v>45718</v>
      </c>
      <c r="L710" s="1">
        <v>45780</v>
      </c>
      <c r="M710" s="1" t="str">
        <f>TEXT(Table1[[#This Row],[appointment_date]],"MM/YYYY")</f>
        <v>05/2025</v>
      </c>
      <c r="N710">
        <v>62</v>
      </c>
      <c r="O710" t="str" cm="1">
        <f t="array" ref="O710">_xlfn.IFS(Table1[[#This Row],[lead_time_days]]&lt;=7,"0-7 days",N710&lt;=14,"8-14 days",N710&lt;=30,"15-30 days",N710&lt;=60,"31-60 days",TRUE,"61+ days")</f>
        <v>61+ days</v>
      </c>
      <c r="P710" t="s">
        <v>55</v>
      </c>
      <c r="Q710" t="s">
        <v>21</v>
      </c>
      <c r="R710">
        <v>1</v>
      </c>
      <c r="S710" t="str">
        <f>IF(Table1[prior_dna_count]&gt;=1,"Has prior DNA history","No prior DNA history")</f>
        <v>Has prior DNA history</v>
      </c>
      <c r="T710" t="s">
        <v>22</v>
      </c>
      <c r="U710" t="str">
        <f t="shared" si="11"/>
        <v>1</v>
      </c>
      <c r="V710" t="str">
        <f>IF(Table1[appointment_status]="Attended","1","0")</f>
        <v>1</v>
      </c>
      <c r="W710" t="str">
        <f>IF(Table1[appointment_status]="Cancelled","1","0")</f>
        <v>0</v>
      </c>
    </row>
    <row r="711" spans="1:23">
      <c r="A711" t="s">
        <v>1331</v>
      </c>
      <c r="B711" t="s">
        <v>1332</v>
      </c>
      <c r="C711">
        <v>48</v>
      </c>
      <c r="D711" t="str" cm="1">
        <f t="array" ref="D711">_xlfn.IFS(Table1[[#This Row],[age]]&lt;=17,"0-17",C711&lt;=29,"18-29",C711&lt;=44,"30-44",C711&lt;=59,"45-59",C711&lt;=74,"60-74",TRUE,"75+")</f>
        <v>45-59</v>
      </c>
      <c r="E711" t="s">
        <v>29</v>
      </c>
      <c r="F711">
        <v>1</v>
      </c>
      <c r="G711" t="str" cm="1">
        <f t="array" ref="G711">_xlfn.IFS(_xlfn.SINGLE(Table1[imd_decile])&lt;=3,"Most Deprived",F711&lt;=7,"Moderately Deprived",F711&lt;=10,"Least Deprived")</f>
        <v>Most Deprived</v>
      </c>
      <c r="H711">
        <v>3.4</v>
      </c>
      <c r="I711" t="s">
        <v>49</v>
      </c>
      <c r="J711" t="s">
        <v>19</v>
      </c>
      <c r="K711" s="1">
        <v>45768</v>
      </c>
      <c r="L711" s="1">
        <v>45780</v>
      </c>
      <c r="M711" s="1" t="str">
        <f>TEXT(Table1[[#This Row],[appointment_date]],"MM/YYYY")</f>
        <v>05/2025</v>
      </c>
      <c r="N711">
        <v>12</v>
      </c>
      <c r="O711" t="str" cm="1">
        <f t="array" ref="O711">_xlfn.IFS(Table1[[#This Row],[lead_time_days]]&lt;=7,"0-7 days",N711&lt;=14,"8-14 days",N711&lt;=30,"15-30 days",N711&lt;=60,"31-60 days",TRUE,"61+ days")</f>
        <v>8-14 days</v>
      </c>
      <c r="P711" t="s">
        <v>55</v>
      </c>
      <c r="Q711" t="s">
        <v>32</v>
      </c>
      <c r="R711">
        <v>1</v>
      </c>
      <c r="S711" t="str">
        <f>IF(Table1[prior_dna_count]&gt;=1,"Has prior DNA history","No prior DNA history")</f>
        <v>Has prior DNA history</v>
      </c>
      <c r="T711" t="s">
        <v>39</v>
      </c>
      <c r="U711" t="str">
        <f t="shared" si="11"/>
        <v>1</v>
      </c>
      <c r="V711" t="str">
        <f>IF(Table1[appointment_status]="Attended","1","0")</f>
        <v>0</v>
      </c>
      <c r="W711" t="str">
        <f>IF(Table1[appointment_status]="Cancelled","1","0")</f>
        <v>0</v>
      </c>
    </row>
    <row r="712" spans="1:23">
      <c r="A712" t="s">
        <v>1333</v>
      </c>
      <c r="B712" t="s">
        <v>848</v>
      </c>
      <c r="C712">
        <v>31</v>
      </c>
      <c r="D712" t="str" cm="1">
        <f t="array" ref="D712">_xlfn.IFS(Table1[[#This Row],[age]]&lt;=17,"0-17",C712&lt;=29,"18-29",C712&lt;=44,"30-44",C712&lt;=59,"45-59",C712&lt;=74,"60-74",TRUE,"75+")</f>
        <v>30-44</v>
      </c>
      <c r="E712" t="s">
        <v>29</v>
      </c>
      <c r="F712">
        <v>6</v>
      </c>
      <c r="G712" t="str" cm="1">
        <f t="array" ref="G712">_xlfn.IFS(_xlfn.SINGLE(Table1[imd_decile])&lt;=3,"Most Deprived",F712&lt;=7,"Moderately Deprived",F712&lt;=10,"Least Deprived")</f>
        <v>Moderately Deprived</v>
      </c>
      <c r="H712">
        <v>4.0999999999999996</v>
      </c>
      <c r="I712" t="s">
        <v>25</v>
      </c>
      <c r="J712" t="s">
        <v>26</v>
      </c>
      <c r="K712" s="1">
        <v>45772</v>
      </c>
      <c r="L712" s="1">
        <v>45780</v>
      </c>
      <c r="M712" s="1" t="str">
        <f>TEXT(Table1[[#This Row],[appointment_date]],"MM/YYYY")</f>
        <v>05/2025</v>
      </c>
      <c r="N712">
        <v>8</v>
      </c>
      <c r="O712" t="str" cm="1">
        <f t="array" ref="O712">_xlfn.IFS(Table1[[#This Row],[lead_time_days]]&lt;=7,"0-7 days",N712&lt;=14,"8-14 days",N712&lt;=30,"15-30 days",N712&lt;=60,"31-60 days",TRUE,"61+ days")</f>
        <v>8-14 days</v>
      </c>
      <c r="P712" t="s">
        <v>55</v>
      </c>
      <c r="Q712" t="s">
        <v>21</v>
      </c>
      <c r="R712">
        <v>0</v>
      </c>
      <c r="S712" t="str">
        <f>IF(Table1[prior_dna_count]&gt;=1,"Has prior DNA history","No prior DNA history")</f>
        <v>No prior DNA history</v>
      </c>
      <c r="T712" t="s">
        <v>22</v>
      </c>
      <c r="U712" t="str">
        <f t="shared" si="11"/>
        <v>0</v>
      </c>
      <c r="V712" t="str">
        <f>IF(Table1[appointment_status]="Attended","1","0")</f>
        <v>1</v>
      </c>
      <c r="W712" t="str">
        <f>IF(Table1[appointment_status]="Cancelled","1","0")</f>
        <v>0</v>
      </c>
    </row>
    <row r="713" spans="1:23">
      <c r="A713" t="s">
        <v>1334</v>
      </c>
      <c r="B713" t="s">
        <v>1335</v>
      </c>
      <c r="C713">
        <v>36</v>
      </c>
      <c r="D713" t="str" cm="1">
        <f t="array" ref="D713">_xlfn.IFS(Table1[[#This Row],[age]]&lt;=17,"0-17",C713&lt;=29,"18-29",C713&lt;=44,"30-44",C713&lt;=59,"45-59",C713&lt;=74,"60-74",TRUE,"75+")</f>
        <v>30-44</v>
      </c>
      <c r="E713" t="s">
        <v>29</v>
      </c>
      <c r="F713">
        <v>9</v>
      </c>
      <c r="G713" t="str" cm="1">
        <f t="array" ref="G713">_xlfn.IFS(_xlfn.SINGLE(Table1[imd_decile])&lt;=3,"Most Deprived",F713&lt;=7,"Moderately Deprived",F713&lt;=10,"Least Deprived")</f>
        <v>Least Deprived</v>
      </c>
      <c r="H713">
        <v>11.1</v>
      </c>
      <c r="I713" t="s">
        <v>25</v>
      </c>
      <c r="J713" t="s">
        <v>19</v>
      </c>
      <c r="K713" s="1">
        <v>45767</v>
      </c>
      <c r="L713" s="1">
        <v>45780</v>
      </c>
      <c r="M713" s="1" t="str">
        <f>TEXT(Table1[[#This Row],[appointment_date]],"MM/YYYY")</f>
        <v>05/2025</v>
      </c>
      <c r="N713">
        <v>13</v>
      </c>
      <c r="O713" t="str" cm="1">
        <f t="array" ref="O713">_xlfn.IFS(Table1[[#This Row],[lead_time_days]]&lt;=7,"0-7 days",N713&lt;=14,"8-14 days",N713&lt;=30,"15-30 days",N713&lt;=60,"31-60 days",TRUE,"61+ days")</f>
        <v>8-14 days</v>
      </c>
      <c r="P713" t="s">
        <v>55</v>
      </c>
      <c r="Q713" t="s">
        <v>21</v>
      </c>
      <c r="R713">
        <v>0</v>
      </c>
      <c r="S713" t="str">
        <f>IF(Table1[prior_dna_count]&gt;=1,"Has prior DNA history","No prior DNA history")</f>
        <v>No prior DNA history</v>
      </c>
      <c r="T713" t="s">
        <v>46</v>
      </c>
      <c r="U713" t="str">
        <f t="shared" si="11"/>
        <v>1</v>
      </c>
      <c r="V713" t="str">
        <f>IF(Table1[appointment_status]="Attended","1","0")</f>
        <v>0</v>
      </c>
      <c r="W713" t="str">
        <f>IF(Table1[appointment_status]="Cancelled","1","0")</f>
        <v>1</v>
      </c>
    </row>
    <row r="714" spans="1:23">
      <c r="A714" t="s">
        <v>1336</v>
      </c>
      <c r="B714" t="s">
        <v>1337</v>
      </c>
      <c r="C714">
        <v>24</v>
      </c>
      <c r="D714" t="str" cm="1">
        <f t="array" ref="D714">_xlfn.IFS(Table1[[#This Row],[age]]&lt;=17,"0-17",C714&lt;=29,"18-29",C714&lt;=44,"30-44",C714&lt;=59,"45-59",C714&lt;=74,"60-74",TRUE,"75+")</f>
        <v>18-29</v>
      </c>
      <c r="E714" t="s">
        <v>17</v>
      </c>
      <c r="F714">
        <v>3</v>
      </c>
      <c r="G714" t="str" cm="1">
        <f t="array" ref="G714">_xlfn.IFS(_xlfn.SINGLE(Table1[imd_decile])&lt;=3,"Most Deprived",F714&lt;=7,"Moderately Deprived",F714&lt;=10,"Least Deprived")</f>
        <v>Most Deprived</v>
      </c>
      <c r="H714">
        <v>19.3</v>
      </c>
      <c r="I714" t="s">
        <v>18</v>
      </c>
      <c r="J714" t="s">
        <v>26</v>
      </c>
      <c r="K714" s="1">
        <v>45771</v>
      </c>
      <c r="L714" s="1">
        <v>45780</v>
      </c>
      <c r="M714" s="1" t="str">
        <f>TEXT(Table1[[#This Row],[appointment_date]],"MM/YYYY")</f>
        <v>05/2025</v>
      </c>
      <c r="N714">
        <v>9</v>
      </c>
      <c r="O714" t="str" cm="1">
        <f t="array" ref="O714">_xlfn.IFS(Table1[[#This Row],[lead_time_days]]&lt;=7,"0-7 days",N714&lt;=14,"8-14 days",N714&lt;=30,"15-30 days",N714&lt;=60,"31-60 days",TRUE,"61+ days")</f>
        <v>8-14 days</v>
      </c>
      <c r="P714" t="s">
        <v>55</v>
      </c>
      <c r="Q714" t="s">
        <v>32</v>
      </c>
      <c r="R714">
        <v>0</v>
      </c>
      <c r="S714" t="str">
        <f>IF(Table1[prior_dna_count]&gt;=1,"Has prior DNA history","No prior DNA history")</f>
        <v>No prior DNA history</v>
      </c>
      <c r="T714" t="s">
        <v>22</v>
      </c>
      <c r="U714" t="str">
        <f t="shared" si="11"/>
        <v>0</v>
      </c>
      <c r="V714" t="str">
        <f>IF(Table1[appointment_status]="Attended","1","0")</f>
        <v>1</v>
      </c>
      <c r="W714" t="str">
        <f>IF(Table1[appointment_status]="Cancelled","1","0")</f>
        <v>0</v>
      </c>
    </row>
    <row r="715" spans="1:23">
      <c r="A715" t="s">
        <v>1338</v>
      </c>
      <c r="B715" t="s">
        <v>1339</v>
      </c>
      <c r="C715">
        <v>49</v>
      </c>
      <c r="D715" t="str" cm="1">
        <f t="array" ref="D715">_xlfn.IFS(Table1[[#This Row],[age]]&lt;=17,"0-17",C715&lt;=29,"18-29",C715&lt;=44,"30-44",C715&lt;=59,"45-59",C715&lt;=74,"60-74",TRUE,"75+")</f>
        <v>45-59</v>
      </c>
      <c r="E715" t="s">
        <v>29</v>
      </c>
      <c r="F715">
        <v>8</v>
      </c>
      <c r="G715" t="str" cm="1">
        <f t="array" ref="G715">_xlfn.IFS(_xlfn.SINGLE(Table1[imd_decile])&lt;=3,"Most Deprived",F715&lt;=7,"Moderately Deprived",F715&lt;=10,"Least Deprived")</f>
        <v>Least Deprived</v>
      </c>
      <c r="H715">
        <v>19</v>
      </c>
      <c r="I715" t="s">
        <v>18</v>
      </c>
      <c r="J715" t="s">
        <v>26</v>
      </c>
      <c r="K715" s="1">
        <v>45731</v>
      </c>
      <c r="L715" s="1">
        <v>45780</v>
      </c>
      <c r="M715" s="1" t="str">
        <f>TEXT(Table1[[#This Row],[appointment_date]],"MM/YYYY")</f>
        <v>05/2025</v>
      </c>
      <c r="N715">
        <v>49</v>
      </c>
      <c r="O715" t="str" cm="1">
        <f t="array" ref="O715">_xlfn.IFS(Table1[[#This Row],[lead_time_days]]&lt;=7,"0-7 days",N715&lt;=14,"8-14 days",N715&lt;=30,"15-30 days",N715&lt;=60,"31-60 days",TRUE,"61+ days")</f>
        <v>31-60 days</v>
      </c>
      <c r="P715" t="s">
        <v>55</v>
      </c>
      <c r="Q715" t="s">
        <v>32</v>
      </c>
      <c r="R715">
        <v>0</v>
      </c>
      <c r="S715" t="str">
        <f>IF(Table1[prior_dna_count]&gt;=1,"Has prior DNA history","No prior DNA history")</f>
        <v>No prior DNA history</v>
      </c>
      <c r="T715" t="s">
        <v>39</v>
      </c>
      <c r="U715" t="str">
        <f t="shared" si="11"/>
        <v>1</v>
      </c>
      <c r="V715" t="str">
        <f>IF(Table1[appointment_status]="Attended","1","0")</f>
        <v>0</v>
      </c>
      <c r="W715" t="str">
        <f>IF(Table1[appointment_status]="Cancelled","1","0")</f>
        <v>0</v>
      </c>
    </row>
    <row r="716" spans="1:23">
      <c r="A716" t="s">
        <v>1340</v>
      </c>
      <c r="B716" t="s">
        <v>834</v>
      </c>
      <c r="C716">
        <v>59</v>
      </c>
      <c r="D716" t="str" cm="1">
        <f t="array" ref="D716">_xlfn.IFS(Table1[[#This Row],[age]]&lt;=17,"0-17",C716&lt;=29,"18-29",C716&lt;=44,"30-44",C716&lt;=59,"45-59",C716&lt;=74,"60-74",TRUE,"75+")</f>
        <v>45-59</v>
      </c>
      <c r="E716" t="s">
        <v>17</v>
      </c>
      <c r="F716">
        <v>5</v>
      </c>
      <c r="G716" t="str" cm="1">
        <f t="array" ref="G716">_xlfn.IFS(_xlfn.SINGLE(Table1[imd_decile])&lt;=3,"Most Deprived",F716&lt;=7,"Moderately Deprived",F716&lt;=10,"Least Deprived")</f>
        <v>Moderately Deprived</v>
      </c>
      <c r="H716">
        <v>4.2</v>
      </c>
      <c r="I716" t="s">
        <v>91</v>
      </c>
      <c r="J716" t="s">
        <v>26</v>
      </c>
      <c r="K716" s="1">
        <v>45753</v>
      </c>
      <c r="L716" s="1">
        <v>45780</v>
      </c>
      <c r="M716" s="1" t="str">
        <f>TEXT(Table1[[#This Row],[appointment_date]],"MM/YYYY")</f>
        <v>05/2025</v>
      </c>
      <c r="N716">
        <v>27</v>
      </c>
      <c r="O716" t="str" cm="1">
        <f t="array" ref="O716">_xlfn.IFS(Table1[[#This Row],[lead_time_days]]&lt;=7,"0-7 days",N716&lt;=14,"8-14 days",N716&lt;=30,"15-30 days",N716&lt;=60,"31-60 days",TRUE,"61+ days")</f>
        <v>15-30 days</v>
      </c>
      <c r="P716" t="s">
        <v>55</v>
      </c>
      <c r="Q716" t="s">
        <v>32</v>
      </c>
      <c r="R716">
        <v>0</v>
      </c>
      <c r="S716" t="str">
        <f>IF(Table1[prior_dna_count]&gt;=1,"Has prior DNA history","No prior DNA history")</f>
        <v>No prior DNA history</v>
      </c>
      <c r="T716" t="s">
        <v>22</v>
      </c>
      <c r="U716" t="str">
        <f t="shared" si="11"/>
        <v>0</v>
      </c>
      <c r="V716" t="str">
        <f>IF(Table1[appointment_status]="Attended","1","0")</f>
        <v>1</v>
      </c>
      <c r="W716" t="str">
        <f>IF(Table1[appointment_status]="Cancelled","1","0")</f>
        <v>0</v>
      </c>
    </row>
    <row r="717" spans="1:23">
      <c r="A717" t="s">
        <v>1341</v>
      </c>
      <c r="B717" t="s">
        <v>825</v>
      </c>
      <c r="C717">
        <v>55</v>
      </c>
      <c r="D717" t="str" cm="1">
        <f t="array" ref="D717">_xlfn.IFS(Table1[[#This Row],[age]]&lt;=17,"0-17",C717&lt;=29,"18-29",C717&lt;=44,"30-44",C717&lt;=59,"45-59",C717&lt;=74,"60-74",TRUE,"75+")</f>
        <v>45-59</v>
      </c>
      <c r="E717" t="s">
        <v>17</v>
      </c>
      <c r="F717">
        <v>9</v>
      </c>
      <c r="G717" t="str" cm="1">
        <f t="array" ref="G717">_xlfn.IFS(_xlfn.SINGLE(Table1[imd_decile])&lt;=3,"Most Deprived",F717&lt;=7,"Moderately Deprived",F717&lt;=10,"Least Deprived")</f>
        <v>Least Deprived</v>
      </c>
      <c r="H717">
        <v>5.5</v>
      </c>
      <c r="I717" t="s">
        <v>25</v>
      </c>
      <c r="J717" t="s">
        <v>19</v>
      </c>
      <c r="K717" s="1">
        <v>45749</v>
      </c>
      <c r="L717" s="1">
        <v>45781</v>
      </c>
      <c r="M717" s="1" t="str">
        <f>TEXT(Table1[[#This Row],[appointment_date]],"MM/YYYY")</f>
        <v>05/2025</v>
      </c>
      <c r="N717">
        <v>32</v>
      </c>
      <c r="O717" t="str" cm="1">
        <f t="array" ref="O717">_xlfn.IFS(Table1[[#This Row],[lead_time_days]]&lt;=7,"0-7 days",N717&lt;=14,"8-14 days",N717&lt;=30,"15-30 days",N717&lt;=60,"31-60 days",TRUE,"61+ days")</f>
        <v>31-60 days</v>
      </c>
      <c r="P717" t="s">
        <v>31</v>
      </c>
      <c r="Q717" t="s">
        <v>21</v>
      </c>
      <c r="R717">
        <v>0</v>
      </c>
      <c r="S717" t="str">
        <f>IF(Table1[prior_dna_count]&gt;=1,"Has prior DNA history","No prior DNA history")</f>
        <v>No prior DNA history</v>
      </c>
      <c r="T717" t="s">
        <v>22</v>
      </c>
      <c r="U717" t="str">
        <f t="shared" si="11"/>
        <v>1</v>
      </c>
      <c r="V717" t="str">
        <f>IF(Table1[appointment_status]="Attended","1","0")</f>
        <v>1</v>
      </c>
      <c r="W717" t="str">
        <f>IF(Table1[appointment_status]="Cancelled","1","0")</f>
        <v>0</v>
      </c>
    </row>
    <row r="718" spans="1:23">
      <c r="A718" t="s">
        <v>1342</v>
      </c>
      <c r="B718" t="s">
        <v>1343</v>
      </c>
      <c r="C718">
        <v>73</v>
      </c>
      <c r="D718" t="str" cm="1">
        <f t="array" ref="D718">_xlfn.IFS(Table1[[#This Row],[age]]&lt;=17,"0-17",C718&lt;=29,"18-29",C718&lt;=44,"30-44",C718&lt;=59,"45-59",C718&lt;=74,"60-74",TRUE,"75+")</f>
        <v>60-74</v>
      </c>
      <c r="E718" t="s">
        <v>17</v>
      </c>
      <c r="F718">
        <v>1</v>
      </c>
      <c r="G718" t="str" cm="1">
        <f t="array" ref="G718">_xlfn.IFS(_xlfn.SINGLE(Table1[imd_decile])&lt;=3,"Most Deprived",F718&lt;=7,"Moderately Deprived",F718&lt;=10,"Least Deprived")</f>
        <v>Most Deprived</v>
      </c>
      <c r="H718">
        <v>4.5</v>
      </c>
      <c r="I718" t="s">
        <v>155</v>
      </c>
      <c r="J718" t="s">
        <v>19</v>
      </c>
      <c r="K718" s="1">
        <v>45754</v>
      </c>
      <c r="L718" s="1">
        <v>45781</v>
      </c>
      <c r="M718" s="1" t="str">
        <f>TEXT(Table1[[#This Row],[appointment_date]],"MM/YYYY")</f>
        <v>05/2025</v>
      </c>
      <c r="N718">
        <v>27</v>
      </c>
      <c r="O718" t="str" cm="1">
        <f t="array" ref="O718">_xlfn.IFS(Table1[[#This Row],[lead_time_days]]&lt;=7,"0-7 days",N718&lt;=14,"8-14 days",N718&lt;=30,"15-30 days",N718&lt;=60,"31-60 days",TRUE,"61+ days")</f>
        <v>15-30 days</v>
      </c>
      <c r="P718" t="s">
        <v>31</v>
      </c>
      <c r="Q718" t="s">
        <v>32</v>
      </c>
      <c r="R718">
        <v>0</v>
      </c>
      <c r="S718" t="str">
        <f>IF(Table1[prior_dna_count]&gt;=1,"Has prior DNA history","No prior DNA history")</f>
        <v>No prior DNA history</v>
      </c>
      <c r="T718" t="s">
        <v>22</v>
      </c>
      <c r="U718" t="str">
        <f t="shared" si="11"/>
        <v>1</v>
      </c>
      <c r="V718" t="str">
        <f>IF(Table1[appointment_status]="Attended","1","0")</f>
        <v>1</v>
      </c>
      <c r="W718" t="str">
        <f>IF(Table1[appointment_status]="Cancelled","1","0")</f>
        <v>0</v>
      </c>
    </row>
    <row r="719" spans="1:23">
      <c r="A719" t="s">
        <v>1344</v>
      </c>
      <c r="B719" t="s">
        <v>1345</v>
      </c>
      <c r="C719">
        <v>63</v>
      </c>
      <c r="D719" t="str" cm="1">
        <f t="array" ref="D719">_xlfn.IFS(Table1[[#This Row],[age]]&lt;=17,"0-17",C719&lt;=29,"18-29",C719&lt;=44,"30-44",C719&lt;=59,"45-59",C719&lt;=74,"60-74",TRUE,"75+")</f>
        <v>60-74</v>
      </c>
      <c r="E719" t="s">
        <v>29</v>
      </c>
      <c r="F719">
        <v>8</v>
      </c>
      <c r="G719" t="str" cm="1">
        <f t="array" ref="G719">_xlfn.IFS(_xlfn.SINGLE(Table1[imd_decile])&lt;=3,"Most Deprived",F719&lt;=7,"Moderately Deprived",F719&lt;=10,"Least Deprived")</f>
        <v>Least Deprived</v>
      </c>
      <c r="H719">
        <v>3.4</v>
      </c>
      <c r="I719" t="s">
        <v>42</v>
      </c>
      <c r="J719" t="s">
        <v>19</v>
      </c>
      <c r="K719" s="1">
        <v>45770</v>
      </c>
      <c r="L719" s="1">
        <v>45781</v>
      </c>
      <c r="M719" s="1" t="str">
        <f>TEXT(Table1[[#This Row],[appointment_date]],"MM/YYYY")</f>
        <v>05/2025</v>
      </c>
      <c r="N719">
        <v>11</v>
      </c>
      <c r="O719" t="str" cm="1">
        <f t="array" ref="O719">_xlfn.IFS(Table1[[#This Row],[lead_time_days]]&lt;=7,"0-7 days",N719&lt;=14,"8-14 days",N719&lt;=30,"15-30 days",N719&lt;=60,"31-60 days",TRUE,"61+ days")</f>
        <v>8-14 days</v>
      </c>
      <c r="P719" t="s">
        <v>31</v>
      </c>
      <c r="Q719" t="s">
        <v>32</v>
      </c>
      <c r="R719">
        <v>0</v>
      </c>
      <c r="S719" t="str">
        <f>IF(Table1[prior_dna_count]&gt;=1,"Has prior DNA history","No prior DNA history")</f>
        <v>No prior DNA history</v>
      </c>
      <c r="T719" t="s">
        <v>39</v>
      </c>
      <c r="U719" t="str">
        <f t="shared" si="11"/>
        <v>1</v>
      </c>
      <c r="V719" t="str">
        <f>IF(Table1[appointment_status]="Attended","1","0")</f>
        <v>0</v>
      </c>
      <c r="W719" t="str">
        <f>IF(Table1[appointment_status]="Cancelled","1","0")</f>
        <v>0</v>
      </c>
    </row>
    <row r="720" spans="1:23">
      <c r="A720" t="s">
        <v>1346</v>
      </c>
      <c r="B720" t="s">
        <v>259</v>
      </c>
      <c r="C720">
        <v>53</v>
      </c>
      <c r="D720" t="str" cm="1">
        <f t="array" ref="D720">_xlfn.IFS(Table1[[#This Row],[age]]&lt;=17,"0-17",C720&lt;=29,"18-29",C720&lt;=44,"30-44",C720&lt;=59,"45-59",C720&lt;=74,"60-74",TRUE,"75+")</f>
        <v>45-59</v>
      </c>
      <c r="E720" t="s">
        <v>29</v>
      </c>
      <c r="F720">
        <v>3</v>
      </c>
      <c r="G720" t="str" cm="1">
        <f t="array" ref="G720">_xlfn.IFS(_xlfn.SINGLE(Table1[imd_decile])&lt;=3,"Most Deprived",F720&lt;=7,"Moderately Deprived",F720&lt;=10,"Least Deprived")</f>
        <v>Most Deprived</v>
      </c>
      <c r="H720">
        <v>4.5999999999999996</v>
      </c>
      <c r="I720" t="s">
        <v>25</v>
      </c>
      <c r="J720" t="s">
        <v>26</v>
      </c>
      <c r="K720" s="1">
        <v>45765</v>
      </c>
      <c r="L720" s="1">
        <v>45781</v>
      </c>
      <c r="M720" s="1" t="str">
        <f>TEXT(Table1[[#This Row],[appointment_date]],"MM/YYYY")</f>
        <v>05/2025</v>
      </c>
      <c r="N720">
        <v>16</v>
      </c>
      <c r="O720" t="str" cm="1">
        <f t="array" ref="O720">_xlfn.IFS(Table1[[#This Row],[lead_time_days]]&lt;=7,"0-7 days",N720&lt;=14,"8-14 days",N720&lt;=30,"15-30 days",N720&lt;=60,"31-60 days",TRUE,"61+ days")</f>
        <v>15-30 days</v>
      </c>
      <c r="P720" t="s">
        <v>31</v>
      </c>
      <c r="Q720" t="s">
        <v>21</v>
      </c>
      <c r="R720">
        <v>0</v>
      </c>
      <c r="S720" t="str">
        <f>IF(Table1[prior_dna_count]&gt;=1,"Has prior DNA history","No prior DNA history")</f>
        <v>No prior DNA history</v>
      </c>
      <c r="T720" t="s">
        <v>22</v>
      </c>
      <c r="U720" t="str">
        <f t="shared" si="11"/>
        <v>0</v>
      </c>
      <c r="V720" t="str">
        <f>IF(Table1[appointment_status]="Attended","1","0")</f>
        <v>1</v>
      </c>
      <c r="W720" t="str">
        <f>IF(Table1[appointment_status]="Cancelled","1","0")</f>
        <v>0</v>
      </c>
    </row>
    <row r="721" spans="1:23">
      <c r="A721" t="s">
        <v>1347</v>
      </c>
      <c r="B721" t="s">
        <v>1348</v>
      </c>
      <c r="C721">
        <v>47</v>
      </c>
      <c r="D721" t="str" cm="1">
        <f t="array" ref="D721">_xlfn.IFS(Table1[[#This Row],[age]]&lt;=17,"0-17",C721&lt;=29,"18-29",C721&lt;=44,"30-44",C721&lt;=59,"45-59",C721&lt;=74,"60-74",TRUE,"75+")</f>
        <v>45-59</v>
      </c>
      <c r="E721" t="s">
        <v>17</v>
      </c>
      <c r="F721">
        <v>7</v>
      </c>
      <c r="G721" t="str" cm="1">
        <f t="array" ref="G721">_xlfn.IFS(_xlfn.SINGLE(Table1[imd_decile])&lt;=3,"Most Deprived",F721&lt;=7,"Moderately Deprived",F721&lt;=10,"Least Deprived")</f>
        <v>Moderately Deprived</v>
      </c>
      <c r="H721">
        <v>14.4</v>
      </c>
      <c r="I721" t="s">
        <v>91</v>
      </c>
      <c r="J721" t="s">
        <v>26</v>
      </c>
      <c r="K721" s="1">
        <v>45771</v>
      </c>
      <c r="L721" s="1">
        <v>45781</v>
      </c>
      <c r="M721" s="1" t="str">
        <f>TEXT(Table1[[#This Row],[appointment_date]],"MM/YYYY")</f>
        <v>05/2025</v>
      </c>
      <c r="N721">
        <v>10</v>
      </c>
      <c r="O721" t="str" cm="1">
        <f t="array" ref="O721">_xlfn.IFS(Table1[[#This Row],[lead_time_days]]&lt;=7,"0-7 days",N721&lt;=14,"8-14 days",N721&lt;=30,"15-30 days",N721&lt;=60,"31-60 days",TRUE,"61+ days")</f>
        <v>8-14 days</v>
      </c>
      <c r="P721" t="s">
        <v>31</v>
      </c>
      <c r="Q721" t="s">
        <v>32</v>
      </c>
      <c r="R721">
        <v>0</v>
      </c>
      <c r="S721" t="str">
        <f>IF(Table1[prior_dna_count]&gt;=1,"Has prior DNA history","No prior DNA history")</f>
        <v>No prior DNA history</v>
      </c>
      <c r="T721" t="s">
        <v>22</v>
      </c>
      <c r="U721" t="str">
        <f t="shared" si="11"/>
        <v>1</v>
      </c>
      <c r="V721" t="str">
        <f>IF(Table1[appointment_status]="Attended","1","0")</f>
        <v>1</v>
      </c>
      <c r="W721" t="str">
        <f>IF(Table1[appointment_status]="Cancelled","1","0")</f>
        <v>0</v>
      </c>
    </row>
    <row r="722" spans="1:23">
      <c r="A722" t="s">
        <v>1349</v>
      </c>
      <c r="B722" t="s">
        <v>151</v>
      </c>
      <c r="C722">
        <v>64</v>
      </c>
      <c r="D722" t="str" cm="1">
        <f t="array" ref="D722">_xlfn.IFS(Table1[[#This Row],[age]]&lt;=17,"0-17",C722&lt;=29,"18-29",C722&lt;=44,"30-44",C722&lt;=59,"45-59",C722&lt;=74,"60-74",TRUE,"75+")</f>
        <v>60-74</v>
      </c>
      <c r="E722" t="s">
        <v>29</v>
      </c>
      <c r="F722">
        <v>2</v>
      </c>
      <c r="G722" t="str" cm="1">
        <f t="array" ref="G722">_xlfn.IFS(_xlfn.SINGLE(Table1[imd_decile])&lt;=3,"Most Deprived",F722&lt;=7,"Moderately Deprived",F722&lt;=10,"Least Deprived")</f>
        <v>Most Deprived</v>
      </c>
      <c r="H722">
        <v>6.2</v>
      </c>
      <c r="I722" t="s">
        <v>25</v>
      </c>
      <c r="J722" t="s">
        <v>19</v>
      </c>
      <c r="K722" s="1">
        <v>45694</v>
      </c>
      <c r="L722" s="1">
        <v>45781</v>
      </c>
      <c r="M722" s="1" t="str">
        <f>TEXT(Table1[[#This Row],[appointment_date]],"MM/YYYY")</f>
        <v>05/2025</v>
      </c>
      <c r="N722">
        <v>87</v>
      </c>
      <c r="O722" t="str" cm="1">
        <f t="array" ref="O722">_xlfn.IFS(Table1[[#This Row],[lead_time_days]]&lt;=7,"0-7 days",N722&lt;=14,"8-14 days",N722&lt;=30,"15-30 days",N722&lt;=60,"31-60 days",TRUE,"61+ days")</f>
        <v>61+ days</v>
      </c>
      <c r="P722" t="s">
        <v>31</v>
      </c>
      <c r="Q722" t="s">
        <v>21</v>
      </c>
      <c r="R722">
        <v>0</v>
      </c>
      <c r="S722" t="str">
        <f>IF(Table1[prior_dna_count]&gt;=1,"Has prior DNA history","No prior DNA history")</f>
        <v>No prior DNA history</v>
      </c>
      <c r="T722" t="s">
        <v>46</v>
      </c>
      <c r="U722" t="str">
        <f t="shared" si="11"/>
        <v>1</v>
      </c>
      <c r="V722" t="str">
        <f>IF(Table1[appointment_status]="Attended","1","0")</f>
        <v>0</v>
      </c>
      <c r="W722" t="str">
        <f>IF(Table1[appointment_status]="Cancelled","1","0")</f>
        <v>1</v>
      </c>
    </row>
    <row r="723" spans="1:23">
      <c r="A723" t="s">
        <v>1350</v>
      </c>
      <c r="B723" t="s">
        <v>723</v>
      </c>
      <c r="C723">
        <v>45</v>
      </c>
      <c r="D723" t="str" cm="1">
        <f t="array" ref="D723">_xlfn.IFS(Table1[[#This Row],[age]]&lt;=17,"0-17",C723&lt;=29,"18-29",C723&lt;=44,"30-44",C723&lt;=59,"45-59",C723&lt;=74,"60-74",TRUE,"75+")</f>
        <v>45-59</v>
      </c>
      <c r="E723" t="s">
        <v>29</v>
      </c>
      <c r="F723">
        <v>3</v>
      </c>
      <c r="G723" t="str" cm="1">
        <f t="array" ref="G723">_xlfn.IFS(_xlfn.SINGLE(Table1[imd_decile])&lt;=3,"Most Deprived",F723&lt;=7,"Moderately Deprived",F723&lt;=10,"Least Deprived")</f>
        <v>Most Deprived</v>
      </c>
      <c r="H723">
        <v>10.8</v>
      </c>
      <c r="I723" t="s">
        <v>91</v>
      </c>
      <c r="J723" t="s">
        <v>19</v>
      </c>
      <c r="K723" s="1">
        <v>45764</v>
      </c>
      <c r="L723" s="1">
        <v>45781</v>
      </c>
      <c r="M723" s="1" t="str">
        <f>TEXT(Table1[[#This Row],[appointment_date]],"MM/YYYY")</f>
        <v>05/2025</v>
      </c>
      <c r="N723">
        <v>17</v>
      </c>
      <c r="O723" t="str" cm="1">
        <f t="array" ref="O723">_xlfn.IFS(Table1[[#This Row],[lead_time_days]]&lt;=7,"0-7 days",N723&lt;=14,"8-14 days",N723&lt;=30,"15-30 days",N723&lt;=60,"31-60 days",TRUE,"61+ days")</f>
        <v>15-30 days</v>
      </c>
      <c r="P723" t="s">
        <v>31</v>
      </c>
      <c r="Q723" t="s">
        <v>21</v>
      </c>
      <c r="R723">
        <v>0</v>
      </c>
      <c r="S723" t="str">
        <f>IF(Table1[prior_dna_count]&gt;=1,"Has prior DNA history","No prior DNA history")</f>
        <v>No prior DNA history</v>
      </c>
      <c r="T723" t="s">
        <v>22</v>
      </c>
      <c r="U723" t="str">
        <f t="shared" si="11"/>
        <v>0</v>
      </c>
      <c r="V723" t="str">
        <f>IF(Table1[appointment_status]="Attended","1","0")</f>
        <v>1</v>
      </c>
      <c r="W723" t="str">
        <f>IF(Table1[appointment_status]="Cancelled","1","0")</f>
        <v>0</v>
      </c>
    </row>
    <row r="724" spans="1:23">
      <c r="A724" t="s">
        <v>1351</v>
      </c>
      <c r="B724" t="s">
        <v>1352</v>
      </c>
      <c r="C724">
        <v>30</v>
      </c>
      <c r="D724" t="str" cm="1">
        <f t="array" ref="D724">_xlfn.IFS(Table1[[#This Row],[age]]&lt;=17,"0-17",C724&lt;=29,"18-29",C724&lt;=44,"30-44",C724&lt;=59,"45-59",C724&lt;=74,"60-74",TRUE,"75+")</f>
        <v>30-44</v>
      </c>
      <c r="E724" t="s">
        <v>29</v>
      </c>
      <c r="F724">
        <v>6</v>
      </c>
      <c r="G724" t="str" cm="1">
        <f t="array" ref="G724">_xlfn.IFS(_xlfn.SINGLE(Table1[imd_decile])&lt;=3,"Most Deprived",F724&lt;=7,"Moderately Deprived",F724&lt;=10,"Least Deprived")</f>
        <v>Moderately Deprived</v>
      </c>
      <c r="H724">
        <v>10.8</v>
      </c>
      <c r="I724" t="s">
        <v>18</v>
      </c>
      <c r="J724" t="s">
        <v>26</v>
      </c>
      <c r="K724" s="1">
        <v>45752</v>
      </c>
      <c r="L724" s="1">
        <v>45781</v>
      </c>
      <c r="M724" s="1" t="str">
        <f>TEXT(Table1[[#This Row],[appointment_date]],"MM/YYYY")</f>
        <v>05/2025</v>
      </c>
      <c r="N724">
        <v>29</v>
      </c>
      <c r="O724" t="str" cm="1">
        <f t="array" ref="O724">_xlfn.IFS(Table1[[#This Row],[lead_time_days]]&lt;=7,"0-7 days",N724&lt;=14,"8-14 days",N724&lt;=30,"15-30 days",N724&lt;=60,"31-60 days",TRUE,"61+ days")</f>
        <v>15-30 days</v>
      </c>
      <c r="P724" t="s">
        <v>31</v>
      </c>
      <c r="Q724" t="s">
        <v>32</v>
      </c>
      <c r="R724">
        <v>0</v>
      </c>
      <c r="S724" t="str">
        <f>IF(Table1[prior_dna_count]&gt;=1,"Has prior DNA history","No prior DNA history")</f>
        <v>No prior DNA history</v>
      </c>
      <c r="T724" t="s">
        <v>22</v>
      </c>
      <c r="U724" t="str">
        <f t="shared" si="11"/>
        <v>1</v>
      </c>
      <c r="V724" t="str">
        <f>IF(Table1[appointment_status]="Attended","1","0")</f>
        <v>1</v>
      </c>
      <c r="W724" t="str">
        <f>IF(Table1[appointment_status]="Cancelled","1","0")</f>
        <v>0</v>
      </c>
    </row>
    <row r="725" spans="1:23">
      <c r="A725" t="s">
        <v>1353</v>
      </c>
      <c r="B725" t="s">
        <v>1278</v>
      </c>
      <c r="C725">
        <v>49</v>
      </c>
      <c r="D725" t="str" cm="1">
        <f t="array" ref="D725">_xlfn.IFS(Table1[[#This Row],[age]]&lt;=17,"0-17",C725&lt;=29,"18-29",C725&lt;=44,"30-44",C725&lt;=59,"45-59",C725&lt;=74,"60-74",TRUE,"75+")</f>
        <v>45-59</v>
      </c>
      <c r="E725" t="s">
        <v>29</v>
      </c>
      <c r="F725">
        <v>1</v>
      </c>
      <c r="G725" t="str" cm="1">
        <f t="array" ref="G725">_xlfn.IFS(_xlfn.SINGLE(Table1[imd_decile])&lt;=3,"Most Deprived",F725&lt;=7,"Moderately Deprived",F725&lt;=10,"Least Deprived")</f>
        <v>Most Deprived</v>
      </c>
      <c r="H725">
        <v>21.4</v>
      </c>
      <c r="I725" t="s">
        <v>58</v>
      </c>
      <c r="J725" t="s">
        <v>19</v>
      </c>
      <c r="K725" s="1">
        <v>45733</v>
      </c>
      <c r="L725" s="1">
        <v>45781</v>
      </c>
      <c r="M725" s="1" t="str">
        <f>TEXT(Table1[[#This Row],[appointment_date]],"MM/YYYY")</f>
        <v>05/2025</v>
      </c>
      <c r="N725">
        <v>48</v>
      </c>
      <c r="O725" t="str" cm="1">
        <f t="array" ref="O725">_xlfn.IFS(Table1[[#This Row],[lead_time_days]]&lt;=7,"0-7 days",N725&lt;=14,"8-14 days",N725&lt;=30,"15-30 days",N725&lt;=60,"31-60 days",TRUE,"61+ days")</f>
        <v>31-60 days</v>
      </c>
      <c r="P725" t="s">
        <v>31</v>
      </c>
      <c r="Q725" t="s">
        <v>32</v>
      </c>
      <c r="R725">
        <v>0</v>
      </c>
      <c r="S725" t="str">
        <f>IF(Table1[prior_dna_count]&gt;=1,"Has prior DNA history","No prior DNA history")</f>
        <v>No prior DNA history</v>
      </c>
      <c r="T725" t="s">
        <v>22</v>
      </c>
      <c r="U725" t="str">
        <f t="shared" si="11"/>
        <v>1</v>
      </c>
      <c r="V725" t="str">
        <f>IF(Table1[appointment_status]="Attended","1","0")</f>
        <v>1</v>
      </c>
      <c r="W725" t="str">
        <f>IF(Table1[appointment_status]="Cancelled","1","0")</f>
        <v>0</v>
      </c>
    </row>
    <row r="726" spans="1:23">
      <c r="A726" t="s">
        <v>1354</v>
      </c>
      <c r="B726" t="s">
        <v>1355</v>
      </c>
      <c r="C726">
        <v>10</v>
      </c>
      <c r="D726" t="str" cm="1">
        <f t="array" ref="D726">_xlfn.IFS(Table1[[#This Row],[age]]&lt;=17,"0-17",C726&lt;=29,"18-29",C726&lt;=44,"30-44",C726&lt;=59,"45-59",C726&lt;=74,"60-74",TRUE,"75+")</f>
        <v>0-17</v>
      </c>
      <c r="E726" t="s">
        <v>17</v>
      </c>
      <c r="F726">
        <v>2</v>
      </c>
      <c r="G726" t="str" cm="1">
        <f t="array" ref="G726">_xlfn.IFS(_xlfn.SINGLE(Table1[imd_decile])&lt;=3,"Most Deprived",F726&lt;=7,"Moderately Deprived",F726&lt;=10,"Least Deprived")</f>
        <v>Most Deprived</v>
      </c>
      <c r="H726">
        <v>2.6</v>
      </c>
      <c r="I726" t="s">
        <v>30</v>
      </c>
      <c r="J726" t="s">
        <v>19</v>
      </c>
      <c r="K726" s="1">
        <v>45773</v>
      </c>
      <c r="L726" s="1">
        <v>45782</v>
      </c>
      <c r="M726" s="1" t="str">
        <f>TEXT(Table1[[#This Row],[appointment_date]],"MM/YYYY")</f>
        <v>05/2025</v>
      </c>
      <c r="N726">
        <v>9</v>
      </c>
      <c r="O726" t="str" cm="1">
        <f t="array" ref="O726">_xlfn.IFS(Table1[[#This Row],[lead_time_days]]&lt;=7,"0-7 days",N726&lt;=14,"8-14 days",N726&lt;=30,"15-30 days",N726&lt;=60,"31-60 days",TRUE,"61+ days")</f>
        <v>8-14 days</v>
      </c>
      <c r="P726" t="s">
        <v>35</v>
      </c>
      <c r="Q726" t="s">
        <v>32</v>
      </c>
      <c r="R726">
        <v>0</v>
      </c>
      <c r="S726" t="str">
        <f>IF(Table1[prior_dna_count]&gt;=1,"Has prior DNA history","No prior DNA history")</f>
        <v>No prior DNA history</v>
      </c>
      <c r="T726" t="s">
        <v>22</v>
      </c>
      <c r="U726" t="str">
        <f t="shared" si="11"/>
        <v>1</v>
      </c>
      <c r="V726" t="str">
        <f>IF(Table1[appointment_status]="Attended","1","0")</f>
        <v>1</v>
      </c>
      <c r="W726" t="str">
        <f>IF(Table1[appointment_status]="Cancelled","1","0")</f>
        <v>0</v>
      </c>
    </row>
    <row r="727" spans="1:23">
      <c r="A727" t="s">
        <v>1356</v>
      </c>
      <c r="B727" t="s">
        <v>157</v>
      </c>
      <c r="C727">
        <v>21</v>
      </c>
      <c r="D727" t="str" cm="1">
        <f t="array" ref="D727">_xlfn.IFS(Table1[[#This Row],[age]]&lt;=17,"0-17",C727&lt;=29,"18-29",C727&lt;=44,"30-44",C727&lt;=59,"45-59",C727&lt;=74,"60-74",TRUE,"75+")</f>
        <v>18-29</v>
      </c>
      <c r="E727" t="s">
        <v>29</v>
      </c>
      <c r="F727">
        <v>9</v>
      </c>
      <c r="G727" t="str" cm="1">
        <f t="array" ref="G727">_xlfn.IFS(_xlfn.SINGLE(Table1[imd_decile])&lt;=3,"Most Deprived",F727&lt;=7,"Moderately Deprived",F727&lt;=10,"Least Deprived")</f>
        <v>Least Deprived</v>
      </c>
      <c r="H727">
        <v>13.3</v>
      </c>
      <c r="I727" t="s">
        <v>58</v>
      </c>
      <c r="J727" t="s">
        <v>19</v>
      </c>
      <c r="K727" s="1">
        <v>45717</v>
      </c>
      <c r="L727" s="1">
        <v>45782</v>
      </c>
      <c r="M727" s="1" t="str">
        <f>TEXT(Table1[[#This Row],[appointment_date]],"MM/YYYY")</f>
        <v>05/2025</v>
      </c>
      <c r="N727">
        <v>65</v>
      </c>
      <c r="O727" t="str" cm="1">
        <f t="array" ref="O727">_xlfn.IFS(Table1[[#This Row],[lead_time_days]]&lt;=7,"0-7 days",N727&lt;=14,"8-14 days",N727&lt;=30,"15-30 days",N727&lt;=60,"31-60 days",TRUE,"61+ days")</f>
        <v>61+ days</v>
      </c>
      <c r="P727" t="s">
        <v>35</v>
      </c>
      <c r="Q727" t="s">
        <v>21</v>
      </c>
      <c r="R727">
        <v>0</v>
      </c>
      <c r="S727" t="str">
        <f>IF(Table1[prior_dna_count]&gt;=1,"Has prior DNA history","No prior DNA history")</f>
        <v>No prior DNA history</v>
      </c>
      <c r="T727" t="s">
        <v>22</v>
      </c>
      <c r="U727" t="str">
        <f t="shared" si="11"/>
        <v>1</v>
      </c>
      <c r="V727" t="str">
        <f>IF(Table1[appointment_status]="Attended","1","0")</f>
        <v>1</v>
      </c>
      <c r="W727" t="str">
        <f>IF(Table1[appointment_status]="Cancelled","1","0")</f>
        <v>0</v>
      </c>
    </row>
    <row r="728" spans="1:23">
      <c r="A728" t="s">
        <v>1357</v>
      </c>
      <c r="B728" t="s">
        <v>1358</v>
      </c>
      <c r="C728">
        <v>42</v>
      </c>
      <c r="D728" t="str" cm="1">
        <f t="array" ref="D728">_xlfn.IFS(Table1[[#This Row],[age]]&lt;=17,"0-17",C728&lt;=29,"18-29",C728&lt;=44,"30-44",C728&lt;=59,"45-59",C728&lt;=74,"60-74",TRUE,"75+")</f>
        <v>30-44</v>
      </c>
      <c r="E728" t="s">
        <v>29</v>
      </c>
      <c r="F728">
        <v>4</v>
      </c>
      <c r="G728" t="str" cm="1">
        <f t="array" ref="G728">_xlfn.IFS(_xlfn.SINGLE(Table1[imd_decile])&lt;=3,"Most Deprived",F728&lt;=7,"Moderately Deprived",F728&lt;=10,"Least Deprived")</f>
        <v>Moderately Deprived</v>
      </c>
      <c r="H728">
        <v>3.3</v>
      </c>
      <c r="I728" t="s">
        <v>49</v>
      </c>
      <c r="J728" t="s">
        <v>19</v>
      </c>
      <c r="K728" s="1">
        <v>45705</v>
      </c>
      <c r="L728" s="1">
        <v>45782</v>
      </c>
      <c r="M728" s="1" t="str">
        <f>TEXT(Table1[[#This Row],[appointment_date]],"MM/YYYY")</f>
        <v>05/2025</v>
      </c>
      <c r="N728">
        <v>77</v>
      </c>
      <c r="O728" t="str" cm="1">
        <f t="array" ref="O728">_xlfn.IFS(Table1[[#This Row],[lead_time_days]]&lt;=7,"0-7 days",N728&lt;=14,"8-14 days",N728&lt;=30,"15-30 days",N728&lt;=60,"31-60 days",TRUE,"61+ days")</f>
        <v>61+ days</v>
      </c>
      <c r="P728" t="s">
        <v>35</v>
      </c>
      <c r="Q728" t="s">
        <v>21</v>
      </c>
      <c r="R728">
        <v>0</v>
      </c>
      <c r="S728" t="str">
        <f>IF(Table1[prior_dna_count]&gt;=1,"Has prior DNA history","No prior DNA history")</f>
        <v>No prior DNA history</v>
      </c>
      <c r="T728" t="s">
        <v>46</v>
      </c>
      <c r="U728" t="str">
        <f t="shared" si="11"/>
        <v>1</v>
      </c>
      <c r="V728" t="str">
        <f>IF(Table1[appointment_status]="Attended","1","0")</f>
        <v>0</v>
      </c>
      <c r="W728" t="str">
        <f>IF(Table1[appointment_status]="Cancelled","1","0")</f>
        <v>1</v>
      </c>
    </row>
    <row r="729" spans="1:23">
      <c r="A729" t="s">
        <v>1359</v>
      </c>
      <c r="B729" t="s">
        <v>1360</v>
      </c>
      <c r="C729">
        <v>18</v>
      </c>
      <c r="D729" t="str" cm="1">
        <f t="array" ref="D729">_xlfn.IFS(Table1[[#This Row],[age]]&lt;=17,"0-17",C729&lt;=29,"18-29",C729&lt;=44,"30-44",C729&lt;=59,"45-59",C729&lt;=74,"60-74",TRUE,"75+")</f>
        <v>18-29</v>
      </c>
      <c r="E729" t="s">
        <v>29</v>
      </c>
      <c r="F729">
        <v>9</v>
      </c>
      <c r="G729" t="str" cm="1">
        <f t="array" ref="G729">_xlfn.IFS(_xlfn.SINGLE(Table1[imd_decile])&lt;=3,"Most Deprived",F729&lt;=7,"Moderately Deprived",F729&lt;=10,"Least Deprived")</f>
        <v>Least Deprived</v>
      </c>
      <c r="H729">
        <v>12</v>
      </c>
      <c r="I729" t="s">
        <v>45</v>
      </c>
      <c r="J729" t="s">
        <v>19</v>
      </c>
      <c r="K729" s="1">
        <v>45767</v>
      </c>
      <c r="L729" s="1">
        <v>45782</v>
      </c>
      <c r="M729" s="1" t="str">
        <f>TEXT(Table1[[#This Row],[appointment_date]],"MM/YYYY")</f>
        <v>05/2025</v>
      </c>
      <c r="N729">
        <v>15</v>
      </c>
      <c r="O729" t="str" cm="1">
        <f t="array" ref="O729">_xlfn.IFS(Table1[[#This Row],[lead_time_days]]&lt;=7,"0-7 days",N729&lt;=14,"8-14 days",N729&lt;=30,"15-30 days",N729&lt;=60,"31-60 days",TRUE,"61+ days")</f>
        <v>15-30 days</v>
      </c>
      <c r="P729" t="s">
        <v>35</v>
      </c>
      <c r="Q729" t="s">
        <v>21</v>
      </c>
      <c r="R729">
        <v>0</v>
      </c>
      <c r="S729" t="str">
        <f>IF(Table1[prior_dna_count]&gt;=1,"Has prior DNA history","No prior DNA history")</f>
        <v>No prior DNA history</v>
      </c>
      <c r="T729" t="s">
        <v>22</v>
      </c>
      <c r="U729" t="str">
        <f t="shared" si="11"/>
        <v>0</v>
      </c>
      <c r="V729" t="str">
        <f>IF(Table1[appointment_status]="Attended","1","0")</f>
        <v>1</v>
      </c>
      <c r="W729" t="str">
        <f>IF(Table1[appointment_status]="Cancelled","1","0")</f>
        <v>0</v>
      </c>
    </row>
    <row r="730" spans="1:23">
      <c r="A730" t="s">
        <v>1361</v>
      </c>
      <c r="B730" t="s">
        <v>1362</v>
      </c>
      <c r="C730">
        <v>37</v>
      </c>
      <c r="D730" t="str" cm="1">
        <f t="array" ref="D730">_xlfn.IFS(Table1[[#This Row],[age]]&lt;=17,"0-17",C730&lt;=29,"18-29",C730&lt;=44,"30-44",C730&lt;=59,"45-59",C730&lt;=74,"60-74",TRUE,"75+")</f>
        <v>30-44</v>
      </c>
      <c r="E730" t="s">
        <v>17</v>
      </c>
      <c r="F730">
        <v>5</v>
      </c>
      <c r="G730" t="str" cm="1">
        <f t="array" ref="G730">_xlfn.IFS(_xlfn.SINGLE(Table1[imd_decile])&lt;=3,"Most Deprived",F730&lt;=7,"Moderately Deprived",F730&lt;=10,"Least Deprived")</f>
        <v>Moderately Deprived</v>
      </c>
      <c r="H730">
        <v>14.2</v>
      </c>
      <c r="I730" t="s">
        <v>25</v>
      </c>
      <c r="J730" t="s">
        <v>26</v>
      </c>
      <c r="K730" s="1">
        <v>45775</v>
      </c>
      <c r="L730" s="1">
        <v>45782</v>
      </c>
      <c r="M730" s="1" t="str">
        <f>TEXT(Table1[[#This Row],[appointment_date]],"MM/YYYY")</f>
        <v>05/2025</v>
      </c>
      <c r="N730">
        <v>7</v>
      </c>
      <c r="O730" t="str" cm="1">
        <f t="array" ref="O730">_xlfn.IFS(Table1[[#This Row],[lead_time_days]]&lt;=7,"0-7 days",N730&lt;=14,"8-14 days",N730&lt;=30,"15-30 days",N730&lt;=60,"31-60 days",TRUE,"61+ days")</f>
        <v>0-7 days</v>
      </c>
      <c r="P730" t="s">
        <v>35</v>
      </c>
      <c r="Q730" t="s">
        <v>21</v>
      </c>
      <c r="R730">
        <v>0</v>
      </c>
      <c r="S730" t="str">
        <f>IF(Table1[prior_dna_count]&gt;=1,"Has prior DNA history","No prior DNA history")</f>
        <v>No prior DNA history</v>
      </c>
      <c r="T730" t="s">
        <v>22</v>
      </c>
      <c r="U730" t="str">
        <f t="shared" si="11"/>
        <v>1</v>
      </c>
      <c r="V730" t="str">
        <f>IF(Table1[appointment_status]="Attended","1","0")</f>
        <v>1</v>
      </c>
      <c r="W730" t="str">
        <f>IF(Table1[appointment_status]="Cancelled","1","0")</f>
        <v>0</v>
      </c>
    </row>
    <row r="731" spans="1:23">
      <c r="A731" t="s">
        <v>1363</v>
      </c>
      <c r="B731" t="s">
        <v>375</v>
      </c>
      <c r="C731">
        <v>30</v>
      </c>
      <c r="D731" t="str" cm="1">
        <f t="array" ref="D731">_xlfn.IFS(Table1[[#This Row],[age]]&lt;=17,"0-17",C731&lt;=29,"18-29",C731&lt;=44,"30-44",C731&lt;=59,"45-59",C731&lt;=74,"60-74",TRUE,"75+")</f>
        <v>30-44</v>
      </c>
      <c r="E731" t="s">
        <v>29</v>
      </c>
      <c r="F731">
        <v>8</v>
      </c>
      <c r="G731" t="str" cm="1">
        <f t="array" ref="G731">_xlfn.IFS(_xlfn.SINGLE(Table1[imd_decile])&lt;=3,"Most Deprived",F731&lt;=7,"Moderately Deprived",F731&lt;=10,"Least Deprived")</f>
        <v>Least Deprived</v>
      </c>
      <c r="H731">
        <v>3.2</v>
      </c>
      <c r="I731" t="s">
        <v>42</v>
      </c>
      <c r="J731" t="s">
        <v>19</v>
      </c>
      <c r="K731" s="1">
        <v>45734</v>
      </c>
      <c r="L731" s="1">
        <v>45782</v>
      </c>
      <c r="M731" s="1" t="str">
        <f>TEXT(Table1[[#This Row],[appointment_date]],"MM/YYYY")</f>
        <v>05/2025</v>
      </c>
      <c r="N731">
        <v>48</v>
      </c>
      <c r="O731" t="str" cm="1">
        <f t="array" ref="O731">_xlfn.IFS(Table1[[#This Row],[lead_time_days]]&lt;=7,"0-7 days",N731&lt;=14,"8-14 days",N731&lt;=30,"15-30 days",N731&lt;=60,"31-60 days",TRUE,"61+ days")</f>
        <v>31-60 days</v>
      </c>
      <c r="P731" t="s">
        <v>35</v>
      </c>
      <c r="Q731" t="s">
        <v>21</v>
      </c>
      <c r="R731">
        <v>0</v>
      </c>
      <c r="S731" t="str">
        <f>IF(Table1[prior_dna_count]&gt;=1,"Has prior DNA history","No prior DNA history")</f>
        <v>No prior DNA history</v>
      </c>
      <c r="T731" t="s">
        <v>22</v>
      </c>
      <c r="U731" t="str">
        <f t="shared" si="11"/>
        <v>1</v>
      </c>
      <c r="V731" t="str">
        <f>IF(Table1[appointment_status]="Attended","1","0")</f>
        <v>1</v>
      </c>
      <c r="W731" t="str">
        <f>IF(Table1[appointment_status]="Cancelled","1","0")</f>
        <v>0</v>
      </c>
    </row>
    <row r="732" spans="1:23">
      <c r="A732" t="s">
        <v>1364</v>
      </c>
      <c r="B732" t="s">
        <v>1242</v>
      </c>
      <c r="C732">
        <v>76</v>
      </c>
      <c r="D732" t="str" cm="1">
        <f t="array" ref="D732">_xlfn.IFS(Table1[[#This Row],[age]]&lt;=17,"0-17",C732&lt;=29,"18-29",C732&lt;=44,"30-44",C732&lt;=59,"45-59",C732&lt;=74,"60-74",TRUE,"75+")</f>
        <v>75+</v>
      </c>
      <c r="E732" t="s">
        <v>29</v>
      </c>
      <c r="F732">
        <v>4</v>
      </c>
      <c r="G732" t="str" cm="1">
        <f t="array" ref="G732">_xlfn.IFS(_xlfn.SINGLE(Table1[imd_decile])&lt;=3,"Most Deprived",F732&lt;=7,"Moderately Deprived",F732&lt;=10,"Least Deprived")</f>
        <v>Moderately Deprived</v>
      </c>
      <c r="H732">
        <v>10.3</v>
      </c>
      <c r="I732" t="s">
        <v>18</v>
      </c>
      <c r="J732" t="s">
        <v>19</v>
      </c>
      <c r="K732" s="1">
        <v>45749</v>
      </c>
      <c r="L732" s="1">
        <v>45782</v>
      </c>
      <c r="M732" s="1" t="str">
        <f>TEXT(Table1[[#This Row],[appointment_date]],"MM/YYYY")</f>
        <v>05/2025</v>
      </c>
      <c r="N732">
        <v>33</v>
      </c>
      <c r="O732" t="str" cm="1">
        <f t="array" ref="O732">_xlfn.IFS(Table1[[#This Row],[lead_time_days]]&lt;=7,"0-7 days",N732&lt;=14,"8-14 days",N732&lt;=30,"15-30 days",N732&lt;=60,"31-60 days",TRUE,"61+ days")</f>
        <v>31-60 days</v>
      </c>
      <c r="P732" t="s">
        <v>35</v>
      </c>
      <c r="Q732" t="s">
        <v>32</v>
      </c>
      <c r="R732">
        <v>0</v>
      </c>
      <c r="S732" t="str">
        <f>IF(Table1[prior_dna_count]&gt;=1,"Has prior DNA history","No prior DNA history")</f>
        <v>No prior DNA history</v>
      </c>
      <c r="T732" t="s">
        <v>39</v>
      </c>
      <c r="U732" t="str">
        <f t="shared" si="11"/>
        <v>1</v>
      </c>
      <c r="V732" t="str">
        <f>IF(Table1[appointment_status]="Attended","1","0")</f>
        <v>0</v>
      </c>
      <c r="W732" t="str">
        <f>IF(Table1[appointment_status]="Cancelled","1","0")</f>
        <v>0</v>
      </c>
    </row>
    <row r="733" spans="1:23">
      <c r="A733" t="s">
        <v>1365</v>
      </c>
      <c r="B733" t="s">
        <v>1366</v>
      </c>
      <c r="C733">
        <v>49</v>
      </c>
      <c r="D733" t="str" cm="1">
        <f t="array" ref="D733">_xlfn.IFS(Table1[[#This Row],[age]]&lt;=17,"0-17",C733&lt;=29,"18-29",C733&lt;=44,"30-44",C733&lt;=59,"45-59",C733&lt;=74,"60-74",TRUE,"75+")</f>
        <v>45-59</v>
      </c>
      <c r="E733" t="s">
        <v>17</v>
      </c>
      <c r="F733">
        <v>9</v>
      </c>
      <c r="G733" t="str" cm="1">
        <f t="array" ref="G733">_xlfn.IFS(_xlfn.SINGLE(Table1[imd_decile])&lt;=3,"Most Deprived",F733&lt;=7,"Moderately Deprived",F733&lt;=10,"Least Deprived")</f>
        <v>Least Deprived</v>
      </c>
      <c r="H733">
        <v>5.0999999999999996</v>
      </c>
      <c r="I733" t="s">
        <v>18</v>
      </c>
      <c r="J733" t="s">
        <v>26</v>
      </c>
      <c r="K733" s="1">
        <v>45755</v>
      </c>
      <c r="L733" s="1">
        <v>45783</v>
      </c>
      <c r="M733" s="1" t="str">
        <f>TEXT(Table1[[#This Row],[appointment_date]],"MM/YYYY")</f>
        <v>05/2025</v>
      </c>
      <c r="N733">
        <v>28</v>
      </c>
      <c r="O733" t="str" cm="1">
        <f t="array" ref="O733">_xlfn.IFS(Table1[[#This Row],[lead_time_days]]&lt;=7,"0-7 days",N733&lt;=14,"8-14 days",N733&lt;=30,"15-30 days",N733&lt;=60,"31-60 days",TRUE,"61+ days")</f>
        <v>15-30 days</v>
      </c>
      <c r="P733" t="s">
        <v>71</v>
      </c>
      <c r="Q733" t="s">
        <v>21</v>
      </c>
      <c r="R733">
        <v>0</v>
      </c>
      <c r="S733" t="str">
        <f>IF(Table1[prior_dna_count]&gt;=1,"Has prior DNA history","No prior DNA history")</f>
        <v>No prior DNA history</v>
      </c>
      <c r="T733" t="s">
        <v>22</v>
      </c>
      <c r="U733" t="str">
        <f t="shared" si="11"/>
        <v>0</v>
      </c>
      <c r="V733" t="str">
        <f>IF(Table1[appointment_status]="Attended","1","0")</f>
        <v>1</v>
      </c>
      <c r="W733" t="str">
        <f>IF(Table1[appointment_status]="Cancelled","1","0")</f>
        <v>0</v>
      </c>
    </row>
    <row r="734" spans="1:23">
      <c r="A734" t="s">
        <v>1367</v>
      </c>
      <c r="B734" t="s">
        <v>1368</v>
      </c>
      <c r="C734">
        <v>25</v>
      </c>
      <c r="D734" t="str" cm="1">
        <f t="array" ref="D734">_xlfn.IFS(Table1[[#This Row],[age]]&lt;=17,"0-17",C734&lt;=29,"18-29",C734&lt;=44,"30-44",C734&lt;=59,"45-59",C734&lt;=74,"60-74",TRUE,"75+")</f>
        <v>18-29</v>
      </c>
      <c r="E734" t="s">
        <v>17</v>
      </c>
      <c r="F734">
        <v>4</v>
      </c>
      <c r="G734" t="str" cm="1">
        <f t="array" ref="G734">_xlfn.IFS(_xlfn.SINGLE(Table1[imd_decile])&lt;=3,"Most Deprived",F734&lt;=7,"Moderately Deprived",F734&lt;=10,"Least Deprived")</f>
        <v>Moderately Deprived</v>
      </c>
      <c r="H734">
        <v>2.8</v>
      </c>
      <c r="I734" t="s">
        <v>42</v>
      </c>
      <c r="J734" t="s">
        <v>19</v>
      </c>
      <c r="K734" s="1">
        <v>45745</v>
      </c>
      <c r="L734" s="1">
        <v>45783</v>
      </c>
      <c r="M734" s="1" t="str">
        <f>TEXT(Table1[[#This Row],[appointment_date]],"MM/YYYY")</f>
        <v>05/2025</v>
      </c>
      <c r="N734">
        <v>38</v>
      </c>
      <c r="O734" t="str" cm="1">
        <f t="array" ref="O734">_xlfn.IFS(Table1[[#This Row],[lead_time_days]]&lt;=7,"0-7 days",N734&lt;=14,"8-14 days",N734&lt;=30,"15-30 days",N734&lt;=60,"31-60 days",TRUE,"61+ days")</f>
        <v>31-60 days</v>
      </c>
      <c r="P734" t="s">
        <v>71</v>
      </c>
      <c r="Q734" t="s">
        <v>21</v>
      </c>
      <c r="R734">
        <v>1</v>
      </c>
      <c r="S734" t="str">
        <f>IF(Table1[prior_dna_count]&gt;=1,"Has prior DNA history","No prior DNA history")</f>
        <v>Has prior DNA history</v>
      </c>
      <c r="T734" t="s">
        <v>22</v>
      </c>
      <c r="U734" t="str">
        <f t="shared" si="11"/>
        <v>1</v>
      </c>
      <c r="V734" t="str">
        <f>IF(Table1[appointment_status]="Attended","1","0")</f>
        <v>1</v>
      </c>
      <c r="W734" t="str">
        <f>IF(Table1[appointment_status]="Cancelled","1","0")</f>
        <v>0</v>
      </c>
    </row>
    <row r="735" spans="1:23">
      <c r="A735" t="s">
        <v>1369</v>
      </c>
      <c r="B735" t="s">
        <v>1370</v>
      </c>
      <c r="C735">
        <v>7</v>
      </c>
      <c r="D735" t="str" cm="1">
        <f t="array" ref="D735">_xlfn.IFS(Table1[[#This Row],[age]]&lt;=17,"0-17",C735&lt;=29,"18-29",C735&lt;=44,"30-44",C735&lt;=59,"45-59",C735&lt;=74,"60-74",TRUE,"75+")</f>
        <v>0-17</v>
      </c>
      <c r="E735" t="s">
        <v>29</v>
      </c>
      <c r="F735">
        <v>8</v>
      </c>
      <c r="G735" t="str" cm="1">
        <f t="array" ref="G735">_xlfn.IFS(_xlfn.SINGLE(Table1[imd_decile])&lt;=3,"Most Deprived",F735&lt;=7,"Moderately Deprived",F735&lt;=10,"Least Deprived")</f>
        <v>Least Deprived</v>
      </c>
      <c r="H735">
        <v>3.5</v>
      </c>
      <c r="I735" t="s">
        <v>42</v>
      </c>
      <c r="J735" t="s">
        <v>26</v>
      </c>
      <c r="K735" s="1">
        <v>45760</v>
      </c>
      <c r="L735" s="1">
        <v>45783</v>
      </c>
      <c r="M735" s="1" t="str">
        <f>TEXT(Table1[[#This Row],[appointment_date]],"MM/YYYY")</f>
        <v>05/2025</v>
      </c>
      <c r="N735">
        <v>23</v>
      </c>
      <c r="O735" t="str" cm="1">
        <f t="array" ref="O735">_xlfn.IFS(Table1[[#This Row],[lead_time_days]]&lt;=7,"0-7 days",N735&lt;=14,"8-14 days",N735&lt;=30,"15-30 days",N735&lt;=60,"31-60 days",TRUE,"61+ days")</f>
        <v>15-30 days</v>
      </c>
      <c r="P735" t="s">
        <v>71</v>
      </c>
      <c r="Q735" t="s">
        <v>32</v>
      </c>
      <c r="R735">
        <v>0</v>
      </c>
      <c r="S735" t="str">
        <f>IF(Table1[prior_dna_count]&gt;=1,"Has prior DNA history","No prior DNA history")</f>
        <v>No prior DNA history</v>
      </c>
      <c r="T735" t="s">
        <v>22</v>
      </c>
      <c r="U735" t="str">
        <f t="shared" si="11"/>
        <v>1</v>
      </c>
      <c r="V735" t="str">
        <f>IF(Table1[appointment_status]="Attended","1","0")</f>
        <v>1</v>
      </c>
      <c r="W735" t="str">
        <f>IF(Table1[appointment_status]="Cancelled","1","0")</f>
        <v>0</v>
      </c>
    </row>
    <row r="736" spans="1:23">
      <c r="A736" t="s">
        <v>1371</v>
      </c>
      <c r="B736" t="s">
        <v>1372</v>
      </c>
      <c r="C736">
        <v>48</v>
      </c>
      <c r="D736" t="str" cm="1">
        <f t="array" ref="D736">_xlfn.IFS(Table1[[#This Row],[age]]&lt;=17,"0-17",C736&lt;=29,"18-29",C736&lt;=44,"30-44",C736&lt;=59,"45-59",C736&lt;=74,"60-74",TRUE,"75+")</f>
        <v>45-59</v>
      </c>
      <c r="E736" t="s">
        <v>29</v>
      </c>
      <c r="F736">
        <v>9</v>
      </c>
      <c r="G736" t="str" cm="1">
        <f t="array" ref="G736">_xlfn.IFS(_xlfn.SINGLE(Table1[imd_decile])&lt;=3,"Most Deprived",F736&lt;=7,"Moderately Deprived",F736&lt;=10,"Least Deprived")</f>
        <v>Least Deprived</v>
      </c>
      <c r="H736">
        <v>24.6</v>
      </c>
      <c r="I736" t="s">
        <v>42</v>
      </c>
      <c r="J736" t="s">
        <v>19</v>
      </c>
      <c r="K736" s="1">
        <v>45729</v>
      </c>
      <c r="L736" s="1">
        <v>45783</v>
      </c>
      <c r="M736" s="1" t="str">
        <f>TEXT(Table1[[#This Row],[appointment_date]],"MM/YYYY")</f>
        <v>05/2025</v>
      </c>
      <c r="N736">
        <v>54</v>
      </c>
      <c r="O736" t="str" cm="1">
        <f t="array" ref="O736">_xlfn.IFS(Table1[[#This Row],[lead_time_days]]&lt;=7,"0-7 days",N736&lt;=14,"8-14 days",N736&lt;=30,"15-30 days",N736&lt;=60,"31-60 days",TRUE,"61+ days")</f>
        <v>31-60 days</v>
      </c>
      <c r="P736" t="s">
        <v>71</v>
      </c>
      <c r="Q736" t="s">
        <v>21</v>
      </c>
      <c r="R736">
        <v>0</v>
      </c>
      <c r="S736" t="str">
        <f>IF(Table1[prior_dna_count]&gt;=1,"Has prior DNA history","No prior DNA history")</f>
        <v>No prior DNA history</v>
      </c>
      <c r="T736" t="s">
        <v>46</v>
      </c>
      <c r="U736" t="str">
        <f t="shared" si="11"/>
        <v>1</v>
      </c>
      <c r="V736" t="str">
        <f>IF(Table1[appointment_status]="Attended","1","0")</f>
        <v>0</v>
      </c>
      <c r="W736" t="str">
        <f>IF(Table1[appointment_status]="Cancelled","1","0")</f>
        <v>1</v>
      </c>
    </row>
    <row r="737" spans="1:23">
      <c r="A737" t="s">
        <v>1373</v>
      </c>
      <c r="B737" t="s">
        <v>1144</v>
      </c>
      <c r="C737">
        <v>69</v>
      </c>
      <c r="D737" t="str" cm="1">
        <f t="array" ref="D737">_xlfn.IFS(Table1[[#This Row],[age]]&lt;=17,"0-17",C737&lt;=29,"18-29",C737&lt;=44,"30-44",C737&lt;=59,"45-59",C737&lt;=74,"60-74",TRUE,"75+")</f>
        <v>60-74</v>
      </c>
      <c r="E737" t="s">
        <v>29</v>
      </c>
      <c r="F737">
        <v>8</v>
      </c>
      <c r="G737" t="str" cm="1">
        <f t="array" ref="G737">_xlfn.IFS(_xlfn.SINGLE(Table1[imd_decile])&lt;=3,"Most Deprived",F737&lt;=7,"Moderately Deprived",F737&lt;=10,"Least Deprived")</f>
        <v>Least Deprived</v>
      </c>
      <c r="H737">
        <v>4.7</v>
      </c>
      <c r="I737" t="s">
        <v>58</v>
      </c>
      <c r="J737" t="s">
        <v>19</v>
      </c>
      <c r="K737" s="1">
        <v>45756</v>
      </c>
      <c r="L737" s="1">
        <v>45783</v>
      </c>
      <c r="M737" s="1" t="str">
        <f>TEXT(Table1[[#This Row],[appointment_date]],"MM/YYYY")</f>
        <v>05/2025</v>
      </c>
      <c r="N737">
        <v>27</v>
      </c>
      <c r="O737" t="str" cm="1">
        <f t="array" ref="O737">_xlfn.IFS(Table1[[#This Row],[lead_time_days]]&lt;=7,"0-7 days",N737&lt;=14,"8-14 days",N737&lt;=30,"15-30 days",N737&lt;=60,"31-60 days",TRUE,"61+ days")</f>
        <v>15-30 days</v>
      </c>
      <c r="P737" t="s">
        <v>71</v>
      </c>
      <c r="Q737" t="s">
        <v>32</v>
      </c>
      <c r="R737">
        <v>1</v>
      </c>
      <c r="S737" t="str">
        <f>IF(Table1[prior_dna_count]&gt;=1,"Has prior DNA history","No prior DNA history")</f>
        <v>Has prior DNA history</v>
      </c>
      <c r="T737" t="s">
        <v>22</v>
      </c>
      <c r="U737" t="str">
        <f t="shared" si="11"/>
        <v>0</v>
      </c>
      <c r="V737" t="str">
        <f>IF(Table1[appointment_status]="Attended","1","0")</f>
        <v>1</v>
      </c>
      <c r="W737" t="str">
        <f>IF(Table1[appointment_status]="Cancelled","1","0")</f>
        <v>0</v>
      </c>
    </row>
    <row r="738" spans="1:23">
      <c r="A738" t="s">
        <v>1374</v>
      </c>
      <c r="B738" t="s">
        <v>1375</v>
      </c>
      <c r="C738">
        <v>73</v>
      </c>
      <c r="D738" t="str" cm="1">
        <f t="array" ref="D738">_xlfn.IFS(Table1[[#This Row],[age]]&lt;=17,"0-17",C738&lt;=29,"18-29",C738&lt;=44,"30-44",C738&lt;=59,"45-59",C738&lt;=74,"60-74",TRUE,"75+")</f>
        <v>60-74</v>
      </c>
      <c r="E738" t="s">
        <v>29</v>
      </c>
      <c r="F738">
        <v>4</v>
      </c>
      <c r="G738" t="str" cm="1">
        <f t="array" ref="G738">_xlfn.IFS(_xlfn.SINGLE(Table1[imd_decile])&lt;=3,"Most Deprived",F738&lt;=7,"Moderately Deprived",F738&lt;=10,"Least Deprived")</f>
        <v>Moderately Deprived</v>
      </c>
      <c r="H738">
        <v>2.8</v>
      </c>
      <c r="I738" t="s">
        <v>49</v>
      </c>
      <c r="J738" t="s">
        <v>26</v>
      </c>
      <c r="K738" s="1">
        <v>45751</v>
      </c>
      <c r="L738" s="1">
        <v>45783</v>
      </c>
      <c r="M738" s="1" t="str">
        <f>TEXT(Table1[[#This Row],[appointment_date]],"MM/YYYY")</f>
        <v>05/2025</v>
      </c>
      <c r="N738">
        <v>32</v>
      </c>
      <c r="O738" t="str" cm="1">
        <f t="array" ref="O738">_xlfn.IFS(Table1[[#This Row],[lead_time_days]]&lt;=7,"0-7 days",N738&lt;=14,"8-14 days",N738&lt;=30,"15-30 days",N738&lt;=60,"31-60 days",TRUE,"61+ days")</f>
        <v>31-60 days</v>
      </c>
      <c r="P738" t="s">
        <v>71</v>
      </c>
      <c r="Q738" t="s">
        <v>21</v>
      </c>
      <c r="R738">
        <v>0</v>
      </c>
      <c r="S738" t="str">
        <f>IF(Table1[prior_dna_count]&gt;=1,"Has prior DNA history","No prior DNA history")</f>
        <v>No prior DNA history</v>
      </c>
      <c r="T738" t="s">
        <v>22</v>
      </c>
      <c r="U738" t="str">
        <f t="shared" si="11"/>
        <v>1</v>
      </c>
      <c r="V738" t="str">
        <f>IF(Table1[appointment_status]="Attended","1","0")</f>
        <v>1</v>
      </c>
      <c r="W738" t="str">
        <f>IF(Table1[appointment_status]="Cancelled","1","0")</f>
        <v>0</v>
      </c>
    </row>
    <row r="739" spans="1:23">
      <c r="A739" t="s">
        <v>1376</v>
      </c>
      <c r="B739" t="s">
        <v>1377</v>
      </c>
      <c r="C739">
        <v>61</v>
      </c>
      <c r="D739" t="str" cm="1">
        <f t="array" ref="D739">_xlfn.IFS(Table1[[#This Row],[age]]&lt;=17,"0-17",C739&lt;=29,"18-29",C739&lt;=44,"30-44",C739&lt;=59,"45-59",C739&lt;=74,"60-74",TRUE,"75+")</f>
        <v>60-74</v>
      </c>
      <c r="E739" t="s">
        <v>29</v>
      </c>
      <c r="F739">
        <v>5</v>
      </c>
      <c r="G739" t="str" cm="1">
        <f t="array" ref="G739">_xlfn.IFS(_xlfn.SINGLE(Table1[imd_decile])&lt;=3,"Most Deprived",F739&lt;=7,"Moderately Deprived",F739&lt;=10,"Least Deprived")</f>
        <v>Moderately Deprived</v>
      </c>
      <c r="H739">
        <v>3.6</v>
      </c>
      <c r="I739" t="s">
        <v>58</v>
      </c>
      <c r="J739" t="s">
        <v>26</v>
      </c>
      <c r="K739" s="1">
        <v>45755</v>
      </c>
      <c r="L739" s="1">
        <v>45783</v>
      </c>
      <c r="M739" s="1" t="str">
        <f>TEXT(Table1[[#This Row],[appointment_date]],"MM/YYYY")</f>
        <v>05/2025</v>
      </c>
      <c r="N739">
        <v>28</v>
      </c>
      <c r="O739" t="str" cm="1">
        <f t="array" ref="O739">_xlfn.IFS(Table1[[#This Row],[lead_time_days]]&lt;=7,"0-7 days",N739&lt;=14,"8-14 days",N739&lt;=30,"15-30 days",N739&lt;=60,"31-60 days",TRUE,"61+ days")</f>
        <v>15-30 days</v>
      </c>
      <c r="P739" t="s">
        <v>71</v>
      </c>
      <c r="Q739" t="s">
        <v>21</v>
      </c>
      <c r="R739">
        <v>0</v>
      </c>
      <c r="S739" t="str">
        <f>IF(Table1[prior_dna_count]&gt;=1,"Has prior DNA history","No prior DNA history")</f>
        <v>No prior DNA history</v>
      </c>
      <c r="T739" t="s">
        <v>22</v>
      </c>
      <c r="U739" t="str">
        <f t="shared" si="11"/>
        <v>1</v>
      </c>
      <c r="V739" t="str">
        <f>IF(Table1[appointment_status]="Attended","1","0")</f>
        <v>1</v>
      </c>
      <c r="W739" t="str">
        <f>IF(Table1[appointment_status]="Cancelled","1","0")</f>
        <v>0</v>
      </c>
    </row>
    <row r="740" spans="1:23">
      <c r="A740" t="s">
        <v>1378</v>
      </c>
      <c r="B740" t="s">
        <v>1379</v>
      </c>
      <c r="C740">
        <v>52</v>
      </c>
      <c r="D740" t="str" cm="1">
        <f t="array" ref="D740">_xlfn.IFS(Table1[[#This Row],[age]]&lt;=17,"0-17",C740&lt;=29,"18-29",C740&lt;=44,"30-44",C740&lt;=59,"45-59",C740&lt;=74,"60-74",TRUE,"75+")</f>
        <v>45-59</v>
      </c>
      <c r="E740" t="s">
        <v>29</v>
      </c>
      <c r="F740">
        <v>1</v>
      </c>
      <c r="G740" t="str" cm="1">
        <f t="array" ref="G740">_xlfn.IFS(_xlfn.SINGLE(Table1[imd_decile])&lt;=3,"Most Deprived",F740&lt;=7,"Moderately Deprived",F740&lt;=10,"Least Deprived")</f>
        <v>Most Deprived</v>
      </c>
      <c r="H740">
        <v>2.5</v>
      </c>
      <c r="I740" t="s">
        <v>49</v>
      </c>
      <c r="J740" t="s">
        <v>19</v>
      </c>
      <c r="K740" s="1">
        <v>45747</v>
      </c>
      <c r="L740" s="1">
        <v>45784</v>
      </c>
      <c r="M740" s="1" t="str">
        <f>TEXT(Table1[[#This Row],[appointment_date]],"MM/YYYY")</f>
        <v>05/2025</v>
      </c>
      <c r="N740">
        <v>37</v>
      </c>
      <c r="O740" t="str" cm="1">
        <f t="array" ref="O740">_xlfn.IFS(Table1[[#This Row],[lead_time_days]]&lt;=7,"0-7 days",N740&lt;=14,"8-14 days",N740&lt;=30,"15-30 days",N740&lt;=60,"31-60 days",TRUE,"61+ days")</f>
        <v>31-60 days</v>
      </c>
      <c r="P740" t="s">
        <v>80</v>
      </c>
      <c r="Q740" t="s">
        <v>21</v>
      </c>
      <c r="R740">
        <v>0</v>
      </c>
      <c r="S740" t="str">
        <f>IF(Table1[prior_dna_count]&gt;=1,"Has prior DNA history","No prior DNA history")</f>
        <v>No prior DNA history</v>
      </c>
      <c r="T740" t="s">
        <v>22</v>
      </c>
      <c r="U740" t="str">
        <f t="shared" si="11"/>
        <v>1</v>
      </c>
      <c r="V740" t="str">
        <f>IF(Table1[appointment_status]="Attended","1","0")</f>
        <v>1</v>
      </c>
      <c r="W740" t="str">
        <f>IF(Table1[appointment_status]="Cancelled","1","0")</f>
        <v>0</v>
      </c>
    </row>
    <row r="741" spans="1:23">
      <c r="A741" t="s">
        <v>1380</v>
      </c>
      <c r="B741" t="s">
        <v>1381</v>
      </c>
      <c r="C741">
        <v>73</v>
      </c>
      <c r="D741" t="str" cm="1">
        <f t="array" ref="D741">_xlfn.IFS(Table1[[#This Row],[age]]&lt;=17,"0-17",C741&lt;=29,"18-29",C741&lt;=44,"30-44",C741&lt;=59,"45-59",C741&lt;=74,"60-74",TRUE,"75+")</f>
        <v>60-74</v>
      </c>
      <c r="E741" t="s">
        <v>29</v>
      </c>
      <c r="F741">
        <v>6</v>
      </c>
      <c r="G741" t="str" cm="1">
        <f t="array" ref="G741">_xlfn.IFS(_xlfn.SINGLE(Table1[imd_decile])&lt;=3,"Most Deprived",F741&lt;=7,"Moderately Deprived",F741&lt;=10,"Least Deprived")</f>
        <v>Moderately Deprived</v>
      </c>
      <c r="H741">
        <v>6.7</v>
      </c>
      <c r="I741" t="s">
        <v>25</v>
      </c>
      <c r="J741" t="s">
        <v>26</v>
      </c>
      <c r="K741" s="1">
        <v>45767</v>
      </c>
      <c r="L741" s="1">
        <v>45784</v>
      </c>
      <c r="M741" s="1" t="str">
        <f>TEXT(Table1[[#This Row],[appointment_date]],"MM/YYYY")</f>
        <v>05/2025</v>
      </c>
      <c r="N741">
        <v>17</v>
      </c>
      <c r="O741" t="str" cm="1">
        <f t="array" ref="O741">_xlfn.IFS(Table1[[#This Row],[lead_time_days]]&lt;=7,"0-7 days",N741&lt;=14,"8-14 days",N741&lt;=30,"15-30 days",N741&lt;=60,"31-60 days",TRUE,"61+ days")</f>
        <v>15-30 days</v>
      </c>
      <c r="P741" t="s">
        <v>80</v>
      </c>
      <c r="Q741" t="s">
        <v>32</v>
      </c>
      <c r="R741">
        <v>0</v>
      </c>
      <c r="S741" t="str">
        <f>IF(Table1[prior_dna_count]&gt;=1,"Has prior DNA history","No prior DNA history")</f>
        <v>No prior DNA history</v>
      </c>
      <c r="T741" t="s">
        <v>22</v>
      </c>
      <c r="U741" t="str">
        <f t="shared" si="11"/>
        <v>1</v>
      </c>
      <c r="V741" t="str">
        <f>IF(Table1[appointment_status]="Attended","1","0")</f>
        <v>1</v>
      </c>
      <c r="W741" t="str">
        <f>IF(Table1[appointment_status]="Cancelled","1","0")</f>
        <v>0</v>
      </c>
    </row>
    <row r="742" spans="1:23">
      <c r="A742" t="s">
        <v>1382</v>
      </c>
      <c r="B742" t="s">
        <v>1383</v>
      </c>
      <c r="C742">
        <v>20</v>
      </c>
      <c r="D742" t="str" cm="1">
        <f t="array" ref="D742">_xlfn.IFS(Table1[[#This Row],[age]]&lt;=17,"0-17",C742&lt;=29,"18-29",C742&lt;=44,"30-44",C742&lt;=59,"45-59",C742&lt;=74,"60-74",TRUE,"75+")</f>
        <v>18-29</v>
      </c>
      <c r="E742" t="s">
        <v>17</v>
      </c>
      <c r="F742">
        <v>6</v>
      </c>
      <c r="G742" t="str" cm="1">
        <f t="array" ref="G742">_xlfn.IFS(_xlfn.SINGLE(Table1[imd_decile])&lt;=3,"Most Deprived",F742&lt;=7,"Moderately Deprived",F742&lt;=10,"Least Deprived")</f>
        <v>Moderately Deprived</v>
      </c>
      <c r="H742">
        <v>4.5</v>
      </c>
      <c r="I742" t="s">
        <v>38</v>
      </c>
      <c r="J742" t="s">
        <v>26</v>
      </c>
      <c r="K742" s="1">
        <v>45751</v>
      </c>
      <c r="L742" s="1">
        <v>45784</v>
      </c>
      <c r="M742" s="1" t="str">
        <f>TEXT(Table1[[#This Row],[appointment_date]],"MM/YYYY")</f>
        <v>05/2025</v>
      </c>
      <c r="N742">
        <v>33</v>
      </c>
      <c r="O742" t="str" cm="1">
        <f t="array" ref="O742">_xlfn.IFS(Table1[[#This Row],[lead_time_days]]&lt;=7,"0-7 days",N742&lt;=14,"8-14 days",N742&lt;=30,"15-30 days",N742&lt;=60,"31-60 days",TRUE,"61+ days")</f>
        <v>31-60 days</v>
      </c>
      <c r="P742" t="s">
        <v>80</v>
      </c>
      <c r="Q742" t="s">
        <v>21</v>
      </c>
      <c r="R742">
        <v>0</v>
      </c>
      <c r="S742" t="str">
        <f>IF(Table1[prior_dna_count]&gt;=1,"Has prior DNA history","No prior DNA history")</f>
        <v>No prior DNA history</v>
      </c>
      <c r="T742" t="s">
        <v>22</v>
      </c>
      <c r="U742" t="str">
        <f t="shared" si="11"/>
        <v>1</v>
      </c>
      <c r="V742" t="str">
        <f>IF(Table1[appointment_status]="Attended","1","0")</f>
        <v>1</v>
      </c>
      <c r="W742" t="str">
        <f>IF(Table1[appointment_status]="Cancelled","1","0")</f>
        <v>0</v>
      </c>
    </row>
    <row r="743" spans="1:23">
      <c r="A743" t="s">
        <v>1384</v>
      </c>
      <c r="B743" t="s">
        <v>1332</v>
      </c>
      <c r="C743">
        <v>48</v>
      </c>
      <c r="D743" t="str" cm="1">
        <f t="array" ref="D743">_xlfn.IFS(Table1[[#This Row],[age]]&lt;=17,"0-17",C743&lt;=29,"18-29",C743&lt;=44,"30-44",C743&lt;=59,"45-59",C743&lt;=74,"60-74",TRUE,"75+")</f>
        <v>45-59</v>
      </c>
      <c r="E743" t="s">
        <v>29</v>
      </c>
      <c r="F743">
        <v>1</v>
      </c>
      <c r="G743" t="str" cm="1">
        <f t="array" ref="G743">_xlfn.IFS(_xlfn.SINGLE(Table1[imd_decile])&lt;=3,"Most Deprived",F743&lt;=7,"Moderately Deprived",F743&lt;=10,"Least Deprived")</f>
        <v>Most Deprived</v>
      </c>
      <c r="H743">
        <v>3.4</v>
      </c>
      <c r="I743" t="s">
        <v>25</v>
      </c>
      <c r="J743" t="s">
        <v>19</v>
      </c>
      <c r="K743" s="1">
        <v>45769</v>
      </c>
      <c r="L743" s="1">
        <v>45784</v>
      </c>
      <c r="M743" s="1" t="str">
        <f>TEXT(Table1[[#This Row],[appointment_date]],"MM/YYYY")</f>
        <v>05/2025</v>
      </c>
      <c r="N743">
        <v>15</v>
      </c>
      <c r="O743" t="str" cm="1">
        <f t="array" ref="O743">_xlfn.IFS(Table1[[#This Row],[lead_time_days]]&lt;=7,"0-7 days",N743&lt;=14,"8-14 days",N743&lt;=30,"15-30 days",N743&lt;=60,"31-60 days",TRUE,"61+ days")</f>
        <v>15-30 days</v>
      </c>
      <c r="P743" t="s">
        <v>80</v>
      </c>
      <c r="Q743" t="s">
        <v>32</v>
      </c>
      <c r="R743">
        <v>0</v>
      </c>
      <c r="S743" t="str">
        <f>IF(Table1[prior_dna_count]&gt;=1,"Has prior DNA history","No prior DNA history")</f>
        <v>No prior DNA history</v>
      </c>
      <c r="T743" t="s">
        <v>22</v>
      </c>
      <c r="U743" t="str">
        <f t="shared" si="11"/>
        <v>1</v>
      </c>
      <c r="V743" t="str">
        <f>IF(Table1[appointment_status]="Attended","1","0")</f>
        <v>1</v>
      </c>
      <c r="W743" t="str">
        <f>IF(Table1[appointment_status]="Cancelled","1","0")</f>
        <v>0</v>
      </c>
    </row>
    <row r="744" spans="1:23">
      <c r="A744" t="s">
        <v>1385</v>
      </c>
      <c r="B744" t="s">
        <v>227</v>
      </c>
      <c r="C744">
        <v>54</v>
      </c>
      <c r="D744" t="str" cm="1">
        <f t="array" ref="D744">_xlfn.IFS(Table1[[#This Row],[age]]&lt;=17,"0-17",C744&lt;=29,"18-29",C744&lt;=44,"30-44",C744&lt;=59,"45-59",C744&lt;=74,"60-74",TRUE,"75+")</f>
        <v>45-59</v>
      </c>
      <c r="E744" t="s">
        <v>29</v>
      </c>
      <c r="F744">
        <v>4</v>
      </c>
      <c r="G744" t="str" cm="1">
        <f t="array" ref="G744">_xlfn.IFS(_xlfn.SINGLE(Table1[imd_decile])&lt;=3,"Most Deprived",F744&lt;=7,"Moderately Deprived",F744&lt;=10,"Least Deprived")</f>
        <v>Moderately Deprived</v>
      </c>
      <c r="H744">
        <v>2.7</v>
      </c>
      <c r="I744" t="s">
        <v>25</v>
      </c>
      <c r="J744" t="s">
        <v>19</v>
      </c>
      <c r="K744" s="1">
        <v>45725</v>
      </c>
      <c r="L744" s="1">
        <v>45784</v>
      </c>
      <c r="M744" s="1" t="str">
        <f>TEXT(Table1[[#This Row],[appointment_date]],"MM/YYYY")</f>
        <v>05/2025</v>
      </c>
      <c r="N744">
        <v>59</v>
      </c>
      <c r="O744" t="str" cm="1">
        <f t="array" ref="O744">_xlfn.IFS(Table1[[#This Row],[lead_time_days]]&lt;=7,"0-7 days",N744&lt;=14,"8-14 days",N744&lt;=30,"15-30 days",N744&lt;=60,"31-60 days",TRUE,"61+ days")</f>
        <v>31-60 days</v>
      </c>
      <c r="P744" t="s">
        <v>80</v>
      </c>
      <c r="Q744" t="s">
        <v>32</v>
      </c>
      <c r="R744">
        <v>0</v>
      </c>
      <c r="S744" t="str">
        <f>IF(Table1[prior_dna_count]&gt;=1,"Has prior DNA history","No prior DNA history")</f>
        <v>No prior DNA history</v>
      </c>
      <c r="T744" t="s">
        <v>22</v>
      </c>
      <c r="U744" t="str">
        <f t="shared" si="11"/>
        <v>1</v>
      </c>
      <c r="V744" t="str">
        <f>IF(Table1[appointment_status]="Attended","1","0")</f>
        <v>1</v>
      </c>
      <c r="W744" t="str">
        <f>IF(Table1[appointment_status]="Cancelled","1","0")</f>
        <v>0</v>
      </c>
    </row>
    <row r="745" spans="1:23">
      <c r="A745" t="s">
        <v>1386</v>
      </c>
      <c r="B745" t="s">
        <v>1387</v>
      </c>
      <c r="C745">
        <v>50</v>
      </c>
      <c r="D745" t="str" cm="1">
        <f t="array" ref="D745">_xlfn.IFS(Table1[[#This Row],[age]]&lt;=17,"0-17",C745&lt;=29,"18-29",C745&lt;=44,"30-44",C745&lt;=59,"45-59",C745&lt;=74,"60-74",TRUE,"75+")</f>
        <v>45-59</v>
      </c>
      <c r="E745" t="s">
        <v>29</v>
      </c>
      <c r="F745">
        <v>7</v>
      </c>
      <c r="G745" t="str" cm="1">
        <f t="array" ref="G745">_xlfn.IFS(_xlfn.SINGLE(Table1[imd_decile])&lt;=3,"Most Deprived",F745&lt;=7,"Moderately Deprived",F745&lt;=10,"Least Deprived")</f>
        <v>Moderately Deprived</v>
      </c>
      <c r="H745">
        <v>10.6</v>
      </c>
      <c r="I745" t="s">
        <v>58</v>
      </c>
      <c r="J745" t="s">
        <v>19</v>
      </c>
      <c r="K745" s="1">
        <v>45754</v>
      </c>
      <c r="L745" s="1">
        <v>45784</v>
      </c>
      <c r="M745" s="1" t="str">
        <f>TEXT(Table1[[#This Row],[appointment_date]],"MM/YYYY")</f>
        <v>05/2025</v>
      </c>
      <c r="N745">
        <v>30</v>
      </c>
      <c r="O745" t="str" cm="1">
        <f t="array" ref="O745">_xlfn.IFS(Table1[[#This Row],[lead_time_days]]&lt;=7,"0-7 days",N745&lt;=14,"8-14 days",N745&lt;=30,"15-30 days",N745&lt;=60,"31-60 days",TRUE,"61+ days")</f>
        <v>15-30 days</v>
      </c>
      <c r="P745" t="s">
        <v>80</v>
      </c>
      <c r="Q745" t="s">
        <v>21</v>
      </c>
      <c r="R745">
        <v>1</v>
      </c>
      <c r="S745" t="str">
        <f>IF(Table1[prior_dna_count]&gt;=1,"Has prior DNA history","No prior DNA history")</f>
        <v>Has prior DNA history</v>
      </c>
      <c r="T745" t="s">
        <v>22</v>
      </c>
      <c r="U745" t="str">
        <f t="shared" si="11"/>
        <v>1</v>
      </c>
      <c r="V745" t="str">
        <f>IF(Table1[appointment_status]="Attended","1","0")</f>
        <v>1</v>
      </c>
      <c r="W745" t="str">
        <f>IF(Table1[appointment_status]="Cancelled","1","0")</f>
        <v>0</v>
      </c>
    </row>
    <row r="746" spans="1:23">
      <c r="A746" t="s">
        <v>1388</v>
      </c>
      <c r="B746" t="s">
        <v>1389</v>
      </c>
      <c r="C746">
        <v>52</v>
      </c>
      <c r="D746" t="str" cm="1">
        <f t="array" ref="D746">_xlfn.IFS(Table1[[#This Row],[age]]&lt;=17,"0-17",C746&lt;=29,"18-29",C746&lt;=44,"30-44",C746&lt;=59,"45-59",C746&lt;=74,"60-74",TRUE,"75+")</f>
        <v>45-59</v>
      </c>
      <c r="E746" t="s">
        <v>29</v>
      </c>
      <c r="F746">
        <v>10</v>
      </c>
      <c r="G746" t="str" cm="1">
        <f t="array" ref="G746">_xlfn.IFS(_xlfn.SINGLE(Table1[imd_decile])&lt;=3,"Most Deprived",F746&lt;=7,"Moderately Deprived",F746&lt;=10,"Least Deprived")</f>
        <v>Least Deprived</v>
      </c>
      <c r="H746">
        <v>4.4000000000000004</v>
      </c>
      <c r="I746" t="s">
        <v>155</v>
      </c>
      <c r="J746" t="s">
        <v>19</v>
      </c>
      <c r="K746" s="1">
        <v>45754</v>
      </c>
      <c r="L746" s="1">
        <v>45785</v>
      </c>
      <c r="M746" s="1" t="str">
        <f>TEXT(Table1[[#This Row],[appointment_date]],"MM/YYYY")</f>
        <v>05/2025</v>
      </c>
      <c r="N746">
        <v>31</v>
      </c>
      <c r="O746" t="str" cm="1">
        <f t="array" ref="O746">_xlfn.IFS(Table1[[#This Row],[lead_time_days]]&lt;=7,"0-7 days",N746&lt;=14,"8-14 days",N746&lt;=30,"15-30 days",N746&lt;=60,"31-60 days",TRUE,"61+ days")</f>
        <v>31-60 days</v>
      </c>
      <c r="P746" t="s">
        <v>20</v>
      </c>
      <c r="Q746" t="s">
        <v>32</v>
      </c>
      <c r="R746">
        <v>0</v>
      </c>
      <c r="S746" t="str">
        <f>IF(Table1[prior_dna_count]&gt;=1,"Has prior DNA history","No prior DNA history")</f>
        <v>No prior DNA history</v>
      </c>
      <c r="T746" t="s">
        <v>22</v>
      </c>
      <c r="U746" t="str">
        <f t="shared" si="11"/>
        <v>1</v>
      </c>
      <c r="V746" t="str">
        <f>IF(Table1[appointment_status]="Attended","1","0")</f>
        <v>1</v>
      </c>
      <c r="W746" t="str">
        <f>IF(Table1[appointment_status]="Cancelled","1","0")</f>
        <v>0</v>
      </c>
    </row>
    <row r="747" spans="1:23">
      <c r="A747" t="s">
        <v>1390</v>
      </c>
      <c r="B747" t="s">
        <v>1391</v>
      </c>
      <c r="C747">
        <v>41</v>
      </c>
      <c r="D747" t="str" cm="1">
        <f t="array" ref="D747">_xlfn.IFS(Table1[[#This Row],[age]]&lt;=17,"0-17",C747&lt;=29,"18-29",C747&lt;=44,"30-44",C747&lt;=59,"45-59",C747&lt;=74,"60-74",TRUE,"75+")</f>
        <v>30-44</v>
      </c>
      <c r="E747" t="s">
        <v>29</v>
      </c>
      <c r="F747">
        <v>4</v>
      </c>
      <c r="G747" t="str" cm="1">
        <f t="array" ref="G747">_xlfn.IFS(_xlfn.SINGLE(Table1[imd_decile])&lt;=3,"Most Deprived",F747&lt;=7,"Moderately Deprived",F747&lt;=10,"Least Deprived")</f>
        <v>Moderately Deprived</v>
      </c>
      <c r="H747">
        <v>11.3</v>
      </c>
      <c r="I747" t="s">
        <v>49</v>
      </c>
      <c r="J747" t="s">
        <v>26</v>
      </c>
      <c r="K747" s="1">
        <v>45782</v>
      </c>
      <c r="L747" s="1">
        <v>45785</v>
      </c>
      <c r="M747" s="1" t="str">
        <f>TEXT(Table1[[#This Row],[appointment_date]],"MM/YYYY")</f>
        <v>05/2025</v>
      </c>
      <c r="N747">
        <v>3</v>
      </c>
      <c r="O747" t="str" cm="1">
        <f t="array" ref="O747">_xlfn.IFS(Table1[[#This Row],[lead_time_days]]&lt;=7,"0-7 days",N747&lt;=14,"8-14 days",N747&lt;=30,"15-30 days",N747&lt;=60,"31-60 days",TRUE,"61+ days")</f>
        <v>0-7 days</v>
      </c>
      <c r="P747" t="s">
        <v>20</v>
      </c>
      <c r="Q747" t="s">
        <v>21</v>
      </c>
      <c r="R747">
        <v>0</v>
      </c>
      <c r="S747" t="str">
        <f>IF(Table1[prior_dna_count]&gt;=1,"Has prior DNA history","No prior DNA history")</f>
        <v>No prior DNA history</v>
      </c>
      <c r="T747" t="s">
        <v>22</v>
      </c>
      <c r="U747" t="str">
        <f t="shared" si="11"/>
        <v>1</v>
      </c>
      <c r="V747" t="str">
        <f>IF(Table1[appointment_status]="Attended","1","0")</f>
        <v>1</v>
      </c>
      <c r="W747" t="str">
        <f>IF(Table1[appointment_status]="Cancelled","1","0")</f>
        <v>0</v>
      </c>
    </row>
    <row r="748" spans="1:23">
      <c r="A748" t="s">
        <v>1392</v>
      </c>
      <c r="B748" t="s">
        <v>1393</v>
      </c>
      <c r="C748">
        <v>5</v>
      </c>
      <c r="D748" t="str" cm="1">
        <f t="array" ref="D748">_xlfn.IFS(Table1[[#This Row],[age]]&lt;=17,"0-17",C748&lt;=29,"18-29",C748&lt;=44,"30-44",C748&lt;=59,"45-59",C748&lt;=74,"60-74",TRUE,"75+")</f>
        <v>0-17</v>
      </c>
      <c r="E748" t="s">
        <v>17</v>
      </c>
      <c r="F748">
        <v>4</v>
      </c>
      <c r="G748" t="str" cm="1">
        <f t="array" ref="G748">_xlfn.IFS(_xlfn.SINGLE(Table1[imd_decile])&lt;=3,"Most Deprived",F748&lt;=7,"Moderately Deprived",F748&lt;=10,"Least Deprived")</f>
        <v>Moderately Deprived</v>
      </c>
      <c r="H748">
        <v>0.8</v>
      </c>
      <c r="I748" t="s">
        <v>58</v>
      </c>
      <c r="J748" t="s">
        <v>26</v>
      </c>
      <c r="K748" s="1">
        <v>45777</v>
      </c>
      <c r="L748" s="1">
        <v>45785</v>
      </c>
      <c r="M748" s="1" t="str">
        <f>TEXT(Table1[[#This Row],[appointment_date]],"MM/YYYY")</f>
        <v>05/2025</v>
      </c>
      <c r="N748">
        <v>8</v>
      </c>
      <c r="O748" t="str" cm="1">
        <f t="array" ref="O748">_xlfn.IFS(Table1[[#This Row],[lead_time_days]]&lt;=7,"0-7 days",N748&lt;=14,"8-14 days",N748&lt;=30,"15-30 days",N748&lt;=60,"31-60 days",TRUE,"61+ days")</f>
        <v>8-14 days</v>
      </c>
      <c r="P748" t="s">
        <v>20</v>
      </c>
      <c r="Q748" t="s">
        <v>21</v>
      </c>
      <c r="R748">
        <v>0</v>
      </c>
      <c r="S748" t="str">
        <f>IF(Table1[prior_dna_count]&gt;=1,"Has prior DNA history","No prior DNA history")</f>
        <v>No prior DNA history</v>
      </c>
      <c r="T748" t="s">
        <v>46</v>
      </c>
      <c r="U748" t="str">
        <f t="shared" si="11"/>
        <v>1</v>
      </c>
      <c r="V748" t="str">
        <f>IF(Table1[appointment_status]="Attended","1","0")</f>
        <v>0</v>
      </c>
      <c r="W748" t="str">
        <f>IF(Table1[appointment_status]="Cancelled","1","0")</f>
        <v>1</v>
      </c>
    </row>
    <row r="749" spans="1:23">
      <c r="A749" t="s">
        <v>1394</v>
      </c>
      <c r="B749" t="s">
        <v>893</v>
      </c>
      <c r="C749">
        <v>70</v>
      </c>
      <c r="D749" t="str" cm="1">
        <f t="array" ref="D749">_xlfn.IFS(Table1[[#This Row],[age]]&lt;=17,"0-17",C749&lt;=29,"18-29",C749&lt;=44,"30-44",C749&lt;=59,"45-59",C749&lt;=74,"60-74",TRUE,"75+")</f>
        <v>60-74</v>
      </c>
      <c r="E749" t="s">
        <v>29</v>
      </c>
      <c r="F749">
        <v>6</v>
      </c>
      <c r="G749" t="str" cm="1">
        <f t="array" ref="G749">_xlfn.IFS(_xlfn.SINGLE(Table1[imd_decile])&lt;=3,"Most Deprived",F749&lt;=7,"Moderately Deprived",F749&lt;=10,"Least Deprived")</f>
        <v>Moderately Deprived</v>
      </c>
      <c r="H749">
        <v>6.4</v>
      </c>
      <c r="I749" t="s">
        <v>18</v>
      </c>
      <c r="J749" t="s">
        <v>26</v>
      </c>
      <c r="K749" s="1">
        <v>45738</v>
      </c>
      <c r="L749" s="1">
        <v>45785</v>
      </c>
      <c r="M749" s="1" t="str">
        <f>TEXT(Table1[[#This Row],[appointment_date]],"MM/YYYY")</f>
        <v>05/2025</v>
      </c>
      <c r="N749">
        <v>47</v>
      </c>
      <c r="O749" t="str" cm="1">
        <f t="array" ref="O749">_xlfn.IFS(Table1[[#This Row],[lead_time_days]]&lt;=7,"0-7 days",N749&lt;=14,"8-14 days",N749&lt;=30,"15-30 days",N749&lt;=60,"31-60 days",TRUE,"61+ days")</f>
        <v>31-60 days</v>
      </c>
      <c r="P749" t="s">
        <v>20</v>
      </c>
      <c r="Q749" t="s">
        <v>21</v>
      </c>
      <c r="R749">
        <v>0</v>
      </c>
      <c r="S749" t="str">
        <f>IF(Table1[prior_dna_count]&gt;=1,"Has prior DNA history","No prior DNA history")</f>
        <v>No prior DNA history</v>
      </c>
      <c r="T749" t="s">
        <v>39</v>
      </c>
      <c r="U749" t="str">
        <f t="shared" si="11"/>
        <v>0</v>
      </c>
      <c r="V749" t="str">
        <f>IF(Table1[appointment_status]="Attended","1","0")</f>
        <v>0</v>
      </c>
      <c r="W749" t="str">
        <f>IF(Table1[appointment_status]="Cancelled","1","0")</f>
        <v>0</v>
      </c>
    </row>
    <row r="750" spans="1:23">
      <c r="A750" t="s">
        <v>1395</v>
      </c>
      <c r="B750" t="s">
        <v>1396</v>
      </c>
      <c r="C750">
        <v>14</v>
      </c>
      <c r="D750" t="str" cm="1">
        <f t="array" ref="D750">_xlfn.IFS(Table1[[#This Row],[age]]&lt;=17,"0-17",C750&lt;=29,"18-29",C750&lt;=44,"30-44",C750&lt;=59,"45-59",C750&lt;=74,"60-74",TRUE,"75+")</f>
        <v>0-17</v>
      </c>
      <c r="E750" t="s">
        <v>17</v>
      </c>
      <c r="F750">
        <v>2</v>
      </c>
      <c r="G750" t="str" cm="1">
        <f t="array" ref="G750">_xlfn.IFS(_xlfn.SINGLE(Table1[imd_decile])&lt;=3,"Most Deprived",F750&lt;=7,"Moderately Deprived",F750&lt;=10,"Least Deprived")</f>
        <v>Most Deprived</v>
      </c>
      <c r="H750">
        <v>7.6</v>
      </c>
      <c r="I750" t="s">
        <v>49</v>
      </c>
      <c r="J750" t="s">
        <v>26</v>
      </c>
      <c r="K750" s="1">
        <v>45769</v>
      </c>
      <c r="L750" s="1">
        <v>45785</v>
      </c>
      <c r="M750" s="1" t="str">
        <f>TEXT(Table1[[#This Row],[appointment_date]],"MM/YYYY")</f>
        <v>05/2025</v>
      </c>
      <c r="N750">
        <v>16</v>
      </c>
      <c r="O750" t="str" cm="1">
        <f t="array" ref="O750">_xlfn.IFS(Table1[[#This Row],[lead_time_days]]&lt;=7,"0-7 days",N750&lt;=14,"8-14 days",N750&lt;=30,"15-30 days",N750&lt;=60,"31-60 days",TRUE,"61+ days")</f>
        <v>15-30 days</v>
      </c>
      <c r="P750" t="s">
        <v>20</v>
      </c>
      <c r="Q750" t="s">
        <v>32</v>
      </c>
      <c r="R750">
        <v>1</v>
      </c>
      <c r="S750" t="str">
        <f>IF(Table1[prior_dna_count]&gt;=1,"Has prior DNA history","No prior DNA history")</f>
        <v>Has prior DNA history</v>
      </c>
      <c r="T750" t="s">
        <v>22</v>
      </c>
      <c r="U750" t="str">
        <f t="shared" si="11"/>
        <v>0</v>
      </c>
      <c r="V750" t="str">
        <f>IF(Table1[appointment_status]="Attended","1","0")</f>
        <v>1</v>
      </c>
      <c r="W750" t="str">
        <f>IF(Table1[appointment_status]="Cancelled","1","0")</f>
        <v>0</v>
      </c>
    </row>
    <row r="751" spans="1:23">
      <c r="A751" t="s">
        <v>1397</v>
      </c>
      <c r="B751" t="s">
        <v>1062</v>
      </c>
      <c r="C751">
        <v>40</v>
      </c>
      <c r="D751" t="str" cm="1">
        <f t="array" ref="D751">_xlfn.IFS(Table1[[#This Row],[age]]&lt;=17,"0-17",C751&lt;=29,"18-29",C751&lt;=44,"30-44",C751&lt;=59,"45-59",C751&lt;=74,"60-74",TRUE,"75+")</f>
        <v>30-44</v>
      </c>
      <c r="E751" t="s">
        <v>29</v>
      </c>
      <c r="F751">
        <v>8</v>
      </c>
      <c r="G751" t="str" cm="1">
        <f t="array" ref="G751">_xlfn.IFS(_xlfn.SINGLE(Table1[imd_decile])&lt;=3,"Most Deprived",F751&lt;=7,"Moderately Deprived",F751&lt;=10,"Least Deprived")</f>
        <v>Least Deprived</v>
      </c>
      <c r="H751">
        <v>6.4</v>
      </c>
      <c r="I751" t="s">
        <v>42</v>
      </c>
      <c r="J751" t="s">
        <v>26</v>
      </c>
      <c r="K751" s="1">
        <v>45761</v>
      </c>
      <c r="L751" s="1">
        <v>45785</v>
      </c>
      <c r="M751" s="1" t="str">
        <f>TEXT(Table1[[#This Row],[appointment_date]],"MM/YYYY")</f>
        <v>05/2025</v>
      </c>
      <c r="N751">
        <v>24</v>
      </c>
      <c r="O751" t="str" cm="1">
        <f t="array" ref="O751">_xlfn.IFS(Table1[[#This Row],[lead_time_days]]&lt;=7,"0-7 days",N751&lt;=14,"8-14 days",N751&lt;=30,"15-30 days",N751&lt;=60,"31-60 days",TRUE,"61+ days")</f>
        <v>15-30 days</v>
      </c>
      <c r="P751" t="s">
        <v>20</v>
      </c>
      <c r="Q751" t="s">
        <v>21</v>
      </c>
      <c r="R751">
        <v>0</v>
      </c>
      <c r="S751" t="str">
        <f>IF(Table1[prior_dna_count]&gt;=1,"Has prior DNA history","No prior DNA history")</f>
        <v>No prior DNA history</v>
      </c>
      <c r="T751" t="s">
        <v>22</v>
      </c>
      <c r="U751" t="str">
        <f t="shared" si="11"/>
        <v>1</v>
      </c>
      <c r="V751" t="str">
        <f>IF(Table1[appointment_status]="Attended","1","0")</f>
        <v>1</v>
      </c>
      <c r="W751" t="str">
        <f>IF(Table1[appointment_status]="Cancelled","1","0")</f>
        <v>0</v>
      </c>
    </row>
    <row r="752" spans="1:23">
      <c r="A752" t="s">
        <v>1398</v>
      </c>
      <c r="B752" t="s">
        <v>154</v>
      </c>
      <c r="C752">
        <v>59</v>
      </c>
      <c r="D752" t="str" cm="1">
        <f t="array" ref="D752">_xlfn.IFS(Table1[[#This Row],[age]]&lt;=17,"0-17",C752&lt;=29,"18-29",C752&lt;=44,"30-44",C752&lt;=59,"45-59",C752&lt;=74,"60-74",TRUE,"75+")</f>
        <v>45-59</v>
      </c>
      <c r="E752" t="s">
        <v>29</v>
      </c>
      <c r="F752">
        <v>7</v>
      </c>
      <c r="G752" t="str" cm="1">
        <f t="array" ref="G752">_xlfn.IFS(_xlfn.SINGLE(Table1[imd_decile])&lt;=3,"Most Deprived",F752&lt;=7,"Moderately Deprived",F752&lt;=10,"Least Deprived")</f>
        <v>Moderately Deprived</v>
      </c>
      <c r="H752">
        <v>4.5</v>
      </c>
      <c r="I752" t="s">
        <v>155</v>
      </c>
      <c r="J752" t="s">
        <v>19</v>
      </c>
      <c r="K752" s="1">
        <v>45764</v>
      </c>
      <c r="L752" s="1">
        <v>45785</v>
      </c>
      <c r="M752" s="1" t="str">
        <f>TEXT(Table1[[#This Row],[appointment_date]],"MM/YYYY")</f>
        <v>05/2025</v>
      </c>
      <c r="N752">
        <v>21</v>
      </c>
      <c r="O752" t="str" cm="1">
        <f t="array" ref="O752">_xlfn.IFS(Table1[[#This Row],[lead_time_days]]&lt;=7,"0-7 days",N752&lt;=14,"8-14 days",N752&lt;=30,"15-30 days",N752&lt;=60,"31-60 days",TRUE,"61+ days")</f>
        <v>15-30 days</v>
      </c>
      <c r="P752" t="s">
        <v>20</v>
      </c>
      <c r="Q752" t="s">
        <v>21</v>
      </c>
      <c r="R752">
        <v>0</v>
      </c>
      <c r="S752" t="str">
        <f>IF(Table1[prior_dna_count]&gt;=1,"Has prior DNA history","No prior DNA history")</f>
        <v>No prior DNA history</v>
      </c>
      <c r="T752" t="s">
        <v>22</v>
      </c>
      <c r="U752" t="str">
        <f t="shared" si="11"/>
        <v>1</v>
      </c>
      <c r="V752" t="str">
        <f>IF(Table1[appointment_status]="Attended","1","0")</f>
        <v>1</v>
      </c>
      <c r="W752" t="str">
        <f>IF(Table1[appointment_status]="Cancelled","1","0")</f>
        <v>0</v>
      </c>
    </row>
    <row r="753" spans="1:23">
      <c r="A753" t="s">
        <v>1399</v>
      </c>
      <c r="B753" t="s">
        <v>768</v>
      </c>
      <c r="C753">
        <v>49</v>
      </c>
      <c r="D753" t="str" cm="1">
        <f t="array" ref="D753">_xlfn.IFS(Table1[[#This Row],[age]]&lt;=17,"0-17",C753&lt;=29,"18-29",C753&lt;=44,"30-44",C753&lt;=59,"45-59",C753&lt;=74,"60-74",TRUE,"75+")</f>
        <v>45-59</v>
      </c>
      <c r="E753" t="s">
        <v>17</v>
      </c>
      <c r="F753">
        <v>7</v>
      </c>
      <c r="G753" t="str" cm="1">
        <f t="array" ref="G753">_xlfn.IFS(_xlfn.SINGLE(Table1[imd_decile])&lt;=3,"Most Deprived",F753&lt;=7,"Moderately Deprived",F753&lt;=10,"Least Deprived")</f>
        <v>Moderately Deprived</v>
      </c>
      <c r="H753">
        <v>15.4</v>
      </c>
      <c r="I753" t="s">
        <v>58</v>
      </c>
      <c r="J753" t="s">
        <v>26</v>
      </c>
      <c r="K753" s="1">
        <v>45769</v>
      </c>
      <c r="L753" s="1">
        <v>45786</v>
      </c>
      <c r="M753" s="1" t="str">
        <f>TEXT(Table1[[#This Row],[appointment_date]],"MM/YYYY")</f>
        <v>05/2025</v>
      </c>
      <c r="N753">
        <v>17</v>
      </c>
      <c r="O753" t="str" cm="1">
        <f t="array" ref="O753">_xlfn.IFS(Table1[[#This Row],[lead_time_days]]&lt;=7,"0-7 days",N753&lt;=14,"8-14 days",N753&lt;=30,"15-30 days",N753&lt;=60,"31-60 days",TRUE,"61+ days")</f>
        <v>15-30 days</v>
      </c>
      <c r="P753" t="s">
        <v>52</v>
      </c>
      <c r="Q753" t="s">
        <v>32</v>
      </c>
      <c r="R753">
        <v>0</v>
      </c>
      <c r="S753" t="str">
        <f>IF(Table1[prior_dna_count]&gt;=1,"Has prior DNA history","No prior DNA history")</f>
        <v>No prior DNA history</v>
      </c>
      <c r="T753" t="s">
        <v>39</v>
      </c>
      <c r="U753" t="str">
        <f t="shared" si="11"/>
        <v>1</v>
      </c>
      <c r="V753" t="str">
        <f>IF(Table1[appointment_status]="Attended","1","0")</f>
        <v>0</v>
      </c>
      <c r="W753" t="str">
        <f>IF(Table1[appointment_status]="Cancelled","1","0")</f>
        <v>0</v>
      </c>
    </row>
    <row r="754" spans="1:23">
      <c r="A754" t="s">
        <v>1400</v>
      </c>
      <c r="B754" t="s">
        <v>1401</v>
      </c>
      <c r="C754">
        <v>21</v>
      </c>
      <c r="D754" t="str" cm="1">
        <f t="array" ref="D754">_xlfn.IFS(Table1[[#This Row],[age]]&lt;=17,"0-17",C754&lt;=29,"18-29",C754&lt;=44,"30-44",C754&lt;=59,"45-59",C754&lt;=74,"60-74",TRUE,"75+")</f>
        <v>18-29</v>
      </c>
      <c r="E754" t="s">
        <v>29</v>
      </c>
      <c r="F754">
        <v>6</v>
      </c>
      <c r="G754" t="str" cm="1">
        <f t="array" ref="G754">_xlfn.IFS(_xlfn.SINGLE(Table1[imd_decile])&lt;=3,"Most Deprived",F754&lt;=7,"Moderately Deprived",F754&lt;=10,"Least Deprived")</f>
        <v>Moderately Deprived</v>
      </c>
      <c r="H754">
        <v>0.8</v>
      </c>
      <c r="I754" t="s">
        <v>38</v>
      </c>
      <c r="J754" t="s">
        <v>19</v>
      </c>
      <c r="K754" s="1">
        <v>45764</v>
      </c>
      <c r="L754" s="1">
        <v>45786</v>
      </c>
      <c r="M754" s="1" t="str">
        <f>TEXT(Table1[[#This Row],[appointment_date]],"MM/YYYY")</f>
        <v>05/2025</v>
      </c>
      <c r="N754">
        <v>22</v>
      </c>
      <c r="O754" t="str" cm="1">
        <f t="array" ref="O754">_xlfn.IFS(Table1[[#This Row],[lead_time_days]]&lt;=7,"0-7 days",N754&lt;=14,"8-14 days",N754&lt;=30,"15-30 days",N754&lt;=60,"31-60 days",TRUE,"61+ days")</f>
        <v>15-30 days</v>
      </c>
      <c r="P754" t="s">
        <v>52</v>
      </c>
      <c r="Q754" t="s">
        <v>21</v>
      </c>
      <c r="R754">
        <v>0</v>
      </c>
      <c r="S754" t="str">
        <f>IF(Table1[prior_dna_count]&gt;=1,"Has prior DNA history","No prior DNA history")</f>
        <v>No prior DNA history</v>
      </c>
      <c r="T754" t="s">
        <v>22</v>
      </c>
      <c r="U754" t="str">
        <f t="shared" si="11"/>
        <v>0</v>
      </c>
      <c r="V754" t="str">
        <f>IF(Table1[appointment_status]="Attended","1","0")</f>
        <v>1</v>
      </c>
      <c r="W754" t="str">
        <f>IF(Table1[appointment_status]="Cancelled","1","0")</f>
        <v>0</v>
      </c>
    </row>
    <row r="755" spans="1:23">
      <c r="A755" t="s">
        <v>1402</v>
      </c>
      <c r="B755" t="s">
        <v>1403</v>
      </c>
      <c r="C755">
        <v>41</v>
      </c>
      <c r="D755" t="str" cm="1">
        <f t="array" ref="D755">_xlfn.IFS(Table1[[#This Row],[age]]&lt;=17,"0-17",C755&lt;=29,"18-29",C755&lt;=44,"30-44",C755&lt;=59,"45-59",C755&lt;=74,"60-74",TRUE,"75+")</f>
        <v>30-44</v>
      </c>
      <c r="E755" t="s">
        <v>17</v>
      </c>
      <c r="F755">
        <v>7</v>
      </c>
      <c r="G755" t="str" cm="1">
        <f t="array" ref="G755">_xlfn.IFS(_xlfn.SINGLE(Table1[imd_decile])&lt;=3,"Most Deprived",F755&lt;=7,"Moderately Deprived",F755&lt;=10,"Least Deprived")</f>
        <v>Moderately Deprived</v>
      </c>
      <c r="H755">
        <v>10.5</v>
      </c>
      <c r="I755" t="s">
        <v>58</v>
      </c>
      <c r="J755" t="s">
        <v>19</v>
      </c>
      <c r="K755" s="1">
        <v>45744</v>
      </c>
      <c r="L755" s="1">
        <v>45786</v>
      </c>
      <c r="M755" s="1" t="str">
        <f>TEXT(Table1[[#This Row],[appointment_date]],"MM/YYYY")</f>
        <v>05/2025</v>
      </c>
      <c r="N755">
        <v>42</v>
      </c>
      <c r="O755" t="str" cm="1">
        <f t="array" ref="O755">_xlfn.IFS(Table1[[#This Row],[lead_time_days]]&lt;=7,"0-7 days",N755&lt;=14,"8-14 days",N755&lt;=30,"15-30 days",N755&lt;=60,"31-60 days",TRUE,"61+ days")</f>
        <v>31-60 days</v>
      </c>
      <c r="P755" t="s">
        <v>52</v>
      </c>
      <c r="Q755" t="s">
        <v>21</v>
      </c>
      <c r="R755">
        <v>0</v>
      </c>
      <c r="S755" t="str">
        <f>IF(Table1[prior_dna_count]&gt;=1,"Has prior DNA history","No prior DNA history")</f>
        <v>No prior DNA history</v>
      </c>
      <c r="T755" t="s">
        <v>22</v>
      </c>
      <c r="U755" t="str">
        <f t="shared" si="11"/>
        <v>1</v>
      </c>
      <c r="V755" t="str">
        <f>IF(Table1[appointment_status]="Attended","1","0")</f>
        <v>1</v>
      </c>
      <c r="W755" t="str">
        <f>IF(Table1[appointment_status]="Cancelled","1","0")</f>
        <v>0</v>
      </c>
    </row>
    <row r="756" spans="1:23">
      <c r="A756" t="s">
        <v>1404</v>
      </c>
      <c r="B756" t="s">
        <v>827</v>
      </c>
      <c r="C756">
        <v>17</v>
      </c>
      <c r="D756" t="str" cm="1">
        <f t="array" ref="D756">_xlfn.IFS(Table1[[#This Row],[age]]&lt;=17,"0-17",C756&lt;=29,"18-29",C756&lt;=44,"30-44",C756&lt;=59,"45-59",C756&lt;=74,"60-74",TRUE,"75+")</f>
        <v>0-17</v>
      </c>
      <c r="E756" t="s">
        <v>29</v>
      </c>
      <c r="F756">
        <v>9</v>
      </c>
      <c r="G756" t="str" cm="1">
        <f t="array" ref="G756">_xlfn.IFS(_xlfn.SINGLE(Table1[imd_decile])&lt;=3,"Most Deprived",F756&lt;=7,"Moderately Deprived",F756&lt;=10,"Least Deprived")</f>
        <v>Least Deprived</v>
      </c>
      <c r="H756">
        <v>2.8</v>
      </c>
      <c r="I756" t="s">
        <v>58</v>
      </c>
      <c r="J756" t="s">
        <v>19</v>
      </c>
      <c r="K756" s="1">
        <v>45734</v>
      </c>
      <c r="L756" s="1">
        <v>45786</v>
      </c>
      <c r="M756" s="1" t="str">
        <f>TEXT(Table1[[#This Row],[appointment_date]],"MM/YYYY")</f>
        <v>05/2025</v>
      </c>
      <c r="N756">
        <v>52</v>
      </c>
      <c r="O756" t="str" cm="1">
        <f t="array" ref="O756">_xlfn.IFS(Table1[[#This Row],[lead_time_days]]&lt;=7,"0-7 days",N756&lt;=14,"8-14 days",N756&lt;=30,"15-30 days",N756&lt;=60,"31-60 days",TRUE,"61+ days")</f>
        <v>31-60 days</v>
      </c>
      <c r="P756" t="s">
        <v>52</v>
      </c>
      <c r="Q756" t="s">
        <v>21</v>
      </c>
      <c r="R756">
        <v>0</v>
      </c>
      <c r="S756" t="str">
        <f>IF(Table1[prior_dna_count]&gt;=1,"Has prior DNA history","No prior DNA history")</f>
        <v>No prior DNA history</v>
      </c>
      <c r="T756" t="s">
        <v>22</v>
      </c>
      <c r="U756" t="str">
        <f t="shared" si="11"/>
        <v>1</v>
      </c>
      <c r="V756" t="str">
        <f>IF(Table1[appointment_status]="Attended","1","0")</f>
        <v>1</v>
      </c>
      <c r="W756" t="str">
        <f>IF(Table1[appointment_status]="Cancelled","1","0")</f>
        <v>0</v>
      </c>
    </row>
    <row r="757" spans="1:23">
      <c r="A757" t="s">
        <v>1405</v>
      </c>
      <c r="B757" t="s">
        <v>960</v>
      </c>
      <c r="C757">
        <v>29</v>
      </c>
      <c r="D757" t="str" cm="1">
        <f t="array" ref="D757">_xlfn.IFS(Table1[[#This Row],[age]]&lt;=17,"0-17",C757&lt;=29,"18-29",C757&lt;=44,"30-44",C757&lt;=59,"45-59",C757&lt;=74,"60-74",TRUE,"75+")</f>
        <v>18-29</v>
      </c>
      <c r="E757" t="s">
        <v>17</v>
      </c>
      <c r="F757">
        <v>6</v>
      </c>
      <c r="G757" t="str" cm="1">
        <f t="array" ref="G757">_xlfn.IFS(_xlfn.SINGLE(Table1[imd_decile])&lt;=3,"Most Deprived",F757&lt;=7,"Moderately Deprived",F757&lt;=10,"Least Deprived")</f>
        <v>Moderately Deprived</v>
      </c>
      <c r="H757">
        <v>2.2000000000000002</v>
      </c>
      <c r="I757" t="s">
        <v>25</v>
      </c>
      <c r="J757" t="s">
        <v>26</v>
      </c>
      <c r="K757" s="1">
        <v>45770</v>
      </c>
      <c r="L757" s="1">
        <v>45786</v>
      </c>
      <c r="M757" s="1" t="str">
        <f>TEXT(Table1[[#This Row],[appointment_date]],"MM/YYYY")</f>
        <v>05/2025</v>
      </c>
      <c r="N757">
        <v>16</v>
      </c>
      <c r="O757" t="str" cm="1">
        <f t="array" ref="O757">_xlfn.IFS(Table1[[#This Row],[lead_time_days]]&lt;=7,"0-7 days",N757&lt;=14,"8-14 days",N757&lt;=30,"15-30 days",N757&lt;=60,"31-60 days",TRUE,"61+ days")</f>
        <v>15-30 days</v>
      </c>
      <c r="P757" t="s">
        <v>52</v>
      </c>
      <c r="Q757" t="s">
        <v>32</v>
      </c>
      <c r="R757">
        <v>1</v>
      </c>
      <c r="S757" t="str">
        <f>IF(Table1[prior_dna_count]&gt;=1,"Has prior DNA history","No prior DNA history")</f>
        <v>Has prior DNA history</v>
      </c>
      <c r="T757" t="s">
        <v>22</v>
      </c>
      <c r="U757" t="str">
        <f t="shared" si="11"/>
        <v>1</v>
      </c>
      <c r="V757" t="str">
        <f>IF(Table1[appointment_status]="Attended","1","0")</f>
        <v>1</v>
      </c>
      <c r="W757" t="str">
        <f>IF(Table1[appointment_status]="Cancelled","1","0")</f>
        <v>0</v>
      </c>
    </row>
    <row r="758" spans="1:23">
      <c r="A758" t="s">
        <v>1406</v>
      </c>
      <c r="B758" t="s">
        <v>1407</v>
      </c>
      <c r="C758">
        <v>48</v>
      </c>
      <c r="D758" t="str" cm="1">
        <f t="array" ref="D758">_xlfn.IFS(Table1[[#This Row],[age]]&lt;=17,"0-17",C758&lt;=29,"18-29",C758&lt;=44,"30-44",C758&lt;=59,"45-59",C758&lt;=74,"60-74",TRUE,"75+")</f>
        <v>45-59</v>
      </c>
      <c r="E758" t="s">
        <v>17</v>
      </c>
      <c r="F758">
        <v>7</v>
      </c>
      <c r="G758" t="str" cm="1">
        <f t="array" ref="G758">_xlfn.IFS(_xlfn.SINGLE(Table1[imd_decile])&lt;=3,"Most Deprived",F758&lt;=7,"Moderately Deprived",F758&lt;=10,"Least Deprived")</f>
        <v>Moderately Deprived</v>
      </c>
      <c r="H758">
        <v>3.8</v>
      </c>
      <c r="I758" t="s">
        <v>49</v>
      </c>
      <c r="J758" t="s">
        <v>26</v>
      </c>
      <c r="K758" s="1">
        <v>45776</v>
      </c>
      <c r="L758" s="1">
        <v>45786</v>
      </c>
      <c r="M758" s="1" t="str">
        <f>TEXT(Table1[[#This Row],[appointment_date]],"MM/YYYY")</f>
        <v>05/2025</v>
      </c>
      <c r="N758">
        <v>10</v>
      </c>
      <c r="O758" t="str" cm="1">
        <f t="array" ref="O758">_xlfn.IFS(Table1[[#This Row],[lead_time_days]]&lt;=7,"0-7 days",N758&lt;=14,"8-14 days",N758&lt;=30,"15-30 days",N758&lt;=60,"31-60 days",TRUE,"61+ days")</f>
        <v>8-14 days</v>
      </c>
      <c r="P758" t="s">
        <v>52</v>
      </c>
      <c r="Q758" t="s">
        <v>32</v>
      </c>
      <c r="R758">
        <v>1</v>
      </c>
      <c r="S758" t="str">
        <f>IF(Table1[prior_dna_count]&gt;=1,"Has prior DNA history","No prior DNA history")</f>
        <v>Has prior DNA history</v>
      </c>
      <c r="T758" t="s">
        <v>22</v>
      </c>
      <c r="U758" t="str">
        <f t="shared" si="11"/>
        <v>1</v>
      </c>
      <c r="V758" t="str">
        <f>IF(Table1[appointment_status]="Attended","1","0")</f>
        <v>1</v>
      </c>
      <c r="W758" t="str">
        <f>IF(Table1[appointment_status]="Cancelled","1","0")</f>
        <v>0</v>
      </c>
    </row>
    <row r="759" spans="1:23">
      <c r="A759" t="s">
        <v>1408</v>
      </c>
      <c r="B759" t="s">
        <v>1409</v>
      </c>
      <c r="C759">
        <v>53</v>
      </c>
      <c r="D759" t="str" cm="1">
        <f t="array" ref="D759">_xlfn.IFS(Table1[[#This Row],[age]]&lt;=17,"0-17",C759&lt;=29,"18-29",C759&lt;=44,"30-44",C759&lt;=59,"45-59",C759&lt;=74,"60-74",TRUE,"75+")</f>
        <v>45-59</v>
      </c>
      <c r="E759" t="s">
        <v>29</v>
      </c>
      <c r="F759">
        <v>1</v>
      </c>
      <c r="G759" t="str" cm="1">
        <f t="array" ref="G759">_xlfn.IFS(_xlfn.SINGLE(Table1[imd_decile])&lt;=3,"Most Deprived",F759&lt;=7,"Moderately Deprived",F759&lt;=10,"Least Deprived")</f>
        <v>Most Deprived</v>
      </c>
      <c r="H759">
        <v>5.8</v>
      </c>
      <c r="I759" t="s">
        <v>38</v>
      </c>
      <c r="J759" t="s">
        <v>26</v>
      </c>
      <c r="K759" s="1">
        <v>45777</v>
      </c>
      <c r="L759" s="1">
        <v>45786</v>
      </c>
      <c r="M759" s="1" t="str">
        <f>TEXT(Table1[[#This Row],[appointment_date]],"MM/YYYY")</f>
        <v>05/2025</v>
      </c>
      <c r="N759">
        <v>9</v>
      </c>
      <c r="O759" t="str" cm="1">
        <f t="array" ref="O759">_xlfn.IFS(Table1[[#This Row],[lead_time_days]]&lt;=7,"0-7 days",N759&lt;=14,"8-14 days",N759&lt;=30,"15-30 days",N759&lt;=60,"31-60 days",TRUE,"61+ days")</f>
        <v>8-14 days</v>
      </c>
      <c r="P759" t="s">
        <v>52</v>
      </c>
      <c r="Q759" t="s">
        <v>21</v>
      </c>
      <c r="R759">
        <v>0</v>
      </c>
      <c r="S759" t="str">
        <f>IF(Table1[prior_dna_count]&gt;=1,"Has prior DNA history","No prior DNA history")</f>
        <v>No prior DNA history</v>
      </c>
      <c r="T759" t="s">
        <v>22</v>
      </c>
      <c r="U759" t="str">
        <f t="shared" si="11"/>
        <v>1</v>
      </c>
      <c r="V759" t="str">
        <f>IF(Table1[appointment_status]="Attended","1","0")</f>
        <v>1</v>
      </c>
      <c r="W759" t="str">
        <f>IF(Table1[appointment_status]="Cancelled","1","0")</f>
        <v>0</v>
      </c>
    </row>
    <row r="760" spans="1:23">
      <c r="A760" t="s">
        <v>1410</v>
      </c>
      <c r="B760" t="s">
        <v>1044</v>
      </c>
      <c r="C760">
        <v>53</v>
      </c>
      <c r="D760" t="str" cm="1">
        <f t="array" ref="D760">_xlfn.IFS(Table1[[#This Row],[age]]&lt;=17,"0-17",C760&lt;=29,"18-29",C760&lt;=44,"30-44",C760&lt;=59,"45-59",C760&lt;=74,"60-74",TRUE,"75+")</f>
        <v>45-59</v>
      </c>
      <c r="E760" t="s">
        <v>17</v>
      </c>
      <c r="F760">
        <v>7</v>
      </c>
      <c r="G760" t="str" cm="1">
        <f t="array" ref="G760">_xlfn.IFS(_xlfn.SINGLE(Table1[imd_decile])&lt;=3,"Most Deprived",F760&lt;=7,"Moderately Deprived",F760&lt;=10,"Least Deprived")</f>
        <v>Moderately Deprived</v>
      </c>
      <c r="H760">
        <v>12.6</v>
      </c>
      <c r="I760" t="s">
        <v>45</v>
      </c>
      <c r="J760" t="s">
        <v>26</v>
      </c>
      <c r="K760" s="1">
        <v>45780</v>
      </c>
      <c r="L760" s="1">
        <v>45786</v>
      </c>
      <c r="M760" s="1" t="str">
        <f>TEXT(Table1[[#This Row],[appointment_date]],"MM/YYYY")</f>
        <v>05/2025</v>
      </c>
      <c r="N760">
        <v>6</v>
      </c>
      <c r="O760" t="str" cm="1">
        <f t="array" ref="O760">_xlfn.IFS(Table1[[#This Row],[lead_time_days]]&lt;=7,"0-7 days",N760&lt;=14,"8-14 days",N760&lt;=30,"15-30 days",N760&lt;=60,"31-60 days",TRUE,"61+ days")</f>
        <v>0-7 days</v>
      </c>
      <c r="P760" t="s">
        <v>52</v>
      </c>
      <c r="Q760" t="s">
        <v>32</v>
      </c>
      <c r="R760">
        <v>0</v>
      </c>
      <c r="S760" t="str">
        <f>IF(Table1[prior_dna_count]&gt;=1,"Has prior DNA history","No prior DNA history")</f>
        <v>No prior DNA history</v>
      </c>
      <c r="T760" t="s">
        <v>22</v>
      </c>
      <c r="U760" t="str">
        <f t="shared" si="11"/>
        <v>1</v>
      </c>
      <c r="V760" t="str">
        <f>IF(Table1[appointment_status]="Attended","1","0")</f>
        <v>1</v>
      </c>
      <c r="W760" t="str">
        <f>IF(Table1[appointment_status]="Cancelled","1","0")</f>
        <v>0</v>
      </c>
    </row>
    <row r="761" spans="1:23">
      <c r="A761" t="s">
        <v>1411</v>
      </c>
      <c r="B761" t="s">
        <v>634</v>
      </c>
      <c r="C761">
        <v>30</v>
      </c>
      <c r="D761" t="str" cm="1">
        <f t="array" ref="D761">_xlfn.IFS(Table1[[#This Row],[age]]&lt;=17,"0-17",C761&lt;=29,"18-29",C761&lt;=44,"30-44",C761&lt;=59,"45-59",C761&lt;=74,"60-74",TRUE,"75+")</f>
        <v>30-44</v>
      </c>
      <c r="E761" t="s">
        <v>29</v>
      </c>
      <c r="F761">
        <v>5</v>
      </c>
      <c r="G761" t="str" cm="1">
        <f t="array" ref="G761">_xlfn.IFS(_xlfn.SINGLE(Table1[imd_decile])&lt;=3,"Most Deprived",F761&lt;=7,"Moderately Deprived",F761&lt;=10,"Least Deprived")</f>
        <v>Moderately Deprived</v>
      </c>
      <c r="H761">
        <v>6.3</v>
      </c>
      <c r="I761" t="s">
        <v>18</v>
      </c>
      <c r="J761" t="s">
        <v>26</v>
      </c>
      <c r="K761" s="1">
        <v>45783</v>
      </c>
      <c r="L761" s="1">
        <v>45786</v>
      </c>
      <c r="M761" s="1" t="str">
        <f>TEXT(Table1[[#This Row],[appointment_date]],"MM/YYYY")</f>
        <v>05/2025</v>
      </c>
      <c r="N761">
        <v>3</v>
      </c>
      <c r="O761" t="str" cm="1">
        <f t="array" ref="O761">_xlfn.IFS(Table1[[#This Row],[lead_time_days]]&lt;=7,"0-7 days",N761&lt;=14,"8-14 days",N761&lt;=30,"15-30 days",N761&lt;=60,"31-60 days",TRUE,"61+ days")</f>
        <v>0-7 days</v>
      </c>
      <c r="P761" t="s">
        <v>52</v>
      </c>
      <c r="Q761" t="s">
        <v>32</v>
      </c>
      <c r="R761">
        <v>0</v>
      </c>
      <c r="S761" t="str">
        <f>IF(Table1[prior_dna_count]&gt;=1,"Has prior DNA history","No prior DNA history")</f>
        <v>No prior DNA history</v>
      </c>
      <c r="T761" t="s">
        <v>39</v>
      </c>
      <c r="U761" t="str">
        <f t="shared" si="11"/>
        <v>1</v>
      </c>
      <c r="V761" t="str">
        <f>IF(Table1[appointment_status]="Attended","1","0")</f>
        <v>0</v>
      </c>
      <c r="W761" t="str">
        <f>IF(Table1[appointment_status]="Cancelled","1","0")</f>
        <v>0</v>
      </c>
    </row>
    <row r="762" spans="1:23">
      <c r="A762" t="s">
        <v>1412</v>
      </c>
      <c r="B762" t="s">
        <v>1258</v>
      </c>
      <c r="C762">
        <v>72</v>
      </c>
      <c r="D762" t="str" cm="1">
        <f t="array" ref="D762">_xlfn.IFS(Table1[[#This Row],[age]]&lt;=17,"0-17",C762&lt;=29,"18-29",C762&lt;=44,"30-44",C762&lt;=59,"45-59",C762&lt;=74,"60-74",TRUE,"75+")</f>
        <v>60-74</v>
      </c>
      <c r="E762" t="s">
        <v>17</v>
      </c>
      <c r="F762">
        <v>7</v>
      </c>
      <c r="G762" t="str" cm="1">
        <f t="array" ref="G762">_xlfn.IFS(_xlfn.SINGLE(Table1[imd_decile])&lt;=3,"Most Deprived",F762&lt;=7,"Moderately Deprived",F762&lt;=10,"Least Deprived")</f>
        <v>Moderately Deprived</v>
      </c>
      <c r="H762">
        <v>6.3</v>
      </c>
      <c r="I762" t="s">
        <v>42</v>
      </c>
      <c r="J762" t="s">
        <v>19</v>
      </c>
      <c r="K762" s="1">
        <v>45746</v>
      </c>
      <c r="L762" s="1">
        <v>45787</v>
      </c>
      <c r="M762" s="1" t="str">
        <f>TEXT(Table1[[#This Row],[appointment_date]],"MM/YYYY")</f>
        <v>05/2025</v>
      </c>
      <c r="N762">
        <v>41</v>
      </c>
      <c r="O762" t="str" cm="1">
        <f t="array" ref="O762">_xlfn.IFS(Table1[[#This Row],[lead_time_days]]&lt;=7,"0-7 days",N762&lt;=14,"8-14 days",N762&lt;=30,"15-30 days",N762&lt;=60,"31-60 days",TRUE,"61+ days")</f>
        <v>31-60 days</v>
      </c>
      <c r="P762" t="s">
        <v>55</v>
      </c>
      <c r="Q762" t="s">
        <v>32</v>
      </c>
      <c r="R762">
        <v>0</v>
      </c>
      <c r="S762" t="str">
        <f>IF(Table1[prior_dna_count]&gt;=1,"Has prior DNA history","No prior DNA history")</f>
        <v>No prior DNA history</v>
      </c>
      <c r="T762" t="s">
        <v>39</v>
      </c>
      <c r="U762" t="str">
        <f t="shared" si="11"/>
        <v>0</v>
      </c>
      <c r="V762" t="str">
        <f>IF(Table1[appointment_status]="Attended","1","0")</f>
        <v>0</v>
      </c>
      <c r="W762" t="str">
        <f>IF(Table1[appointment_status]="Cancelled","1","0")</f>
        <v>0</v>
      </c>
    </row>
    <row r="763" spans="1:23">
      <c r="A763" t="s">
        <v>1413</v>
      </c>
      <c r="B763" t="s">
        <v>1414</v>
      </c>
      <c r="C763">
        <v>32</v>
      </c>
      <c r="D763" t="str" cm="1">
        <f t="array" ref="D763">_xlfn.IFS(Table1[[#This Row],[age]]&lt;=17,"0-17",C763&lt;=29,"18-29",C763&lt;=44,"30-44",C763&lt;=59,"45-59",C763&lt;=74,"60-74",TRUE,"75+")</f>
        <v>30-44</v>
      </c>
      <c r="E763" t="s">
        <v>17</v>
      </c>
      <c r="F763">
        <v>2</v>
      </c>
      <c r="G763" t="str" cm="1">
        <f t="array" ref="G763">_xlfn.IFS(_xlfn.SINGLE(Table1[imd_decile])&lt;=3,"Most Deprived",F763&lt;=7,"Moderately Deprived",F763&lt;=10,"Least Deprived")</f>
        <v>Most Deprived</v>
      </c>
      <c r="H763">
        <v>10.9</v>
      </c>
      <c r="I763" t="s">
        <v>91</v>
      </c>
      <c r="J763" t="s">
        <v>19</v>
      </c>
      <c r="K763" s="1">
        <v>45749</v>
      </c>
      <c r="L763" s="1">
        <v>45787</v>
      </c>
      <c r="M763" s="1" t="str">
        <f>TEXT(Table1[[#This Row],[appointment_date]],"MM/YYYY")</f>
        <v>05/2025</v>
      </c>
      <c r="N763">
        <v>38</v>
      </c>
      <c r="O763" t="str" cm="1">
        <f t="array" ref="O763">_xlfn.IFS(Table1[[#This Row],[lead_time_days]]&lt;=7,"0-7 days",N763&lt;=14,"8-14 days",N763&lt;=30,"15-30 days",N763&lt;=60,"31-60 days",TRUE,"61+ days")</f>
        <v>31-60 days</v>
      </c>
      <c r="P763" t="s">
        <v>55</v>
      </c>
      <c r="Q763" t="s">
        <v>32</v>
      </c>
      <c r="R763">
        <v>0</v>
      </c>
      <c r="S763" t="str">
        <f>IF(Table1[prior_dna_count]&gt;=1,"Has prior DNA history","No prior DNA history")</f>
        <v>No prior DNA history</v>
      </c>
      <c r="T763" t="s">
        <v>39</v>
      </c>
      <c r="U763" t="str">
        <f t="shared" si="11"/>
        <v>0</v>
      </c>
      <c r="V763" t="str">
        <f>IF(Table1[appointment_status]="Attended","1","0")</f>
        <v>0</v>
      </c>
      <c r="W763" t="str">
        <f>IF(Table1[appointment_status]="Cancelled","1","0")</f>
        <v>0</v>
      </c>
    </row>
    <row r="764" spans="1:23">
      <c r="A764" t="s">
        <v>1415</v>
      </c>
      <c r="B764" t="s">
        <v>1301</v>
      </c>
      <c r="C764">
        <v>14</v>
      </c>
      <c r="D764" t="str" cm="1">
        <f t="array" ref="D764">_xlfn.IFS(Table1[[#This Row],[age]]&lt;=17,"0-17",C764&lt;=29,"18-29",C764&lt;=44,"30-44",C764&lt;=59,"45-59",C764&lt;=74,"60-74",TRUE,"75+")</f>
        <v>0-17</v>
      </c>
      <c r="E764" t="s">
        <v>17</v>
      </c>
      <c r="F764">
        <v>3</v>
      </c>
      <c r="G764" t="str" cm="1">
        <f t="array" ref="G764">_xlfn.IFS(_xlfn.SINGLE(Table1[imd_decile])&lt;=3,"Most Deprived",F764&lt;=7,"Moderately Deprived",F764&lt;=10,"Least Deprived")</f>
        <v>Most Deprived</v>
      </c>
      <c r="H764">
        <v>14.9</v>
      </c>
      <c r="I764" t="s">
        <v>42</v>
      </c>
      <c r="J764" t="s">
        <v>26</v>
      </c>
      <c r="K764" s="1">
        <v>45759</v>
      </c>
      <c r="L764" s="1">
        <v>45787</v>
      </c>
      <c r="M764" s="1" t="str">
        <f>TEXT(Table1[[#This Row],[appointment_date]],"MM/YYYY")</f>
        <v>05/2025</v>
      </c>
      <c r="N764">
        <v>28</v>
      </c>
      <c r="O764" t="str" cm="1">
        <f t="array" ref="O764">_xlfn.IFS(Table1[[#This Row],[lead_time_days]]&lt;=7,"0-7 days",N764&lt;=14,"8-14 days",N764&lt;=30,"15-30 days",N764&lt;=60,"31-60 days",TRUE,"61+ days")</f>
        <v>15-30 days</v>
      </c>
      <c r="P764" t="s">
        <v>55</v>
      </c>
      <c r="Q764" t="s">
        <v>21</v>
      </c>
      <c r="R764">
        <v>1</v>
      </c>
      <c r="S764" t="str">
        <f>IF(Table1[prior_dna_count]&gt;=1,"Has prior DNA history","No prior DNA history")</f>
        <v>Has prior DNA history</v>
      </c>
      <c r="T764" t="s">
        <v>22</v>
      </c>
      <c r="U764" t="str">
        <f t="shared" si="11"/>
        <v>0</v>
      </c>
      <c r="V764" t="str">
        <f>IF(Table1[appointment_status]="Attended","1","0")</f>
        <v>1</v>
      </c>
      <c r="W764" t="str">
        <f>IF(Table1[appointment_status]="Cancelled","1","0")</f>
        <v>0</v>
      </c>
    </row>
    <row r="765" spans="1:23">
      <c r="A765" t="s">
        <v>1416</v>
      </c>
      <c r="B765" t="s">
        <v>1417</v>
      </c>
      <c r="C765">
        <v>64</v>
      </c>
      <c r="D765" t="str" cm="1">
        <f t="array" ref="D765">_xlfn.IFS(Table1[[#This Row],[age]]&lt;=17,"0-17",C765&lt;=29,"18-29",C765&lt;=44,"30-44",C765&lt;=59,"45-59",C765&lt;=74,"60-74",TRUE,"75+")</f>
        <v>60-74</v>
      </c>
      <c r="E765" t="s">
        <v>29</v>
      </c>
      <c r="F765">
        <v>1</v>
      </c>
      <c r="G765" t="str" cm="1">
        <f t="array" ref="G765">_xlfn.IFS(_xlfn.SINGLE(Table1[imd_decile])&lt;=3,"Most Deprived",F765&lt;=7,"Moderately Deprived",F765&lt;=10,"Least Deprived")</f>
        <v>Most Deprived</v>
      </c>
      <c r="H765">
        <v>3.7</v>
      </c>
      <c r="I765" t="s">
        <v>42</v>
      </c>
      <c r="J765" t="s">
        <v>26</v>
      </c>
      <c r="K765" s="1">
        <v>45763</v>
      </c>
      <c r="L765" s="1">
        <v>45787</v>
      </c>
      <c r="M765" s="1" t="str">
        <f>TEXT(Table1[[#This Row],[appointment_date]],"MM/YYYY")</f>
        <v>05/2025</v>
      </c>
      <c r="N765">
        <v>24</v>
      </c>
      <c r="O765" t="str" cm="1">
        <f t="array" ref="O765">_xlfn.IFS(Table1[[#This Row],[lead_time_days]]&lt;=7,"0-7 days",N765&lt;=14,"8-14 days",N765&lt;=30,"15-30 days",N765&lt;=60,"31-60 days",TRUE,"61+ days")</f>
        <v>15-30 days</v>
      </c>
      <c r="P765" t="s">
        <v>55</v>
      </c>
      <c r="Q765" t="s">
        <v>32</v>
      </c>
      <c r="R765">
        <v>0</v>
      </c>
      <c r="S765" t="str">
        <f>IF(Table1[prior_dna_count]&gt;=1,"Has prior DNA history","No prior DNA history")</f>
        <v>No prior DNA history</v>
      </c>
      <c r="T765" t="s">
        <v>22</v>
      </c>
      <c r="U765" t="str">
        <f t="shared" si="11"/>
        <v>1</v>
      </c>
      <c r="V765" t="str">
        <f>IF(Table1[appointment_status]="Attended","1","0")</f>
        <v>1</v>
      </c>
      <c r="W765" t="str">
        <f>IF(Table1[appointment_status]="Cancelled","1","0")</f>
        <v>0</v>
      </c>
    </row>
    <row r="766" spans="1:23">
      <c r="A766" t="s">
        <v>1418</v>
      </c>
      <c r="B766" t="s">
        <v>1419</v>
      </c>
      <c r="C766">
        <v>45</v>
      </c>
      <c r="D766" t="str" cm="1">
        <f t="array" ref="D766">_xlfn.IFS(Table1[[#This Row],[age]]&lt;=17,"0-17",C766&lt;=29,"18-29",C766&lt;=44,"30-44",C766&lt;=59,"45-59",C766&lt;=74,"60-74",TRUE,"75+")</f>
        <v>45-59</v>
      </c>
      <c r="E766" t="s">
        <v>29</v>
      </c>
      <c r="F766">
        <v>6</v>
      </c>
      <c r="G766" t="str" cm="1">
        <f t="array" ref="G766">_xlfn.IFS(_xlfn.SINGLE(Table1[imd_decile])&lt;=3,"Most Deprived",F766&lt;=7,"Moderately Deprived",F766&lt;=10,"Least Deprived")</f>
        <v>Moderately Deprived</v>
      </c>
      <c r="H766">
        <v>7.6</v>
      </c>
      <c r="I766" t="s">
        <v>42</v>
      </c>
      <c r="J766" t="s">
        <v>19</v>
      </c>
      <c r="K766" s="1">
        <v>45753</v>
      </c>
      <c r="L766" s="1">
        <v>45787</v>
      </c>
      <c r="M766" s="1" t="str">
        <f>TEXT(Table1[[#This Row],[appointment_date]],"MM/YYYY")</f>
        <v>05/2025</v>
      </c>
      <c r="N766">
        <v>34</v>
      </c>
      <c r="O766" t="str" cm="1">
        <f t="array" ref="O766">_xlfn.IFS(Table1[[#This Row],[lead_time_days]]&lt;=7,"0-7 days",N766&lt;=14,"8-14 days",N766&lt;=30,"15-30 days",N766&lt;=60,"31-60 days",TRUE,"61+ days")</f>
        <v>31-60 days</v>
      </c>
      <c r="P766" t="s">
        <v>55</v>
      </c>
      <c r="Q766" t="s">
        <v>32</v>
      </c>
      <c r="R766">
        <v>0</v>
      </c>
      <c r="S766" t="str">
        <f>IF(Table1[prior_dna_count]&gt;=1,"Has prior DNA history","No prior DNA history")</f>
        <v>No prior DNA history</v>
      </c>
      <c r="T766" t="s">
        <v>22</v>
      </c>
      <c r="U766" t="str">
        <f t="shared" si="11"/>
        <v>1</v>
      </c>
      <c r="V766" t="str">
        <f>IF(Table1[appointment_status]="Attended","1","0")</f>
        <v>1</v>
      </c>
      <c r="W766" t="str">
        <f>IF(Table1[appointment_status]="Cancelled","1","0")</f>
        <v>0</v>
      </c>
    </row>
    <row r="767" spans="1:23">
      <c r="A767" t="s">
        <v>1420</v>
      </c>
      <c r="B767" t="s">
        <v>193</v>
      </c>
      <c r="C767">
        <v>27</v>
      </c>
      <c r="D767" t="str" cm="1">
        <f t="array" ref="D767">_xlfn.IFS(Table1[[#This Row],[age]]&lt;=17,"0-17",C767&lt;=29,"18-29",C767&lt;=44,"30-44",C767&lt;=59,"45-59",C767&lt;=74,"60-74",TRUE,"75+")</f>
        <v>18-29</v>
      </c>
      <c r="E767" t="s">
        <v>17</v>
      </c>
      <c r="F767">
        <v>9</v>
      </c>
      <c r="G767" t="str" cm="1">
        <f t="array" ref="G767">_xlfn.IFS(_xlfn.SINGLE(Table1[imd_decile])&lt;=3,"Most Deprived",F767&lt;=7,"Moderately Deprived",F767&lt;=10,"Least Deprived")</f>
        <v>Least Deprived</v>
      </c>
      <c r="H767">
        <v>12.5</v>
      </c>
      <c r="I767" t="s">
        <v>25</v>
      </c>
      <c r="J767" t="s">
        <v>26</v>
      </c>
      <c r="K767" s="1">
        <v>45777</v>
      </c>
      <c r="L767" s="1">
        <v>45787</v>
      </c>
      <c r="M767" s="1" t="str">
        <f>TEXT(Table1[[#This Row],[appointment_date]],"MM/YYYY")</f>
        <v>05/2025</v>
      </c>
      <c r="N767">
        <v>10</v>
      </c>
      <c r="O767" t="str" cm="1">
        <f t="array" ref="O767">_xlfn.IFS(Table1[[#This Row],[lead_time_days]]&lt;=7,"0-7 days",N767&lt;=14,"8-14 days",N767&lt;=30,"15-30 days",N767&lt;=60,"31-60 days",TRUE,"61+ days")</f>
        <v>8-14 days</v>
      </c>
      <c r="P767" t="s">
        <v>55</v>
      </c>
      <c r="Q767" t="s">
        <v>21</v>
      </c>
      <c r="R767">
        <v>0</v>
      </c>
      <c r="S767" t="str">
        <f>IF(Table1[prior_dna_count]&gt;=1,"Has prior DNA history","No prior DNA history")</f>
        <v>No prior DNA history</v>
      </c>
      <c r="T767" t="s">
        <v>22</v>
      </c>
      <c r="U767" t="str">
        <f t="shared" si="11"/>
        <v>1</v>
      </c>
      <c r="V767" t="str">
        <f>IF(Table1[appointment_status]="Attended","1","0")</f>
        <v>1</v>
      </c>
      <c r="W767" t="str">
        <f>IF(Table1[appointment_status]="Cancelled","1","0")</f>
        <v>0</v>
      </c>
    </row>
    <row r="768" spans="1:23">
      <c r="A768" t="s">
        <v>1421</v>
      </c>
      <c r="B768" t="s">
        <v>1422</v>
      </c>
      <c r="C768">
        <v>84</v>
      </c>
      <c r="D768" t="str" cm="1">
        <f t="array" ref="D768">_xlfn.IFS(Table1[[#This Row],[age]]&lt;=17,"0-17",C768&lt;=29,"18-29",C768&lt;=44,"30-44",C768&lt;=59,"45-59",C768&lt;=74,"60-74",TRUE,"75+")</f>
        <v>75+</v>
      </c>
      <c r="E768" t="s">
        <v>29</v>
      </c>
      <c r="F768">
        <v>3</v>
      </c>
      <c r="G768" t="str" cm="1">
        <f t="array" ref="G768">_xlfn.IFS(_xlfn.SINGLE(Table1[imd_decile])&lt;=3,"Most Deprived",F768&lt;=7,"Moderately Deprived",F768&lt;=10,"Least Deprived")</f>
        <v>Most Deprived</v>
      </c>
      <c r="H768">
        <v>12.6</v>
      </c>
      <c r="I768" t="s">
        <v>30</v>
      </c>
      <c r="J768" t="s">
        <v>26</v>
      </c>
      <c r="K768" s="1">
        <v>45780</v>
      </c>
      <c r="L768" s="1">
        <v>45787</v>
      </c>
      <c r="M768" s="1" t="str">
        <f>TEXT(Table1[[#This Row],[appointment_date]],"MM/YYYY")</f>
        <v>05/2025</v>
      </c>
      <c r="N768">
        <v>7</v>
      </c>
      <c r="O768" t="str" cm="1">
        <f t="array" ref="O768">_xlfn.IFS(Table1[[#This Row],[lead_time_days]]&lt;=7,"0-7 days",N768&lt;=14,"8-14 days",N768&lt;=30,"15-30 days",N768&lt;=60,"31-60 days",TRUE,"61+ days")</f>
        <v>0-7 days</v>
      </c>
      <c r="P768" t="s">
        <v>55</v>
      </c>
      <c r="Q768" t="s">
        <v>21</v>
      </c>
      <c r="R768">
        <v>0</v>
      </c>
      <c r="S768" t="str">
        <f>IF(Table1[prior_dna_count]&gt;=1,"Has prior DNA history","No prior DNA history")</f>
        <v>No prior DNA history</v>
      </c>
      <c r="T768" t="s">
        <v>46</v>
      </c>
      <c r="U768" t="str">
        <f t="shared" si="11"/>
        <v>1</v>
      </c>
      <c r="V768" t="str">
        <f>IF(Table1[appointment_status]="Attended","1","0")</f>
        <v>0</v>
      </c>
      <c r="W768" t="str">
        <f>IF(Table1[appointment_status]="Cancelled","1","0")</f>
        <v>1</v>
      </c>
    </row>
    <row r="769" spans="1:23">
      <c r="A769" t="s">
        <v>1423</v>
      </c>
      <c r="B769" t="s">
        <v>312</v>
      </c>
      <c r="C769">
        <v>33</v>
      </c>
      <c r="D769" t="str" cm="1">
        <f t="array" ref="D769">_xlfn.IFS(Table1[[#This Row],[age]]&lt;=17,"0-17",C769&lt;=29,"18-29",C769&lt;=44,"30-44",C769&lt;=59,"45-59",C769&lt;=74,"60-74",TRUE,"75+")</f>
        <v>30-44</v>
      </c>
      <c r="E769" t="s">
        <v>17</v>
      </c>
      <c r="F769">
        <v>5</v>
      </c>
      <c r="G769" t="str" cm="1">
        <f t="array" ref="G769">_xlfn.IFS(_xlfn.SINGLE(Table1[imd_decile])&lt;=3,"Most Deprived",F769&lt;=7,"Moderately Deprived",F769&lt;=10,"Least Deprived")</f>
        <v>Moderately Deprived</v>
      </c>
      <c r="H769">
        <v>1.9</v>
      </c>
      <c r="I769" t="s">
        <v>25</v>
      </c>
      <c r="J769" t="s">
        <v>19</v>
      </c>
      <c r="K769" s="1">
        <v>45720</v>
      </c>
      <c r="L769" s="1">
        <v>45788</v>
      </c>
      <c r="M769" s="1" t="str">
        <f>TEXT(Table1[[#This Row],[appointment_date]],"MM/YYYY")</f>
        <v>05/2025</v>
      </c>
      <c r="N769">
        <v>68</v>
      </c>
      <c r="O769" t="str" cm="1">
        <f t="array" ref="O769">_xlfn.IFS(Table1[[#This Row],[lead_time_days]]&lt;=7,"0-7 days",N769&lt;=14,"8-14 days",N769&lt;=30,"15-30 days",N769&lt;=60,"31-60 days",TRUE,"61+ days")</f>
        <v>61+ days</v>
      </c>
      <c r="P769" t="s">
        <v>31</v>
      </c>
      <c r="Q769" t="s">
        <v>21</v>
      </c>
      <c r="R769">
        <v>0</v>
      </c>
      <c r="S769" t="str">
        <f>IF(Table1[prior_dna_count]&gt;=1,"Has prior DNA history","No prior DNA history")</f>
        <v>No prior DNA history</v>
      </c>
      <c r="T769" t="s">
        <v>22</v>
      </c>
      <c r="U769" t="str">
        <f t="shared" si="11"/>
        <v>0</v>
      </c>
      <c r="V769" t="str">
        <f>IF(Table1[appointment_status]="Attended","1","0")</f>
        <v>1</v>
      </c>
      <c r="W769" t="str">
        <f>IF(Table1[appointment_status]="Cancelled","1","0")</f>
        <v>0</v>
      </c>
    </row>
    <row r="770" spans="1:23">
      <c r="A770" t="s">
        <v>1424</v>
      </c>
      <c r="B770" t="s">
        <v>1425</v>
      </c>
      <c r="C770">
        <v>49</v>
      </c>
      <c r="D770" t="str" cm="1">
        <f t="array" ref="D770">_xlfn.IFS(Table1[[#This Row],[age]]&lt;=17,"0-17",C770&lt;=29,"18-29",C770&lt;=44,"30-44",C770&lt;=59,"45-59",C770&lt;=74,"60-74",TRUE,"75+")</f>
        <v>45-59</v>
      </c>
      <c r="E770" t="s">
        <v>17</v>
      </c>
      <c r="F770">
        <v>1</v>
      </c>
      <c r="G770" t="str" cm="1">
        <f t="array" ref="G770">_xlfn.IFS(_xlfn.SINGLE(Table1[imd_decile])&lt;=3,"Most Deprived",F770&lt;=7,"Moderately Deprived",F770&lt;=10,"Least Deprived")</f>
        <v>Most Deprived</v>
      </c>
      <c r="H770">
        <v>16.5</v>
      </c>
      <c r="I770" t="s">
        <v>38</v>
      </c>
      <c r="J770" t="s">
        <v>19</v>
      </c>
      <c r="K770" s="1">
        <v>45766</v>
      </c>
      <c r="L770" s="1">
        <v>45788</v>
      </c>
      <c r="M770" s="1" t="str">
        <f>TEXT(Table1[[#This Row],[appointment_date]],"MM/YYYY")</f>
        <v>05/2025</v>
      </c>
      <c r="N770">
        <v>22</v>
      </c>
      <c r="O770" t="str" cm="1">
        <f t="array" ref="O770">_xlfn.IFS(Table1[[#This Row],[lead_time_days]]&lt;=7,"0-7 days",N770&lt;=14,"8-14 days",N770&lt;=30,"15-30 days",N770&lt;=60,"31-60 days",TRUE,"61+ days")</f>
        <v>15-30 days</v>
      </c>
      <c r="P770" t="s">
        <v>31</v>
      </c>
      <c r="Q770" t="s">
        <v>21</v>
      </c>
      <c r="R770">
        <v>1</v>
      </c>
      <c r="S770" t="str">
        <f>IF(Table1[prior_dna_count]&gt;=1,"Has prior DNA history","No prior DNA history")</f>
        <v>Has prior DNA history</v>
      </c>
      <c r="T770" t="s">
        <v>39</v>
      </c>
      <c r="U770" t="str">
        <f t="shared" ref="U770:U833" si="12">V769</f>
        <v>1</v>
      </c>
      <c r="V770" t="str">
        <f>IF(Table1[appointment_status]="Attended","1","0")</f>
        <v>0</v>
      </c>
      <c r="W770" t="str">
        <f>IF(Table1[appointment_status]="Cancelled","1","0")</f>
        <v>0</v>
      </c>
    </row>
    <row r="771" spans="1:23">
      <c r="A771" t="s">
        <v>1426</v>
      </c>
      <c r="B771" t="s">
        <v>405</v>
      </c>
      <c r="C771">
        <v>12</v>
      </c>
      <c r="D771" t="str" cm="1">
        <f t="array" ref="D771">_xlfn.IFS(Table1[[#This Row],[age]]&lt;=17,"0-17",C771&lt;=29,"18-29",C771&lt;=44,"30-44",C771&lt;=59,"45-59",C771&lt;=74,"60-74",TRUE,"75+")</f>
        <v>0-17</v>
      </c>
      <c r="E771" t="s">
        <v>17</v>
      </c>
      <c r="F771">
        <v>4</v>
      </c>
      <c r="G771" t="str" cm="1">
        <f t="array" ref="G771">_xlfn.IFS(_xlfn.SINGLE(Table1[imd_decile])&lt;=3,"Most Deprived",F771&lt;=7,"Moderately Deprived",F771&lt;=10,"Least Deprived")</f>
        <v>Moderately Deprived</v>
      </c>
      <c r="H771">
        <v>10.4</v>
      </c>
      <c r="I771" t="s">
        <v>38</v>
      </c>
      <c r="J771" t="s">
        <v>19</v>
      </c>
      <c r="K771" s="1">
        <v>45742</v>
      </c>
      <c r="L771" s="1">
        <v>45788</v>
      </c>
      <c r="M771" s="1" t="str">
        <f>TEXT(Table1[[#This Row],[appointment_date]],"MM/YYYY")</f>
        <v>05/2025</v>
      </c>
      <c r="N771">
        <v>46</v>
      </c>
      <c r="O771" t="str" cm="1">
        <f t="array" ref="O771">_xlfn.IFS(Table1[[#This Row],[lead_time_days]]&lt;=7,"0-7 days",N771&lt;=14,"8-14 days",N771&lt;=30,"15-30 days",N771&lt;=60,"31-60 days",TRUE,"61+ days")</f>
        <v>31-60 days</v>
      </c>
      <c r="P771" t="s">
        <v>31</v>
      </c>
      <c r="Q771" t="s">
        <v>21</v>
      </c>
      <c r="R771">
        <v>0</v>
      </c>
      <c r="S771" t="str">
        <f>IF(Table1[prior_dna_count]&gt;=1,"Has prior DNA history","No prior DNA history")</f>
        <v>No prior DNA history</v>
      </c>
      <c r="T771" t="s">
        <v>39</v>
      </c>
      <c r="U771" t="str">
        <f t="shared" si="12"/>
        <v>0</v>
      </c>
      <c r="V771" t="str">
        <f>IF(Table1[appointment_status]="Attended","1","0")</f>
        <v>0</v>
      </c>
      <c r="W771" t="str">
        <f>IF(Table1[appointment_status]="Cancelled","1","0")</f>
        <v>0</v>
      </c>
    </row>
    <row r="772" spans="1:23">
      <c r="A772" t="s">
        <v>1427</v>
      </c>
      <c r="B772" t="s">
        <v>1037</v>
      </c>
      <c r="C772">
        <v>28</v>
      </c>
      <c r="D772" t="str" cm="1">
        <f t="array" ref="D772">_xlfn.IFS(Table1[[#This Row],[age]]&lt;=17,"0-17",C772&lt;=29,"18-29",C772&lt;=44,"30-44",C772&lt;=59,"45-59",C772&lt;=74,"60-74",TRUE,"75+")</f>
        <v>18-29</v>
      </c>
      <c r="E772" t="s">
        <v>17</v>
      </c>
      <c r="F772">
        <v>6</v>
      </c>
      <c r="G772" t="str" cm="1">
        <f t="array" ref="G772">_xlfn.IFS(_xlfn.SINGLE(Table1[imd_decile])&lt;=3,"Most Deprived",F772&lt;=7,"Moderately Deprived",F772&lt;=10,"Least Deprived")</f>
        <v>Moderately Deprived</v>
      </c>
      <c r="H772">
        <v>3.2</v>
      </c>
      <c r="I772" t="s">
        <v>38</v>
      </c>
      <c r="J772" t="s">
        <v>19</v>
      </c>
      <c r="K772" s="1">
        <v>45741</v>
      </c>
      <c r="L772" s="1">
        <v>45788</v>
      </c>
      <c r="M772" s="1" t="str">
        <f>TEXT(Table1[[#This Row],[appointment_date]],"MM/YYYY")</f>
        <v>05/2025</v>
      </c>
      <c r="N772">
        <v>47</v>
      </c>
      <c r="O772" t="str" cm="1">
        <f t="array" ref="O772">_xlfn.IFS(Table1[[#This Row],[lead_time_days]]&lt;=7,"0-7 days",N772&lt;=14,"8-14 days",N772&lt;=30,"15-30 days",N772&lt;=60,"31-60 days",TRUE,"61+ days")</f>
        <v>31-60 days</v>
      </c>
      <c r="P772" t="s">
        <v>31</v>
      </c>
      <c r="Q772" t="s">
        <v>21</v>
      </c>
      <c r="R772">
        <v>0</v>
      </c>
      <c r="S772" t="str">
        <f>IF(Table1[prior_dna_count]&gt;=1,"Has prior DNA history","No prior DNA history")</f>
        <v>No prior DNA history</v>
      </c>
      <c r="T772" t="s">
        <v>22</v>
      </c>
      <c r="U772" t="str">
        <f t="shared" si="12"/>
        <v>0</v>
      </c>
      <c r="V772" t="str">
        <f>IF(Table1[appointment_status]="Attended","1","0")</f>
        <v>1</v>
      </c>
      <c r="W772" t="str">
        <f>IF(Table1[appointment_status]="Cancelled","1","0")</f>
        <v>0</v>
      </c>
    </row>
    <row r="773" spans="1:23">
      <c r="A773" t="s">
        <v>1428</v>
      </c>
      <c r="B773" t="s">
        <v>1429</v>
      </c>
      <c r="C773">
        <v>72</v>
      </c>
      <c r="D773" t="str" cm="1">
        <f t="array" ref="D773">_xlfn.IFS(Table1[[#This Row],[age]]&lt;=17,"0-17",C773&lt;=29,"18-29",C773&lt;=44,"30-44",C773&lt;=59,"45-59",C773&lt;=74,"60-74",TRUE,"75+")</f>
        <v>60-74</v>
      </c>
      <c r="E773" t="s">
        <v>29</v>
      </c>
      <c r="F773">
        <v>5</v>
      </c>
      <c r="G773" t="str" cm="1">
        <f t="array" ref="G773">_xlfn.IFS(_xlfn.SINGLE(Table1[imd_decile])&lt;=3,"Most Deprived",F773&lt;=7,"Moderately Deprived",F773&lt;=10,"Least Deprived")</f>
        <v>Moderately Deprived</v>
      </c>
      <c r="H773">
        <v>6.4</v>
      </c>
      <c r="I773" t="s">
        <v>49</v>
      </c>
      <c r="J773" t="s">
        <v>19</v>
      </c>
      <c r="K773" s="1">
        <v>45764</v>
      </c>
      <c r="L773" s="1">
        <v>45788</v>
      </c>
      <c r="M773" s="1" t="str">
        <f>TEXT(Table1[[#This Row],[appointment_date]],"MM/YYYY")</f>
        <v>05/2025</v>
      </c>
      <c r="N773">
        <v>24</v>
      </c>
      <c r="O773" t="str" cm="1">
        <f t="array" ref="O773">_xlfn.IFS(Table1[[#This Row],[lead_time_days]]&lt;=7,"0-7 days",N773&lt;=14,"8-14 days",N773&lt;=30,"15-30 days",N773&lt;=60,"31-60 days",TRUE,"61+ days")</f>
        <v>15-30 days</v>
      </c>
      <c r="P773" t="s">
        <v>31</v>
      </c>
      <c r="Q773" t="s">
        <v>21</v>
      </c>
      <c r="R773">
        <v>0</v>
      </c>
      <c r="S773" t="str">
        <f>IF(Table1[prior_dna_count]&gt;=1,"Has prior DNA history","No prior DNA history")</f>
        <v>No prior DNA history</v>
      </c>
      <c r="T773" t="s">
        <v>22</v>
      </c>
      <c r="U773" t="str">
        <f t="shared" si="12"/>
        <v>1</v>
      </c>
      <c r="V773" t="str">
        <f>IF(Table1[appointment_status]="Attended","1","0")</f>
        <v>1</v>
      </c>
      <c r="W773" t="str">
        <f>IF(Table1[appointment_status]="Cancelled","1","0")</f>
        <v>0</v>
      </c>
    </row>
    <row r="774" spans="1:23">
      <c r="A774" t="s">
        <v>1430</v>
      </c>
      <c r="B774" t="s">
        <v>1064</v>
      </c>
      <c r="C774">
        <v>69</v>
      </c>
      <c r="D774" t="str" cm="1">
        <f t="array" ref="D774">_xlfn.IFS(Table1[[#This Row],[age]]&lt;=17,"0-17",C774&lt;=29,"18-29",C774&lt;=44,"30-44",C774&lt;=59,"45-59",C774&lt;=74,"60-74",TRUE,"75+")</f>
        <v>60-74</v>
      </c>
      <c r="E774" t="s">
        <v>17</v>
      </c>
      <c r="F774">
        <v>5</v>
      </c>
      <c r="G774" t="str" cm="1">
        <f t="array" ref="G774">_xlfn.IFS(_xlfn.SINGLE(Table1[imd_decile])&lt;=3,"Most Deprived",F774&lt;=7,"Moderately Deprived",F774&lt;=10,"Least Deprived")</f>
        <v>Moderately Deprived</v>
      </c>
      <c r="H774">
        <v>8.4</v>
      </c>
      <c r="I774" t="s">
        <v>38</v>
      </c>
      <c r="J774" t="s">
        <v>19</v>
      </c>
      <c r="K774" s="1">
        <v>45752</v>
      </c>
      <c r="L774" s="1">
        <v>45788</v>
      </c>
      <c r="M774" s="1" t="str">
        <f>TEXT(Table1[[#This Row],[appointment_date]],"MM/YYYY")</f>
        <v>05/2025</v>
      </c>
      <c r="N774">
        <v>36</v>
      </c>
      <c r="O774" t="str" cm="1">
        <f t="array" ref="O774">_xlfn.IFS(Table1[[#This Row],[lead_time_days]]&lt;=7,"0-7 days",N774&lt;=14,"8-14 days",N774&lt;=30,"15-30 days",N774&lt;=60,"31-60 days",TRUE,"61+ days")</f>
        <v>31-60 days</v>
      </c>
      <c r="P774" t="s">
        <v>31</v>
      </c>
      <c r="Q774" t="s">
        <v>32</v>
      </c>
      <c r="R774">
        <v>0</v>
      </c>
      <c r="S774" t="str">
        <f>IF(Table1[prior_dna_count]&gt;=1,"Has prior DNA history","No prior DNA history")</f>
        <v>No prior DNA history</v>
      </c>
      <c r="T774" t="s">
        <v>22</v>
      </c>
      <c r="U774" t="str">
        <f t="shared" si="12"/>
        <v>1</v>
      </c>
      <c r="V774" t="str">
        <f>IF(Table1[appointment_status]="Attended","1","0")</f>
        <v>1</v>
      </c>
      <c r="W774" t="str">
        <f>IF(Table1[appointment_status]="Cancelled","1","0")</f>
        <v>0</v>
      </c>
    </row>
    <row r="775" spans="1:23">
      <c r="A775" t="s">
        <v>1431</v>
      </c>
      <c r="B775" t="s">
        <v>432</v>
      </c>
      <c r="C775">
        <v>42</v>
      </c>
      <c r="D775" t="str" cm="1">
        <f t="array" ref="D775">_xlfn.IFS(Table1[[#This Row],[age]]&lt;=17,"0-17",C775&lt;=29,"18-29",C775&lt;=44,"30-44",C775&lt;=59,"45-59",C775&lt;=74,"60-74",TRUE,"75+")</f>
        <v>30-44</v>
      </c>
      <c r="E775" t="s">
        <v>29</v>
      </c>
      <c r="F775">
        <v>4</v>
      </c>
      <c r="G775" t="str" cm="1">
        <f t="array" ref="G775">_xlfn.IFS(_xlfn.SINGLE(Table1[imd_decile])&lt;=3,"Most Deprived",F775&lt;=7,"Moderately Deprived",F775&lt;=10,"Least Deprived")</f>
        <v>Moderately Deprived</v>
      </c>
      <c r="H775">
        <v>7.9</v>
      </c>
      <c r="I775" t="s">
        <v>38</v>
      </c>
      <c r="J775" t="s">
        <v>19</v>
      </c>
      <c r="K775" s="1">
        <v>45749</v>
      </c>
      <c r="L775" s="1">
        <v>45788</v>
      </c>
      <c r="M775" s="1" t="str">
        <f>TEXT(Table1[[#This Row],[appointment_date]],"MM/YYYY")</f>
        <v>05/2025</v>
      </c>
      <c r="N775">
        <v>39</v>
      </c>
      <c r="O775" t="str" cm="1">
        <f t="array" ref="O775">_xlfn.IFS(Table1[[#This Row],[lead_time_days]]&lt;=7,"0-7 days",N775&lt;=14,"8-14 days",N775&lt;=30,"15-30 days",N775&lt;=60,"31-60 days",TRUE,"61+ days")</f>
        <v>31-60 days</v>
      </c>
      <c r="P775" t="s">
        <v>31</v>
      </c>
      <c r="Q775" t="s">
        <v>21</v>
      </c>
      <c r="R775">
        <v>0</v>
      </c>
      <c r="S775" t="str">
        <f>IF(Table1[prior_dna_count]&gt;=1,"Has prior DNA history","No prior DNA history")</f>
        <v>No prior DNA history</v>
      </c>
      <c r="T775" t="s">
        <v>46</v>
      </c>
      <c r="U775" t="str">
        <f t="shared" si="12"/>
        <v>1</v>
      </c>
      <c r="V775" t="str">
        <f>IF(Table1[appointment_status]="Attended","1","0")</f>
        <v>0</v>
      </c>
      <c r="W775" t="str">
        <f>IF(Table1[appointment_status]="Cancelled","1","0")</f>
        <v>1</v>
      </c>
    </row>
    <row r="776" spans="1:23">
      <c r="A776" t="s">
        <v>1432</v>
      </c>
      <c r="B776" t="s">
        <v>691</v>
      </c>
      <c r="C776">
        <v>24</v>
      </c>
      <c r="D776" t="str" cm="1">
        <f t="array" ref="D776">_xlfn.IFS(Table1[[#This Row],[age]]&lt;=17,"0-17",C776&lt;=29,"18-29",C776&lt;=44,"30-44",C776&lt;=59,"45-59",C776&lt;=74,"60-74",TRUE,"75+")</f>
        <v>18-29</v>
      </c>
      <c r="E776" t="s">
        <v>29</v>
      </c>
      <c r="F776">
        <v>1</v>
      </c>
      <c r="G776" t="str" cm="1">
        <f t="array" ref="G776">_xlfn.IFS(_xlfn.SINGLE(Table1[imd_decile])&lt;=3,"Most Deprived",F776&lt;=7,"Moderately Deprived",F776&lt;=10,"Least Deprived")</f>
        <v>Most Deprived</v>
      </c>
      <c r="H776">
        <v>1.5</v>
      </c>
      <c r="I776" t="s">
        <v>38</v>
      </c>
      <c r="J776" t="s">
        <v>19</v>
      </c>
      <c r="K776" s="1">
        <v>45766</v>
      </c>
      <c r="L776" s="1">
        <v>45788</v>
      </c>
      <c r="M776" s="1" t="str">
        <f>TEXT(Table1[[#This Row],[appointment_date]],"MM/YYYY")</f>
        <v>05/2025</v>
      </c>
      <c r="N776">
        <v>22</v>
      </c>
      <c r="O776" t="str" cm="1">
        <f t="array" ref="O776">_xlfn.IFS(Table1[[#This Row],[lead_time_days]]&lt;=7,"0-7 days",N776&lt;=14,"8-14 days",N776&lt;=30,"15-30 days",N776&lt;=60,"31-60 days",TRUE,"61+ days")</f>
        <v>15-30 days</v>
      </c>
      <c r="P776" t="s">
        <v>31</v>
      </c>
      <c r="Q776" t="s">
        <v>21</v>
      </c>
      <c r="R776">
        <v>0</v>
      </c>
      <c r="S776" t="str">
        <f>IF(Table1[prior_dna_count]&gt;=1,"Has prior DNA history","No prior DNA history")</f>
        <v>No prior DNA history</v>
      </c>
      <c r="T776" t="s">
        <v>46</v>
      </c>
      <c r="U776" t="str">
        <f t="shared" si="12"/>
        <v>0</v>
      </c>
      <c r="V776" t="str">
        <f>IF(Table1[appointment_status]="Attended","1","0")</f>
        <v>0</v>
      </c>
      <c r="W776" t="str">
        <f>IF(Table1[appointment_status]="Cancelled","1","0")</f>
        <v>1</v>
      </c>
    </row>
    <row r="777" spans="1:23">
      <c r="A777" t="s">
        <v>1433</v>
      </c>
      <c r="B777" t="s">
        <v>1434</v>
      </c>
      <c r="C777">
        <v>54</v>
      </c>
      <c r="D777" t="str" cm="1">
        <f t="array" ref="D777">_xlfn.IFS(Table1[[#This Row],[age]]&lt;=17,"0-17",C777&lt;=29,"18-29",C777&lt;=44,"30-44",C777&lt;=59,"45-59",C777&lt;=74,"60-74",TRUE,"75+")</f>
        <v>45-59</v>
      </c>
      <c r="E777" t="s">
        <v>17</v>
      </c>
      <c r="F777">
        <v>7</v>
      </c>
      <c r="G777" t="str" cm="1">
        <f t="array" ref="G777">_xlfn.IFS(_xlfn.SINGLE(Table1[imd_decile])&lt;=3,"Most Deprived",F777&lt;=7,"Moderately Deprived",F777&lt;=10,"Least Deprived")</f>
        <v>Moderately Deprived</v>
      </c>
      <c r="H777">
        <v>2.2000000000000002</v>
      </c>
      <c r="I777" t="s">
        <v>42</v>
      </c>
      <c r="J777" t="s">
        <v>26</v>
      </c>
      <c r="K777" s="1">
        <v>45748</v>
      </c>
      <c r="L777" s="1">
        <v>45788</v>
      </c>
      <c r="M777" s="1" t="str">
        <f>TEXT(Table1[[#This Row],[appointment_date]],"MM/YYYY")</f>
        <v>05/2025</v>
      </c>
      <c r="N777">
        <v>40</v>
      </c>
      <c r="O777" t="str" cm="1">
        <f t="array" ref="O777">_xlfn.IFS(Table1[[#This Row],[lead_time_days]]&lt;=7,"0-7 days",N777&lt;=14,"8-14 days",N777&lt;=30,"15-30 days",N777&lt;=60,"31-60 days",TRUE,"61+ days")</f>
        <v>31-60 days</v>
      </c>
      <c r="P777" t="s">
        <v>31</v>
      </c>
      <c r="Q777" t="s">
        <v>21</v>
      </c>
      <c r="R777">
        <v>0</v>
      </c>
      <c r="S777" t="str">
        <f>IF(Table1[prior_dna_count]&gt;=1,"Has prior DNA history","No prior DNA history")</f>
        <v>No prior DNA history</v>
      </c>
      <c r="T777" t="s">
        <v>22</v>
      </c>
      <c r="U777" t="str">
        <f t="shared" si="12"/>
        <v>0</v>
      </c>
      <c r="V777" t="str">
        <f>IF(Table1[appointment_status]="Attended","1","0")</f>
        <v>1</v>
      </c>
      <c r="W777" t="str">
        <f>IF(Table1[appointment_status]="Cancelled","1","0")</f>
        <v>0</v>
      </c>
    </row>
    <row r="778" spans="1:23">
      <c r="A778" t="s">
        <v>1435</v>
      </c>
      <c r="B778" t="s">
        <v>1436</v>
      </c>
      <c r="C778">
        <v>50</v>
      </c>
      <c r="D778" t="str" cm="1">
        <f t="array" ref="D778">_xlfn.IFS(Table1[[#This Row],[age]]&lt;=17,"0-17",C778&lt;=29,"18-29",C778&lt;=44,"30-44",C778&lt;=59,"45-59",C778&lt;=74,"60-74",TRUE,"75+")</f>
        <v>45-59</v>
      </c>
      <c r="E778" t="s">
        <v>29</v>
      </c>
      <c r="F778">
        <v>1</v>
      </c>
      <c r="G778" t="str" cm="1">
        <f t="array" ref="G778">_xlfn.IFS(_xlfn.SINGLE(Table1[imd_decile])&lt;=3,"Most Deprived",F778&lt;=7,"Moderately Deprived",F778&lt;=10,"Least Deprived")</f>
        <v>Most Deprived</v>
      </c>
      <c r="H778">
        <v>3.4</v>
      </c>
      <c r="I778" t="s">
        <v>25</v>
      </c>
      <c r="J778" t="s">
        <v>19</v>
      </c>
      <c r="K778" s="1">
        <v>45745</v>
      </c>
      <c r="L778" s="1">
        <v>45789</v>
      </c>
      <c r="M778" s="1" t="str">
        <f>TEXT(Table1[[#This Row],[appointment_date]],"MM/YYYY")</f>
        <v>05/2025</v>
      </c>
      <c r="N778">
        <v>44</v>
      </c>
      <c r="O778" t="str" cm="1">
        <f t="array" ref="O778">_xlfn.IFS(Table1[[#This Row],[lead_time_days]]&lt;=7,"0-7 days",N778&lt;=14,"8-14 days",N778&lt;=30,"15-30 days",N778&lt;=60,"31-60 days",TRUE,"61+ days")</f>
        <v>31-60 days</v>
      </c>
      <c r="P778" t="s">
        <v>35</v>
      </c>
      <c r="Q778" t="s">
        <v>32</v>
      </c>
      <c r="R778">
        <v>0</v>
      </c>
      <c r="S778" t="str">
        <f>IF(Table1[prior_dna_count]&gt;=1,"Has prior DNA history","No prior DNA history")</f>
        <v>No prior DNA history</v>
      </c>
      <c r="T778" t="s">
        <v>39</v>
      </c>
      <c r="U778" t="str">
        <f t="shared" si="12"/>
        <v>1</v>
      </c>
      <c r="V778" t="str">
        <f>IF(Table1[appointment_status]="Attended","1","0")</f>
        <v>0</v>
      </c>
      <c r="W778" t="str">
        <f>IF(Table1[appointment_status]="Cancelled","1","0")</f>
        <v>0</v>
      </c>
    </row>
    <row r="779" spans="1:23">
      <c r="A779" t="s">
        <v>1437</v>
      </c>
      <c r="B779" t="s">
        <v>1305</v>
      </c>
      <c r="C779">
        <v>53</v>
      </c>
      <c r="D779" t="str" cm="1">
        <f t="array" ref="D779">_xlfn.IFS(Table1[[#This Row],[age]]&lt;=17,"0-17",C779&lt;=29,"18-29",C779&lt;=44,"30-44",C779&lt;=59,"45-59",C779&lt;=74,"60-74",TRUE,"75+")</f>
        <v>45-59</v>
      </c>
      <c r="E779" t="s">
        <v>29</v>
      </c>
      <c r="F779">
        <v>10</v>
      </c>
      <c r="G779" t="str" cm="1">
        <f t="array" ref="G779">_xlfn.IFS(_xlfn.SINGLE(Table1[imd_decile])&lt;=3,"Most Deprived",F779&lt;=7,"Moderately Deprived",F779&lt;=10,"Least Deprived")</f>
        <v>Least Deprived</v>
      </c>
      <c r="H779">
        <v>2.6</v>
      </c>
      <c r="I779" t="s">
        <v>49</v>
      </c>
      <c r="J779" t="s">
        <v>26</v>
      </c>
      <c r="K779" s="1">
        <v>45780</v>
      </c>
      <c r="L779" s="1">
        <v>45789</v>
      </c>
      <c r="M779" s="1" t="str">
        <f>TEXT(Table1[[#This Row],[appointment_date]],"MM/YYYY")</f>
        <v>05/2025</v>
      </c>
      <c r="N779">
        <v>9</v>
      </c>
      <c r="O779" t="str" cm="1">
        <f t="array" ref="O779">_xlfn.IFS(Table1[[#This Row],[lead_time_days]]&lt;=7,"0-7 days",N779&lt;=14,"8-14 days",N779&lt;=30,"15-30 days",N779&lt;=60,"31-60 days",TRUE,"61+ days")</f>
        <v>8-14 days</v>
      </c>
      <c r="P779" t="s">
        <v>35</v>
      </c>
      <c r="Q779" t="s">
        <v>21</v>
      </c>
      <c r="R779">
        <v>0</v>
      </c>
      <c r="S779" t="str">
        <f>IF(Table1[prior_dna_count]&gt;=1,"Has prior DNA history","No prior DNA history")</f>
        <v>No prior DNA history</v>
      </c>
      <c r="T779" t="s">
        <v>22</v>
      </c>
      <c r="U779" t="str">
        <f t="shared" si="12"/>
        <v>0</v>
      </c>
      <c r="V779" t="str">
        <f>IF(Table1[appointment_status]="Attended","1","0")</f>
        <v>1</v>
      </c>
      <c r="W779" t="str">
        <f>IF(Table1[appointment_status]="Cancelled","1","0")</f>
        <v>0</v>
      </c>
    </row>
    <row r="780" spans="1:23">
      <c r="A780" t="s">
        <v>1438</v>
      </c>
      <c r="B780" t="s">
        <v>1439</v>
      </c>
      <c r="C780">
        <v>34</v>
      </c>
      <c r="D780" t="str" cm="1">
        <f t="array" ref="D780">_xlfn.IFS(Table1[[#This Row],[age]]&lt;=17,"0-17",C780&lt;=29,"18-29",C780&lt;=44,"30-44",C780&lt;=59,"45-59",C780&lt;=74,"60-74",TRUE,"75+")</f>
        <v>30-44</v>
      </c>
      <c r="E780" t="s">
        <v>29</v>
      </c>
      <c r="F780">
        <v>1</v>
      </c>
      <c r="G780" t="str" cm="1">
        <f t="array" ref="G780">_xlfn.IFS(_xlfn.SINGLE(Table1[imd_decile])&lt;=3,"Most Deprived",F780&lt;=7,"Moderately Deprived",F780&lt;=10,"Least Deprived")</f>
        <v>Most Deprived</v>
      </c>
      <c r="H780">
        <v>3.8</v>
      </c>
      <c r="I780" t="s">
        <v>38</v>
      </c>
      <c r="J780" t="s">
        <v>19</v>
      </c>
      <c r="K780" s="1">
        <v>45770</v>
      </c>
      <c r="L780" s="1">
        <v>45789</v>
      </c>
      <c r="M780" s="1" t="str">
        <f>TEXT(Table1[[#This Row],[appointment_date]],"MM/YYYY")</f>
        <v>05/2025</v>
      </c>
      <c r="N780">
        <v>19</v>
      </c>
      <c r="O780" t="str" cm="1">
        <f t="array" ref="O780">_xlfn.IFS(Table1[[#This Row],[lead_time_days]]&lt;=7,"0-7 days",N780&lt;=14,"8-14 days",N780&lt;=30,"15-30 days",N780&lt;=60,"31-60 days",TRUE,"61+ days")</f>
        <v>15-30 days</v>
      </c>
      <c r="P780" t="s">
        <v>35</v>
      </c>
      <c r="Q780" t="s">
        <v>21</v>
      </c>
      <c r="R780">
        <v>0</v>
      </c>
      <c r="S780" t="str">
        <f>IF(Table1[prior_dna_count]&gt;=1,"Has prior DNA history","No prior DNA history")</f>
        <v>No prior DNA history</v>
      </c>
      <c r="T780" t="s">
        <v>22</v>
      </c>
      <c r="U780" t="str">
        <f t="shared" si="12"/>
        <v>1</v>
      </c>
      <c r="V780" t="str">
        <f>IF(Table1[appointment_status]="Attended","1","0")</f>
        <v>1</v>
      </c>
      <c r="W780" t="str">
        <f>IF(Table1[appointment_status]="Cancelled","1","0")</f>
        <v>0</v>
      </c>
    </row>
    <row r="781" spans="1:23">
      <c r="A781" t="s">
        <v>1440</v>
      </c>
      <c r="B781" t="s">
        <v>1441</v>
      </c>
      <c r="C781">
        <v>39</v>
      </c>
      <c r="D781" t="str" cm="1">
        <f t="array" ref="D781">_xlfn.IFS(Table1[[#This Row],[age]]&lt;=17,"0-17",C781&lt;=29,"18-29",C781&lt;=44,"30-44",C781&lt;=59,"45-59",C781&lt;=74,"60-74",TRUE,"75+")</f>
        <v>30-44</v>
      </c>
      <c r="E781" t="s">
        <v>17</v>
      </c>
      <c r="F781">
        <v>1</v>
      </c>
      <c r="G781" t="str" cm="1">
        <f t="array" ref="G781">_xlfn.IFS(_xlfn.SINGLE(Table1[imd_decile])&lt;=3,"Most Deprived",F781&lt;=7,"Moderately Deprived",F781&lt;=10,"Least Deprived")</f>
        <v>Most Deprived</v>
      </c>
      <c r="H781">
        <v>13.8</v>
      </c>
      <c r="I781" t="s">
        <v>49</v>
      </c>
      <c r="J781" t="s">
        <v>19</v>
      </c>
      <c r="K781" s="1">
        <v>45747</v>
      </c>
      <c r="L781" s="1">
        <v>45789</v>
      </c>
      <c r="M781" s="1" t="str">
        <f>TEXT(Table1[[#This Row],[appointment_date]],"MM/YYYY")</f>
        <v>05/2025</v>
      </c>
      <c r="N781">
        <v>42</v>
      </c>
      <c r="O781" t="str" cm="1">
        <f t="array" ref="O781">_xlfn.IFS(Table1[[#This Row],[lead_time_days]]&lt;=7,"0-7 days",N781&lt;=14,"8-14 days",N781&lt;=30,"15-30 days",N781&lt;=60,"31-60 days",TRUE,"61+ days")</f>
        <v>31-60 days</v>
      </c>
      <c r="P781" t="s">
        <v>35</v>
      </c>
      <c r="Q781" t="s">
        <v>21</v>
      </c>
      <c r="R781">
        <v>0</v>
      </c>
      <c r="S781" t="str">
        <f>IF(Table1[prior_dna_count]&gt;=1,"Has prior DNA history","No prior DNA history")</f>
        <v>No prior DNA history</v>
      </c>
      <c r="T781" t="s">
        <v>39</v>
      </c>
      <c r="U781" t="str">
        <f t="shared" si="12"/>
        <v>1</v>
      </c>
      <c r="V781" t="str">
        <f>IF(Table1[appointment_status]="Attended","1","0")</f>
        <v>0</v>
      </c>
      <c r="W781" t="str">
        <f>IF(Table1[appointment_status]="Cancelled","1","0")</f>
        <v>0</v>
      </c>
    </row>
    <row r="782" spans="1:23">
      <c r="A782" t="s">
        <v>1442</v>
      </c>
      <c r="B782" t="s">
        <v>1443</v>
      </c>
      <c r="C782">
        <v>28</v>
      </c>
      <c r="D782" t="str" cm="1">
        <f t="array" ref="D782">_xlfn.IFS(Table1[[#This Row],[age]]&lt;=17,"0-17",C782&lt;=29,"18-29",C782&lt;=44,"30-44",C782&lt;=59,"45-59",C782&lt;=74,"60-74",TRUE,"75+")</f>
        <v>18-29</v>
      </c>
      <c r="E782" t="s">
        <v>17</v>
      </c>
      <c r="F782">
        <v>9</v>
      </c>
      <c r="G782" t="str" cm="1">
        <f t="array" ref="G782">_xlfn.IFS(_xlfn.SINGLE(Table1[imd_decile])&lt;=3,"Most Deprived",F782&lt;=7,"Moderately Deprived",F782&lt;=10,"Least Deprived")</f>
        <v>Least Deprived</v>
      </c>
      <c r="H782">
        <v>6.8</v>
      </c>
      <c r="I782" t="s">
        <v>42</v>
      </c>
      <c r="J782" t="s">
        <v>19</v>
      </c>
      <c r="K782" s="1">
        <v>45775</v>
      </c>
      <c r="L782" s="1">
        <v>45789</v>
      </c>
      <c r="M782" s="1" t="str">
        <f>TEXT(Table1[[#This Row],[appointment_date]],"MM/YYYY")</f>
        <v>05/2025</v>
      </c>
      <c r="N782">
        <v>14</v>
      </c>
      <c r="O782" t="str" cm="1">
        <f t="array" ref="O782">_xlfn.IFS(Table1[[#This Row],[lead_time_days]]&lt;=7,"0-7 days",N782&lt;=14,"8-14 days",N782&lt;=30,"15-30 days",N782&lt;=60,"31-60 days",TRUE,"61+ days")</f>
        <v>8-14 days</v>
      </c>
      <c r="P782" t="s">
        <v>35</v>
      </c>
      <c r="Q782" t="s">
        <v>32</v>
      </c>
      <c r="R782">
        <v>0</v>
      </c>
      <c r="S782" t="str">
        <f>IF(Table1[prior_dna_count]&gt;=1,"Has prior DNA history","No prior DNA history")</f>
        <v>No prior DNA history</v>
      </c>
      <c r="T782" t="s">
        <v>22</v>
      </c>
      <c r="U782" t="str">
        <f t="shared" si="12"/>
        <v>0</v>
      </c>
      <c r="V782" t="str">
        <f>IF(Table1[appointment_status]="Attended","1","0")</f>
        <v>1</v>
      </c>
      <c r="W782" t="str">
        <f>IF(Table1[appointment_status]="Cancelled","1","0")</f>
        <v>0</v>
      </c>
    </row>
    <row r="783" spans="1:23">
      <c r="A783" t="s">
        <v>1444</v>
      </c>
      <c r="B783" t="s">
        <v>1445</v>
      </c>
      <c r="C783">
        <v>32</v>
      </c>
      <c r="D783" t="str" cm="1">
        <f t="array" ref="D783">_xlfn.IFS(Table1[[#This Row],[age]]&lt;=17,"0-17",C783&lt;=29,"18-29",C783&lt;=44,"30-44",C783&lt;=59,"45-59",C783&lt;=74,"60-74",TRUE,"75+")</f>
        <v>30-44</v>
      </c>
      <c r="E783" t="s">
        <v>29</v>
      </c>
      <c r="F783">
        <v>2</v>
      </c>
      <c r="G783" t="str" cm="1">
        <f t="array" ref="G783">_xlfn.IFS(_xlfn.SINGLE(Table1[imd_decile])&lt;=3,"Most Deprived",F783&lt;=7,"Moderately Deprived",F783&lt;=10,"Least Deprived")</f>
        <v>Most Deprived</v>
      </c>
      <c r="H783">
        <v>17</v>
      </c>
      <c r="I783" t="s">
        <v>58</v>
      </c>
      <c r="J783" t="s">
        <v>19</v>
      </c>
      <c r="K783" s="1">
        <v>45730</v>
      </c>
      <c r="L783" s="1">
        <v>45789</v>
      </c>
      <c r="M783" s="1" t="str">
        <f>TEXT(Table1[[#This Row],[appointment_date]],"MM/YYYY")</f>
        <v>05/2025</v>
      </c>
      <c r="N783">
        <v>59</v>
      </c>
      <c r="O783" t="str" cm="1">
        <f t="array" ref="O783">_xlfn.IFS(Table1[[#This Row],[lead_time_days]]&lt;=7,"0-7 days",N783&lt;=14,"8-14 days",N783&lt;=30,"15-30 days",N783&lt;=60,"31-60 days",TRUE,"61+ days")</f>
        <v>31-60 days</v>
      </c>
      <c r="P783" t="s">
        <v>35</v>
      </c>
      <c r="Q783" t="s">
        <v>32</v>
      </c>
      <c r="R783">
        <v>0</v>
      </c>
      <c r="S783" t="str">
        <f>IF(Table1[prior_dna_count]&gt;=1,"Has prior DNA history","No prior DNA history")</f>
        <v>No prior DNA history</v>
      </c>
      <c r="T783" t="s">
        <v>39</v>
      </c>
      <c r="U783" t="str">
        <f t="shared" si="12"/>
        <v>1</v>
      </c>
      <c r="V783" t="str">
        <f>IF(Table1[appointment_status]="Attended","1","0")</f>
        <v>0</v>
      </c>
      <c r="W783" t="str">
        <f>IF(Table1[appointment_status]="Cancelled","1","0")</f>
        <v>0</v>
      </c>
    </row>
    <row r="784" spans="1:23">
      <c r="A784" t="s">
        <v>1446</v>
      </c>
      <c r="B784" t="s">
        <v>1447</v>
      </c>
      <c r="C784">
        <v>66</v>
      </c>
      <c r="D784" t="str" cm="1">
        <f t="array" ref="D784">_xlfn.IFS(Table1[[#This Row],[age]]&lt;=17,"0-17",C784&lt;=29,"18-29",C784&lt;=44,"30-44",C784&lt;=59,"45-59",C784&lt;=74,"60-74",TRUE,"75+")</f>
        <v>60-74</v>
      </c>
      <c r="E784" t="s">
        <v>29</v>
      </c>
      <c r="F784">
        <v>8</v>
      </c>
      <c r="G784" t="str" cm="1">
        <f t="array" ref="G784">_xlfn.IFS(_xlfn.SINGLE(Table1[imd_decile])&lt;=3,"Most Deprived",F784&lt;=7,"Moderately Deprived",F784&lt;=10,"Least Deprived")</f>
        <v>Least Deprived</v>
      </c>
      <c r="H784">
        <v>8.8000000000000007</v>
      </c>
      <c r="I784" t="s">
        <v>49</v>
      </c>
      <c r="J784" t="s">
        <v>19</v>
      </c>
      <c r="K784" s="1">
        <v>45772</v>
      </c>
      <c r="L784" s="1">
        <v>45789</v>
      </c>
      <c r="M784" s="1" t="str">
        <f>TEXT(Table1[[#This Row],[appointment_date]],"MM/YYYY")</f>
        <v>05/2025</v>
      </c>
      <c r="N784">
        <v>17</v>
      </c>
      <c r="O784" t="str" cm="1">
        <f t="array" ref="O784">_xlfn.IFS(Table1[[#This Row],[lead_time_days]]&lt;=7,"0-7 days",N784&lt;=14,"8-14 days",N784&lt;=30,"15-30 days",N784&lt;=60,"31-60 days",TRUE,"61+ days")</f>
        <v>15-30 days</v>
      </c>
      <c r="P784" t="s">
        <v>35</v>
      </c>
      <c r="Q784" t="s">
        <v>32</v>
      </c>
      <c r="R784">
        <v>0</v>
      </c>
      <c r="S784" t="str">
        <f>IF(Table1[prior_dna_count]&gt;=1,"Has prior DNA history","No prior DNA history")</f>
        <v>No prior DNA history</v>
      </c>
      <c r="T784" t="s">
        <v>22</v>
      </c>
      <c r="U784" t="str">
        <f t="shared" si="12"/>
        <v>0</v>
      </c>
      <c r="V784" t="str">
        <f>IF(Table1[appointment_status]="Attended","1","0")</f>
        <v>1</v>
      </c>
      <c r="W784" t="str">
        <f>IF(Table1[appointment_status]="Cancelled","1","0")</f>
        <v>0</v>
      </c>
    </row>
    <row r="785" spans="1:23">
      <c r="A785" t="s">
        <v>1448</v>
      </c>
      <c r="B785" t="s">
        <v>1449</v>
      </c>
      <c r="C785">
        <v>10</v>
      </c>
      <c r="D785" t="str" cm="1">
        <f t="array" ref="D785">_xlfn.IFS(Table1[[#This Row],[age]]&lt;=17,"0-17",C785&lt;=29,"18-29",C785&lt;=44,"30-44",C785&lt;=59,"45-59",C785&lt;=74,"60-74",TRUE,"75+")</f>
        <v>0-17</v>
      </c>
      <c r="E785" t="s">
        <v>29</v>
      </c>
      <c r="F785">
        <v>7</v>
      </c>
      <c r="G785" t="str" cm="1">
        <f t="array" ref="G785">_xlfn.IFS(_xlfn.SINGLE(Table1[imd_decile])&lt;=3,"Most Deprived",F785&lt;=7,"Moderately Deprived",F785&lt;=10,"Least Deprived")</f>
        <v>Moderately Deprived</v>
      </c>
      <c r="H785">
        <v>10.9</v>
      </c>
      <c r="I785" t="s">
        <v>49</v>
      </c>
      <c r="J785" t="s">
        <v>26</v>
      </c>
      <c r="K785" s="1">
        <v>45778</v>
      </c>
      <c r="L785" s="1">
        <v>45789</v>
      </c>
      <c r="M785" s="1" t="str">
        <f>TEXT(Table1[[#This Row],[appointment_date]],"MM/YYYY")</f>
        <v>05/2025</v>
      </c>
      <c r="N785">
        <v>11</v>
      </c>
      <c r="O785" t="str" cm="1">
        <f t="array" ref="O785">_xlfn.IFS(Table1[[#This Row],[lead_time_days]]&lt;=7,"0-7 days",N785&lt;=14,"8-14 days",N785&lt;=30,"15-30 days",N785&lt;=60,"31-60 days",TRUE,"61+ days")</f>
        <v>8-14 days</v>
      </c>
      <c r="P785" t="s">
        <v>35</v>
      </c>
      <c r="Q785" t="s">
        <v>21</v>
      </c>
      <c r="R785">
        <v>1</v>
      </c>
      <c r="S785" t="str">
        <f>IF(Table1[prior_dna_count]&gt;=1,"Has prior DNA history","No prior DNA history")</f>
        <v>Has prior DNA history</v>
      </c>
      <c r="T785" t="s">
        <v>22</v>
      </c>
      <c r="U785" t="str">
        <f t="shared" si="12"/>
        <v>1</v>
      </c>
      <c r="V785" t="str">
        <f>IF(Table1[appointment_status]="Attended","1","0")</f>
        <v>1</v>
      </c>
      <c r="W785" t="str">
        <f>IF(Table1[appointment_status]="Cancelled","1","0")</f>
        <v>0</v>
      </c>
    </row>
    <row r="786" spans="1:23">
      <c r="A786" t="s">
        <v>1450</v>
      </c>
      <c r="B786" t="s">
        <v>127</v>
      </c>
      <c r="C786">
        <v>67</v>
      </c>
      <c r="D786" t="str" cm="1">
        <f t="array" ref="D786">_xlfn.IFS(Table1[[#This Row],[age]]&lt;=17,"0-17",C786&lt;=29,"18-29",C786&lt;=44,"30-44",C786&lt;=59,"45-59",C786&lt;=74,"60-74",TRUE,"75+")</f>
        <v>60-74</v>
      </c>
      <c r="E786" t="s">
        <v>17</v>
      </c>
      <c r="F786">
        <v>5</v>
      </c>
      <c r="G786" t="str" cm="1">
        <f t="array" ref="G786">_xlfn.IFS(_xlfn.SINGLE(Table1[imd_decile])&lt;=3,"Most Deprived",F786&lt;=7,"Moderately Deprived",F786&lt;=10,"Least Deprived")</f>
        <v>Moderately Deprived</v>
      </c>
      <c r="H786">
        <v>3</v>
      </c>
      <c r="I786" t="s">
        <v>25</v>
      </c>
      <c r="J786" t="s">
        <v>26</v>
      </c>
      <c r="K786" s="1">
        <v>45753</v>
      </c>
      <c r="L786" s="1">
        <v>45789</v>
      </c>
      <c r="M786" s="1" t="str">
        <f>TEXT(Table1[[#This Row],[appointment_date]],"MM/YYYY")</f>
        <v>05/2025</v>
      </c>
      <c r="N786">
        <v>36</v>
      </c>
      <c r="O786" t="str" cm="1">
        <f t="array" ref="O786">_xlfn.IFS(Table1[[#This Row],[lead_time_days]]&lt;=7,"0-7 days",N786&lt;=14,"8-14 days",N786&lt;=30,"15-30 days",N786&lt;=60,"31-60 days",TRUE,"61+ days")</f>
        <v>31-60 days</v>
      </c>
      <c r="P786" t="s">
        <v>35</v>
      </c>
      <c r="Q786" t="s">
        <v>21</v>
      </c>
      <c r="R786">
        <v>1</v>
      </c>
      <c r="S786" t="str">
        <f>IF(Table1[prior_dna_count]&gt;=1,"Has prior DNA history","No prior DNA history")</f>
        <v>Has prior DNA history</v>
      </c>
      <c r="T786" t="s">
        <v>22</v>
      </c>
      <c r="U786" t="str">
        <f t="shared" si="12"/>
        <v>1</v>
      </c>
      <c r="V786" t="str">
        <f>IF(Table1[appointment_status]="Attended","1","0")</f>
        <v>1</v>
      </c>
      <c r="W786" t="str">
        <f>IF(Table1[appointment_status]="Cancelled","1","0")</f>
        <v>0</v>
      </c>
    </row>
    <row r="787" spans="1:23">
      <c r="A787" t="s">
        <v>1451</v>
      </c>
      <c r="B787" t="s">
        <v>1452</v>
      </c>
      <c r="C787">
        <v>29</v>
      </c>
      <c r="D787" t="str" cm="1">
        <f t="array" ref="D787">_xlfn.IFS(Table1[[#This Row],[age]]&lt;=17,"0-17",C787&lt;=29,"18-29",C787&lt;=44,"30-44",C787&lt;=59,"45-59",C787&lt;=74,"60-74",TRUE,"75+")</f>
        <v>18-29</v>
      </c>
      <c r="E787" t="s">
        <v>29</v>
      </c>
      <c r="F787">
        <v>6</v>
      </c>
      <c r="G787" t="str" cm="1">
        <f t="array" ref="G787">_xlfn.IFS(_xlfn.SINGLE(Table1[imd_decile])&lt;=3,"Most Deprived",F787&lt;=7,"Moderately Deprived",F787&lt;=10,"Least Deprived")</f>
        <v>Moderately Deprived</v>
      </c>
      <c r="H787">
        <v>16.2</v>
      </c>
      <c r="I787" t="s">
        <v>45</v>
      </c>
      <c r="J787" t="s">
        <v>19</v>
      </c>
      <c r="K787" s="1">
        <v>45755</v>
      </c>
      <c r="L787" s="1">
        <v>45790</v>
      </c>
      <c r="M787" s="1" t="str">
        <f>TEXT(Table1[[#This Row],[appointment_date]],"MM/YYYY")</f>
        <v>05/2025</v>
      </c>
      <c r="N787">
        <v>35</v>
      </c>
      <c r="O787" t="str" cm="1">
        <f t="array" ref="O787">_xlfn.IFS(Table1[[#This Row],[lead_time_days]]&lt;=7,"0-7 days",N787&lt;=14,"8-14 days",N787&lt;=30,"15-30 days",N787&lt;=60,"31-60 days",TRUE,"61+ days")</f>
        <v>31-60 days</v>
      </c>
      <c r="P787" t="s">
        <v>71</v>
      </c>
      <c r="Q787" t="s">
        <v>32</v>
      </c>
      <c r="R787">
        <v>0</v>
      </c>
      <c r="S787" t="str">
        <f>IF(Table1[prior_dna_count]&gt;=1,"Has prior DNA history","No prior DNA history")</f>
        <v>No prior DNA history</v>
      </c>
      <c r="T787" t="s">
        <v>22</v>
      </c>
      <c r="U787" t="str">
        <f t="shared" si="12"/>
        <v>1</v>
      </c>
      <c r="V787" t="str">
        <f>IF(Table1[appointment_status]="Attended","1","0")</f>
        <v>1</v>
      </c>
      <c r="W787" t="str">
        <f>IF(Table1[appointment_status]="Cancelled","1","0")</f>
        <v>0</v>
      </c>
    </row>
    <row r="788" spans="1:23">
      <c r="A788" t="s">
        <v>1453</v>
      </c>
      <c r="B788" t="s">
        <v>1454</v>
      </c>
      <c r="C788">
        <v>48</v>
      </c>
      <c r="D788" t="str" cm="1">
        <f t="array" ref="D788">_xlfn.IFS(Table1[[#This Row],[age]]&lt;=17,"0-17",C788&lt;=29,"18-29",C788&lt;=44,"30-44",C788&lt;=59,"45-59",C788&lt;=74,"60-74",TRUE,"75+")</f>
        <v>45-59</v>
      </c>
      <c r="E788" t="s">
        <v>29</v>
      </c>
      <c r="F788">
        <v>6</v>
      </c>
      <c r="G788" t="str" cm="1">
        <f t="array" ref="G788">_xlfn.IFS(_xlfn.SINGLE(Table1[imd_decile])&lt;=3,"Most Deprived",F788&lt;=7,"Moderately Deprived",F788&lt;=10,"Least Deprived")</f>
        <v>Moderately Deprived</v>
      </c>
      <c r="H788">
        <v>5.6</v>
      </c>
      <c r="I788" t="s">
        <v>42</v>
      </c>
      <c r="J788" t="s">
        <v>19</v>
      </c>
      <c r="K788" s="1">
        <v>45723</v>
      </c>
      <c r="L788" s="1">
        <v>45790</v>
      </c>
      <c r="M788" s="1" t="str">
        <f>TEXT(Table1[[#This Row],[appointment_date]],"MM/YYYY")</f>
        <v>05/2025</v>
      </c>
      <c r="N788">
        <v>67</v>
      </c>
      <c r="O788" t="str" cm="1">
        <f t="array" ref="O788">_xlfn.IFS(Table1[[#This Row],[lead_time_days]]&lt;=7,"0-7 days",N788&lt;=14,"8-14 days",N788&lt;=30,"15-30 days",N788&lt;=60,"31-60 days",TRUE,"61+ days")</f>
        <v>61+ days</v>
      </c>
      <c r="P788" t="s">
        <v>71</v>
      </c>
      <c r="Q788" t="s">
        <v>32</v>
      </c>
      <c r="R788">
        <v>0</v>
      </c>
      <c r="S788" t="str">
        <f>IF(Table1[prior_dna_count]&gt;=1,"Has prior DNA history","No prior DNA history")</f>
        <v>No prior DNA history</v>
      </c>
      <c r="T788" t="s">
        <v>22</v>
      </c>
      <c r="U788" t="str">
        <f t="shared" si="12"/>
        <v>1</v>
      </c>
      <c r="V788" t="str">
        <f>IF(Table1[appointment_status]="Attended","1","0")</f>
        <v>1</v>
      </c>
      <c r="W788" t="str">
        <f>IF(Table1[appointment_status]="Cancelled","1","0")</f>
        <v>0</v>
      </c>
    </row>
    <row r="789" spans="1:23">
      <c r="A789" t="s">
        <v>1455</v>
      </c>
      <c r="B789" t="s">
        <v>354</v>
      </c>
      <c r="C789">
        <v>28</v>
      </c>
      <c r="D789" t="str" cm="1">
        <f t="array" ref="D789">_xlfn.IFS(Table1[[#This Row],[age]]&lt;=17,"0-17",C789&lt;=29,"18-29",C789&lt;=44,"30-44",C789&lt;=59,"45-59",C789&lt;=74,"60-74",TRUE,"75+")</f>
        <v>18-29</v>
      </c>
      <c r="E789" t="s">
        <v>17</v>
      </c>
      <c r="F789">
        <v>4</v>
      </c>
      <c r="G789" t="str" cm="1">
        <f t="array" ref="G789">_xlfn.IFS(_xlfn.SINGLE(Table1[imd_decile])&lt;=3,"Most Deprived",F789&lt;=7,"Moderately Deprived",F789&lt;=10,"Least Deprived")</f>
        <v>Moderately Deprived</v>
      </c>
      <c r="H789">
        <v>16.5</v>
      </c>
      <c r="I789" t="s">
        <v>38</v>
      </c>
      <c r="J789" t="s">
        <v>19</v>
      </c>
      <c r="K789" s="1">
        <v>45758</v>
      </c>
      <c r="L789" s="1">
        <v>45790</v>
      </c>
      <c r="M789" s="1" t="str">
        <f>TEXT(Table1[[#This Row],[appointment_date]],"MM/YYYY")</f>
        <v>05/2025</v>
      </c>
      <c r="N789">
        <v>32</v>
      </c>
      <c r="O789" t="str" cm="1">
        <f t="array" ref="O789">_xlfn.IFS(Table1[[#This Row],[lead_time_days]]&lt;=7,"0-7 days",N789&lt;=14,"8-14 days",N789&lt;=30,"15-30 days",N789&lt;=60,"31-60 days",TRUE,"61+ days")</f>
        <v>31-60 days</v>
      </c>
      <c r="P789" t="s">
        <v>71</v>
      </c>
      <c r="Q789" t="s">
        <v>32</v>
      </c>
      <c r="R789">
        <v>0</v>
      </c>
      <c r="S789" t="str">
        <f>IF(Table1[prior_dna_count]&gt;=1,"Has prior DNA history","No prior DNA history")</f>
        <v>No prior DNA history</v>
      </c>
      <c r="T789" t="s">
        <v>46</v>
      </c>
      <c r="U789" t="str">
        <f t="shared" si="12"/>
        <v>1</v>
      </c>
      <c r="V789" t="str">
        <f>IF(Table1[appointment_status]="Attended","1","0")</f>
        <v>0</v>
      </c>
      <c r="W789" t="str">
        <f>IF(Table1[appointment_status]="Cancelled","1","0")</f>
        <v>1</v>
      </c>
    </row>
    <row r="790" spans="1:23">
      <c r="A790" t="s">
        <v>1456</v>
      </c>
      <c r="B790" t="s">
        <v>1457</v>
      </c>
      <c r="C790">
        <v>54</v>
      </c>
      <c r="D790" t="str" cm="1">
        <f t="array" ref="D790">_xlfn.IFS(Table1[[#This Row],[age]]&lt;=17,"0-17",C790&lt;=29,"18-29",C790&lt;=44,"30-44",C790&lt;=59,"45-59",C790&lt;=74,"60-74",TRUE,"75+")</f>
        <v>45-59</v>
      </c>
      <c r="E790" t="s">
        <v>29</v>
      </c>
      <c r="F790">
        <v>5</v>
      </c>
      <c r="G790" t="str" cm="1">
        <f t="array" ref="G790">_xlfn.IFS(_xlfn.SINGLE(Table1[imd_decile])&lt;=3,"Most Deprived",F790&lt;=7,"Moderately Deprived",F790&lt;=10,"Least Deprived")</f>
        <v>Moderately Deprived</v>
      </c>
      <c r="H790">
        <v>6.5</v>
      </c>
      <c r="I790" t="s">
        <v>49</v>
      </c>
      <c r="J790" t="s">
        <v>19</v>
      </c>
      <c r="K790" s="1">
        <v>45755</v>
      </c>
      <c r="L790" s="1">
        <v>45790</v>
      </c>
      <c r="M790" s="1" t="str">
        <f>TEXT(Table1[[#This Row],[appointment_date]],"MM/YYYY")</f>
        <v>05/2025</v>
      </c>
      <c r="N790">
        <v>35</v>
      </c>
      <c r="O790" t="str" cm="1">
        <f t="array" ref="O790">_xlfn.IFS(Table1[[#This Row],[lead_time_days]]&lt;=7,"0-7 days",N790&lt;=14,"8-14 days",N790&lt;=30,"15-30 days",N790&lt;=60,"31-60 days",TRUE,"61+ days")</f>
        <v>31-60 days</v>
      </c>
      <c r="P790" t="s">
        <v>71</v>
      </c>
      <c r="Q790" t="s">
        <v>21</v>
      </c>
      <c r="R790">
        <v>0</v>
      </c>
      <c r="S790" t="str">
        <f>IF(Table1[prior_dna_count]&gt;=1,"Has prior DNA history","No prior DNA history")</f>
        <v>No prior DNA history</v>
      </c>
      <c r="T790" t="s">
        <v>22</v>
      </c>
      <c r="U790" t="str">
        <f t="shared" si="12"/>
        <v>0</v>
      </c>
      <c r="V790" t="str">
        <f>IF(Table1[appointment_status]="Attended","1","0")</f>
        <v>1</v>
      </c>
      <c r="W790" t="str">
        <f>IF(Table1[appointment_status]="Cancelled","1","0")</f>
        <v>0</v>
      </c>
    </row>
    <row r="791" spans="1:23">
      <c r="A791" t="s">
        <v>1458</v>
      </c>
      <c r="B791" t="s">
        <v>985</v>
      </c>
      <c r="C791">
        <v>34</v>
      </c>
      <c r="D791" t="str" cm="1">
        <f t="array" ref="D791">_xlfn.IFS(Table1[[#This Row],[age]]&lt;=17,"0-17",C791&lt;=29,"18-29",C791&lt;=44,"30-44",C791&lt;=59,"45-59",C791&lt;=74,"60-74",TRUE,"75+")</f>
        <v>30-44</v>
      </c>
      <c r="E791" t="s">
        <v>29</v>
      </c>
      <c r="F791">
        <v>4</v>
      </c>
      <c r="G791" t="str" cm="1">
        <f t="array" ref="G791">_xlfn.IFS(_xlfn.SINGLE(Table1[imd_decile])&lt;=3,"Most Deprived",F791&lt;=7,"Moderately Deprived",F791&lt;=10,"Least Deprived")</f>
        <v>Moderately Deprived</v>
      </c>
      <c r="H791">
        <v>13.2</v>
      </c>
      <c r="I791" t="s">
        <v>42</v>
      </c>
      <c r="J791" t="s">
        <v>26</v>
      </c>
      <c r="K791" s="1">
        <v>45780</v>
      </c>
      <c r="L791" s="1">
        <v>45791</v>
      </c>
      <c r="M791" s="1" t="str">
        <f>TEXT(Table1[[#This Row],[appointment_date]],"MM/YYYY")</f>
        <v>05/2025</v>
      </c>
      <c r="N791">
        <v>11</v>
      </c>
      <c r="O791" t="str" cm="1">
        <f t="array" ref="O791">_xlfn.IFS(Table1[[#This Row],[lead_time_days]]&lt;=7,"0-7 days",N791&lt;=14,"8-14 days",N791&lt;=30,"15-30 days",N791&lt;=60,"31-60 days",TRUE,"61+ days")</f>
        <v>8-14 days</v>
      </c>
      <c r="P791" t="s">
        <v>80</v>
      </c>
      <c r="Q791" t="s">
        <v>21</v>
      </c>
      <c r="R791">
        <v>0</v>
      </c>
      <c r="S791" t="str">
        <f>IF(Table1[prior_dna_count]&gt;=1,"Has prior DNA history","No prior DNA history")</f>
        <v>No prior DNA history</v>
      </c>
      <c r="T791" t="s">
        <v>22</v>
      </c>
      <c r="U791" t="str">
        <f t="shared" si="12"/>
        <v>1</v>
      </c>
      <c r="V791" t="str">
        <f>IF(Table1[appointment_status]="Attended","1","0")</f>
        <v>1</v>
      </c>
      <c r="W791" t="str">
        <f>IF(Table1[appointment_status]="Cancelled","1","0")</f>
        <v>0</v>
      </c>
    </row>
    <row r="792" spans="1:23">
      <c r="A792" t="s">
        <v>1459</v>
      </c>
      <c r="B792" t="s">
        <v>1460</v>
      </c>
      <c r="C792">
        <v>1</v>
      </c>
      <c r="D792" t="str" cm="1">
        <f t="array" ref="D792">_xlfn.IFS(Table1[[#This Row],[age]]&lt;=17,"0-17",C792&lt;=29,"18-29",C792&lt;=44,"30-44",C792&lt;=59,"45-59",C792&lt;=74,"60-74",TRUE,"75+")</f>
        <v>0-17</v>
      </c>
      <c r="E792" t="s">
        <v>17</v>
      </c>
      <c r="F792">
        <v>8</v>
      </c>
      <c r="G792" t="str" cm="1">
        <f t="array" ref="G792">_xlfn.IFS(_xlfn.SINGLE(Table1[imd_decile])&lt;=3,"Most Deprived",F792&lt;=7,"Moderately Deprived",F792&lt;=10,"Least Deprived")</f>
        <v>Least Deprived</v>
      </c>
      <c r="H792">
        <v>0.9</v>
      </c>
      <c r="I792" t="s">
        <v>58</v>
      </c>
      <c r="J792" t="s">
        <v>26</v>
      </c>
      <c r="K792" s="1">
        <v>45782</v>
      </c>
      <c r="L792" s="1">
        <v>45791</v>
      </c>
      <c r="M792" s="1" t="str">
        <f>TEXT(Table1[[#This Row],[appointment_date]],"MM/YYYY")</f>
        <v>05/2025</v>
      </c>
      <c r="N792">
        <v>9</v>
      </c>
      <c r="O792" t="str" cm="1">
        <f t="array" ref="O792">_xlfn.IFS(Table1[[#This Row],[lead_time_days]]&lt;=7,"0-7 days",N792&lt;=14,"8-14 days",N792&lt;=30,"15-30 days",N792&lt;=60,"31-60 days",TRUE,"61+ days")</f>
        <v>8-14 days</v>
      </c>
      <c r="P792" t="s">
        <v>80</v>
      </c>
      <c r="Q792" t="s">
        <v>21</v>
      </c>
      <c r="R792">
        <v>3</v>
      </c>
      <c r="S792" t="str">
        <f>IF(Table1[prior_dna_count]&gt;=1,"Has prior DNA history","No prior DNA history")</f>
        <v>Has prior DNA history</v>
      </c>
      <c r="T792" t="s">
        <v>22</v>
      </c>
      <c r="U792" t="str">
        <f t="shared" si="12"/>
        <v>1</v>
      </c>
      <c r="V792" t="str">
        <f>IF(Table1[appointment_status]="Attended","1","0")</f>
        <v>1</v>
      </c>
      <c r="W792" t="str">
        <f>IF(Table1[appointment_status]="Cancelled","1","0")</f>
        <v>0</v>
      </c>
    </row>
    <row r="793" spans="1:23">
      <c r="A793" t="s">
        <v>1461</v>
      </c>
      <c r="B793" t="s">
        <v>1462</v>
      </c>
      <c r="C793">
        <v>41</v>
      </c>
      <c r="D793" t="str" cm="1">
        <f t="array" ref="D793">_xlfn.IFS(Table1[[#This Row],[age]]&lt;=17,"0-17",C793&lt;=29,"18-29",C793&lt;=44,"30-44",C793&lt;=59,"45-59",C793&lt;=74,"60-74",TRUE,"75+")</f>
        <v>30-44</v>
      </c>
      <c r="E793" t="s">
        <v>17</v>
      </c>
      <c r="F793">
        <v>6</v>
      </c>
      <c r="G793" t="str" cm="1">
        <f t="array" ref="G793">_xlfn.IFS(_xlfn.SINGLE(Table1[imd_decile])&lt;=3,"Most Deprived",F793&lt;=7,"Moderately Deprived",F793&lt;=10,"Least Deprived")</f>
        <v>Moderately Deprived</v>
      </c>
      <c r="H793">
        <v>7.3</v>
      </c>
      <c r="I793" t="s">
        <v>38</v>
      </c>
      <c r="J793" t="s">
        <v>19</v>
      </c>
      <c r="K793" s="1">
        <v>45769</v>
      </c>
      <c r="L793" s="1">
        <v>45791</v>
      </c>
      <c r="M793" s="1" t="str">
        <f>TEXT(Table1[[#This Row],[appointment_date]],"MM/YYYY")</f>
        <v>05/2025</v>
      </c>
      <c r="N793">
        <v>22</v>
      </c>
      <c r="O793" t="str" cm="1">
        <f t="array" ref="O793">_xlfn.IFS(Table1[[#This Row],[lead_time_days]]&lt;=7,"0-7 days",N793&lt;=14,"8-14 days",N793&lt;=30,"15-30 days",N793&lt;=60,"31-60 days",TRUE,"61+ days")</f>
        <v>15-30 days</v>
      </c>
      <c r="P793" t="s">
        <v>80</v>
      </c>
      <c r="Q793" t="s">
        <v>21</v>
      </c>
      <c r="R793">
        <v>0</v>
      </c>
      <c r="S793" t="str">
        <f>IF(Table1[prior_dna_count]&gt;=1,"Has prior DNA history","No prior DNA history")</f>
        <v>No prior DNA history</v>
      </c>
      <c r="T793" t="s">
        <v>22</v>
      </c>
      <c r="U793" t="str">
        <f t="shared" si="12"/>
        <v>1</v>
      </c>
      <c r="V793" t="str">
        <f>IF(Table1[appointment_status]="Attended","1","0")</f>
        <v>1</v>
      </c>
      <c r="W793" t="str">
        <f>IF(Table1[appointment_status]="Cancelled","1","0")</f>
        <v>0</v>
      </c>
    </row>
    <row r="794" spans="1:23">
      <c r="A794" t="s">
        <v>1463</v>
      </c>
      <c r="B794" t="s">
        <v>1301</v>
      </c>
      <c r="C794">
        <v>14</v>
      </c>
      <c r="D794" t="str" cm="1">
        <f t="array" ref="D794">_xlfn.IFS(Table1[[#This Row],[age]]&lt;=17,"0-17",C794&lt;=29,"18-29",C794&lt;=44,"30-44",C794&lt;=59,"45-59",C794&lt;=74,"60-74",TRUE,"75+")</f>
        <v>0-17</v>
      </c>
      <c r="E794" t="s">
        <v>17</v>
      </c>
      <c r="F794">
        <v>3</v>
      </c>
      <c r="G794" t="str" cm="1">
        <f t="array" ref="G794">_xlfn.IFS(_xlfn.SINGLE(Table1[imd_decile])&lt;=3,"Most Deprived",F794&lt;=7,"Moderately Deprived",F794&lt;=10,"Least Deprived")</f>
        <v>Most Deprived</v>
      </c>
      <c r="H794">
        <v>14.9</v>
      </c>
      <c r="I794" t="s">
        <v>45</v>
      </c>
      <c r="J794" t="s">
        <v>19</v>
      </c>
      <c r="K794" s="1">
        <v>45743</v>
      </c>
      <c r="L794" s="1">
        <v>45791</v>
      </c>
      <c r="M794" s="1" t="str">
        <f>TEXT(Table1[[#This Row],[appointment_date]],"MM/YYYY")</f>
        <v>05/2025</v>
      </c>
      <c r="N794">
        <v>48</v>
      </c>
      <c r="O794" t="str" cm="1">
        <f t="array" ref="O794">_xlfn.IFS(Table1[[#This Row],[lead_time_days]]&lt;=7,"0-7 days",N794&lt;=14,"8-14 days",N794&lt;=30,"15-30 days",N794&lt;=60,"31-60 days",TRUE,"61+ days")</f>
        <v>31-60 days</v>
      </c>
      <c r="P794" t="s">
        <v>80</v>
      </c>
      <c r="Q794" t="s">
        <v>21</v>
      </c>
      <c r="R794">
        <v>0</v>
      </c>
      <c r="S794" t="str">
        <f>IF(Table1[prior_dna_count]&gt;=1,"Has prior DNA history","No prior DNA history")</f>
        <v>No prior DNA history</v>
      </c>
      <c r="T794" t="s">
        <v>22</v>
      </c>
      <c r="U794" t="str">
        <f t="shared" si="12"/>
        <v>1</v>
      </c>
      <c r="V794" t="str">
        <f>IF(Table1[appointment_status]="Attended","1","0")</f>
        <v>1</v>
      </c>
      <c r="W794" t="str">
        <f>IF(Table1[appointment_status]="Cancelled","1","0")</f>
        <v>0</v>
      </c>
    </row>
    <row r="795" spans="1:23">
      <c r="A795" t="s">
        <v>1464</v>
      </c>
      <c r="B795" t="s">
        <v>1465</v>
      </c>
      <c r="C795">
        <v>50</v>
      </c>
      <c r="D795" t="str" cm="1">
        <f t="array" ref="D795">_xlfn.IFS(Table1[[#This Row],[age]]&lt;=17,"0-17",C795&lt;=29,"18-29",C795&lt;=44,"30-44",C795&lt;=59,"45-59",C795&lt;=74,"60-74",TRUE,"75+")</f>
        <v>45-59</v>
      </c>
      <c r="E795" t="s">
        <v>17</v>
      </c>
      <c r="F795">
        <v>8</v>
      </c>
      <c r="G795" t="str" cm="1">
        <f t="array" ref="G795">_xlfn.IFS(_xlfn.SINGLE(Table1[imd_decile])&lt;=3,"Most Deprived",F795&lt;=7,"Moderately Deprived",F795&lt;=10,"Least Deprived")</f>
        <v>Least Deprived</v>
      </c>
      <c r="H795">
        <v>3.9</v>
      </c>
      <c r="I795" t="s">
        <v>30</v>
      </c>
      <c r="J795" t="s">
        <v>19</v>
      </c>
      <c r="K795" s="1">
        <v>45730</v>
      </c>
      <c r="L795" s="1">
        <v>45791</v>
      </c>
      <c r="M795" s="1" t="str">
        <f>TEXT(Table1[[#This Row],[appointment_date]],"MM/YYYY")</f>
        <v>05/2025</v>
      </c>
      <c r="N795">
        <v>61</v>
      </c>
      <c r="O795" t="str" cm="1">
        <f t="array" ref="O795">_xlfn.IFS(Table1[[#This Row],[lead_time_days]]&lt;=7,"0-7 days",N795&lt;=14,"8-14 days",N795&lt;=30,"15-30 days",N795&lt;=60,"31-60 days",TRUE,"61+ days")</f>
        <v>61+ days</v>
      </c>
      <c r="P795" t="s">
        <v>80</v>
      </c>
      <c r="Q795" t="s">
        <v>32</v>
      </c>
      <c r="R795">
        <v>0</v>
      </c>
      <c r="S795" t="str">
        <f>IF(Table1[prior_dna_count]&gt;=1,"Has prior DNA history","No prior DNA history")</f>
        <v>No prior DNA history</v>
      </c>
      <c r="T795" t="s">
        <v>22</v>
      </c>
      <c r="U795" t="str">
        <f t="shared" si="12"/>
        <v>1</v>
      </c>
      <c r="V795" t="str">
        <f>IF(Table1[appointment_status]="Attended","1","0")</f>
        <v>1</v>
      </c>
      <c r="W795" t="str">
        <f>IF(Table1[appointment_status]="Cancelled","1","0")</f>
        <v>0</v>
      </c>
    </row>
    <row r="796" spans="1:23">
      <c r="A796" t="s">
        <v>1466</v>
      </c>
      <c r="B796" t="s">
        <v>806</v>
      </c>
      <c r="C796">
        <v>56</v>
      </c>
      <c r="D796" t="str" cm="1">
        <f t="array" ref="D796">_xlfn.IFS(Table1[[#This Row],[age]]&lt;=17,"0-17",C796&lt;=29,"18-29",C796&lt;=44,"30-44",C796&lt;=59,"45-59",C796&lt;=74,"60-74",TRUE,"75+")</f>
        <v>45-59</v>
      </c>
      <c r="E796" t="s">
        <v>29</v>
      </c>
      <c r="F796">
        <v>10</v>
      </c>
      <c r="G796" t="str" cm="1">
        <f t="array" ref="G796">_xlfn.IFS(_xlfn.SINGLE(Table1[imd_decile])&lt;=3,"Most Deprived",F796&lt;=7,"Moderately Deprived",F796&lt;=10,"Least Deprived")</f>
        <v>Least Deprived</v>
      </c>
      <c r="H796">
        <v>15.8</v>
      </c>
      <c r="I796" t="s">
        <v>42</v>
      </c>
      <c r="J796" t="s">
        <v>19</v>
      </c>
      <c r="K796" s="1">
        <v>45777</v>
      </c>
      <c r="L796" s="1">
        <v>45791</v>
      </c>
      <c r="M796" s="1" t="str">
        <f>TEXT(Table1[[#This Row],[appointment_date]],"MM/YYYY")</f>
        <v>05/2025</v>
      </c>
      <c r="N796">
        <v>14</v>
      </c>
      <c r="O796" t="str" cm="1">
        <f t="array" ref="O796">_xlfn.IFS(Table1[[#This Row],[lead_time_days]]&lt;=7,"0-7 days",N796&lt;=14,"8-14 days",N796&lt;=30,"15-30 days",N796&lt;=60,"31-60 days",TRUE,"61+ days")</f>
        <v>8-14 days</v>
      </c>
      <c r="P796" t="s">
        <v>80</v>
      </c>
      <c r="Q796" t="s">
        <v>21</v>
      </c>
      <c r="R796">
        <v>0</v>
      </c>
      <c r="S796" t="str">
        <f>IF(Table1[prior_dna_count]&gt;=1,"Has prior DNA history","No prior DNA history")</f>
        <v>No prior DNA history</v>
      </c>
      <c r="T796" t="s">
        <v>39</v>
      </c>
      <c r="U796" t="str">
        <f t="shared" si="12"/>
        <v>1</v>
      </c>
      <c r="V796" t="str">
        <f>IF(Table1[appointment_status]="Attended","1","0")</f>
        <v>0</v>
      </c>
      <c r="W796" t="str">
        <f>IF(Table1[appointment_status]="Cancelled","1","0")</f>
        <v>0</v>
      </c>
    </row>
    <row r="797" spans="1:23">
      <c r="A797" t="s">
        <v>1467</v>
      </c>
      <c r="B797" t="s">
        <v>197</v>
      </c>
      <c r="C797">
        <v>62</v>
      </c>
      <c r="D797" t="str" cm="1">
        <f t="array" ref="D797">_xlfn.IFS(Table1[[#This Row],[age]]&lt;=17,"0-17",C797&lt;=29,"18-29",C797&lt;=44,"30-44",C797&lt;=59,"45-59",C797&lt;=74,"60-74",TRUE,"75+")</f>
        <v>60-74</v>
      </c>
      <c r="E797" t="s">
        <v>29</v>
      </c>
      <c r="F797">
        <v>2</v>
      </c>
      <c r="G797" t="str" cm="1">
        <f t="array" ref="G797">_xlfn.IFS(_xlfn.SINGLE(Table1[imd_decile])&lt;=3,"Most Deprived",F797&lt;=7,"Moderately Deprived",F797&lt;=10,"Least Deprived")</f>
        <v>Most Deprived</v>
      </c>
      <c r="H797">
        <v>5.3</v>
      </c>
      <c r="I797" t="s">
        <v>42</v>
      </c>
      <c r="J797" t="s">
        <v>26</v>
      </c>
      <c r="K797" s="1">
        <v>45775</v>
      </c>
      <c r="L797" s="1">
        <v>45791</v>
      </c>
      <c r="M797" s="1" t="str">
        <f>TEXT(Table1[[#This Row],[appointment_date]],"MM/YYYY")</f>
        <v>05/2025</v>
      </c>
      <c r="N797">
        <v>16</v>
      </c>
      <c r="O797" t="str" cm="1">
        <f t="array" ref="O797">_xlfn.IFS(Table1[[#This Row],[lead_time_days]]&lt;=7,"0-7 days",N797&lt;=14,"8-14 days",N797&lt;=30,"15-30 days",N797&lt;=60,"31-60 days",TRUE,"61+ days")</f>
        <v>15-30 days</v>
      </c>
      <c r="P797" t="s">
        <v>80</v>
      </c>
      <c r="Q797" t="s">
        <v>21</v>
      </c>
      <c r="R797">
        <v>0</v>
      </c>
      <c r="S797" t="str">
        <f>IF(Table1[prior_dna_count]&gt;=1,"Has prior DNA history","No prior DNA history")</f>
        <v>No prior DNA history</v>
      </c>
      <c r="T797" t="s">
        <v>22</v>
      </c>
      <c r="U797" t="str">
        <f t="shared" si="12"/>
        <v>0</v>
      </c>
      <c r="V797" t="str">
        <f>IF(Table1[appointment_status]="Attended","1","0")</f>
        <v>1</v>
      </c>
      <c r="W797" t="str">
        <f>IF(Table1[appointment_status]="Cancelled","1","0")</f>
        <v>0</v>
      </c>
    </row>
    <row r="798" spans="1:23">
      <c r="A798" t="s">
        <v>1468</v>
      </c>
      <c r="B798" t="s">
        <v>680</v>
      </c>
      <c r="C798">
        <v>7</v>
      </c>
      <c r="D798" t="str" cm="1">
        <f t="array" ref="D798">_xlfn.IFS(Table1[[#This Row],[age]]&lt;=17,"0-17",C798&lt;=29,"18-29",C798&lt;=44,"30-44",C798&lt;=59,"45-59",C798&lt;=74,"60-74",TRUE,"75+")</f>
        <v>0-17</v>
      </c>
      <c r="E798" t="s">
        <v>17</v>
      </c>
      <c r="F798">
        <v>9</v>
      </c>
      <c r="G798" t="str" cm="1">
        <f t="array" ref="G798">_xlfn.IFS(_xlfn.SINGLE(Table1[imd_decile])&lt;=3,"Most Deprived",F798&lt;=7,"Moderately Deprived",F798&lt;=10,"Least Deprived")</f>
        <v>Least Deprived</v>
      </c>
      <c r="H798">
        <v>3.8</v>
      </c>
      <c r="I798" t="s">
        <v>18</v>
      </c>
      <c r="J798" t="s">
        <v>19</v>
      </c>
      <c r="K798" s="1">
        <v>45785</v>
      </c>
      <c r="L798" s="1">
        <v>45791</v>
      </c>
      <c r="M798" s="1" t="str">
        <f>TEXT(Table1[[#This Row],[appointment_date]],"MM/YYYY")</f>
        <v>05/2025</v>
      </c>
      <c r="N798">
        <v>6</v>
      </c>
      <c r="O798" t="str" cm="1">
        <f t="array" ref="O798">_xlfn.IFS(Table1[[#This Row],[lead_time_days]]&lt;=7,"0-7 days",N798&lt;=14,"8-14 days",N798&lt;=30,"15-30 days",N798&lt;=60,"31-60 days",TRUE,"61+ days")</f>
        <v>0-7 days</v>
      </c>
      <c r="P798" t="s">
        <v>80</v>
      </c>
      <c r="Q798" t="s">
        <v>32</v>
      </c>
      <c r="R798">
        <v>0</v>
      </c>
      <c r="S798" t="str">
        <f>IF(Table1[prior_dna_count]&gt;=1,"Has prior DNA history","No prior DNA history")</f>
        <v>No prior DNA history</v>
      </c>
      <c r="T798" t="s">
        <v>22</v>
      </c>
      <c r="U798" t="str">
        <f t="shared" si="12"/>
        <v>1</v>
      </c>
      <c r="V798" t="str">
        <f>IF(Table1[appointment_status]="Attended","1","0")</f>
        <v>1</v>
      </c>
      <c r="W798" t="str">
        <f>IF(Table1[appointment_status]="Cancelled","1","0")</f>
        <v>0</v>
      </c>
    </row>
    <row r="799" spans="1:23">
      <c r="A799" t="s">
        <v>1469</v>
      </c>
      <c r="B799" t="s">
        <v>919</v>
      </c>
      <c r="C799">
        <v>41</v>
      </c>
      <c r="D799" t="str" cm="1">
        <f t="array" ref="D799">_xlfn.IFS(Table1[[#This Row],[age]]&lt;=17,"0-17",C799&lt;=29,"18-29",C799&lt;=44,"30-44",C799&lt;=59,"45-59",C799&lt;=74,"60-74",TRUE,"75+")</f>
        <v>30-44</v>
      </c>
      <c r="E799" t="s">
        <v>17</v>
      </c>
      <c r="F799">
        <v>7</v>
      </c>
      <c r="G799" t="str" cm="1">
        <f t="array" ref="G799">_xlfn.IFS(_xlfn.SINGLE(Table1[imd_decile])&lt;=3,"Most Deprived",F799&lt;=7,"Moderately Deprived",F799&lt;=10,"Least Deprived")</f>
        <v>Moderately Deprived</v>
      </c>
      <c r="H799">
        <v>4.8</v>
      </c>
      <c r="I799" t="s">
        <v>91</v>
      </c>
      <c r="J799" t="s">
        <v>26</v>
      </c>
      <c r="K799" s="1">
        <v>45780</v>
      </c>
      <c r="L799" s="1">
        <v>45791</v>
      </c>
      <c r="M799" s="1" t="str">
        <f>TEXT(Table1[[#This Row],[appointment_date]],"MM/YYYY")</f>
        <v>05/2025</v>
      </c>
      <c r="N799">
        <v>11</v>
      </c>
      <c r="O799" t="str" cm="1">
        <f t="array" ref="O799">_xlfn.IFS(Table1[[#This Row],[lead_time_days]]&lt;=7,"0-7 days",N799&lt;=14,"8-14 days",N799&lt;=30,"15-30 days",N799&lt;=60,"31-60 days",TRUE,"61+ days")</f>
        <v>8-14 days</v>
      </c>
      <c r="P799" t="s">
        <v>80</v>
      </c>
      <c r="Q799" t="s">
        <v>21</v>
      </c>
      <c r="R799">
        <v>0</v>
      </c>
      <c r="S799" t="str">
        <f>IF(Table1[prior_dna_count]&gt;=1,"Has prior DNA history","No prior DNA history")</f>
        <v>No prior DNA history</v>
      </c>
      <c r="T799" t="s">
        <v>22</v>
      </c>
      <c r="U799" t="str">
        <f t="shared" si="12"/>
        <v>1</v>
      </c>
      <c r="V799" t="str">
        <f>IF(Table1[appointment_status]="Attended","1","0")</f>
        <v>1</v>
      </c>
      <c r="W799" t="str">
        <f>IF(Table1[appointment_status]="Cancelled","1","0")</f>
        <v>0</v>
      </c>
    </row>
    <row r="800" spans="1:23">
      <c r="A800" t="s">
        <v>1470</v>
      </c>
      <c r="B800" t="s">
        <v>1471</v>
      </c>
      <c r="C800">
        <v>54</v>
      </c>
      <c r="D800" t="str" cm="1">
        <f t="array" ref="D800">_xlfn.IFS(Table1[[#This Row],[age]]&lt;=17,"0-17",C800&lt;=29,"18-29",C800&lt;=44,"30-44",C800&lt;=59,"45-59",C800&lt;=74,"60-74",TRUE,"75+")</f>
        <v>45-59</v>
      </c>
      <c r="E800" t="s">
        <v>17</v>
      </c>
      <c r="F800">
        <v>5</v>
      </c>
      <c r="G800" t="str" cm="1">
        <f t="array" ref="G800">_xlfn.IFS(_xlfn.SINGLE(Table1[imd_decile])&lt;=3,"Most Deprived",F800&lt;=7,"Moderately Deprived",F800&lt;=10,"Least Deprived")</f>
        <v>Moderately Deprived</v>
      </c>
      <c r="H800">
        <v>7.6</v>
      </c>
      <c r="I800" t="s">
        <v>25</v>
      </c>
      <c r="J800" t="s">
        <v>19</v>
      </c>
      <c r="K800" s="1">
        <v>45780</v>
      </c>
      <c r="L800" s="1">
        <v>45791</v>
      </c>
      <c r="M800" s="1" t="str">
        <f>TEXT(Table1[[#This Row],[appointment_date]],"MM/YYYY")</f>
        <v>05/2025</v>
      </c>
      <c r="N800">
        <v>11</v>
      </c>
      <c r="O800" t="str" cm="1">
        <f t="array" ref="O800">_xlfn.IFS(Table1[[#This Row],[lead_time_days]]&lt;=7,"0-7 days",N800&lt;=14,"8-14 days",N800&lt;=30,"15-30 days",N800&lt;=60,"31-60 days",TRUE,"61+ days")</f>
        <v>8-14 days</v>
      </c>
      <c r="P800" t="s">
        <v>80</v>
      </c>
      <c r="Q800" t="s">
        <v>32</v>
      </c>
      <c r="R800">
        <v>0</v>
      </c>
      <c r="S800" t="str">
        <f>IF(Table1[prior_dna_count]&gt;=1,"Has prior DNA history","No prior DNA history")</f>
        <v>No prior DNA history</v>
      </c>
      <c r="T800" t="s">
        <v>22</v>
      </c>
      <c r="U800" t="str">
        <f t="shared" si="12"/>
        <v>1</v>
      </c>
      <c r="V800" t="str">
        <f>IF(Table1[appointment_status]="Attended","1","0")</f>
        <v>1</v>
      </c>
      <c r="W800" t="str">
        <f>IF(Table1[appointment_status]="Cancelled","1","0")</f>
        <v>0</v>
      </c>
    </row>
    <row r="801" spans="1:23">
      <c r="A801" t="s">
        <v>1472</v>
      </c>
      <c r="B801" t="s">
        <v>960</v>
      </c>
      <c r="C801">
        <v>29</v>
      </c>
      <c r="D801" t="str" cm="1">
        <f t="array" ref="D801">_xlfn.IFS(Table1[[#This Row],[age]]&lt;=17,"0-17",C801&lt;=29,"18-29",C801&lt;=44,"30-44",C801&lt;=59,"45-59",C801&lt;=74,"60-74",TRUE,"75+")</f>
        <v>18-29</v>
      </c>
      <c r="E801" t="s">
        <v>17</v>
      </c>
      <c r="F801">
        <v>6</v>
      </c>
      <c r="G801" t="str" cm="1">
        <f t="array" ref="G801">_xlfn.IFS(_xlfn.SINGLE(Table1[imd_decile])&lt;=3,"Most Deprived",F801&lt;=7,"Moderately Deprived",F801&lt;=10,"Least Deprived")</f>
        <v>Moderately Deprived</v>
      </c>
      <c r="H801">
        <v>2.2000000000000002</v>
      </c>
      <c r="I801" t="s">
        <v>18</v>
      </c>
      <c r="J801" t="s">
        <v>19</v>
      </c>
      <c r="K801" s="1">
        <v>45722</v>
      </c>
      <c r="L801" s="1">
        <v>45791</v>
      </c>
      <c r="M801" s="1" t="str">
        <f>TEXT(Table1[[#This Row],[appointment_date]],"MM/YYYY")</f>
        <v>05/2025</v>
      </c>
      <c r="N801">
        <v>69</v>
      </c>
      <c r="O801" t="str" cm="1">
        <f t="array" ref="O801">_xlfn.IFS(Table1[[#This Row],[lead_time_days]]&lt;=7,"0-7 days",N801&lt;=14,"8-14 days",N801&lt;=30,"15-30 days",N801&lt;=60,"31-60 days",TRUE,"61+ days")</f>
        <v>61+ days</v>
      </c>
      <c r="P801" t="s">
        <v>80</v>
      </c>
      <c r="Q801" t="s">
        <v>21</v>
      </c>
      <c r="R801">
        <v>0</v>
      </c>
      <c r="S801" t="str">
        <f>IF(Table1[prior_dna_count]&gt;=1,"Has prior DNA history","No prior DNA history")</f>
        <v>No prior DNA history</v>
      </c>
      <c r="T801" t="s">
        <v>39</v>
      </c>
      <c r="U801" t="str">
        <f t="shared" si="12"/>
        <v>1</v>
      </c>
      <c r="V801" t="str">
        <f>IF(Table1[appointment_status]="Attended","1","0")</f>
        <v>0</v>
      </c>
      <c r="W801" t="str">
        <f>IF(Table1[appointment_status]="Cancelled","1","0")</f>
        <v>0</v>
      </c>
    </row>
    <row r="802" spans="1:23">
      <c r="A802" t="s">
        <v>1473</v>
      </c>
      <c r="B802" t="s">
        <v>1474</v>
      </c>
      <c r="C802">
        <v>39</v>
      </c>
      <c r="D802" t="str" cm="1">
        <f t="array" ref="D802">_xlfn.IFS(Table1[[#This Row],[age]]&lt;=17,"0-17",C802&lt;=29,"18-29",C802&lt;=44,"30-44",C802&lt;=59,"45-59",C802&lt;=74,"60-74",TRUE,"75+")</f>
        <v>30-44</v>
      </c>
      <c r="E802" t="s">
        <v>17</v>
      </c>
      <c r="F802">
        <v>1</v>
      </c>
      <c r="G802" t="str" cm="1">
        <f t="array" ref="G802">_xlfn.IFS(_xlfn.SINGLE(Table1[imd_decile])&lt;=3,"Most Deprived",F802&lt;=7,"Moderately Deprived",F802&lt;=10,"Least Deprived")</f>
        <v>Most Deprived</v>
      </c>
      <c r="H802">
        <v>1.7</v>
      </c>
      <c r="I802" t="s">
        <v>18</v>
      </c>
      <c r="J802" t="s">
        <v>19</v>
      </c>
      <c r="K802" s="1">
        <v>45763</v>
      </c>
      <c r="L802" s="1">
        <v>45792</v>
      </c>
      <c r="M802" s="1" t="str">
        <f>TEXT(Table1[[#This Row],[appointment_date]],"MM/YYYY")</f>
        <v>05/2025</v>
      </c>
      <c r="N802">
        <v>29</v>
      </c>
      <c r="O802" t="str" cm="1">
        <f t="array" ref="O802">_xlfn.IFS(Table1[[#This Row],[lead_time_days]]&lt;=7,"0-7 days",N802&lt;=14,"8-14 days",N802&lt;=30,"15-30 days",N802&lt;=60,"31-60 days",TRUE,"61+ days")</f>
        <v>15-30 days</v>
      </c>
      <c r="P802" t="s">
        <v>20</v>
      </c>
      <c r="Q802" t="s">
        <v>21</v>
      </c>
      <c r="R802">
        <v>0</v>
      </c>
      <c r="S802" t="str">
        <f>IF(Table1[prior_dna_count]&gt;=1,"Has prior DNA history","No prior DNA history")</f>
        <v>No prior DNA history</v>
      </c>
      <c r="T802" t="s">
        <v>22</v>
      </c>
      <c r="U802" t="str">
        <f t="shared" si="12"/>
        <v>0</v>
      </c>
      <c r="V802" t="str">
        <f>IF(Table1[appointment_status]="Attended","1","0")</f>
        <v>1</v>
      </c>
      <c r="W802" t="str">
        <f>IF(Table1[appointment_status]="Cancelled","1","0")</f>
        <v>0</v>
      </c>
    </row>
    <row r="803" spans="1:23">
      <c r="A803" t="s">
        <v>1475</v>
      </c>
      <c r="B803" t="s">
        <v>1476</v>
      </c>
      <c r="C803">
        <v>67</v>
      </c>
      <c r="D803" t="str" cm="1">
        <f t="array" ref="D803">_xlfn.IFS(Table1[[#This Row],[age]]&lt;=17,"0-17",C803&lt;=29,"18-29",C803&lt;=44,"30-44",C803&lt;=59,"45-59",C803&lt;=74,"60-74",TRUE,"75+")</f>
        <v>60-74</v>
      </c>
      <c r="E803" t="s">
        <v>29</v>
      </c>
      <c r="F803">
        <v>10</v>
      </c>
      <c r="G803" t="str" cm="1">
        <f t="array" ref="G803">_xlfn.IFS(_xlfn.SINGLE(Table1[imd_decile])&lt;=3,"Most Deprived",F803&lt;=7,"Moderately Deprived",F803&lt;=10,"Least Deprived")</f>
        <v>Least Deprived</v>
      </c>
      <c r="H803">
        <v>7.5</v>
      </c>
      <c r="I803" t="s">
        <v>18</v>
      </c>
      <c r="J803" t="s">
        <v>26</v>
      </c>
      <c r="K803" s="1">
        <v>45788</v>
      </c>
      <c r="L803" s="1">
        <v>45792</v>
      </c>
      <c r="M803" s="1" t="str">
        <f>TEXT(Table1[[#This Row],[appointment_date]],"MM/YYYY")</f>
        <v>05/2025</v>
      </c>
      <c r="N803">
        <v>4</v>
      </c>
      <c r="O803" t="str" cm="1">
        <f t="array" ref="O803">_xlfn.IFS(Table1[[#This Row],[lead_time_days]]&lt;=7,"0-7 days",N803&lt;=14,"8-14 days",N803&lt;=30,"15-30 days",N803&lt;=60,"31-60 days",TRUE,"61+ days")</f>
        <v>0-7 days</v>
      </c>
      <c r="P803" t="s">
        <v>20</v>
      </c>
      <c r="Q803" t="s">
        <v>21</v>
      </c>
      <c r="R803">
        <v>0</v>
      </c>
      <c r="S803" t="str">
        <f>IF(Table1[prior_dna_count]&gt;=1,"Has prior DNA history","No prior DNA history")</f>
        <v>No prior DNA history</v>
      </c>
      <c r="T803" t="s">
        <v>22</v>
      </c>
      <c r="U803" t="str">
        <f t="shared" si="12"/>
        <v>1</v>
      </c>
      <c r="V803" t="str">
        <f>IF(Table1[appointment_status]="Attended","1","0")</f>
        <v>1</v>
      </c>
      <c r="W803" t="str">
        <f>IF(Table1[appointment_status]="Cancelled","1","0")</f>
        <v>0</v>
      </c>
    </row>
    <row r="804" spans="1:23">
      <c r="A804" t="s">
        <v>1477</v>
      </c>
      <c r="B804" t="s">
        <v>298</v>
      </c>
      <c r="C804">
        <v>29</v>
      </c>
      <c r="D804" t="str" cm="1">
        <f t="array" ref="D804">_xlfn.IFS(Table1[[#This Row],[age]]&lt;=17,"0-17",C804&lt;=29,"18-29",C804&lt;=44,"30-44",C804&lt;=59,"45-59",C804&lt;=74,"60-74",TRUE,"75+")</f>
        <v>18-29</v>
      </c>
      <c r="E804" t="s">
        <v>17</v>
      </c>
      <c r="F804">
        <v>1</v>
      </c>
      <c r="G804" t="str" cm="1">
        <f t="array" ref="G804">_xlfn.IFS(_xlfn.SINGLE(Table1[imd_decile])&lt;=3,"Most Deprived",F804&lt;=7,"Moderately Deprived",F804&lt;=10,"Least Deprived")</f>
        <v>Most Deprived</v>
      </c>
      <c r="H804">
        <v>5.9</v>
      </c>
      <c r="I804" t="s">
        <v>91</v>
      </c>
      <c r="J804" t="s">
        <v>26</v>
      </c>
      <c r="K804" s="1">
        <v>45773</v>
      </c>
      <c r="L804" s="1">
        <v>45792</v>
      </c>
      <c r="M804" s="1" t="str">
        <f>TEXT(Table1[[#This Row],[appointment_date]],"MM/YYYY")</f>
        <v>05/2025</v>
      </c>
      <c r="N804">
        <v>19</v>
      </c>
      <c r="O804" t="str" cm="1">
        <f t="array" ref="O804">_xlfn.IFS(Table1[[#This Row],[lead_time_days]]&lt;=7,"0-7 days",N804&lt;=14,"8-14 days",N804&lt;=30,"15-30 days",N804&lt;=60,"31-60 days",TRUE,"61+ days")</f>
        <v>15-30 days</v>
      </c>
      <c r="P804" t="s">
        <v>20</v>
      </c>
      <c r="Q804" t="s">
        <v>21</v>
      </c>
      <c r="R804">
        <v>2</v>
      </c>
      <c r="S804" t="str">
        <f>IF(Table1[prior_dna_count]&gt;=1,"Has prior DNA history","No prior DNA history")</f>
        <v>Has prior DNA history</v>
      </c>
      <c r="T804" t="s">
        <v>22</v>
      </c>
      <c r="U804" t="str">
        <f t="shared" si="12"/>
        <v>1</v>
      </c>
      <c r="V804" t="str">
        <f>IF(Table1[appointment_status]="Attended","1","0")</f>
        <v>1</v>
      </c>
      <c r="W804" t="str">
        <f>IF(Table1[appointment_status]="Cancelled","1","0")</f>
        <v>0</v>
      </c>
    </row>
    <row r="805" spans="1:23">
      <c r="A805" t="s">
        <v>1478</v>
      </c>
      <c r="B805" t="s">
        <v>1479</v>
      </c>
      <c r="C805">
        <v>52</v>
      </c>
      <c r="D805" t="str" cm="1">
        <f t="array" ref="D805">_xlfn.IFS(Table1[[#This Row],[age]]&lt;=17,"0-17",C805&lt;=29,"18-29",C805&lt;=44,"30-44",C805&lt;=59,"45-59",C805&lt;=74,"60-74",TRUE,"75+")</f>
        <v>45-59</v>
      </c>
      <c r="E805" t="s">
        <v>17</v>
      </c>
      <c r="F805">
        <v>1</v>
      </c>
      <c r="G805" t="str" cm="1">
        <f t="array" ref="G805">_xlfn.IFS(_xlfn.SINGLE(Table1[imd_decile])&lt;=3,"Most Deprived",F805&lt;=7,"Moderately Deprived",F805&lt;=10,"Least Deprived")</f>
        <v>Most Deprived</v>
      </c>
      <c r="H805">
        <v>25.7</v>
      </c>
      <c r="I805" t="s">
        <v>91</v>
      </c>
      <c r="J805" t="s">
        <v>26</v>
      </c>
      <c r="K805" s="1">
        <v>45784</v>
      </c>
      <c r="L805" s="1">
        <v>45792</v>
      </c>
      <c r="M805" s="1" t="str">
        <f>TEXT(Table1[[#This Row],[appointment_date]],"MM/YYYY")</f>
        <v>05/2025</v>
      </c>
      <c r="N805">
        <v>8</v>
      </c>
      <c r="O805" t="str" cm="1">
        <f t="array" ref="O805">_xlfn.IFS(Table1[[#This Row],[lead_time_days]]&lt;=7,"0-7 days",N805&lt;=14,"8-14 days",N805&lt;=30,"15-30 days",N805&lt;=60,"31-60 days",TRUE,"61+ days")</f>
        <v>8-14 days</v>
      </c>
      <c r="P805" t="s">
        <v>20</v>
      </c>
      <c r="Q805" t="s">
        <v>32</v>
      </c>
      <c r="R805">
        <v>0</v>
      </c>
      <c r="S805" t="str">
        <f>IF(Table1[prior_dna_count]&gt;=1,"Has prior DNA history","No prior DNA history")</f>
        <v>No prior DNA history</v>
      </c>
      <c r="T805" t="s">
        <v>22</v>
      </c>
      <c r="U805" t="str">
        <f t="shared" si="12"/>
        <v>1</v>
      </c>
      <c r="V805" t="str">
        <f>IF(Table1[appointment_status]="Attended","1","0")</f>
        <v>1</v>
      </c>
      <c r="W805" t="str">
        <f>IF(Table1[appointment_status]="Cancelled","1","0")</f>
        <v>0</v>
      </c>
    </row>
    <row r="806" spans="1:23">
      <c r="A806" t="s">
        <v>1480</v>
      </c>
      <c r="B806" t="s">
        <v>1481</v>
      </c>
      <c r="C806">
        <v>54</v>
      </c>
      <c r="D806" t="str" cm="1">
        <f t="array" ref="D806">_xlfn.IFS(Table1[[#This Row],[age]]&lt;=17,"0-17",C806&lt;=29,"18-29",C806&lt;=44,"30-44",C806&lt;=59,"45-59",C806&lt;=74,"60-74",TRUE,"75+")</f>
        <v>45-59</v>
      </c>
      <c r="E806" t="s">
        <v>17</v>
      </c>
      <c r="F806">
        <v>3</v>
      </c>
      <c r="G806" t="str" cm="1">
        <f t="array" ref="G806">_xlfn.IFS(_xlfn.SINGLE(Table1[imd_decile])&lt;=3,"Most Deprived",F806&lt;=7,"Moderately Deprived",F806&lt;=10,"Least Deprived")</f>
        <v>Most Deprived</v>
      </c>
      <c r="H806">
        <v>7.1</v>
      </c>
      <c r="I806" t="s">
        <v>155</v>
      </c>
      <c r="J806" t="s">
        <v>19</v>
      </c>
      <c r="K806" s="1">
        <v>45785</v>
      </c>
      <c r="L806" s="1">
        <v>45792</v>
      </c>
      <c r="M806" s="1" t="str">
        <f>TEXT(Table1[[#This Row],[appointment_date]],"MM/YYYY")</f>
        <v>05/2025</v>
      </c>
      <c r="N806">
        <v>7</v>
      </c>
      <c r="O806" t="str" cm="1">
        <f t="array" ref="O806">_xlfn.IFS(Table1[[#This Row],[lead_time_days]]&lt;=7,"0-7 days",N806&lt;=14,"8-14 days",N806&lt;=30,"15-30 days",N806&lt;=60,"31-60 days",TRUE,"61+ days")</f>
        <v>0-7 days</v>
      </c>
      <c r="P806" t="s">
        <v>20</v>
      </c>
      <c r="Q806" t="s">
        <v>32</v>
      </c>
      <c r="R806">
        <v>0</v>
      </c>
      <c r="S806" t="str">
        <f>IF(Table1[prior_dna_count]&gt;=1,"Has prior DNA history","No prior DNA history")</f>
        <v>No prior DNA history</v>
      </c>
      <c r="T806" t="s">
        <v>22</v>
      </c>
      <c r="U806" t="str">
        <f t="shared" si="12"/>
        <v>1</v>
      </c>
      <c r="V806" t="str">
        <f>IF(Table1[appointment_status]="Attended","1","0")</f>
        <v>1</v>
      </c>
      <c r="W806" t="str">
        <f>IF(Table1[appointment_status]="Cancelled","1","0")</f>
        <v>0</v>
      </c>
    </row>
    <row r="807" spans="1:23">
      <c r="A807" t="s">
        <v>1482</v>
      </c>
      <c r="B807" t="s">
        <v>1027</v>
      </c>
      <c r="C807">
        <v>31</v>
      </c>
      <c r="D807" t="str" cm="1">
        <f t="array" ref="D807">_xlfn.IFS(Table1[[#This Row],[age]]&lt;=17,"0-17",C807&lt;=29,"18-29",C807&lt;=44,"30-44",C807&lt;=59,"45-59",C807&lt;=74,"60-74",TRUE,"75+")</f>
        <v>30-44</v>
      </c>
      <c r="E807" t="s">
        <v>29</v>
      </c>
      <c r="F807">
        <v>3</v>
      </c>
      <c r="G807" t="str" cm="1">
        <f t="array" ref="G807">_xlfn.IFS(_xlfn.SINGLE(Table1[imd_decile])&lt;=3,"Most Deprived",F807&lt;=7,"Moderately Deprived",F807&lt;=10,"Least Deprived")</f>
        <v>Most Deprived</v>
      </c>
      <c r="H807">
        <v>14</v>
      </c>
      <c r="I807" t="s">
        <v>45</v>
      </c>
      <c r="J807" t="s">
        <v>19</v>
      </c>
      <c r="K807" s="1">
        <v>45748</v>
      </c>
      <c r="L807" s="1">
        <v>45792</v>
      </c>
      <c r="M807" s="1" t="str">
        <f>TEXT(Table1[[#This Row],[appointment_date]],"MM/YYYY")</f>
        <v>05/2025</v>
      </c>
      <c r="N807">
        <v>44</v>
      </c>
      <c r="O807" t="str" cm="1">
        <f t="array" ref="O807">_xlfn.IFS(Table1[[#This Row],[lead_time_days]]&lt;=7,"0-7 days",N807&lt;=14,"8-14 days",N807&lt;=30,"15-30 days",N807&lt;=60,"31-60 days",TRUE,"61+ days")</f>
        <v>31-60 days</v>
      </c>
      <c r="P807" t="s">
        <v>20</v>
      </c>
      <c r="Q807" t="s">
        <v>21</v>
      </c>
      <c r="R807">
        <v>0</v>
      </c>
      <c r="S807" t="str">
        <f>IF(Table1[prior_dna_count]&gt;=1,"Has prior DNA history","No prior DNA history")</f>
        <v>No prior DNA history</v>
      </c>
      <c r="T807" t="s">
        <v>22</v>
      </c>
      <c r="U807" t="str">
        <f t="shared" si="12"/>
        <v>1</v>
      </c>
      <c r="V807" t="str">
        <f>IF(Table1[appointment_status]="Attended","1","0")</f>
        <v>1</v>
      </c>
      <c r="W807" t="str">
        <f>IF(Table1[appointment_status]="Cancelled","1","0")</f>
        <v>0</v>
      </c>
    </row>
    <row r="808" spans="1:23">
      <c r="A808" t="s">
        <v>1483</v>
      </c>
      <c r="B808" t="s">
        <v>1484</v>
      </c>
      <c r="C808">
        <v>48</v>
      </c>
      <c r="D808" t="str" cm="1">
        <f t="array" ref="D808">_xlfn.IFS(Table1[[#This Row],[age]]&lt;=17,"0-17",C808&lt;=29,"18-29",C808&lt;=44,"30-44",C808&lt;=59,"45-59",C808&lt;=74,"60-74",TRUE,"75+")</f>
        <v>45-59</v>
      </c>
      <c r="E808" t="s">
        <v>29</v>
      </c>
      <c r="F808">
        <v>6</v>
      </c>
      <c r="G808" t="str" cm="1">
        <f t="array" ref="G808">_xlfn.IFS(_xlfn.SINGLE(Table1[imd_decile])&lt;=3,"Most Deprived",F808&lt;=7,"Moderately Deprived",F808&lt;=10,"Least Deprived")</f>
        <v>Moderately Deprived</v>
      </c>
      <c r="H808">
        <v>17.8</v>
      </c>
      <c r="I808" t="s">
        <v>42</v>
      </c>
      <c r="J808" t="s">
        <v>19</v>
      </c>
      <c r="K808" s="1">
        <v>45741</v>
      </c>
      <c r="L808" s="1">
        <v>45792</v>
      </c>
      <c r="M808" s="1" t="str">
        <f>TEXT(Table1[[#This Row],[appointment_date]],"MM/YYYY")</f>
        <v>05/2025</v>
      </c>
      <c r="N808">
        <v>51</v>
      </c>
      <c r="O808" t="str" cm="1">
        <f t="array" ref="O808">_xlfn.IFS(Table1[[#This Row],[lead_time_days]]&lt;=7,"0-7 days",N808&lt;=14,"8-14 days",N808&lt;=30,"15-30 days",N808&lt;=60,"31-60 days",TRUE,"61+ days")</f>
        <v>31-60 days</v>
      </c>
      <c r="P808" t="s">
        <v>20</v>
      </c>
      <c r="Q808" t="s">
        <v>21</v>
      </c>
      <c r="R808">
        <v>0</v>
      </c>
      <c r="S808" t="str">
        <f>IF(Table1[prior_dna_count]&gt;=1,"Has prior DNA history","No prior DNA history")</f>
        <v>No prior DNA history</v>
      </c>
      <c r="T808" t="s">
        <v>22</v>
      </c>
      <c r="U808" t="str">
        <f t="shared" si="12"/>
        <v>1</v>
      </c>
      <c r="V808" t="str">
        <f>IF(Table1[appointment_status]="Attended","1","0")</f>
        <v>1</v>
      </c>
      <c r="W808" t="str">
        <f>IF(Table1[appointment_status]="Cancelled","1","0")</f>
        <v>0</v>
      </c>
    </row>
    <row r="809" spans="1:23">
      <c r="A809" t="s">
        <v>1485</v>
      </c>
      <c r="B809" t="s">
        <v>801</v>
      </c>
      <c r="C809">
        <v>31</v>
      </c>
      <c r="D809" t="str" cm="1">
        <f t="array" ref="D809">_xlfn.IFS(Table1[[#This Row],[age]]&lt;=17,"0-17",C809&lt;=29,"18-29",C809&lt;=44,"30-44",C809&lt;=59,"45-59",C809&lt;=74,"60-74",TRUE,"75+")</f>
        <v>30-44</v>
      </c>
      <c r="E809" t="s">
        <v>17</v>
      </c>
      <c r="F809">
        <v>5</v>
      </c>
      <c r="G809" t="str" cm="1">
        <f t="array" ref="G809">_xlfn.IFS(_xlfn.SINGLE(Table1[imd_decile])&lt;=3,"Most Deprived",F809&lt;=7,"Moderately Deprived",F809&lt;=10,"Least Deprived")</f>
        <v>Moderately Deprived</v>
      </c>
      <c r="H809">
        <v>19.8</v>
      </c>
      <c r="I809" t="s">
        <v>91</v>
      </c>
      <c r="J809" t="s">
        <v>19</v>
      </c>
      <c r="K809" s="1">
        <v>45772</v>
      </c>
      <c r="L809" s="1">
        <v>45792</v>
      </c>
      <c r="M809" s="1" t="str">
        <f>TEXT(Table1[[#This Row],[appointment_date]],"MM/YYYY")</f>
        <v>05/2025</v>
      </c>
      <c r="N809">
        <v>20</v>
      </c>
      <c r="O809" t="str" cm="1">
        <f t="array" ref="O809">_xlfn.IFS(Table1[[#This Row],[lead_time_days]]&lt;=7,"0-7 days",N809&lt;=14,"8-14 days",N809&lt;=30,"15-30 days",N809&lt;=60,"31-60 days",TRUE,"61+ days")</f>
        <v>15-30 days</v>
      </c>
      <c r="P809" t="s">
        <v>20</v>
      </c>
      <c r="Q809" t="s">
        <v>21</v>
      </c>
      <c r="R809">
        <v>0</v>
      </c>
      <c r="S809" t="str">
        <f>IF(Table1[prior_dna_count]&gt;=1,"Has prior DNA history","No prior DNA history")</f>
        <v>No prior DNA history</v>
      </c>
      <c r="T809" t="s">
        <v>22</v>
      </c>
      <c r="U809" t="str">
        <f t="shared" si="12"/>
        <v>1</v>
      </c>
      <c r="V809" t="str">
        <f>IF(Table1[appointment_status]="Attended","1","0")</f>
        <v>1</v>
      </c>
      <c r="W809" t="str">
        <f>IF(Table1[appointment_status]="Cancelled","1","0")</f>
        <v>0</v>
      </c>
    </row>
    <row r="810" spans="1:23">
      <c r="A810" t="s">
        <v>1486</v>
      </c>
      <c r="B810" t="s">
        <v>1487</v>
      </c>
      <c r="C810">
        <v>61</v>
      </c>
      <c r="D810" t="str" cm="1">
        <f t="array" ref="D810">_xlfn.IFS(Table1[[#This Row],[age]]&lt;=17,"0-17",C810&lt;=29,"18-29",C810&lt;=44,"30-44",C810&lt;=59,"45-59",C810&lt;=74,"60-74",TRUE,"75+")</f>
        <v>60-74</v>
      </c>
      <c r="E810" t="s">
        <v>17</v>
      </c>
      <c r="F810">
        <v>8</v>
      </c>
      <c r="G810" t="str" cm="1">
        <f t="array" ref="G810">_xlfn.IFS(_xlfn.SINGLE(Table1[imd_decile])&lt;=3,"Most Deprived",F810&lt;=7,"Moderately Deprived",F810&lt;=10,"Least Deprived")</f>
        <v>Least Deprived</v>
      </c>
      <c r="H810">
        <v>3.6</v>
      </c>
      <c r="I810" t="s">
        <v>38</v>
      </c>
      <c r="J810" t="s">
        <v>26</v>
      </c>
      <c r="K810" s="1">
        <v>45785</v>
      </c>
      <c r="L810" s="1">
        <v>45792</v>
      </c>
      <c r="M810" s="1" t="str">
        <f>TEXT(Table1[[#This Row],[appointment_date]],"MM/YYYY")</f>
        <v>05/2025</v>
      </c>
      <c r="N810">
        <v>7</v>
      </c>
      <c r="O810" t="str" cm="1">
        <f t="array" ref="O810">_xlfn.IFS(Table1[[#This Row],[lead_time_days]]&lt;=7,"0-7 days",N810&lt;=14,"8-14 days",N810&lt;=30,"15-30 days",N810&lt;=60,"31-60 days",TRUE,"61+ days")</f>
        <v>0-7 days</v>
      </c>
      <c r="P810" t="s">
        <v>20</v>
      </c>
      <c r="Q810" t="s">
        <v>21</v>
      </c>
      <c r="R810">
        <v>0</v>
      </c>
      <c r="S810" t="str">
        <f>IF(Table1[prior_dna_count]&gt;=1,"Has prior DNA history","No prior DNA history")</f>
        <v>No prior DNA history</v>
      </c>
      <c r="T810" t="s">
        <v>22</v>
      </c>
      <c r="U810" t="str">
        <f t="shared" si="12"/>
        <v>1</v>
      </c>
      <c r="V810" t="str">
        <f>IF(Table1[appointment_status]="Attended","1","0")</f>
        <v>1</v>
      </c>
      <c r="W810" t="str">
        <f>IF(Table1[appointment_status]="Cancelled","1","0")</f>
        <v>0</v>
      </c>
    </row>
    <row r="811" spans="1:23">
      <c r="A811" t="s">
        <v>1488</v>
      </c>
      <c r="B811" t="s">
        <v>1205</v>
      </c>
      <c r="C811">
        <v>50</v>
      </c>
      <c r="D811" t="str" cm="1">
        <f t="array" ref="D811">_xlfn.IFS(Table1[[#This Row],[age]]&lt;=17,"0-17",C811&lt;=29,"18-29",C811&lt;=44,"30-44",C811&lt;=59,"45-59",C811&lt;=74,"60-74",TRUE,"75+")</f>
        <v>45-59</v>
      </c>
      <c r="E811" t="s">
        <v>17</v>
      </c>
      <c r="F811">
        <v>3</v>
      </c>
      <c r="G811" t="str" cm="1">
        <f t="array" ref="G811">_xlfn.IFS(_xlfn.SINGLE(Table1[imd_decile])&lt;=3,"Most Deprived",F811&lt;=7,"Moderately Deprived",F811&lt;=10,"Least Deprived")</f>
        <v>Most Deprived</v>
      </c>
      <c r="H811">
        <v>3.6</v>
      </c>
      <c r="I811" t="s">
        <v>18</v>
      </c>
      <c r="J811" t="s">
        <v>26</v>
      </c>
      <c r="K811" s="1">
        <v>45785</v>
      </c>
      <c r="L811" s="1">
        <v>45792</v>
      </c>
      <c r="M811" s="1" t="str">
        <f>TEXT(Table1[[#This Row],[appointment_date]],"MM/YYYY")</f>
        <v>05/2025</v>
      </c>
      <c r="N811">
        <v>7</v>
      </c>
      <c r="O811" t="str" cm="1">
        <f t="array" ref="O811">_xlfn.IFS(Table1[[#This Row],[lead_time_days]]&lt;=7,"0-7 days",N811&lt;=14,"8-14 days",N811&lt;=30,"15-30 days",N811&lt;=60,"31-60 days",TRUE,"61+ days")</f>
        <v>0-7 days</v>
      </c>
      <c r="P811" t="s">
        <v>20</v>
      </c>
      <c r="Q811" t="s">
        <v>21</v>
      </c>
      <c r="R811">
        <v>0</v>
      </c>
      <c r="S811" t="str">
        <f>IF(Table1[prior_dna_count]&gt;=1,"Has prior DNA history","No prior DNA history")</f>
        <v>No prior DNA history</v>
      </c>
      <c r="T811" t="s">
        <v>46</v>
      </c>
      <c r="U811" t="str">
        <f t="shared" si="12"/>
        <v>1</v>
      </c>
      <c r="V811" t="str">
        <f>IF(Table1[appointment_status]="Attended","1","0")</f>
        <v>0</v>
      </c>
      <c r="W811" t="str">
        <f>IF(Table1[appointment_status]="Cancelled","1","0")</f>
        <v>1</v>
      </c>
    </row>
    <row r="812" spans="1:23">
      <c r="A812" t="s">
        <v>1489</v>
      </c>
      <c r="B812" t="s">
        <v>1490</v>
      </c>
      <c r="C812">
        <v>50</v>
      </c>
      <c r="D812" t="str" cm="1">
        <f t="array" ref="D812">_xlfn.IFS(Table1[[#This Row],[age]]&lt;=17,"0-17",C812&lt;=29,"18-29",C812&lt;=44,"30-44",C812&lt;=59,"45-59",C812&lt;=74,"60-74",TRUE,"75+")</f>
        <v>45-59</v>
      </c>
      <c r="E812" t="s">
        <v>29</v>
      </c>
      <c r="F812">
        <v>9</v>
      </c>
      <c r="G812" t="str" cm="1">
        <f t="array" ref="G812">_xlfn.IFS(_xlfn.SINGLE(Table1[imd_decile])&lt;=3,"Most Deprived",F812&lt;=7,"Moderately Deprived",F812&lt;=10,"Least Deprived")</f>
        <v>Least Deprived</v>
      </c>
      <c r="H812">
        <v>24.9</v>
      </c>
      <c r="I812" t="s">
        <v>42</v>
      </c>
      <c r="J812" t="s">
        <v>26</v>
      </c>
      <c r="K812" s="1">
        <v>45762</v>
      </c>
      <c r="L812" s="1">
        <v>45792</v>
      </c>
      <c r="M812" s="1" t="str">
        <f>TEXT(Table1[[#This Row],[appointment_date]],"MM/YYYY")</f>
        <v>05/2025</v>
      </c>
      <c r="N812">
        <v>30</v>
      </c>
      <c r="O812" t="str" cm="1">
        <f t="array" ref="O812">_xlfn.IFS(Table1[[#This Row],[lead_time_days]]&lt;=7,"0-7 days",N812&lt;=14,"8-14 days",N812&lt;=30,"15-30 days",N812&lt;=60,"31-60 days",TRUE,"61+ days")</f>
        <v>15-30 days</v>
      </c>
      <c r="P812" t="s">
        <v>20</v>
      </c>
      <c r="Q812" t="s">
        <v>32</v>
      </c>
      <c r="R812">
        <v>0</v>
      </c>
      <c r="S812" t="str">
        <f>IF(Table1[prior_dna_count]&gt;=1,"Has prior DNA history","No prior DNA history")</f>
        <v>No prior DNA history</v>
      </c>
      <c r="T812" t="s">
        <v>22</v>
      </c>
      <c r="U812" t="str">
        <f t="shared" si="12"/>
        <v>0</v>
      </c>
      <c r="V812" t="str">
        <f>IF(Table1[appointment_status]="Attended","1","0")</f>
        <v>1</v>
      </c>
      <c r="W812" t="str">
        <f>IF(Table1[appointment_status]="Cancelled","1","0")</f>
        <v>0</v>
      </c>
    </row>
    <row r="813" spans="1:23">
      <c r="A813" t="s">
        <v>1491</v>
      </c>
      <c r="B813" t="s">
        <v>791</v>
      </c>
      <c r="C813">
        <v>14</v>
      </c>
      <c r="D813" t="str" cm="1">
        <f t="array" ref="D813">_xlfn.IFS(Table1[[#This Row],[age]]&lt;=17,"0-17",C813&lt;=29,"18-29",C813&lt;=44,"30-44",C813&lt;=59,"45-59",C813&lt;=74,"60-74",TRUE,"75+")</f>
        <v>0-17</v>
      </c>
      <c r="E813" t="s">
        <v>17</v>
      </c>
      <c r="F813">
        <v>3</v>
      </c>
      <c r="G813" t="str" cm="1">
        <f t="array" ref="G813">_xlfn.IFS(_xlfn.SINGLE(Table1[imd_decile])&lt;=3,"Most Deprived",F813&lt;=7,"Moderately Deprived",F813&lt;=10,"Least Deprived")</f>
        <v>Most Deprived</v>
      </c>
      <c r="H813">
        <v>11.7</v>
      </c>
      <c r="I813" t="s">
        <v>18</v>
      </c>
      <c r="J813" t="s">
        <v>19</v>
      </c>
      <c r="K813" s="1">
        <v>45778</v>
      </c>
      <c r="L813" s="1">
        <v>45792</v>
      </c>
      <c r="M813" s="1" t="str">
        <f>TEXT(Table1[[#This Row],[appointment_date]],"MM/YYYY")</f>
        <v>05/2025</v>
      </c>
      <c r="N813">
        <v>14</v>
      </c>
      <c r="O813" t="str" cm="1">
        <f t="array" ref="O813">_xlfn.IFS(Table1[[#This Row],[lead_time_days]]&lt;=7,"0-7 days",N813&lt;=14,"8-14 days",N813&lt;=30,"15-30 days",N813&lt;=60,"31-60 days",TRUE,"61+ days")</f>
        <v>8-14 days</v>
      </c>
      <c r="P813" t="s">
        <v>20</v>
      </c>
      <c r="Q813" t="s">
        <v>32</v>
      </c>
      <c r="R813">
        <v>0</v>
      </c>
      <c r="S813" t="str">
        <f>IF(Table1[prior_dna_count]&gt;=1,"Has prior DNA history","No prior DNA history")</f>
        <v>No prior DNA history</v>
      </c>
      <c r="T813" t="s">
        <v>22</v>
      </c>
      <c r="U813" t="str">
        <f t="shared" si="12"/>
        <v>1</v>
      </c>
      <c r="V813" t="str">
        <f>IF(Table1[appointment_status]="Attended","1","0")</f>
        <v>1</v>
      </c>
      <c r="W813" t="str">
        <f>IF(Table1[appointment_status]="Cancelled","1","0")</f>
        <v>0</v>
      </c>
    </row>
    <row r="814" spans="1:23">
      <c r="A814" t="s">
        <v>1492</v>
      </c>
      <c r="B814" t="s">
        <v>1493</v>
      </c>
      <c r="C814">
        <v>64</v>
      </c>
      <c r="D814" t="str" cm="1">
        <f t="array" ref="D814">_xlfn.IFS(Table1[[#This Row],[age]]&lt;=17,"0-17",C814&lt;=29,"18-29",C814&lt;=44,"30-44",C814&lt;=59,"45-59",C814&lt;=74,"60-74",TRUE,"75+")</f>
        <v>60-74</v>
      </c>
      <c r="E814" t="s">
        <v>17</v>
      </c>
      <c r="F814">
        <v>9</v>
      </c>
      <c r="G814" t="str" cm="1">
        <f t="array" ref="G814">_xlfn.IFS(_xlfn.SINGLE(Table1[imd_decile])&lt;=3,"Most Deprived",F814&lt;=7,"Moderately Deprived",F814&lt;=10,"Least Deprived")</f>
        <v>Least Deprived</v>
      </c>
      <c r="H814">
        <v>11.8</v>
      </c>
      <c r="I814" t="s">
        <v>49</v>
      </c>
      <c r="J814" t="s">
        <v>26</v>
      </c>
      <c r="K814" s="1">
        <v>45771</v>
      </c>
      <c r="L814" s="1">
        <v>45793</v>
      </c>
      <c r="M814" s="1" t="str">
        <f>TEXT(Table1[[#This Row],[appointment_date]],"MM/YYYY")</f>
        <v>05/2025</v>
      </c>
      <c r="N814">
        <v>22</v>
      </c>
      <c r="O814" t="str" cm="1">
        <f t="array" ref="O814">_xlfn.IFS(Table1[[#This Row],[lead_time_days]]&lt;=7,"0-7 days",N814&lt;=14,"8-14 days",N814&lt;=30,"15-30 days",N814&lt;=60,"31-60 days",TRUE,"61+ days")</f>
        <v>15-30 days</v>
      </c>
      <c r="P814" t="s">
        <v>52</v>
      </c>
      <c r="Q814" t="s">
        <v>32</v>
      </c>
      <c r="R814">
        <v>0</v>
      </c>
      <c r="S814" t="str">
        <f>IF(Table1[prior_dna_count]&gt;=1,"Has prior DNA history","No prior DNA history")</f>
        <v>No prior DNA history</v>
      </c>
      <c r="T814" t="s">
        <v>22</v>
      </c>
      <c r="U814" t="str">
        <f t="shared" si="12"/>
        <v>1</v>
      </c>
      <c r="V814" t="str">
        <f>IF(Table1[appointment_status]="Attended","1","0")</f>
        <v>1</v>
      </c>
      <c r="W814" t="str">
        <f>IF(Table1[appointment_status]="Cancelled","1","0")</f>
        <v>0</v>
      </c>
    </row>
    <row r="815" spans="1:23">
      <c r="A815" t="s">
        <v>1494</v>
      </c>
      <c r="B815" t="s">
        <v>728</v>
      </c>
      <c r="C815">
        <v>51</v>
      </c>
      <c r="D815" t="str" cm="1">
        <f t="array" ref="D815">_xlfn.IFS(Table1[[#This Row],[age]]&lt;=17,"0-17",C815&lt;=29,"18-29",C815&lt;=44,"30-44",C815&lt;=59,"45-59",C815&lt;=74,"60-74",TRUE,"75+")</f>
        <v>45-59</v>
      </c>
      <c r="E815" t="s">
        <v>29</v>
      </c>
      <c r="F815">
        <v>8</v>
      </c>
      <c r="G815" t="str" cm="1">
        <f t="array" ref="G815">_xlfn.IFS(_xlfn.SINGLE(Table1[imd_decile])&lt;=3,"Most Deprived",F815&lt;=7,"Moderately Deprived",F815&lt;=10,"Least Deprived")</f>
        <v>Least Deprived</v>
      </c>
      <c r="H815">
        <v>8.3000000000000007</v>
      </c>
      <c r="I815" t="s">
        <v>38</v>
      </c>
      <c r="J815" t="s">
        <v>26</v>
      </c>
      <c r="K815" s="1">
        <v>45781</v>
      </c>
      <c r="L815" s="1">
        <v>45793</v>
      </c>
      <c r="M815" s="1" t="str">
        <f>TEXT(Table1[[#This Row],[appointment_date]],"MM/YYYY")</f>
        <v>05/2025</v>
      </c>
      <c r="N815">
        <v>12</v>
      </c>
      <c r="O815" t="str" cm="1">
        <f t="array" ref="O815">_xlfn.IFS(Table1[[#This Row],[lead_time_days]]&lt;=7,"0-7 days",N815&lt;=14,"8-14 days",N815&lt;=30,"15-30 days",N815&lt;=60,"31-60 days",TRUE,"61+ days")</f>
        <v>8-14 days</v>
      </c>
      <c r="P815" t="s">
        <v>52</v>
      </c>
      <c r="Q815" t="s">
        <v>21</v>
      </c>
      <c r="R815">
        <v>0</v>
      </c>
      <c r="S815" t="str">
        <f>IF(Table1[prior_dna_count]&gt;=1,"Has prior DNA history","No prior DNA history")</f>
        <v>No prior DNA history</v>
      </c>
      <c r="T815" t="s">
        <v>22</v>
      </c>
      <c r="U815" t="str">
        <f t="shared" si="12"/>
        <v>1</v>
      </c>
      <c r="V815" t="str">
        <f>IF(Table1[appointment_status]="Attended","1","0")</f>
        <v>1</v>
      </c>
      <c r="W815" t="str">
        <f>IF(Table1[appointment_status]="Cancelled","1","0")</f>
        <v>0</v>
      </c>
    </row>
    <row r="816" spans="1:23">
      <c r="A816" t="s">
        <v>1495</v>
      </c>
      <c r="B816" t="s">
        <v>161</v>
      </c>
      <c r="C816">
        <v>55</v>
      </c>
      <c r="D816" t="str" cm="1">
        <f t="array" ref="D816">_xlfn.IFS(Table1[[#This Row],[age]]&lt;=17,"0-17",C816&lt;=29,"18-29",C816&lt;=44,"30-44",C816&lt;=59,"45-59",C816&lt;=74,"60-74",TRUE,"75+")</f>
        <v>45-59</v>
      </c>
      <c r="E816" t="s">
        <v>29</v>
      </c>
      <c r="F816">
        <v>5</v>
      </c>
      <c r="G816" t="str" cm="1">
        <f t="array" ref="G816">_xlfn.IFS(_xlfn.SINGLE(Table1[imd_decile])&lt;=3,"Most Deprived",F816&lt;=7,"Moderately Deprived",F816&lt;=10,"Least Deprived")</f>
        <v>Moderately Deprived</v>
      </c>
      <c r="H816">
        <v>10.1</v>
      </c>
      <c r="I816" t="s">
        <v>25</v>
      </c>
      <c r="J816" t="s">
        <v>19</v>
      </c>
      <c r="K816" s="1">
        <v>45782</v>
      </c>
      <c r="L816" s="1">
        <v>45793</v>
      </c>
      <c r="M816" s="1" t="str">
        <f>TEXT(Table1[[#This Row],[appointment_date]],"MM/YYYY")</f>
        <v>05/2025</v>
      </c>
      <c r="N816">
        <v>11</v>
      </c>
      <c r="O816" t="str" cm="1">
        <f t="array" ref="O816">_xlfn.IFS(Table1[[#This Row],[lead_time_days]]&lt;=7,"0-7 days",N816&lt;=14,"8-14 days",N816&lt;=30,"15-30 days",N816&lt;=60,"31-60 days",TRUE,"61+ days")</f>
        <v>8-14 days</v>
      </c>
      <c r="P816" t="s">
        <v>52</v>
      </c>
      <c r="Q816" t="s">
        <v>21</v>
      </c>
      <c r="R816">
        <v>0</v>
      </c>
      <c r="S816" t="str">
        <f>IF(Table1[prior_dna_count]&gt;=1,"Has prior DNA history","No prior DNA history")</f>
        <v>No prior DNA history</v>
      </c>
      <c r="T816" t="s">
        <v>22</v>
      </c>
      <c r="U816" t="str">
        <f t="shared" si="12"/>
        <v>1</v>
      </c>
      <c r="V816" t="str">
        <f>IF(Table1[appointment_status]="Attended","1","0")</f>
        <v>1</v>
      </c>
      <c r="W816" t="str">
        <f>IF(Table1[appointment_status]="Cancelled","1","0")</f>
        <v>0</v>
      </c>
    </row>
    <row r="817" spans="1:23">
      <c r="A817" t="s">
        <v>1496</v>
      </c>
      <c r="B817" t="s">
        <v>1497</v>
      </c>
      <c r="C817">
        <v>57</v>
      </c>
      <c r="D817" t="str" cm="1">
        <f t="array" ref="D817">_xlfn.IFS(Table1[[#This Row],[age]]&lt;=17,"0-17",C817&lt;=29,"18-29",C817&lt;=44,"30-44",C817&lt;=59,"45-59",C817&lt;=74,"60-74",TRUE,"75+")</f>
        <v>45-59</v>
      </c>
      <c r="E817" t="s">
        <v>17</v>
      </c>
      <c r="F817">
        <v>4</v>
      </c>
      <c r="G817" t="str" cm="1">
        <f t="array" ref="G817">_xlfn.IFS(_xlfn.SINGLE(Table1[imd_decile])&lt;=3,"Most Deprived",F817&lt;=7,"Moderately Deprived",F817&lt;=10,"Least Deprived")</f>
        <v>Moderately Deprived</v>
      </c>
      <c r="H817">
        <v>4.3</v>
      </c>
      <c r="I817" t="s">
        <v>18</v>
      </c>
      <c r="J817" t="s">
        <v>19</v>
      </c>
      <c r="K817" s="1">
        <v>45774</v>
      </c>
      <c r="L817" s="1">
        <v>45793</v>
      </c>
      <c r="M817" s="1" t="str">
        <f>TEXT(Table1[[#This Row],[appointment_date]],"MM/YYYY")</f>
        <v>05/2025</v>
      </c>
      <c r="N817">
        <v>19</v>
      </c>
      <c r="O817" t="str" cm="1">
        <f t="array" ref="O817">_xlfn.IFS(Table1[[#This Row],[lead_time_days]]&lt;=7,"0-7 days",N817&lt;=14,"8-14 days",N817&lt;=30,"15-30 days",N817&lt;=60,"31-60 days",TRUE,"61+ days")</f>
        <v>15-30 days</v>
      </c>
      <c r="P817" t="s">
        <v>52</v>
      </c>
      <c r="Q817" t="s">
        <v>21</v>
      </c>
      <c r="R817">
        <v>0</v>
      </c>
      <c r="S817" t="str">
        <f>IF(Table1[prior_dna_count]&gt;=1,"Has prior DNA history","No prior DNA history")</f>
        <v>No prior DNA history</v>
      </c>
      <c r="T817" t="s">
        <v>22</v>
      </c>
      <c r="U817" t="str">
        <f t="shared" si="12"/>
        <v>1</v>
      </c>
      <c r="V817" t="str">
        <f>IF(Table1[appointment_status]="Attended","1","0")</f>
        <v>1</v>
      </c>
      <c r="W817" t="str">
        <f>IF(Table1[appointment_status]="Cancelled","1","0")</f>
        <v>0</v>
      </c>
    </row>
    <row r="818" spans="1:23">
      <c r="A818" t="s">
        <v>1498</v>
      </c>
      <c r="B818" t="s">
        <v>1499</v>
      </c>
      <c r="C818">
        <v>59</v>
      </c>
      <c r="D818" t="str" cm="1">
        <f t="array" ref="D818">_xlfn.IFS(Table1[[#This Row],[age]]&lt;=17,"0-17",C818&lt;=29,"18-29",C818&lt;=44,"30-44",C818&lt;=59,"45-59",C818&lt;=74,"60-74",TRUE,"75+")</f>
        <v>45-59</v>
      </c>
      <c r="E818" t="s">
        <v>29</v>
      </c>
      <c r="F818">
        <v>6</v>
      </c>
      <c r="G818" t="str" cm="1">
        <f t="array" ref="G818">_xlfn.IFS(_xlfn.SINGLE(Table1[imd_decile])&lt;=3,"Most Deprived",F818&lt;=7,"Moderately Deprived",F818&lt;=10,"Least Deprived")</f>
        <v>Moderately Deprived</v>
      </c>
      <c r="H818">
        <v>5.9</v>
      </c>
      <c r="I818" t="s">
        <v>58</v>
      </c>
      <c r="J818" t="s">
        <v>19</v>
      </c>
      <c r="K818" s="1">
        <v>45739</v>
      </c>
      <c r="L818" s="1">
        <v>45793</v>
      </c>
      <c r="M818" s="1" t="str">
        <f>TEXT(Table1[[#This Row],[appointment_date]],"MM/YYYY")</f>
        <v>05/2025</v>
      </c>
      <c r="N818">
        <v>54</v>
      </c>
      <c r="O818" t="str" cm="1">
        <f t="array" ref="O818">_xlfn.IFS(Table1[[#This Row],[lead_time_days]]&lt;=7,"0-7 days",N818&lt;=14,"8-14 days",N818&lt;=30,"15-30 days",N818&lt;=60,"31-60 days",TRUE,"61+ days")</f>
        <v>31-60 days</v>
      </c>
      <c r="P818" t="s">
        <v>52</v>
      </c>
      <c r="Q818" t="s">
        <v>21</v>
      </c>
      <c r="R818">
        <v>0</v>
      </c>
      <c r="S818" t="str">
        <f>IF(Table1[prior_dna_count]&gt;=1,"Has prior DNA history","No prior DNA history")</f>
        <v>No prior DNA history</v>
      </c>
      <c r="T818" t="s">
        <v>22</v>
      </c>
      <c r="U818" t="str">
        <f t="shared" si="12"/>
        <v>1</v>
      </c>
      <c r="V818" t="str">
        <f>IF(Table1[appointment_status]="Attended","1","0")</f>
        <v>1</v>
      </c>
      <c r="W818" t="str">
        <f>IF(Table1[appointment_status]="Cancelled","1","0")</f>
        <v>0</v>
      </c>
    </row>
    <row r="819" spans="1:23">
      <c r="A819" t="s">
        <v>1500</v>
      </c>
      <c r="B819" t="s">
        <v>1332</v>
      </c>
      <c r="C819">
        <v>48</v>
      </c>
      <c r="D819" t="str" cm="1">
        <f t="array" ref="D819">_xlfn.IFS(Table1[[#This Row],[age]]&lt;=17,"0-17",C819&lt;=29,"18-29",C819&lt;=44,"30-44",C819&lt;=59,"45-59",C819&lt;=74,"60-74",TRUE,"75+")</f>
        <v>45-59</v>
      </c>
      <c r="E819" t="s">
        <v>29</v>
      </c>
      <c r="F819">
        <v>1</v>
      </c>
      <c r="G819" t="str" cm="1">
        <f t="array" ref="G819">_xlfn.IFS(_xlfn.SINGLE(Table1[imd_decile])&lt;=3,"Most Deprived",F819&lt;=7,"Moderately Deprived",F819&lt;=10,"Least Deprived")</f>
        <v>Most Deprived</v>
      </c>
      <c r="H819">
        <v>3.4</v>
      </c>
      <c r="I819" t="s">
        <v>30</v>
      </c>
      <c r="J819" t="s">
        <v>19</v>
      </c>
      <c r="K819" s="1">
        <v>45745</v>
      </c>
      <c r="L819" s="1">
        <v>45793</v>
      </c>
      <c r="M819" s="1" t="str">
        <f>TEXT(Table1[[#This Row],[appointment_date]],"MM/YYYY")</f>
        <v>05/2025</v>
      </c>
      <c r="N819">
        <v>48</v>
      </c>
      <c r="O819" t="str" cm="1">
        <f t="array" ref="O819">_xlfn.IFS(Table1[[#This Row],[lead_time_days]]&lt;=7,"0-7 days",N819&lt;=14,"8-14 days",N819&lt;=30,"15-30 days",N819&lt;=60,"31-60 days",TRUE,"61+ days")</f>
        <v>31-60 days</v>
      </c>
      <c r="P819" t="s">
        <v>52</v>
      </c>
      <c r="Q819" t="s">
        <v>32</v>
      </c>
      <c r="R819">
        <v>0</v>
      </c>
      <c r="S819" t="str">
        <f>IF(Table1[prior_dna_count]&gt;=1,"Has prior DNA history","No prior DNA history")</f>
        <v>No prior DNA history</v>
      </c>
      <c r="T819" t="s">
        <v>39</v>
      </c>
      <c r="U819" t="str">
        <f t="shared" si="12"/>
        <v>1</v>
      </c>
      <c r="V819" t="str">
        <f>IF(Table1[appointment_status]="Attended","1","0")</f>
        <v>0</v>
      </c>
      <c r="W819" t="str">
        <f>IF(Table1[appointment_status]="Cancelled","1","0")</f>
        <v>0</v>
      </c>
    </row>
    <row r="820" spans="1:23">
      <c r="A820" t="s">
        <v>1501</v>
      </c>
      <c r="B820" t="s">
        <v>1502</v>
      </c>
      <c r="C820">
        <v>52</v>
      </c>
      <c r="D820" t="str" cm="1">
        <f t="array" ref="D820">_xlfn.IFS(Table1[[#This Row],[age]]&lt;=17,"0-17",C820&lt;=29,"18-29",C820&lt;=44,"30-44",C820&lt;=59,"45-59",C820&lt;=74,"60-74",TRUE,"75+")</f>
        <v>45-59</v>
      </c>
      <c r="E820" t="s">
        <v>17</v>
      </c>
      <c r="F820">
        <v>4</v>
      </c>
      <c r="G820" t="str" cm="1">
        <f t="array" ref="G820">_xlfn.IFS(_xlfn.SINGLE(Table1[imd_decile])&lt;=3,"Most Deprived",F820&lt;=7,"Moderately Deprived",F820&lt;=10,"Least Deprived")</f>
        <v>Moderately Deprived</v>
      </c>
      <c r="H820">
        <v>9.1</v>
      </c>
      <c r="I820" t="s">
        <v>91</v>
      </c>
      <c r="J820" t="s">
        <v>26</v>
      </c>
      <c r="K820" s="1">
        <v>45779</v>
      </c>
      <c r="L820" s="1">
        <v>45793</v>
      </c>
      <c r="M820" s="1" t="str">
        <f>TEXT(Table1[[#This Row],[appointment_date]],"MM/YYYY")</f>
        <v>05/2025</v>
      </c>
      <c r="N820">
        <v>14</v>
      </c>
      <c r="O820" t="str" cm="1">
        <f t="array" ref="O820">_xlfn.IFS(Table1[[#This Row],[lead_time_days]]&lt;=7,"0-7 days",N820&lt;=14,"8-14 days",N820&lt;=30,"15-30 days",N820&lt;=60,"31-60 days",TRUE,"61+ days")</f>
        <v>8-14 days</v>
      </c>
      <c r="P820" t="s">
        <v>52</v>
      </c>
      <c r="Q820" t="s">
        <v>21</v>
      </c>
      <c r="R820">
        <v>0</v>
      </c>
      <c r="S820" t="str">
        <f>IF(Table1[prior_dna_count]&gt;=1,"Has prior DNA history","No prior DNA history")</f>
        <v>No prior DNA history</v>
      </c>
      <c r="T820" t="s">
        <v>22</v>
      </c>
      <c r="U820" t="str">
        <f t="shared" si="12"/>
        <v>0</v>
      </c>
      <c r="V820" t="str">
        <f>IF(Table1[appointment_status]="Attended","1","0")</f>
        <v>1</v>
      </c>
      <c r="W820" t="str">
        <f>IF(Table1[appointment_status]="Cancelled","1","0")</f>
        <v>0</v>
      </c>
    </row>
    <row r="821" spans="1:23">
      <c r="A821" t="s">
        <v>1503</v>
      </c>
      <c r="B821" t="s">
        <v>1504</v>
      </c>
      <c r="C821">
        <v>41</v>
      </c>
      <c r="D821" t="str" cm="1">
        <f t="array" ref="D821">_xlfn.IFS(Table1[[#This Row],[age]]&lt;=17,"0-17",C821&lt;=29,"18-29",C821&lt;=44,"30-44",C821&lt;=59,"45-59",C821&lt;=74,"60-74",TRUE,"75+")</f>
        <v>30-44</v>
      </c>
      <c r="E821" t="s">
        <v>29</v>
      </c>
      <c r="F821">
        <v>5</v>
      </c>
      <c r="G821" t="str" cm="1">
        <f t="array" ref="G821">_xlfn.IFS(_xlfn.SINGLE(Table1[imd_decile])&lt;=3,"Most Deprived",F821&lt;=7,"Moderately Deprived",F821&lt;=10,"Least Deprived")</f>
        <v>Moderately Deprived</v>
      </c>
      <c r="H821">
        <v>10</v>
      </c>
      <c r="I821" t="s">
        <v>45</v>
      </c>
      <c r="J821" t="s">
        <v>26</v>
      </c>
      <c r="K821" s="1">
        <v>45778</v>
      </c>
      <c r="L821" s="1">
        <v>45793</v>
      </c>
      <c r="M821" s="1" t="str">
        <f>TEXT(Table1[[#This Row],[appointment_date]],"MM/YYYY")</f>
        <v>05/2025</v>
      </c>
      <c r="N821">
        <v>15</v>
      </c>
      <c r="O821" t="str" cm="1">
        <f t="array" ref="O821">_xlfn.IFS(Table1[[#This Row],[lead_time_days]]&lt;=7,"0-7 days",N821&lt;=14,"8-14 days",N821&lt;=30,"15-30 days",N821&lt;=60,"31-60 days",TRUE,"61+ days")</f>
        <v>15-30 days</v>
      </c>
      <c r="P821" t="s">
        <v>52</v>
      </c>
      <c r="Q821" t="s">
        <v>21</v>
      </c>
      <c r="R821">
        <v>0</v>
      </c>
      <c r="S821" t="str">
        <f>IF(Table1[prior_dna_count]&gt;=1,"Has prior DNA history","No prior DNA history")</f>
        <v>No prior DNA history</v>
      </c>
      <c r="T821" t="s">
        <v>22</v>
      </c>
      <c r="U821" t="str">
        <f t="shared" si="12"/>
        <v>1</v>
      </c>
      <c r="V821" t="str">
        <f>IF(Table1[appointment_status]="Attended","1","0")</f>
        <v>1</v>
      </c>
      <c r="W821" t="str">
        <f>IF(Table1[appointment_status]="Cancelled","1","0")</f>
        <v>0</v>
      </c>
    </row>
    <row r="822" spans="1:23">
      <c r="A822" t="s">
        <v>1505</v>
      </c>
      <c r="B822" t="s">
        <v>1506</v>
      </c>
      <c r="C822">
        <v>57</v>
      </c>
      <c r="D822" t="str" cm="1">
        <f t="array" ref="D822">_xlfn.IFS(Table1[[#This Row],[age]]&lt;=17,"0-17",C822&lt;=29,"18-29",C822&lt;=44,"30-44",C822&lt;=59,"45-59",C822&lt;=74,"60-74",TRUE,"75+")</f>
        <v>45-59</v>
      </c>
      <c r="E822" t="s">
        <v>17</v>
      </c>
      <c r="F822">
        <v>5</v>
      </c>
      <c r="G822" t="str" cm="1">
        <f t="array" ref="G822">_xlfn.IFS(_xlfn.SINGLE(Table1[imd_decile])&lt;=3,"Most Deprived",F822&lt;=7,"Moderately Deprived",F822&lt;=10,"Least Deprived")</f>
        <v>Moderately Deprived</v>
      </c>
      <c r="H822">
        <v>1.5</v>
      </c>
      <c r="I822" t="s">
        <v>91</v>
      </c>
      <c r="J822" t="s">
        <v>26</v>
      </c>
      <c r="K822" s="1">
        <v>45758</v>
      </c>
      <c r="L822" s="1">
        <v>45793</v>
      </c>
      <c r="M822" s="1" t="str">
        <f>TEXT(Table1[[#This Row],[appointment_date]],"MM/YYYY")</f>
        <v>05/2025</v>
      </c>
      <c r="N822">
        <v>35</v>
      </c>
      <c r="O822" t="str" cm="1">
        <f t="array" ref="O822">_xlfn.IFS(Table1[[#This Row],[lead_time_days]]&lt;=7,"0-7 days",N822&lt;=14,"8-14 days",N822&lt;=30,"15-30 days",N822&lt;=60,"31-60 days",TRUE,"61+ days")</f>
        <v>31-60 days</v>
      </c>
      <c r="P822" t="s">
        <v>52</v>
      </c>
      <c r="Q822" t="s">
        <v>21</v>
      </c>
      <c r="R822">
        <v>0</v>
      </c>
      <c r="S822" t="str">
        <f>IF(Table1[prior_dna_count]&gt;=1,"Has prior DNA history","No prior DNA history")</f>
        <v>No prior DNA history</v>
      </c>
      <c r="T822" t="s">
        <v>39</v>
      </c>
      <c r="U822" t="str">
        <f t="shared" si="12"/>
        <v>1</v>
      </c>
      <c r="V822" t="str">
        <f>IF(Table1[appointment_status]="Attended","1","0")</f>
        <v>0</v>
      </c>
      <c r="W822" t="str">
        <f>IF(Table1[appointment_status]="Cancelled","1","0")</f>
        <v>0</v>
      </c>
    </row>
    <row r="823" spans="1:23">
      <c r="A823" t="s">
        <v>1507</v>
      </c>
      <c r="B823" t="s">
        <v>1508</v>
      </c>
      <c r="C823">
        <v>53</v>
      </c>
      <c r="D823" t="str" cm="1">
        <f t="array" ref="D823">_xlfn.IFS(Table1[[#This Row],[age]]&lt;=17,"0-17",C823&lt;=29,"18-29",C823&lt;=44,"30-44",C823&lt;=59,"45-59",C823&lt;=74,"60-74",TRUE,"75+")</f>
        <v>45-59</v>
      </c>
      <c r="E823" t="s">
        <v>17</v>
      </c>
      <c r="F823">
        <v>3</v>
      </c>
      <c r="G823" t="str" cm="1">
        <f t="array" ref="G823">_xlfn.IFS(_xlfn.SINGLE(Table1[imd_decile])&lt;=3,"Most Deprived",F823&lt;=7,"Moderately Deprived",F823&lt;=10,"Least Deprived")</f>
        <v>Most Deprived</v>
      </c>
      <c r="H823">
        <v>1.1000000000000001</v>
      </c>
      <c r="I823" t="s">
        <v>49</v>
      </c>
      <c r="J823" t="s">
        <v>19</v>
      </c>
      <c r="K823" s="1">
        <v>45686</v>
      </c>
      <c r="L823" s="1">
        <v>45794</v>
      </c>
      <c r="M823" s="1" t="str">
        <f>TEXT(Table1[[#This Row],[appointment_date]],"MM/YYYY")</f>
        <v>05/2025</v>
      </c>
      <c r="N823">
        <v>108</v>
      </c>
      <c r="O823" t="str" cm="1">
        <f t="array" ref="O823">_xlfn.IFS(Table1[[#This Row],[lead_time_days]]&lt;=7,"0-7 days",N823&lt;=14,"8-14 days",N823&lt;=30,"15-30 days",N823&lt;=60,"31-60 days",TRUE,"61+ days")</f>
        <v>61+ days</v>
      </c>
      <c r="P823" t="s">
        <v>55</v>
      </c>
      <c r="Q823" t="s">
        <v>21</v>
      </c>
      <c r="R823">
        <v>0</v>
      </c>
      <c r="S823" t="str">
        <f>IF(Table1[prior_dna_count]&gt;=1,"Has prior DNA history","No prior DNA history")</f>
        <v>No prior DNA history</v>
      </c>
      <c r="T823" t="s">
        <v>22</v>
      </c>
      <c r="U823" t="str">
        <f t="shared" si="12"/>
        <v>0</v>
      </c>
      <c r="V823" t="str">
        <f>IF(Table1[appointment_status]="Attended","1","0")</f>
        <v>1</v>
      </c>
      <c r="W823" t="str">
        <f>IF(Table1[appointment_status]="Cancelled","1","0")</f>
        <v>0</v>
      </c>
    </row>
    <row r="824" spans="1:23">
      <c r="A824" t="s">
        <v>1509</v>
      </c>
      <c r="B824" t="s">
        <v>1510</v>
      </c>
      <c r="C824">
        <v>57</v>
      </c>
      <c r="D824" t="str" cm="1">
        <f t="array" ref="D824">_xlfn.IFS(Table1[[#This Row],[age]]&lt;=17,"0-17",C824&lt;=29,"18-29",C824&lt;=44,"30-44",C824&lt;=59,"45-59",C824&lt;=74,"60-74",TRUE,"75+")</f>
        <v>45-59</v>
      </c>
      <c r="E824" t="s">
        <v>29</v>
      </c>
      <c r="F824">
        <v>4</v>
      </c>
      <c r="G824" t="str" cm="1">
        <f t="array" ref="G824">_xlfn.IFS(_xlfn.SINGLE(Table1[imd_decile])&lt;=3,"Most Deprived",F824&lt;=7,"Moderately Deprived",F824&lt;=10,"Least Deprived")</f>
        <v>Moderately Deprived</v>
      </c>
      <c r="H824">
        <v>15.8</v>
      </c>
      <c r="I824" t="s">
        <v>25</v>
      </c>
      <c r="J824" t="s">
        <v>19</v>
      </c>
      <c r="K824" s="1">
        <v>45767</v>
      </c>
      <c r="L824" s="1">
        <v>45794</v>
      </c>
      <c r="M824" s="1" t="str">
        <f>TEXT(Table1[[#This Row],[appointment_date]],"MM/YYYY")</f>
        <v>05/2025</v>
      </c>
      <c r="N824">
        <v>27</v>
      </c>
      <c r="O824" t="str" cm="1">
        <f t="array" ref="O824">_xlfn.IFS(Table1[[#This Row],[lead_time_days]]&lt;=7,"0-7 days",N824&lt;=14,"8-14 days",N824&lt;=30,"15-30 days",N824&lt;=60,"31-60 days",TRUE,"61+ days")</f>
        <v>15-30 days</v>
      </c>
      <c r="P824" t="s">
        <v>55</v>
      </c>
      <c r="Q824" t="s">
        <v>32</v>
      </c>
      <c r="R824">
        <v>0</v>
      </c>
      <c r="S824" t="str">
        <f>IF(Table1[prior_dna_count]&gt;=1,"Has prior DNA history","No prior DNA history")</f>
        <v>No prior DNA history</v>
      </c>
      <c r="T824" t="s">
        <v>22</v>
      </c>
      <c r="U824" t="str">
        <f t="shared" si="12"/>
        <v>1</v>
      </c>
      <c r="V824" t="str">
        <f>IF(Table1[appointment_status]="Attended","1","0")</f>
        <v>1</v>
      </c>
      <c r="W824" t="str">
        <f>IF(Table1[appointment_status]="Cancelled","1","0")</f>
        <v>0</v>
      </c>
    </row>
    <row r="825" spans="1:23">
      <c r="A825" t="s">
        <v>1511</v>
      </c>
      <c r="B825" t="s">
        <v>1180</v>
      </c>
      <c r="C825">
        <v>44</v>
      </c>
      <c r="D825" t="str" cm="1">
        <f t="array" ref="D825">_xlfn.IFS(Table1[[#This Row],[age]]&lt;=17,"0-17",C825&lt;=29,"18-29",C825&lt;=44,"30-44",C825&lt;=59,"45-59",C825&lt;=74,"60-74",TRUE,"75+")</f>
        <v>30-44</v>
      </c>
      <c r="E825" t="s">
        <v>29</v>
      </c>
      <c r="F825">
        <v>6</v>
      </c>
      <c r="G825" t="str" cm="1">
        <f t="array" ref="G825">_xlfn.IFS(_xlfn.SINGLE(Table1[imd_decile])&lt;=3,"Most Deprived",F825&lt;=7,"Moderately Deprived",F825&lt;=10,"Least Deprived")</f>
        <v>Moderately Deprived</v>
      </c>
      <c r="H825">
        <v>0.7</v>
      </c>
      <c r="I825" t="s">
        <v>18</v>
      </c>
      <c r="J825" t="s">
        <v>19</v>
      </c>
      <c r="K825" s="1">
        <v>45755</v>
      </c>
      <c r="L825" s="1">
        <v>45794</v>
      </c>
      <c r="M825" s="1" t="str">
        <f>TEXT(Table1[[#This Row],[appointment_date]],"MM/YYYY")</f>
        <v>05/2025</v>
      </c>
      <c r="N825">
        <v>39</v>
      </c>
      <c r="O825" t="str" cm="1">
        <f t="array" ref="O825">_xlfn.IFS(Table1[[#This Row],[lead_time_days]]&lt;=7,"0-7 days",N825&lt;=14,"8-14 days",N825&lt;=30,"15-30 days",N825&lt;=60,"31-60 days",TRUE,"61+ days")</f>
        <v>31-60 days</v>
      </c>
      <c r="P825" t="s">
        <v>55</v>
      </c>
      <c r="Q825" t="s">
        <v>21</v>
      </c>
      <c r="R825">
        <v>1</v>
      </c>
      <c r="S825" t="str">
        <f>IF(Table1[prior_dna_count]&gt;=1,"Has prior DNA history","No prior DNA history")</f>
        <v>Has prior DNA history</v>
      </c>
      <c r="T825" t="s">
        <v>39</v>
      </c>
      <c r="U825" t="str">
        <f t="shared" si="12"/>
        <v>1</v>
      </c>
      <c r="V825" t="str">
        <f>IF(Table1[appointment_status]="Attended","1","0")</f>
        <v>0</v>
      </c>
      <c r="W825" t="str">
        <f>IF(Table1[appointment_status]="Cancelled","1","0")</f>
        <v>0</v>
      </c>
    </row>
    <row r="826" spans="1:23">
      <c r="A826" t="s">
        <v>1512</v>
      </c>
      <c r="B826" t="s">
        <v>504</v>
      </c>
      <c r="C826">
        <v>86</v>
      </c>
      <c r="D826" t="str" cm="1">
        <f t="array" ref="D826">_xlfn.IFS(Table1[[#This Row],[age]]&lt;=17,"0-17",C826&lt;=29,"18-29",C826&lt;=44,"30-44",C826&lt;=59,"45-59",C826&lt;=74,"60-74",TRUE,"75+")</f>
        <v>75+</v>
      </c>
      <c r="E826" t="s">
        <v>17</v>
      </c>
      <c r="F826">
        <v>4</v>
      </c>
      <c r="G826" t="str" cm="1">
        <f t="array" ref="G826">_xlfn.IFS(_xlfn.SINGLE(Table1[imd_decile])&lt;=3,"Most Deprived",F826&lt;=7,"Moderately Deprived",F826&lt;=10,"Least Deprived")</f>
        <v>Moderately Deprived</v>
      </c>
      <c r="H826">
        <v>4.0999999999999996</v>
      </c>
      <c r="I826" t="s">
        <v>49</v>
      </c>
      <c r="J826" t="s">
        <v>19</v>
      </c>
      <c r="K826" s="1">
        <v>45783</v>
      </c>
      <c r="L826" s="1">
        <v>45794</v>
      </c>
      <c r="M826" s="1" t="str">
        <f>TEXT(Table1[[#This Row],[appointment_date]],"MM/YYYY")</f>
        <v>05/2025</v>
      </c>
      <c r="N826">
        <v>11</v>
      </c>
      <c r="O826" t="str" cm="1">
        <f t="array" ref="O826">_xlfn.IFS(Table1[[#This Row],[lead_time_days]]&lt;=7,"0-7 days",N826&lt;=14,"8-14 days",N826&lt;=30,"15-30 days",N826&lt;=60,"31-60 days",TRUE,"61+ days")</f>
        <v>8-14 days</v>
      </c>
      <c r="P826" t="s">
        <v>55</v>
      </c>
      <c r="Q826" t="s">
        <v>32</v>
      </c>
      <c r="R826">
        <v>0</v>
      </c>
      <c r="S826" t="str">
        <f>IF(Table1[prior_dna_count]&gt;=1,"Has prior DNA history","No prior DNA history")</f>
        <v>No prior DNA history</v>
      </c>
      <c r="T826" t="s">
        <v>39</v>
      </c>
      <c r="U826" t="str">
        <f t="shared" si="12"/>
        <v>0</v>
      </c>
      <c r="V826" t="str">
        <f>IF(Table1[appointment_status]="Attended","1","0")</f>
        <v>0</v>
      </c>
      <c r="W826" t="str">
        <f>IF(Table1[appointment_status]="Cancelled","1","0")</f>
        <v>0</v>
      </c>
    </row>
    <row r="827" spans="1:23">
      <c r="A827" t="s">
        <v>1513</v>
      </c>
      <c r="B827" t="s">
        <v>1514</v>
      </c>
      <c r="C827">
        <v>58</v>
      </c>
      <c r="D827" t="str" cm="1">
        <f t="array" ref="D827">_xlfn.IFS(Table1[[#This Row],[age]]&lt;=17,"0-17",C827&lt;=29,"18-29",C827&lt;=44,"30-44",C827&lt;=59,"45-59",C827&lt;=74,"60-74",TRUE,"75+")</f>
        <v>45-59</v>
      </c>
      <c r="E827" t="s">
        <v>17</v>
      </c>
      <c r="F827">
        <v>1</v>
      </c>
      <c r="G827" t="str" cm="1">
        <f t="array" ref="G827">_xlfn.IFS(_xlfn.SINGLE(Table1[imd_decile])&lt;=3,"Most Deprived",F827&lt;=7,"Moderately Deprived",F827&lt;=10,"Least Deprived")</f>
        <v>Most Deprived</v>
      </c>
      <c r="H827">
        <v>5</v>
      </c>
      <c r="I827" t="s">
        <v>45</v>
      </c>
      <c r="J827" t="s">
        <v>26</v>
      </c>
      <c r="K827" s="1">
        <v>45785</v>
      </c>
      <c r="L827" s="1">
        <v>45794</v>
      </c>
      <c r="M827" s="1" t="str">
        <f>TEXT(Table1[[#This Row],[appointment_date]],"MM/YYYY")</f>
        <v>05/2025</v>
      </c>
      <c r="N827">
        <v>9</v>
      </c>
      <c r="O827" t="str" cm="1">
        <f t="array" ref="O827">_xlfn.IFS(Table1[[#This Row],[lead_time_days]]&lt;=7,"0-7 days",N827&lt;=14,"8-14 days",N827&lt;=30,"15-30 days",N827&lt;=60,"31-60 days",TRUE,"61+ days")</f>
        <v>8-14 days</v>
      </c>
      <c r="P827" t="s">
        <v>55</v>
      </c>
      <c r="Q827" t="s">
        <v>21</v>
      </c>
      <c r="R827">
        <v>0</v>
      </c>
      <c r="S827" t="str">
        <f>IF(Table1[prior_dna_count]&gt;=1,"Has prior DNA history","No prior DNA history")</f>
        <v>No prior DNA history</v>
      </c>
      <c r="T827" t="s">
        <v>22</v>
      </c>
      <c r="U827" t="str">
        <f t="shared" si="12"/>
        <v>0</v>
      </c>
      <c r="V827" t="str">
        <f>IF(Table1[appointment_status]="Attended","1","0")</f>
        <v>1</v>
      </c>
      <c r="W827" t="str">
        <f>IF(Table1[appointment_status]="Cancelled","1","0")</f>
        <v>0</v>
      </c>
    </row>
    <row r="828" spans="1:23">
      <c r="A828" t="s">
        <v>1515</v>
      </c>
      <c r="B828" t="s">
        <v>911</v>
      </c>
      <c r="C828">
        <v>70</v>
      </c>
      <c r="D828" t="str" cm="1">
        <f t="array" ref="D828">_xlfn.IFS(Table1[[#This Row],[age]]&lt;=17,"0-17",C828&lt;=29,"18-29",C828&lt;=44,"30-44",C828&lt;=59,"45-59",C828&lt;=74,"60-74",TRUE,"75+")</f>
        <v>60-74</v>
      </c>
      <c r="E828" t="s">
        <v>17</v>
      </c>
      <c r="F828">
        <v>7</v>
      </c>
      <c r="G828" t="str" cm="1">
        <f t="array" ref="G828">_xlfn.IFS(_xlfn.SINGLE(Table1[imd_decile])&lt;=3,"Most Deprived",F828&lt;=7,"Moderately Deprived",F828&lt;=10,"Least Deprived")</f>
        <v>Moderately Deprived</v>
      </c>
      <c r="H828">
        <v>4.3</v>
      </c>
      <c r="I828" t="s">
        <v>91</v>
      </c>
      <c r="J828" t="s">
        <v>19</v>
      </c>
      <c r="K828" s="1">
        <v>45777</v>
      </c>
      <c r="L828" s="1">
        <v>45794</v>
      </c>
      <c r="M828" s="1" t="str">
        <f>TEXT(Table1[[#This Row],[appointment_date]],"MM/YYYY")</f>
        <v>05/2025</v>
      </c>
      <c r="N828">
        <v>17</v>
      </c>
      <c r="O828" t="str" cm="1">
        <f t="array" ref="O828">_xlfn.IFS(Table1[[#This Row],[lead_time_days]]&lt;=7,"0-7 days",N828&lt;=14,"8-14 days",N828&lt;=30,"15-30 days",N828&lt;=60,"31-60 days",TRUE,"61+ days")</f>
        <v>15-30 days</v>
      </c>
      <c r="P828" t="s">
        <v>55</v>
      </c>
      <c r="Q828" t="s">
        <v>32</v>
      </c>
      <c r="R828">
        <v>0</v>
      </c>
      <c r="S828" t="str">
        <f>IF(Table1[prior_dna_count]&gt;=1,"Has prior DNA history","No prior DNA history")</f>
        <v>No prior DNA history</v>
      </c>
      <c r="T828" t="s">
        <v>22</v>
      </c>
      <c r="U828" t="str">
        <f t="shared" si="12"/>
        <v>1</v>
      </c>
      <c r="V828" t="str">
        <f>IF(Table1[appointment_status]="Attended","1","0")</f>
        <v>1</v>
      </c>
      <c r="W828" t="str">
        <f>IF(Table1[appointment_status]="Cancelled","1","0")</f>
        <v>0</v>
      </c>
    </row>
    <row r="829" spans="1:23">
      <c r="A829" t="s">
        <v>1516</v>
      </c>
      <c r="B829" t="s">
        <v>1517</v>
      </c>
      <c r="C829">
        <v>38</v>
      </c>
      <c r="D829" t="str" cm="1">
        <f t="array" ref="D829">_xlfn.IFS(Table1[[#This Row],[age]]&lt;=17,"0-17",C829&lt;=29,"18-29",C829&lt;=44,"30-44",C829&lt;=59,"45-59",C829&lt;=74,"60-74",TRUE,"75+")</f>
        <v>30-44</v>
      </c>
      <c r="E829" t="s">
        <v>17</v>
      </c>
      <c r="F829">
        <v>9</v>
      </c>
      <c r="G829" t="str" cm="1">
        <f t="array" ref="G829">_xlfn.IFS(_xlfn.SINGLE(Table1[imd_decile])&lt;=3,"Most Deprived",F829&lt;=7,"Moderately Deprived",F829&lt;=10,"Least Deprived")</f>
        <v>Least Deprived</v>
      </c>
      <c r="H829">
        <v>6.6</v>
      </c>
      <c r="I829" t="s">
        <v>18</v>
      </c>
      <c r="J829" t="s">
        <v>19</v>
      </c>
      <c r="K829" s="1">
        <v>45776</v>
      </c>
      <c r="L829" s="1">
        <v>45794</v>
      </c>
      <c r="M829" s="1" t="str">
        <f>TEXT(Table1[[#This Row],[appointment_date]],"MM/YYYY")</f>
        <v>05/2025</v>
      </c>
      <c r="N829">
        <v>18</v>
      </c>
      <c r="O829" t="str" cm="1">
        <f t="array" ref="O829">_xlfn.IFS(Table1[[#This Row],[lead_time_days]]&lt;=7,"0-7 days",N829&lt;=14,"8-14 days",N829&lt;=30,"15-30 days",N829&lt;=60,"31-60 days",TRUE,"61+ days")</f>
        <v>15-30 days</v>
      </c>
      <c r="P829" t="s">
        <v>55</v>
      </c>
      <c r="Q829" t="s">
        <v>21</v>
      </c>
      <c r="R829">
        <v>0</v>
      </c>
      <c r="S829" t="str">
        <f>IF(Table1[prior_dna_count]&gt;=1,"Has prior DNA history","No prior DNA history")</f>
        <v>No prior DNA history</v>
      </c>
      <c r="T829" t="s">
        <v>22</v>
      </c>
      <c r="U829" t="str">
        <f t="shared" si="12"/>
        <v>1</v>
      </c>
      <c r="V829" t="str">
        <f>IF(Table1[appointment_status]="Attended","1","0")</f>
        <v>1</v>
      </c>
      <c r="W829" t="str">
        <f>IF(Table1[appointment_status]="Cancelled","1","0")</f>
        <v>0</v>
      </c>
    </row>
    <row r="830" spans="1:23">
      <c r="A830" t="s">
        <v>1518</v>
      </c>
      <c r="B830" t="s">
        <v>1519</v>
      </c>
      <c r="C830">
        <v>44</v>
      </c>
      <c r="D830" t="str" cm="1">
        <f t="array" ref="D830">_xlfn.IFS(Table1[[#This Row],[age]]&lt;=17,"0-17",C830&lt;=29,"18-29",C830&lt;=44,"30-44",C830&lt;=59,"45-59",C830&lt;=74,"60-74",TRUE,"75+")</f>
        <v>30-44</v>
      </c>
      <c r="E830" t="s">
        <v>17</v>
      </c>
      <c r="F830">
        <v>10</v>
      </c>
      <c r="G830" t="str" cm="1">
        <f t="array" ref="G830">_xlfn.IFS(_xlfn.SINGLE(Table1[imd_decile])&lt;=3,"Most Deprived",F830&lt;=7,"Moderately Deprived",F830&lt;=10,"Least Deprived")</f>
        <v>Least Deprived</v>
      </c>
      <c r="H830">
        <v>2.2000000000000002</v>
      </c>
      <c r="I830" t="s">
        <v>38</v>
      </c>
      <c r="J830" t="s">
        <v>19</v>
      </c>
      <c r="K830" s="1">
        <v>45747</v>
      </c>
      <c r="L830" s="1">
        <v>45794</v>
      </c>
      <c r="M830" s="1" t="str">
        <f>TEXT(Table1[[#This Row],[appointment_date]],"MM/YYYY")</f>
        <v>05/2025</v>
      </c>
      <c r="N830">
        <v>47</v>
      </c>
      <c r="O830" t="str" cm="1">
        <f t="array" ref="O830">_xlfn.IFS(Table1[[#This Row],[lead_time_days]]&lt;=7,"0-7 days",N830&lt;=14,"8-14 days",N830&lt;=30,"15-30 days",N830&lt;=60,"31-60 days",TRUE,"61+ days")</f>
        <v>31-60 days</v>
      </c>
      <c r="P830" t="s">
        <v>55</v>
      </c>
      <c r="Q830" t="s">
        <v>21</v>
      </c>
      <c r="R830">
        <v>0</v>
      </c>
      <c r="S830" t="str">
        <f>IF(Table1[prior_dna_count]&gt;=1,"Has prior DNA history","No prior DNA history")</f>
        <v>No prior DNA history</v>
      </c>
      <c r="T830" t="s">
        <v>22</v>
      </c>
      <c r="U830" t="str">
        <f t="shared" si="12"/>
        <v>1</v>
      </c>
      <c r="V830" t="str">
        <f>IF(Table1[appointment_status]="Attended","1","0")</f>
        <v>1</v>
      </c>
      <c r="W830" t="str">
        <f>IF(Table1[appointment_status]="Cancelled","1","0")</f>
        <v>0</v>
      </c>
    </row>
    <row r="831" spans="1:23">
      <c r="A831" t="s">
        <v>1520</v>
      </c>
      <c r="B831" t="s">
        <v>1521</v>
      </c>
      <c r="C831">
        <v>54</v>
      </c>
      <c r="D831" t="str" cm="1">
        <f t="array" ref="D831">_xlfn.IFS(Table1[[#This Row],[age]]&lt;=17,"0-17",C831&lt;=29,"18-29",C831&lt;=44,"30-44",C831&lt;=59,"45-59",C831&lt;=74,"60-74",TRUE,"75+")</f>
        <v>45-59</v>
      </c>
      <c r="E831" t="s">
        <v>17</v>
      </c>
      <c r="F831">
        <v>5</v>
      </c>
      <c r="G831" t="str" cm="1">
        <f t="array" ref="G831">_xlfn.IFS(_xlfn.SINGLE(Table1[imd_decile])&lt;=3,"Most Deprived",F831&lt;=7,"Moderately Deprived",F831&lt;=10,"Least Deprived")</f>
        <v>Moderately Deprived</v>
      </c>
      <c r="H831">
        <v>1.9</v>
      </c>
      <c r="I831" t="s">
        <v>42</v>
      </c>
      <c r="J831" t="s">
        <v>26</v>
      </c>
      <c r="K831" s="1">
        <v>45786</v>
      </c>
      <c r="L831" s="1">
        <v>45794</v>
      </c>
      <c r="M831" s="1" t="str">
        <f>TEXT(Table1[[#This Row],[appointment_date]],"MM/YYYY")</f>
        <v>05/2025</v>
      </c>
      <c r="N831">
        <v>8</v>
      </c>
      <c r="O831" t="str" cm="1">
        <f t="array" ref="O831">_xlfn.IFS(Table1[[#This Row],[lead_time_days]]&lt;=7,"0-7 days",N831&lt;=14,"8-14 days",N831&lt;=30,"15-30 days",N831&lt;=60,"31-60 days",TRUE,"61+ days")</f>
        <v>8-14 days</v>
      </c>
      <c r="P831" t="s">
        <v>55</v>
      </c>
      <c r="Q831" t="s">
        <v>32</v>
      </c>
      <c r="R831">
        <v>0</v>
      </c>
      <c r="S831" t="str">
        <f>IF(Table1[prior_dna_count]&gt;=1,"Has prior DNA history","No prior DNA history")</f>
        <v>No prior DNA history</v>
      </c>
      <c r="T831" t="s">
        <v>22</v>
      </c>
      <c r="U831" t="str">
        <f t="shared" si="12"/>
        <v>1</v>
      </c>
      <c r="V831" t="str">
        <f>IF(Table1[appointment_status]="Attended","1","0")</f>
        <v>1</v>
      </c>
      <c r="W831" t="str">
        <f>IF(Table1[appointment_status]="Cancelled","1","0")</f>
        <v>0</v>
      </c>
    </row>
    <row r="832" spans="1:23">
      <c r="A832" t="s">
        <v>1522</v>
      </c>
      <c r="B832" t="s">
        <v>290</v>
      </c>
      <c r="C832">
        <v>56</v>
      </c>
      <c r="D832" t="str" cm="1">
        <f t="array" ref="D832">_xlfn.IFS(Table1[[#This Row],[age]]&lt;=17,"0-17",C832&lt;=29,"18-29",C832&lt;=44,"30-44",C832&lt;=59,"45-59",C832&lt;=74,"60-74",TRUE,"75+")</f>
        <v>45-59</v>
      </c>
      <c r="E832" t="s">
        <v>17</v>
      </c>
      <c r="F832">
        <v>9</v>
      </c>
      <c r="G832" t="str" cm="1">
        <f t="array" ref="G832">_xlfn.IFS(_xlfn.SINGLE(Table1[imd_decile])&lt;=3,"Most Deprived",F832&lt;=7,"Moderately Deprived",F832&lt;=10,"Least Deprived")</f>
        <v>Least Deprived</v>
      </c>
      <c r="H832">
        <v>2.2999999999999998</v>
      </c>
      <c r="I832" t="s">
        <v>58</v>
      </c>
      <c r="J832" t="s">
        <v>19</v>
      </c>
      <c r="K832" s="1">
        <v>45704</v>
      </c>
      <c r="L832" s="1">
        <v>45794</v>
      </c>
      <c r="M832" s="1" t="str">
        <f>TEXT(Table1[[#This Row],[appointment_date]],"MM/YYYY")</f>
        <v>05/2025</v>
      </c>
      <c r="N832">
        <v>90</v>
      </c>
      <c r="O832" t="str" cm="1">
        <f t="array" ref="O832">_xlfn.IFS(Table1[[#This Row],[lead_time_days]]&lt;=7,"0-7 days",N832&lt;=14,"8-14 days",N832&lt;=30,"15-30 days",N832&lt;=60,"31-60 days",TRUE,"61+ days")</f>
        <v>61+ days</v>
      </c>
      <c r="P832" t="s">
        <v>55</v>
      </c>
      <c r="Q832" t="s">
        <v>21</v>
      </c>
      <c r="R832">
        <v>0</v>
      </c>
      <c r="S832" t="str">
        <f>IF(Table1[prior_dna_count]&gt;=1,"Has prior DNA history","No prior DNA history")</f>
        <v>No prior DNA history</v>
      </c>
      <c r="T832" t="s">
        <v>22</v>
      </c>
      <c r="U832" t="str">
        <f t="shared" si="12"/>
        <v>1</v>
      </c>
      <c r="V832" t="str">
        <f>IF(Table1[appointment_status]="Attended","1","0")</f>
        <v>1</v>
      </c>
      <c r="W832" t="str">
        <f>IF(Table1[appointment_status]="Cancelled","1","0")</f>
        <v>0</v>
      </c>
    </row>
    <row r="833" spans="1:23">
      <c r="A833" t="s">
        <v>1523</v>
      </c>
      <c r="B833" t="s">
        <v>1524</v>
      </c>
      <c r="C833">
        <v>73</v>
      </c>
      <c r="D833" t="str" cm="1">
        <f t="array" ref="D833">_xlfn.IFS(Table1[[#This Row],[age]]&lt;=17,"0-17",C833&lt;=29,"18-29",C833&lt;=44,"30-44",C833&lt;=59,"45-59",C833&lt;=74,"60-74",TRUE,"75+")</f>
        <v>60-74</v>
      </c>
      <c r="E833" t="s">
        <v>29</v>
      </c>
      <c r="F833">
        <v>8</v>
      </c>
      <c r="G833" t="str" cm="1">
        <f t="array" ref="G833">_xlfn.IFS(_xlfn.SINGLE(Table1[imd_decile])&lt;=3,"Most Deprived",F833&lt;=7,"Moderately Deprived",F833&lt;=10,"Least Deprived")</f>
        <v>Least Deprived</v>
      </c>
      <c r="H833">
        <v>9.6999999999999993</v>
      </c>
      <c r="I833" t="s">
        <v>155</v>
      </c>
      <c r="J833" t="s">
        <v>19</v>
      </c>
      <c r="K833" s="1">
        <v>45747</v>
      </c>
      <c r="L833" s="1">
        <v>45795</v>
      </c>
      <c r="M833" s="1" t="str">
        <f>TEXT(Table1[[#This Row],[appointment_date]],"MM/YYYY")</f>
        <v>05/2025</v>
      </c>
      <c r="N833">
        <v>48</v>
      </c>
      <c r="O833" t="str" cm="1">
        <f t="array" ref="O833">_xlfn.IFS(Table1[[#This Row],[lead_time_days]]&lt;=7,"0-7 days",N833&lt;=14,"8-14 days",N833&lt;=30,"15-30 days",N833&lt;=60,"31-60 days",TRUE,"61+ days")</f>
        <v>31-60 days</v>
      </c>
      <c r="P833" t="s">
        <v>31</v>
      </c>
      <c r="Q833" t="s">
        <v>21</v>
      </c>
      <c r="R833">
        <v>0</v>
      </c>
      <c r="S833" t="str">
        <f>IF(Table1[prior_dna_count]&gt;=1,"Has prior DNA history","No prior DNA history")</f>
        <v>No prior DNA history</v>
      </c>
      <c r="T833" t="s">
        <v>22</v>
      </c>
      <c r="U833" t="str">
        <f t="shared" si="12"/>
        <v>1</v>
      </c>
      <c r="V833" t="str">
        <f>IF(Table1[appointment_status]="Attended","1","0")</f>
        <v>1</v>
      </c>
      <c r="W833" t="str">
        <f>IF(Table1[appointment_status]="Cancelled","1","0")</f>
        <v>0</v>
      </c>
    </row>
    <row r="834" spans="1:23">
      <c r="A834" t="s">
        <v>1525</v>
      </c>
      <c r="B834" t="s">
        <v>1506</v>
      </c>
      <c r="C834">
        <v>57</v>
      </c>
      <c r="D834" t="str" cm="1">
        <f t="array" ref="D834">_xlfn.IFS(Table1[[#This Row],[age]]&lt;=17,"0-17",C834&lt;=29,"18-29",C834&lt;=44,"30-44",C834&lt;=59,"45-59",C834&lt;=74,"60-74",TRUE,"75+")</f>
        <v>45-59</v>
      </c>
      <c r="E834" t="s">
        <v>17</v>
      </c>
      <c r="F834">
        <v>5</v>
      </c>
      <c r="G834" t="str" cm="1">
        <f t="array" ref="G834">_xlfn.IFS(_xlfn.SINGLE(Table1[imd_decile])&lt;=3,"Most Deprived",F834&lt;=7,"Moderately Deprived",F834&lt;=10,"Least Deprived")</f>
        <v>Moderately Deprived</v>
      </c>
      <c r="H834">
        <v>1.5</v>
      </c>
      <c r="I834" t="s">
        <v>42</v>
      </c>
      <c r="J834" t="s">
        <v>19</v>
      </c>
      <c r="K834" s="1">
        <v>45766</v>
      </c>
      <c r="L834" s="1">
        <v>45795</v>
      </c>
      <c r="M834" s="1" t="str">
        <f>TEXT(Table1[[#This Row],[appointment_date]],"MM/YYYY")</f>
        <v>05/2025</v>
      </c>
      <c r="N834">
        <v>29</v>
      </c>
      <c r="O834" t="str" cm="1">
        <f t="array" ref="O834">_xlfn.IFS(Table1[[#This Row],[lead_time_days]]&lt;=7,"0-7 days",N834&lt;=14,"8-14 days",N834&lt;=30,"15-30 days",N834&lt;=60,"31-60 days",TRUE,"61+ days")</f>
        <v>15-30 days</v>
      </c>
      <c r="P834" t="s">
        <v>31</v>
      </c>
      <c r="Q834" t="s">
        <v>21</v>
      </c>
      <c r="R834">
        <v>1</v>
      </c>
      <c r="S834" t="str">
        <f>IF(Table1[prior_dna_count]&gt;=1,"Has prior DNA history","No prior DNA history")</f>
        <v>Has prior DNA history</v>
      </c>
      <c r="T834" t="s">
        <v>22</v>
      </c>
      <c r="U834" t="str">
        <f t="shared" ref="U834:U897" si="13">V833</f>
        <v>1</v>
      </c>
      <c r="V834" t="str">
        <f>IF(Table1[appointment_status]="Attended","1","0")</f>
        <v>1</v>
      </c>
      <c r="W834" t="str">
        <f>IF(Table1[appointment_status]="Cancelled","1","0")</f>
        <v>0</v>
      </c>
    </row>
    <row r="835" spans="1:23">
      <c r="A835" t="s">
        <v>1526</v>
      </c>
      <c r="B835" t="s">
        <v>369</v>
      </c>
      <c r="C835">
        <v>16</v>
      </c>
      <c r="D835" t="str" cm="1">
        <f t="array" ref="D835">_xlfn.IFS(Table1[[#This Row],[age]]&lt;=17,"0-17",C835&lt;=29,"18-29",C835&lt;=44,"30-44",C835&lt;=59,"45-59",C835&lt;=74,"60-74",TRUE,"75+")</f>
        <v>0-17</v>
      </c>
      <c r="E835" t="s">
        <v>29</v>
      </c>
      <c r="F835">
        <v>3</v>
      </c>
      <c r="G835" t="str" cm="1">
        <f t="array" ref="G835">_xlfn.IFS(_xlfn.SINGLE(Table1[imd_decile])&lt;=3,"Most Deprived",F835&lt;=7,"Moderately Deprived",F835&lt;=10,"Least Deprived")</f>
        <v>Most Deprived</v>
      </c>
      <c r="H835">
        <v>1.6</v>
      </c>
      <c r="I835" t="s">
        <v>30</v>
      </c>
      <c r="J835" t="s">
        <v>26</v>
      </c>
      <c r="K835" s="1">
        <v>45787</v>
      </c>
      <c r="L835" s="1">
        <v>45795</v>
      </c>
      <c r="M835" s="1" t="str">
        <f>TEXT(Table1[[#This Row],[appointment_date]],"MM/YYYY")</f>
        <v>05/2025</v>
      </c>
      <c r="N835">
        <v>8</v>
      </c>
      <c r="O835" t="str" cm="1">
        <f t="array" ref="O835">_xlfn.IFS(Table1[[#This Row],[lead_time_days]]&lt;=7,"0-7 days",N835&lt;=14,"8-14 days",N835&lt;=30,"15-30 days",N835&lt;=60,"31-60 days",TRUE,"61+ days")</f>
        <v>8-14 days</v>
      </c>
      <c r="P835" t="s">
        <v>31</v>
      </c>
      <c r="Q835" t="s">
        <v>21</v>
      </c>
      <c r="R835">
        <v>0</v>
      </c>
      <c r="S835" t="str">
        <f>IF(Table1[prior_dna_count]&gt;=1,"Has prior DNA history","No prior DNA history")</f>
        <v>No prior DNA history</v>
      </c>
      <c r="T835" t="s">
        <v>22</v>
      </c>
      <c r="U835" t="str">
        <f t="shared" si="13"/>
        <v>1</v>
      </c>
      <c r="V835" t="str">
        <f>IF(Table1[appointment_status]="Attended","1","0")</f>
        <v>1</v>
      </c>
      <c r="W835" t="str">
        <f>IF(Table1[appointment_status]="Cancelled","1","0")</f>
        <v>0</v>
      </c>
    </row>
    <row r="836" spans="1:23">
      <c r="A836" t="s">
        <v>1527</v>
      </c>
      <c r="B836" t="s">
        <v>1240</v>
      </c>
      <c r="C836">
        <v>57</v>
      </c>
      <c r="D836" t="str" cm="1">
        <f t="array" ref="D836">_xlfn.IFS(Table1[[#This Row],[age]]&lt;=17,"0-17",C836&lt;=29,"18-29",C836&lt;=44,"30-44",C836&lt;=59,"45-59",C836&lt;=74,"60-74",TRUE,"75+")</f>
        <v>45-59</v>
      </c>
      <c r="E836" t="s">
        <v>29</v>
      </c>
      <c r="F836">
        <v>1</v>
      </c>
      <c r="G836" t="str" cm="1">
        <f t="array" ref="G836">_xlfn.IFS(_xlfn.SINGLE(Table1[imd_decile])&lt;=3,"Most Deprived",F836&lt;=7,"Moderately Deprived",F836&lt;=10,"Least Deprived")</f>
        <v>Most Deprived</v>
      </c>
      <c r="H836">
        <v>14</v>
      </c>
      <c r="I836" t="s">
        <v>49</v>
      </c>
      <c r="J836" t="s">
        <v>19</v>
      </c>
      <c r="K836" s="1">
        <v>45776</v>
      </c>
      <c r="L836" s="1">
        <v>45795</v>
      </c>
      <c r="M836" s="1" t="str">
        <f>TEXT(Table1[[#This Row],[appointment_date]],"MM/YYYY")</f>
        <v>05/2025</v>
      </c>
      <c r="N836">
        <v>19</v>
      </c>
      <c r="O836" t="str" cm="1">
        <f t="array" ref="O836">_xlfn.IFS(Table1[[#This Row],[lead_time_days]]&lt;=7,"0-7 days",N836&lt;=14,"8-14 days",N836&lt;=30,"15-30 days",N836&lt;=60,"31-60 days",TRUE,"61+ days")</f>
        <v>15-30 days</v>
      </c>
      <c r="P836" t="s">
        <v>31</v>
      </c>
      <c r="Q836" t="s">
        <v>32</v>
      </c>
      <c r="R836">
        <v>0</v>
      </c>
      <c r="S836" t="str">
        <f>IF(Table1[prior_dna_count]&gt;=1,"Has prior DNA history","No prior DNA history")</f>
        <v>No prior DNA history</v>
      </c>
      <c r="T836" t="s">
        <v>39</v>
      </c>
      <c r="U836" t="str">
        <f t="shared" si="13"/>
        <v>1</v>
      </c>
      <c r="V836" t="str">
        <f>IF(Table1[appointment_status]="Attended","1","0")</f>
        <v>0</v>
      </c>
      <c r="W836" t="str">
        <f>IF(Table1[appointment_status]="Cancelled","1","0")</f>
        <v>0</v>
      </c>
    </row>
    <row r="837" spans="1:23">
      <c r="A837" t="s">
        <v>1528</v>
      </c>
      <c r="B837" t="s">
        <v>1529</v>
      </c>
      <c r="C837">
        <v>1</v>
      </c>
      <c r="D837" t="str" cm="1">
        <f t="array" ref="D837">_xlfn.IFS(Table1[[#This Row],[age]]&lt;=17,"0-17",C837&lt;=29,"18-29",C837&lt;=44,"30-44",C837&lt;=59,"45-59",C837&lt;=74,"60-74",TRUE,"75+")</f>
        <v>0-17</v>
      </c>
      <c r="E837" t="s">
        <v>29</v>
      </c>
      <c r="F837">
        <v>2</v>
      </c>
      <c r="G837" t="str" cm="1">
        <f t="array" ref="G837">_xlfn.IFS(_xlfn.SINGLE(Table1[imd_decile])&lt;=3,"Most Deprived",F837&lt;=7,"Moderately Deprived",F837&lt;=10,"Least Deprived")</f>
        <v>Most Deprived</v>
      </c>
      <c r="H837">
        <v>4.2</v>
      </c>
      <c r="I837" t="s">
        <v>49</v>
      </c>
      <c r="J837" t="s">
        <v>26</v>
      </c>
      <c r="K837" s="1">
        <v>45771</v>
      </c>
      <c r="L837" s="1">
        <v>45795</v>
      </c>
      <c r="M837" s="1" t="str">
        <f>TEXT(Table1[[#This Row],[appointment_date]],"MM/YYYY")</f>
        <v>05/2025</v>
      </c>
      <c r="N837">
        <v>24</v>
      </c>
      <c r="O837" t="str" cm="1">
        <f t="array" ref="O837">_xlfn.IFS(Table1[[#This Row],[lead_time_days]]&lt;=7,"0-7 days",N837&lt;=14,"8-14 days",N837&lt;=30,"15-30 days",N837&lt;=60,"31-60 days",TRUE,"61+ days")</f>
        <v>15-30 days</v>
      </c>
      <c r="P837" t="s">
        <v>31</v>
      </c>
      <c r="Q837" t="s">
        <v>32</v>
      </c>
      <c r="R837">
        <v>0</v>
      </c>
      <c r="S837" t="str">
        <f>IF(Table1[prior_dna_count]&gt;=1,"Has prior DNA history","No prior DNA history")</f>
        <v>No prior DNA history</v>
      </c>
      <c r="T837" t="s">
        <v>46</v>
      </c>
      <c r="U837" t="str">
        <f t="shared" si="13"/>
        <v>0</v>
      </c>
      <c r="V837" t="str">
        <f>IF(Table1[appointment_status]="Attended","1","0")</f>
        <v>0</v>
      </c>
      <c r="W837" t="str">
        <f>IF(Table1[appointment_status]="Cancelled","1","0")</f>
        <v>1</v>
      </c>
    </row>
    <row r="838" spans="1:23">
      <c r="A838" t="s">
        <v>1530</v>
      </c>
      <c r="B838" t="s">
        <v>1531</v>
      </c>
      <c r="C838">
        <v>49</v>
      </c>
      <c r="D838" t="str" cm="1">
        <f t="array" ref="D838">_xlfn.IFS(Table1[[#This Row],[age]]&lt;=17,"0-17",C838&lt;=29,"18-29",C838&lt;=44,"30-44",C838&lt;=59,"45-59",C838&lt;=74,"60-74",TRUE,"75+")</f>
        <v>45-59</v>
      </c>
      <c r="E838" t="s">
        <v>17</v>
      </c>
      <c r="F838">
        <v>3</v>
      </c>
      <c r="G838" t="str" cm="1">
        <f t="array" ref="G838">_xlfn.IFS(_xlfn.SINGLE(Table1[imd_decile])&lt;=3,"Most Deprived",F838&lt;=7,"Moderately Deprived",F838&lt;=10,"Least Deprived")</f>
        <v>Most Deprived</v>
      </c>
      <c r="H838">
        <v>5.6</v>
      </c>
      <c r="I838" t="s">
        <v>42</v>
      </c>
      <c r="J838" t="s">
        <v>19</v>
      </c>
      <c r="K838" s="1">
        <v>45735</v>
      </c>
      <c r="L838" s="1">
        <v>45795</v>
      </c>
      <c r="M838" s="1" t="str">
        <f>TEXT(Table1[[#This Row],[appointment_date]],"MM/YYYY")</f>
        <v>05/2025</v>
      </c>
      <c r="N838">
        <v>60</v>
      </c>
      <c r="O838" t="str" cm="1">
        <f t="array" ref="O838">_xlfn.IFS(Table1[[#This Row],[lead_time_days]]&lt;=7,"0-7 days",N838&lt;=14,"8-14 days",N838&lt;=30,"15-30 days",N838&lt;=60,"31-60 days",TRUE,"61+ days")</f>
        <v>31-60 days</v>
      </c>
      <c r="P838" t="s">
        <v>31</v>
      </c>
      <c r="Q838" t="s">
        <v>21</v>
      </c>
      <c r="R838">
        <v>0</v>
      </c>
      <c r="S838" t="str">
        <f>IF(Table1[prior_dna_count]&gt;=1,"Has prior DNA history","No prior DNA history")</f>
        <v>No prior DNA history</v>
      </c>
      <c r="T838" t="s">
        <v>22</v>
      </c>
      <c r="U838" t="str">
        <f t="shared" si="13"/>
        <v>0</v>
      </c>
      <c r="V838" t="str">
        <f>IF(Table1[appointment_status]="Attended","1","0")</f>
        <v>1</v>
      </c>
      <c r="W838" t="str">
        <f>IF(Table1[appointment_status]="Cancelled","1","0")</f>
        <v>0</v>
      </c>
    </row>
    <row r="839" spans="1:23">
      <c r="A839" t="s">
        <v>1532</v>
      </c>
      <c r="B839" t="s">
        <v>1533</v>
      </c>
      <c r="C839">
        <v>64</v>
      </c>
      <c r="D839" t="str" cm="1">
        <f t="array" ref="D839">_xlfn.IFS(Table1[[#This Row],[age]]&lt;=17,"0-17",C839&lt;=29,"18-29",C839&lt;=44,"30-44",C839&lt;=59,"45-59",C839&lt;=74,"60-74",TRUE,"75+")</f>
        <v>60-74</v>
      </c>
      <c r="E839" t="s">
        <v>17</v>
      </c>
      <c r="F839">
        <v>9</v>
      </c>
      <c r="G839" t="str" cm="1">
        <f t="array" ref="G839">_xlfn.IFS(_xlfn.SINGLE(Table1[imd_decile])&lt;=3,"Most Deprived",F839&lt;=7,"Moderately Deprived",F839&lt;=10,"Least Deprived")</f>
        <v>Least Deprived</v>
      </c>
      <c r="H839">
        <v>2.7</v>
      </c>
      <c r="I839" t="s">
        <v>38</v>
      </c>
      <c r="J839" t="s">
        <v>19</v>
      </c>
      <c r="K839" s="1">
        <v>45775</v>
      </c>
      <c r="L839" s="1">
        <v>45795</v>
      </c>
      <c r="M839" s="1" t="str">
        <f>TEXT(Table1[[#This Row],[appointment_date]],"MM/YYYY")</f>
        <v>05/2025</v>
      </c>
      <c r="N839">
        <v>20</v>
      </c>
      <c r="O839" t="str" cm="1">
        <f t="array" ref="O839">_xlfn.IFS(Table1[[#This Row],[lead_time_days]]&lt;=7,"0-7 days",N839&lt;=14,"8-14 days",N839&lt;=30,"15-30 days",N839&lt;=60,"31-60 days",TRUE,"61+ days")</f>
        <v>15-30 days</v>
      </c>
      <c r="P839" t="s">
        <v>31</v>
      </c>
      <c r="Q839" t="s">
        <v>21</v>
      </c>
      <c r="R839">
        <v>0</v>
      </c>
      <c r="S839" t="str">
        <f>IF(Table1[prior_dna_count]&gt;=1,"Has prior DNA history","No prior DNA history")</f>
        <v>No prior DNA history</v>
      </c>
      <c r="T839" t="s">
        <v>22</v>
      </c>
      <c r="U839" t="str">
        <f t="shared" si="13"/>
        <v>1</v>
      </c>
      <c r="V839" t="str">
        <f>IF(Table1[appointment_status]="Attended","1","0")</f>
        <v>1</v>
      </c>
      <c r="W839" t="str">
        <f>IF(Table1[appointment_status]="Cancelled","1","0")</f>
        <v>0</v>
      </c>
    </row>
    <row r="840" spans="1:23">
      <c r="A840" t="s">
        <v>1534</v>
      </c>
      <c r="B840" t="s">
        <v>607</v>
      </c>
      <c r="C840">
        <v>58</v>
      </c>
      <c r="D840" t="str" cm="1">
        <f t="array" ref="D840">_xlfn.IFS(Table1[[#This Row],[age]]&lt;=17,"0-17",C840&lt;=29,"18-29",C840&lt;=44,"30-44",C840&lt;=59,"45-59",C840&lt;=74,"60-74",TRUE,"75+")</f>
        <v>45-59</v>
      </c>
      <c r="E840" t="s">
        <v>29</v>
      </c>
      <c r="F840">
        <v>1</v>
      </c>
      <c r="G840" t="str" cm="1">
        <f t="array" ref="G840">_xlfn.IFS(_xlfn.SINGLE(Table1[imd_decile])&lt;=3,"Most Deprived",F840&lt;=7,"Moderately Deprived",F840&lt;=10,"Least Deprived")</f>
        <v>Most Deprived</v>
      </c>
      <c r="H840">
        <v>17.399999999999999</v>
      </c>
      <c r="I840" t="s">
        <v>18</v>
      </c>
      <c r="J840" t="s">
        <v>19</v>
      </c>
      <c r="K840" s="1">
        <v>45781</v>
      </c>
      <c r="L840" s="1">
        <v>45795</v>
      </c>
      <c r="M840" s="1" t="str">
        <f>TEXT(Table1[[#This Row],[appointment_date]],"MM/YYYY")</f>
        <v>05/2025</v>
      </c>
      <c r="N840">
        <v>14</v>
      </c>
      <c r="O840" t="str" cm="1">
        <f t="array" ref="O840">_xlfn.IFS(Table1[[#This Row],[lead_time_days]]&lt;=7,"0-7 days",N840&lt;=14,"8-14 days",N840&lt;=30,"15-30 days",N840&lt;=60,"31-60 days",TRUE,"61+ days")</f>
        <v>8-14 days</v>
      </c>
      <c r="P840" t="s">
        <v>31</v>
      </c>
      <c r="Q840" t="s">
        <v>21</v>
      </c>
      <c r="R840">
        <v>0</v>
      </c>
      <c r="S840" t="str">
        <f>IF(Table1[prior_dna_count]&gt;=1,"Has prior DNA history","No prior DNA history")</f>
        <v>No prior DNA history</v>
      </c>
      <c r="T840" t="s">
        <v>22</v>
      </c>
      <c r="U840" t="str">
        <f t="shared" si="13"/>
        <v>1</v>
      </c>
      <c r="V840" t="str">
        <f>IF(Table1[appointment_status]="Attended","1","0")</f>
        <v>1</v>
      </c>
      <c r="W840" t="str">
        <f>IF(Table1[appointment_status]="Cancelled","1","0")</f>
        <v>0</v>
      </c>
    </row>
    <row r="841" spans="1:23">
      <c r="A841" t="s">
        <v>1535</v>
      </c>
      <c r="B841" t="s">
        <v>1536</v>
      </c>
      <c r="C841">
        <v>60</v>
      </c>
      <c r="D841" t="str" cm="1">
        <f t="array" ref="D841">_xlfn.IFS(Table1[[#This Row],[age]]&lt;=17,"0-17",C841&lt;=29,"18-29",C841&lt;=44,"30-44",C841&lt;=59,"45-59",C841&lt;=74,"60-74",TRUE,"75+")</f>
        <v>60-74</v>
      </c>
      <c r="E841" t="s">
        <v>17</v>
      </c>
      <c r="F841">
        <v>9</v>
      </c>
      <c r="G841" t="str" cm="1">
        <f t="array" ref="G841">_xlfn.IFS(_xlfn.SINGLE(Table1[imd_decile])&lt;=3,"Most Deprived",F841&lt;=7,"Moderately Deprived",F841&lt;=10,"Least Deprived")</f>
        <v>Least Deprived</v>
      </c>
      <c r="H841">
        <v>10.1</v>
      </c>
      <c r="I841" t="s">
        <v>38</v>
      </c>
      <c r="J841" t="s">
        <v>26</v>
      </c>
      <c r="K841" s="1">
        <v>45790</v>
      </c>
      <c r="L841" s="1">
        <v>45795</v>
      </c>
      <c r="M841" s="1" t="str">
        <f>TEXT(Table1[[#This Row],[appointment_date]],"MM/YYYY")</f>
        <v>05/2025</v>
      </c>
      <c r="N841">
        <v>5</v>
      </c>
      <c r="O841" t="str" cm="1">
        <f t="array" ref="O841">_xlfn.IFS(Table1[[#This Row],[lead_time_days]]&lt;=7,"0-7 days",N841&lt;=14,"8-14 days",N841&lt;=30,"15-30 days",N841&lt;=60,"31-60 days",TRUE,"61+ days")</f>
        <v>0-7 days</v>
      </c>
      <c r="P841" t="s">
        <v>31</v>
      </c>
      <c r="Q841" t="s">
        <v>21</v>
      </c>
      <c r="R841">
        <v>0</v>
      </c>
      <c r="S841" t="str">
        <f>IF(Table1[prior_dna_count]&gt;=1,"Has prior DNA history","No prior DNA history")</f>
        <v>No prior DNA history</v>
      </c>
      <c r="T841" t="s">
        <v>22</v>
      </c>
      <c r="U841" t="str">
        <f t="shared" si="13"/>
        <v>1</v>
      </c>
      <c r="V841" t="str">
        <f>IF(Table1[appointment_status]="Attended","1","0")</f>
        <v>1</v>
      </c>
      <c r="W841" t="str">
        <f>IF(Table1[appointment_status]="Cancelled","1","0")</f>
        <v>0</v>
      </c>
    </row>
    <row r="842" spans="1:23">
      <c r="A842" t="s">
        <v>1537</v>
      </c>
      <c r="B842" t="s">
        <v>185</v>
      </c>
      <c r="C842">
        <v>75</v>
      </c>
      <c r="D842" t="str" cm="1">
        <f t="array" ref="D842">_xlfn.IFS(Table1[[#This Row],[age]]&lt;=17,"0-17",C842&lt;=29,"18-29",C842&lt;=44,"30-44",C842&lt;=59,"45-59",C842&lt;=74,"60-74",TRUE,"75+")</f>
        <v>75+</v>
      </c>
      <c r="E842" t="s">
        <v>17</v>
      </c>
      <c r="F842">
        <v>5</v>
      </c>
      <c r="G842" t="str" cm="1">
        <f t="array" ref="G842">_xlfn.IFS(_xlfn.SINGLE(Table1[imd_decile])&lt;=3,"Most Deprived",F842&lt;=7,"Moderately Deprived",F842&lt;=10,"Least Deprived")</f>
        <v>Moderately Deprived</v>
      </c>
      <c r="H842">
        <v>4</v>
      </c>
      <c r="I842" t="s">
        <v>25</v>
      </c>
      <c r="J842" t="s">
        <v>19</v>
      </c>
      <c r="K842" s="1">
        <v>45768</v>
      </c>
      <c r="L842" s="1">
        <v>45795</v>
      </c>
      <c r="M842" s="1" t="str">
        <f>TEXT(Table1[[#This Row],[appointment_date]],"MM/YYYY")</f>
        <v>05/2025</v>
      </c>
      <c r="N842">
        <v>27</v>
      </c>
      <c r="O842" t="str" cm="1">
        <f t="array" ref="O842">_xlfn.IFS(Table1[[#This Row],[lead_time_days]]&lt;=7,"0-7 days",N842&lt;=14,"8-14 days",N842&lt;=30,"15-30 days",N842&lt;=60,"31-60 days",TRUE,"61+ days")</f>
        <v>15-30 days</v>
      </c>
      <c r="P842" t="s">
        <v>31</v>
      </c>
      <c r="Q842" t="s">
        <v>32</v>
      </c>
      <c r="R842">
        <v>0</v>
      </c>
      <c r="S842" t="str">
        <f>IF(Table1[prior_dna_count]&gt;=1,"Has prior DNA history","No prior DNA history")</f>
        <v>No prior DNA history</v>
      </c>
      <c r="T842" t="s">
        <v>22</v>
      </c>
      <c r="U842" t="str">
        <f t="shared" si="13"/>
        <v>1</v>
      </c>
      <c r="V842" t="str">
        <f>IF(Table1[appointment_status]="Attended","1","0")</f>
        <v>1</v>
      </c>
      <c r="W842" t="str">
        <f>IF(Table1[appointment_status]="Cancelled","1","0")</f>
        <v>0</v>
      </c>
    </row>
    <row r="843" spans="1:23">
      <c r="A843" t="s">
        <v>1538</v>
      </c>
      <c r="B843" t="s">
        <v>1539</v>
      </c>
      <c r="C843">
        <v>60</v>
      </c>
      <c r="D843" t="str" cm="1">
        <f t="array" ref="D843">_xlfn.IFS(Table1[[#This Row],[age]]&lt;=17,"0-17",C843&lt;=29,"18-29",C843&lt;=44,"30-44",C843&lt;=59,"45-59",C843&lt;=74,"60-74",TRUE,"75+")</f>
        <v>60-74</v>
      </c>
      <c r="E843" t="s">
        <v>17</v>
      </c>
      <c r="F843">
        <v>4</v>
      </c>
      <c r="G843" t="str" cm="1">
        <f t="array" ref="G843">_xlfn.IFS(_xlfn.SINGLE(Table1[imd_decile])&lt;=3,"Most Deprived",F843&lt;=7,"Moderately Deprived",F843&lt;=10,"Least Deprived")</f>
        <v>Moderately Deprived</v>
      </c>
      <c r="H843">
        <v>4.8</v>
      </c>
      <c r="I843" t="s">
        <v>25</v>
      </c>
      <c r="J843" t="s">
        <v>26</v>
      </c>
      <c r="K843" s="1">
        <v>45784</v>
      </c>
      <c r="L843" s="1">
        <v>45795</v>
      </c>
      <c r="M843" s="1" t="str">
        <f>TEXT(Table1[[#This Row],[appointment_date]],"MM/YYYY")</f>
        <v>05/2025</v>
      </c>
      <c r="N843">
        <v>11</v>
      </c>
      <c r="O843" t="str" cm="1">
        <f t="array" ref="O843">_xlfn.IFS(Table1[[#This Row],[lead_time_days]]&lt;=7,"0-7 days",N843&lt;=14,"8-14 days",N843&lt;=30,"15-30 days",N843&lt;=60,"31-60 days",TRUE,"61+ days")</f>
        <v>8-14 days</v>
      </c>
      <c r="P843" t="s">
        <v>31</v>
      </c>
      <c r="Q843" t="s">
        <v>21</v>
      </c>
      <c r="R843">
        <v>0</v>
      </c>
      <c r="S843" t="str">
        <f>IF(Table1[prior_dna_count]&gt;=1,"Has prior DNA history","No prior DNA history")</f>
        <v>No prior DNA history</v>
      </c>
      <c r="T843" t="s">
        <v>22</v>
      </c>
      <c r="U843" t="str">
        <f t="shared" si="13"/>
        <v>1</v>
      </c>
      <c r="V843" t="str">
        <f>IF(Table1[appointment_status]="Attended","1","0")</f>
        <v>1</v>
      </c>
      <c r="W843" t="str">
        <f>IF(Table1[appointment_status]="Cancelled","1","0")</f>
        <v>0</v>
      </c>
    </row>
    <row r="844" spans="1:23">
      <c r="A844" t="s">
        <v>1540</v>
      </c>
      <c r="B844" t="s">
        <v>1541</v>
      </c>
      <c r="C844">
        <v>15</v>
      </c>
      <c r="D844" t="str" cm="1">
        <f t="array" ref="D844">_xlfn.IFS(Table1[[#This Row],[age]]&lt;=17,"0-17",C844&lt;=29,"18-29",C844&lt;=44,"30-44",C844&lt;=59,"45-59",C844&lt;=74,"60-74",TRUE,"75+")</f>
        <v>0-17</v>
      </c>
      <c r="E844" t="s">
        <v>17</v>
      </c>
      <c r="F844">
        <v>2</v>
      </c>
      <c r="G844" t="str" cm="1">
        <f t="array" ref="G844">_xlfn.IFS(_xlfn.SINGLE(Table1[imd_decile])&lt;=3,"Most Deprived",F844&lt;=7,"Moderately Deprived",F844&lt;=10,"Least Deprived")</f>
        <v>Most Deprived</v>
      </c>
      <c r="H844">
        <v>19.100000000000001</v>
      </c>
      <c r="I844" t="s">
        <v>30</v>
      </c>
      <c r="J844" t="s">
        <v>26</v>
      </c>
      <c r="K844" s="1">
        <v>45769</v>
      </c>
      <c r="L844" s="1">
        <v>45796</v>
      </c>
      <c r="M844" s="1" t="str">
        <f>TEXT(Table1[[#This Row],[appointment_date]],"MM/YYYY")</f>
        <v>05/2025</v>
      </c>
      <c r="N844">
        <v>27</v>
      </c>
      <c r="O844" t="str" cm="1">
        <f t="array" ref="O844">_xlfn.IFS(Table1[[#This Row],[lead_time_days]]&lt;=7,"0-7 days",N844&lt;=14,"8-14 days",N844&lt;=30,"15-30 days",N844&lt;=60,"31-60 days",TRUE,"61+ days")</f>
        <v>15-30 days</v>
      </c>
      <c r="P844" t="s">
        <v>35</v>
      </c>
      <c r="Q844" t="s">
        <v>21</v>
      </c>
      <c r="R844">
        <v>0</v>
      </c>
      <c r="S844" t="str">
        <f>IF(Table1[prior_dna_count]&gt;=1,"Has prior DNA history","No prior DNA history")</f>
        <v>No prior DNA history</v>
      </c>
      <c r="T844" t="s">
        <v>22</v>
      </c>
      <c r="U844" t="str">
        <f t="shared" si="13"/>
        <v>1</v>
      </c>
      <c r="V844" t="str">
        <f>IF(Table1[appointment_status]="Attended","1","0")</f>
        <v>1</v>
      </c>
      <c r="W844" t="str">
        <f>IF(Table1[appointment_status]="Cancelled","1","0")</f>
        <v>0</v>
      </c>
    </row>
    <row r="845" spans="1:23">
      <c r="A845" t="s">
        <v>1542</v>
      </c>
      <c r="B845" t="s">
        <v>95</v>
      </c>
      <c r="C845">
        <v>51</v>
      </c>
      <c r="D845" t="str" cm="1">
        <f t="array" ref="D845">_xlfn.IFS(Table1[[#This Row],[age]]&lt;=17,"0-17",C845&lt;=29,"18-29",C845&lt;=44,"30-44",C845&lt;=59,"45-59",C845&lt;=74,"60-74",TRUE,"75+")</f>
        <v>45-59</v>
      </c>
      <c r="E845" t="s">
        <v>17</v>
      </c>
      <c r="F845">
        <v>4</v>
      </c>
      <c r="G845" t="str" cm="1">
        <f t="array" ref="G845">_xlfn.IFS(_xlfn.SINGLE(Table1[imd_decile])&lt;=3,"Most Deprived",F845&lt;=7,"Moderately Deprived",F845&lt;=10,"Least Deprived")</f>
        <v>Moderately Deprived</v>
      </c>
      <c r="H845">
        <v>1.5</v>
      </c>
      <c r="I845" t="s">
        <v>42</v>
      </c>
      <c r="J845" t="s">
        <v>19</v>
      </c>
      <c r="K845" s="1">
        <v>45754</v>
      </c>
      <c r="L845" s="1">
        <v>45796</v>
      </c>
      <c r="M845" s="1" t="str">
        <f>TEXT(Table1[[#This Row],[appointment_date]],"MM/YYYY")</f>
        <v>05/2025</v>
      </c>
      <c r="N845">
        <v>42</v>
      </c>
      <c r="O845" t="str" cm="1">
        <f t="array" ref="O845">_xlfn.IFS(Table1[[#This Row],[lead_time_days]]&lt;=7,"0-7 days",N845&lt;=14,"8-14 days",N845&lt;=30,"15-30 days",N845&lt;=60,"31-60 days",TRUE,"61+ days")</f>
        <v>31-60 days</v>
      </c>
      <c r="P845" t="s">
        <v>35</v>
      </c>
      <c r="Q845" t="s">
        <v>21</v>
      </c>
      <c r="R845">
        <v>0</v>
      </c>
      <c r="S845" t="str">
        <f>IF(Table1[prior_dna_count]&gt;=1,"Has prior DNA history","No prior DNA history")</f>
        <v>No prior DNA history</v>
      </c>
      <c r="T845" t="s">
        <v>22</v>
      </c>
      <c r="U845" t="str">
        <f t="shared" si="13"/>
        <v>1</v>
      </c>
      <c r="V845" t="str">
        <f>IF(Table1[appointment_status]="Attended","1","0")</f>
        <v>1</v>
      </c>
      <c r="W845" t="str">
        <f>IF(Table1[appointment_status]="Cancelled","1","0")</f>
        <v>0</v>
      </c>
    </row>
    <row r="846" spans="1:23">
      <c r="A846" t="s">
        <v>1543</v>
      </c>
      <c r="B846" t="s">
        <v>1544</v>
      </c>
      <c r="C846">
        <v>55</v>
      </c>
      <c r="D846" t="str" cm="1">
        <f t="array" ref="D846">_xlfn.IFS(Table1[[#This Row],[age]]&lt;=17,"0-17",C846&lt;=29,"18-29",C846&lt;=44,"30-44",C846&lt;=59,"45-59",C846&lt;=74,"60-74",TRUE,"75+")</f>
        <v>45-59</v>
      </c>
      <c r="E846" t="s">
        <v>17</v>
      </c>
      <c r="F846">
        <v>7</v>
      </c>
      <c r="G846" t="str" cm="1">
        <f t="array" ref="G846">_xlfn.IFS(_xlfn.SINGLE(Table1[imd_decile])&lt;=3,"Most Deprived",F846&lt;=7,"Moderately Deprived",F846&lt;=10,"Least Deprived")</f>
        <v>Moderately Deprived</v>
      </c>
      <c r="H846">
        <v>11.3</v>
      </c>
      <c r="I846" t="s">
        <v>42</v>
      </c>
      <c r="J846" t="s">
        <v>19</v>
      </c>
      <c r="K846" s="1">
        <v>45785</v>
      </c>
      <c r="L846" s="1">
        <v>45796</v>
      </c>
      <c r="M846" s="1" t="str">
        <f>TEXT(Table1[[#This Row],[appointment_date]],"MM/YYYY")</f>
        <v>05/2025</v>
      </c>
      <c r="N846">
        <v>11</v>
      </c>
      <c r="O846" t="str" cm="1">
        <f t="array" ref="O846">_xlfn.IFS(Table1[[#This Row],[lead_time_days]]&lt;=7,"0-7 days",N846&lt;=14,"8-14 days",N846&lt;=30,"15-30 days",N846&lt;=60,"31-60 days",TRUE,"61+ days")</f>
        <v>8-14 days</v>
      </c>
      <c r="P846" t="s">
        <v>35</v>
      </c>
      <c r="Q846" t="s">
        <v>32</v>
      </c>
      <c r="R846">
        <v>0</v>
      </c>
      <c r="S846" t="str">
        <f>IF(Table1[prior_dna_count]&gt;=1,"Has prior DNA history","No prior DNA history")</f>
        <v>No prior DNA history</v>
      </c>
      <c r="T846" t="s">
        <v>22</v>
      </c>
      <c r="U846" t="str">
        <f t="shared" si="13"/>
        <v>1</v>
      </c>
      <c r="V846" t="str">
        <f>IF(Table1[appointment_status]="Attended","1","0")</f>
        <v>1</v>
      </c>
      <c r="W846" t="str">
        <f>IF(Table1[appointment_status]="Cancelled","1","0")</f>
        <v>0</v>
      </c>
    </row>
    <row r="847" spans="1:23">
      <c r="A847" t="s">
        <v>1545</v>
      </c>
      <c r="B847" t="s">
        <v>1546</v>
      </c>
      <c r="C847">
        <v>73</v>
      </c>
      <c r="D847" t="str" cm="1">
        <f t="array" ref="D847">_xlfn.IFS(Table1[[#This Row],[age]]&lt;=17,"0-17",C847&lt;=29,"18-29",C847&lt;=44,"30-44",C847&lt;=59,"45-59",C847&lt;=74,"60-74",TRUE,"75+")</f>
        <v>60-74</v>
      </c>
      <c r="E847" t="s">
        <v>29</v>
      </c>
      <c r="F847">
        <v>6</v>
      </c>
      <c r="G847" t="str" cm="1">
        <f t="array" ref="G847">_xlfn.IFS(_xlfn.SINGLE(Table1[imd_decile])&lt;=3,"Most Deprived",F847&lt;=7,"Moderately Deprived",F847&lt;=10,"Least Deprived")</f>
        <v>Moderately Deprived</v>
      </c>
      <c r="H847">
        <v>9.4</v>
      </c>
      <c r="I847" t="s">
        <v>18</v>
      </c>
      <c r="J847" t="s">
        <v>19</v>
      </c>
      <c r="K847" s="1">
        <v>45763</v>
      </c>
      <c r="L847" s="1">
        <v>45796</v>
      </c>
      <c r="M847" s="1" t="str">
        <f>TEXT(Table1[[#This Row],[appointment_date]],"MM/YYYY")</f>
        <v>05/2025</v>
      </c>
      <c r="N847">
        <v>33</v>
      </c>
      <c r="O847" t="str" cm="1">
        <f t="array" ref="O847">_xlfn.IFS(Table1[[#This Row],[lead_time_days]]&lt;=7,"0-7 days",N847&lt;=14,"8-14 days",N847&lt;=30,"15-30 days",N847&lt;=60,"31-60 days",TRUE,"61+ days")</f>
        <v>31-60 days</v>
      </c>
      <c r="P847" t="s">
        <v>35</v>
      </c>
      <c r="Q847" t="s">
        <v>21</v>
      </c>
      <c r="R847">
        <v>0</v>
      </c>
      <c r="S847" t="str">
        <f>IF(Table1[prior_dna_count]&gt;=1,"Has prior DNA history","No prior DNA history")</f>
        <v>No prior DNA history</v>
      </c>
      <c r="T847" t="s">
        <v>22</v>
      </c>
      <c r="U847" t="str">
        <f t="shared" si="13"/>
        <v>1</v>
      </c>
      <c r="V847" t="str">
        <f>IF(Table1[appointment_status]="Attended","1","0")</f>
        <v>1</v>
      </c>
      <c r="W847" t="str">
        <f>IF(Table1[appointment_status]="Cancelled","1","0")</f>
        <v>0</v>
      </c>
    </row>
    <row r="848" spans="1:23">
      <c r="A848" t="s">
        <v>1547</v>
      </c>
      <c r="B848" t="s">
        <v>350</v>
      </c>
      <c r="C848">
        <v>59</v>
      </c>
      <c r="D848" t="str" cm="1">
        <f t="array" ref="D848">_xlfn.IFS(Table1[[#This Row],[age]]&lt;=17,"0-17",C848&lt;=29,"18-29",C848&lt;=44,"30-44",C848&lt;=59,"45-59",C848&lt;=74,"60-74",TRUE,"75+")</f>
        <v>45-59</v>
      </c>
      <c r="E848" t="s">
        <v>29</v>
      </c>
      <c r="F848">
        <v>9</v>
      </c>
      <c r="G848" t="str" cm="1">
        <f t="array" ref="G848">_xlfn.IFS(_xlfn.SINGLE(Table1[imd_decile])&lt;=3,"Most Deprived",F848&lt;=7,"Moderately Deprived",F848&lt;=10,"Least Deprived")</f>
        <v>Least Deprived</v>
      </c>
      <c r="H848">
        <v>8.9</v>
      </c>
      <c r="I848" t="s">
        <v>42</v>
      </c>
      <c r="J848" t="s">
        <v>26</v>
      </c>
      <c r="K848" s="1">
        <v>45762</v>
      </c>
      <c r="L848" s="1">
        <v>45796</v>
      </c>
      <c r="M848" s="1" t="str">
        <f>TEXT(Table1[[#This Row],[appointment_date]],"MM/YYYY")</f>
        <v>05/2025</v>
      </c>
      <c r="N848">
        <v>34</v>
      </c>
      <c r="O848" t="str" cm="1">
        <f t="array" ref="O848">_xlfn.IFS(Table1[[#This Row],[lead_time_days]]&lt;=7,"0-7 days",N848&lt;=14,"8-14 days",N848&lt;=30,"15-30 days",N848&lt;=60,"31-60 days",TRUE,"61+ days")</f>
        <v>31-60 days</v>
      </c>
      <c r="P848" t="s">
        <v>35</v>
      </c>
      <c r="Q848" t="s">
        <v>21</v>
      </c>
      <c r="R848">
        <v>0</v>
      </c>
      <c r="S848" t="str">
        <f>IF(Table1[prior_dna_count]&gt;=1,"Has prior DNA history","No prior DNA history")</f>
        <v>No prior DNA history</v>
      </c>
      <c r="T848" t="s">
        <v>22</v>
      </c>
      <c r="U848" t="str">
        <f t="shared" si="13"/>
        <v>1</v>
      </c>
      <c r="V848" t="str">
        <f>IF(Table1[appointment_status]="Attended","1","0")</f>
        <v>1</v>
      </c>
      <c r="W848" t="str">
        <f>IF(Table1[appointment_status]="Cancelled","1","0")</f>
        <v>0</v>
      </c>
    </row>
    <row r="849" spans="1:23">
      <c r="A849" t="s">
        <v>1548</v>
      </c>
      <c r="B849" t="s">
        <v>1549</v>
      </c>
      <c r="C849">
        <v>54</v>
      </c>
      <c r="D849" t="str" cm="1">
        <f t="array" ref="D849">_xlfn.IFS(Table1[[#This Row],[age]]&lt;=17,"0-17",C849&lt;=29,"18-29",C849&lt;=44,"30-44",C849&lt;=59,"45-59",C849&lt;=74,"60-74",TRUE,"75+")</f>
        <v>45-59</v>
      </c>
      <c r="E849" t="s">
        <v>29</v>
      </c>
      <c r="F849">
        <v>8</v>
      </c>
      <c r="G849" t="str" cm="1">
        <f t="array" ref="G849">_xlfn.IFS(_xlfn.SINGLE(Table1[imd_decile])&lt;=3,"Most Deprived",F849&lt;=7,"Moderately Deprived",F849&lt;=10,"Least Deprived")</f>
        <v>Least Deprived</v>
      </c>
      <c r="H849">
        <v>3.8</v>
      </c>
      <c r="I849" t="s">
        <v>58</v>
      </c>
      <c r="J849" t="s">
        <v>19</v>
      </c>
      <c r="K849" s="1">
        <v>45785</v>
      </c>
      <c r="L849" s="1">
        <v>45796</v>
      </c>
      <c r="M849" s="1" t="str">
        <f>TEXT(Table1[[#This Row],[appointment_date]],"MM/YYYY")</f>
        <v>05/2025</v>
      </c>
      <c r="N849">
        <v>11</v>
      </c>
      <c r="O849" t="str" cm="1">
        <f t="array" ref="O849">_xlfn.IFS(Table1[[#This Row],[lead_time_days]]&lt;=7,"0-7 days",N849&lt;=14,"8-14 days",N849&lt;=30,"15-30 days",N849&lt;=60,"31-60 days",TRUE,"61+ days")</f>
        <v>8-14 days</v>
      </c>
      <c r="P849" t="s">
        <v>35</v>
      </c>
      <c r="Q849" t="s">
        <v>32</v>
      </c>
      <c r="R849">
        <v>0</v>
      </c>
      <c r="S849" t="str">
        <f>IF(Table1[prior_dna_count]&gt;=1,"Has prior DNA history","No prior DNA history")</f>
        <v>No prior DNA history</v>
      </c>
      <c r="T849" t="s">
        <v>22</v>
      </c>
      <c r="U849" t="str">
        <f t="shared" si="13"/>
        <v>1</v>
      </c>
      <c r="V849" t="str">
        <f>IF(Table1[appointment_status]="Attended","1","0")</f>
        <v>1</v>
      </c>
      <c r="W849" t="str">
        <f>IF(Table1[appointment_status]="Cancelled","1","0")</f>
        <v>0</v>
      </c>
    </row>
    <row r="850" spans="1:23">
      <c r="A850" t="s">
        <v>1550</v>
      </c>
      <c r="B850" t="s">
        <v>1551</v>
      </c>
      <c r="C850">
        <v>43</v>
      </c>
      <c r="D850" t="str" cm="1">
        <f t="array" ref="D850">_xlfn.IFS(Table1[[#This Row],[age]]&lt;=17,"0-17",C850&lt;=29,"18-29",C850&lt;=44,"30-44",C850&lt;=59,"45-59",C850&lt;=74,"60-74",TRUE,"75+")</f>
        <v>30-44</v>
      </c>
      <c r="E850" t="s">
        <v>29</v>
      </c>
      <c r="F850">
        <v>10</v>
      </c>
      <c r="G850" t="str" cm="1">
        <f t="array" ref="G850">_xlfn.IFS(_xlfn.SINGLE(Table1[imd_decile])&lt;=3,"Most Deprived",F850&lt;=7,"Moderately Deprived",F850&lt;=10,"Least Deprived")</f>
        <v>Least Deprived</v>
      </c>
      <c r="H850">
        <v>3.9</v>
      </c>
      <c r="I850" t="s">
        <v>42</v>
      </c>
      <c r="J850" t="s">
        <v>26</v>
      </c>
      <c r="K850" s="1">
        <v>45780</v>
      </c>
      <c r="L850" s="1">
        <v>45796</v>
      </c>
      <c r="M850" s="1" t="str">
        <f>TEXT(Table1[[#This Row],[appointment_date]],"MM/YYYY")</f>
        <v>05/2025</v>
      </c>
      <c r="N850">
        <v>16</v>
      </c>
      <c r="O850" t="str" cm="1">
        <f t="array" ref="O850">_xlfn.IFS(Table1[[#This Row],[lead_time_days]]&lt;=7,"0-7 days",N850&lt;=14,"8-14 days",N850&lt;=30,"15-30 days",N850&lt;=60,"31-60 days",TRUE,"61+ days")</f>
        <v>15-30 days</v>
      </c>
      <c r="P850" t="s">
        <v>35</v>
      </c>
      <c r="Q850" t="s">
        <v>21</v>
      </c>
      <c r="R850">
        <v>0</v>
      </c>
      <c r="S850" t="str">
        <f>IF(Table1[prior_dna_count]&gt;=1,"Has prior DNA history","No prior DNA history")</f>
        <v>No prior DNA history</v>
      </c>
      <c r="T850" t="s">
        <v>22</v>
      </c>
      <c r="U850" t="str">
        <f t="shared" si="13"/>
        <v>1</v>
      </c>
      <c r="V850" t="str">
        <f>IF(Table1[appointment_status]="Attended","1","0")</f>
        <v>1</v>
      </c>
      <c r="W850" t="str">
        <f>IF(Table1[appointment_status]="Cancelled","1","0")</f>
        <v>0</v>
      </c>
    </row>
    <row r="851" spans="1:23">
      <c r="A851" t="s">
        <v>1552</v>
      </c>
      <c r="B851" t="s">
        <v>1553</v>
      </c>
      <c r="C851">
        <v>48</v>
      </c>
      <c r="D851" t="str" cm="1">
        <f t="array" ref="D851">_xlfn.IFS(Table1[[#This Row],[age]]&lt;=17,"0-17",C851&lt;=29,"18-29",C851&lt;=44,"30-44",C851&lt;=59,"45-59",C851&lt;=74,"60-74",TRUE,"75+")</f>
        <v>45-59</v>
      </c>
      <c r="E851" t="s">
        <v>29</v>
      </c>
      <c r="F851">
        <v>3</v>
      </c>
      <c r="G851" t="str" cm="1">
        <f t="array" ref="G851">_xlfn.IFS(_xlfn.SINGLE(Table1[imd_decile])&lt;=3,"Most Deprived",F851&lt;=7,"Moderately Deprived",F851&lt;=10,"Least Deprived")</f>
        <v>Most Deprived</v>
      </c>
      <c r="H851">
        <v>9.1999999999999993</v>
      </c>
      <c r="I851" t="s">
        <v>91</v>
      </c>
      <c r="J851" t="s">
        <v>26</v>
      </c>
      <c r="K851" s="1">
        <v>45784</v>
      </c>
      <c r="L851" s="1">
        <v>45797</v>
      </c>
      <c r="M851" s="1" t="str">
        <f>TEXT(Table1[[#This Row],[appointment_date]],"MM/YYYY")</f>
        <v>05/2025</v>
      </c>
      <c r="N851">
        <v>13</v>
      </c>
      <c r="O851" t="str" cm="1">
        <f t="array" ref="O851">_xlfn.IFS(Table1[[#This Row],[lead_time_days]]&lt;=7,"0-7 days",N851&lt;=14,"8-14 days",N851&lt;=30,"15-30 days",N851&lt;=60,"31-60 days",TRUE,"61+ days")</f>
        <v>8-14 days</v>
      </c>
      <c r="P851" t="s">
        <v>71</v>
      </c>
      <c r="Q851" t="s">
        <v>21</v>
      </c>
      <c r="R851">
        <v>1</v>
      </c>
      <c r="S851" t="str">
        <f>IF(Table1[prior_dna_count]&gt;=1,"Has prior DNA history","No prior DNA history")</f>
        <v>Has prior DNA history</v>
      </c>
      <c r="T851" t="s">
        <v>22</v>
      </c>
      <c r="U851" t="str">
        <f t="shared" si="13"/>
        <v>1</v>
      </c>
      <c r="V851" t="str">
        <f>IF(Table1[appointment_status]="Attended","1","0")</f>
        <v>1</v>
      </c>
      <c r="W851" t="str">
        <f>IF(Table1[appointment_status]="Cancelled","1","0")</f>
        <v>0</v>
      </c>
    </row>
    <row r="852" spans="1:23">
      <c r="A852" t="s">
        <v>1554</v>
      </c>
      <c r="B852" t="s">
        <v>1555</v>
      </c>
      <c r="C852">
        <v>43</v>
      </c>
      <c r="D852" t="str" cm="1">
        <f t="array" ref="D852">_xlfn.IFS(Table1[[#This Row],[age]]&lt;=17,"0-17",C852&lt;=29,"18-29",C852&lt;=44,"30-44",C852&lt;=59,"45-59",C852&lt;=74,"60-74",TRUE,"75+")</f>
        <v>30-44</v>
      </c>
      <c r="E852" t="s">
        <v>29</v>
      </c>
      <c r="F852">
        <v>6</v>
      </c>
      <c r="G852" t="str" cm="1">
        <f t="array" ref="G852">_xlfn.IFS(_xlfn.SINGLE(Table1[imd_decile])&lt;=3,"Most Deprived",F852&lt;=7,"Moderately Deprived",F852&lt;=10,"Least Deprived")</f>
        <v>Moderately Deprived</v>
      </c>
      <c r="H852">
        <v>11.6</v>
      </c>
      <c r="I852" t="s">
        <v>30</v>
      </c>
      <c r="J852" t="s">
        <v>26</v>
      </c>
      <c r="K852" s="1">
        <v>45750</v>
      </c>
      <c r="L852" s="1">
        <v>45797</v>
      </c>
      <c r="M852" s="1" t="str">
        <f>TEXT(Table1[[#This Row],[appointment_date]],"MM/YYYY")</f>
        <v>05/2025</v>
      </c>
      <c r="N852">
        <v>47</v>
      </c>
      <c r="O852" t="str" cm="1">
        <f t="array" ref="O852">_xlfn.IFS(Table1[[#This Row],[lead_time_days]]&lt;=7,"0-7 days",N852&lt;=14,"8-14 days",N852&lt;=30,"15-30 days",N852&lt;=60,"31-60 days",TRUE,"61+ days")</f>
        <v>31-60 days</v>
      </c>
      <c r="P852" t="s">
        <v>71</v>
      </c>
      <c r="Q852" t="s">
        <v>21</v>
      </c>
      <c r="R852">
        <v>0</v>
      </c>
      <c r="S852" t="str">
        <f>IF(Table1[prior_dna_count]&gt;=1,"Has prior DNA history","No prior DNA history")</f>
        <v>No prior DNA history</v>
      </c>
      <c r="T852" t="s">
        <v>22</v>
      </c>
      <c r="U852" t="str">
        <f t="shared" si="13"/>
        <v>1</v>
      </c>
      <c r="V852" t="str">
        <f>IF(Table1[appointment_status]="Attended","1","0")</f>
        <v>1</v>
      </c>
      <c r="W852" t="str">
        <f>IF(Table1[appointment_status]="Cancelled","1","0")</f>
        <v>0</v>
      </c>
    </row>
    <row r="853" spans="1:23">
      <c r="A853" t="s">
        <v>1556</v>
      </c>
      <c r="B853" t="s">
        <v>1557</v>
      </c>
      <c r="C853">
        <v>78</v>
      </c>
      <c r="D853" t="str" cm="1">
        <f t="array" ref="D853">_xlfn.IFS(Table1[[#This Row],[age]]&lt;=17,"0-17",C853&lt;=29,"18-29",C853&lt;=44,"30-44",C853&lt;=59,"45-59",C853&lt;=74,"60-74",TRUE,"75+")</f>
        <v>75+</v>
      </c>
      <c r="E853" t="s">
        <v>29</v>
      </c>
      <c r="F853">
        <v>1</v>
      </c>
      <c r="G853" t="str" cm="1">
        <f t="array" ref="G853">_xlfn.IFS(_xlfn.SINGLE(Table1[imd_decile])&lt;=3,"Most Deprived",F853&lt;=7,"Moderately Deprived",F853&lt;=10,"Least Deprived")</f>
        <v>Most Deprived</v>
      </c>
      <c r="H853">
        <v>10.1</v>
      </c>
      <c r="I853" t="s">
        <v>25</v>
      </c>
      <c r="J853" t="s">
        <v>26</v>
      </c>
      <c r="K853" s="1">
        <v>45789</v>
      </c>
      <c r="L853" s="1">
        <v>45797</v>
      </c>
      <c r="M853" s="1" t="str">
        <f>TEXT(Table1[[#This Row],[appointment_date]],"MM/YYYY")</f>
        <v>05/2025</v>
      </c>
      <c r="N853">
        <v>8</v>
      </c>
      <c r="O853" t="str" cm="1">
        <f t="array" ref="O853">_xlfn.IFS(Table1[[#This Row],[lead_time_days]]&lt;=7,"0-7 days",N853&lt;=14,"8-14 days",N853&lt;=30,"15-30 days",N853&lt;=60,"31-60 days",TRUE,"61+ days")</f>
        <v>8-14 days</v>
      </c>
      <c r="P853" t="s">
        <v>71</v>
      </c>
      <c r="Q853" t="s">
        <v>21</v>
      </c>
      <c r="R853">
        <v>0</v>
      </c>
      <c r="S853" t="str">
        <f>IF(Table1[prior_dna_count]&gt;=1,"Has prior DNA history","No prior DNA history")</f>
        <v>No prior DNA history</v>
      </c>
      <c r="T853" t="s">
        <v>22</v>
      </c>
      <c r="U853" t="str">
        <f t="shared" si="13"/>
        <v>1</v>
      </c>
      <c r="V853" t="str">
        <f>IF(Table1[appointment_status]="Attended","1","0")</f>
        <v>1</v>
      </c>
      <c r="W853" t="str">
        <f>IF(Table1[appointment_status]="Cancelled","1","0")</f>
        <v>0</v>
      </c>
    </row>
    <row r="854" spans="1:23">
      <c r="A854" t="s">
        <v>1558</v>
      </c>
      <c r="B854" t="s">
        <v>1559</v>
      </c>
      <c r="C854">
        <v>61</v>
      </c>
      <c r="D854" t="str" cm="1">
        <f t="array" ref="D854">_xlfn.IFS(Table1[[#This Row],[age]]&lt;=17,"0-17",C854&lt;=29,"18-29",C854&lt;=44,"30-44",C854&lt;=59,"45-59",C854&lt;=74,"60-74",TRUE,"75+")</f>
        <v>60-74</v>
      </c>
      <c r="E854" t="s">
        <v>29</v>
      </c>
      <c r="F854">
        <v>10</v>
      </c>
      <c r="G854" t="str" cm="1">
        <f t="array" ref="G854">_xlfn.IFS(_xlfn.SINGLE(Table1[imd_decile])&lt;=3,"Most Deprived",F854&lt;=7,"Moderately Deprived",F854&lt;=10,"Least Deprived")</f>
        <v>Least Deprived</v>
      </c>
      <c r="H854">
        <v>12.2</v>
      </c>
      <c r="I854" t="s">
        <v>30</v>
      </c>
      <c r="J854" t="s">
        <v>19</v>
      </c>
      <c r="K854" s="1">
        <v>45781</v>
      </c>
      <c r="L854" s="1">
        <v>45797</v>
      </c>
      <c r="M854" s="1" t="str">
        <f>TEXT(Table1[[#This Row],[appointment_date]],"MM/YYYY")</f>
        <v>05/2025</v>
      </c>
      <c r="N854">
        <v>16</v>
      </c>
      <c r="O854" t="str" cm="1">
        <f t="array" ref="O854">_xlfn.IFS(Table1[[#This Row],[lead_time_days]]&lt;=7,"0-7 days",N854&lt;=14,"8-14 days",N854&lt;=30,"15-30 days",N854&lt;=60,"31-60 days",TRUE,"61+ days")</f>
        <v>15-30 days</v>
      </c>
      <c r="P854" t="s">
        <v>71</v>
      </c>
      <c r="Q854" t="s">
        <v>32</v>
      </c>
      <c r="R854">
        <v>0</v>
      </c>
      <c r="S854" t="str">
        <f>IF(Table1[prior_dna_count]&gt;=1,"Has prior DNA history","No prior DNA history")</f>
        <v>No prior DNA history</v>
      </c>
      <c r="T854" t="s">
        <v>22</v>
      </c>
      <c r="U854" t="str">
        <f t="shared" si="13"/>
        <v>1</v>
      </c>
      <c r="V854" t="str">
        <f>IF(Table1[appointment_status]="Attended","1","0")</f>
        <v>1</v>
      </c>
      <c r="W854" t="str">
        <f>IF(Table1[appointment_status]="Cancelled","1","0")</f>
        <v>0</v>
      </c>
    </row>
    <row r="855" spans="1:23">
      <c r="A855" t="s">
        <v>1560</v>
      </c>
      <c r="B855" t="s">
        <v>1561</v>
      </c>
      <c r="C855">
        <v>15</v>
      </c>
      <c r="D855" t="str" cm="1">
        <f t="array" ref="D855">_xlfn.IFS(Table1[[#This Row],[age]]&lt;=17,"0-17",C855&lt;=29,"18-29",C855&lt;=44,"30-44",C855&lt;=59,"45-59",C855&lt;=74,"60-74",TRUE,"75+")</f>
        <v>0-17</v>
      </c>
      <c r="E855" t="s">
        <v>29</v>
      </c>
      <c r="F855">
        <v>2</v>
      </c>
      <c r="G855" t="str" cm="1">
        <f t="array" ref="G855">_xlfn.IFS(_xlfn.SINGLE(Table1[imd_decile])&lt;=3,"Most Deprived",F855&lt;=7,"Moderately Deprived",F855&lt;=10,"Least Deprived")</f>
        <v>Most Deprived</v>
      </c>
      <c r="H855">
        <v>7.6</v>
      </c>
      <c r="I855" t="s">
        <v>58</v>
      </c>
      <c r="J855" t="s">
        <v>19</v>
      </c>
      <c r="K855" s="1">
        <v>45713</v>
      </c>
      <c r="L855" s="1">
        <v>45797</v>
      </c>
      <c r="M855" s="1" t="str">
        <f>TEXT(Table1[[#This Row],[appointment_date]],"MM/YYYY")</f>
        <v>05/2025</v>
      </c>
      <c r="N855">
        <v>84</v>
      </c>
      <c r="O855" t="str" cm="1">
        <f t="array" ref="O855">_xlfn.IFS(Table1[[#This Row],[lead_time_days]]&lt;=7,"0-7 days",N855&lt;=14,"8-14 days",N855&lt;=30,"15-30 days",N855&lt;=60,"31-60 days",TRUE,"61+ days")</f>
        <v>61+ days</v>
      </c>
      <c r="P855" t="s">
        <v>71</v>
      </c>
      <c r="Q855" t="s">
        <v>21</v>
      </c>
      <c r="R855">
        <v>0</v>
      </c>
      <c r="S855" t="str">
        <f>IF(Table1[prior_dna_count]&gt;=1,"Has prior DNA history","No prior DNA history")</f>
        <v>No prior DNA history</v>
      </c>
      <c r="T855" t="s">
        <v>22</v>
      </c>
      <c r="U855" t="str">
        <f t="shared" si="13"/>
        <v>1</v>
      </c>
      <c r="V855" t="str">
        <f>IF(Table1[appointment_status]="Attended","1","0")</f>
        <v>1</v>
      </c>
      <c r="W855" t="str">
        <f>IF(Table1[appointment_status]="Cancelled","1","0")</f>
        <v>0</v>
      </c>
    </row>
    <row r="856" spans="1:23">
      <c r="A856" t="s">
        <v>1562</v>
      </c>
      <c r="B856" t="s">
        <v>1563</v>
      </c>
      <c r="C856">
        <v>31</v>
      </c>
      <c r="D856" t="str" cm="1">
        <f t="array" ref="D856">_xlfn.IFS(Table1[[#This Row],[age]]&lt;=17,"0-17",C856&lt;=29,"18-29",C856&lt;=44,"30-44",C856&lt;=59,"45-59",C856&lt;=74,"60-74",TRUE,"75+")</f>
        <v>30-44</v>
      </c>
      <c r="E856" t="s">
        <v>17</v>
      </c>
      <c r="F856">
        <v>7</v>
      </c>
      <c r="G856" t="str" cm="1">
        <f t="array" ref="G856">_xlfn.IFS(_xlfn.SINGLE(Table1[imd_decile])&lt;=3,"Most Deprived",F856&lt;=7,"Moderately Deprived",F856&lt;=10,"Least Deprived")</f>
        <v>Moderately Deprived</v>
      </c>
      <c r="H856">
        <v>8.8000000000000007</v>
      </c>
      <c r="I856" t="s">
        <v>45</v>
      </c>
      <c r="J856" t="s">
        <v>26</v>
      </c>
      <c r="K856" s="1">
        <v>45789</v>
      </c>
      <c r="L856" s="1">
        <v>45797</v>
      </c>
      <c r="M856" s="1" t="str">
        <f>TEXT(Table1[[#This Row],[appointment_date]],"MM/YYYY")</f>
        <v>05/2025</v>
      </c>
      <c r="N856">
        <v>8</v>
      </c>
      <c r="O856" t="str" cm="1">
        <f t="array" ref="O856">_xlfn.IFS(Table1[[#This Row],[lead_time_days]]&lt;=7,"0-7 days",N856&lt;=14,"8-14 days",N856&lt;=30,"15-30 days",N856&lt;=60,"31-60 days",TRUE,"61+ days")</f>
        <v>8-14 days</v>
      </c>
      <c r="P856" t="s">
        <v>71</v>
      </c>
      <c r="Q856" t="s">
        <v>21</v>
      </c>
      <c r="R856">
        <v>0</v>
      </c>
      <c r="S856" t="str">
        <f>IF(Table1[prior_dna_count]&gt;=1,"Has prior DNA history","No prior DNA history")</f>
        <v>No prior DNA history</v>
      </c>
      <c r="T856" t="s">
        <v>46</v>
      </c>
      <c r="U856" t="str">
        <f t="shared" si="13"/>
        <v>1</v>
      </c>
      <c r="V856" t="str">
        <f>IF(Table1[appointment_status]="Attended","1","0")</f>
        <v>0</v>
      </c>
      <c r="W856" t="str">
        <f>IF(Table1[appointment_status]="Cancelled","1","0")</f>
        <v>1</v>
      </c>
    </row>
    <row r="857" spans="1:23">
      <c r="A857" t="s">
        <v>1564</v>
      </c>
      <c r="B857" t="s">
        <v>1565</v>
      </c>
      <c r="C857">
        <v>46</v>
      </c>
      <c r="D857" t="str" cm="1">
        <f t="array" ref="D857">_xlfn.IFS(Table1[[#This Row],[age]]&lt;=17,"0-17",C857&lt;=29,"18-29",C857&lt;=44,"30-44",C857&lt;=59,"45-59",C857&lt;=74,"60-74",TRUE,"75+")</f>
        <v>45-59</v>
      </c>
      <c r="E857" t="s">
        <v>29</v>
      </c>
      <c r="F857">
        <v>7</v>
      </c>
      <c r="G857" t="str" cm="1">
        <f t="array" ref="G857">_xlfn.IFS(_xlfn.SINGLE(Table1[imd_decile])&lt;=3,"Most Deprived",F857&lt;=7,"Moderately Deprived",F857&lt;=10,"Least Deprived")</f>
        <v>Moderately Deprived</v>
      </c>
      <c r="H857">
        <v>3.9</v>
      </c>
      <c r="I857" t="s">
        <v>25</v>
      </c>
      <c r="J857" t="s">
        <v>19</v>
      </c>
      <c r="K857" s="1">
        <v>45777</v>
      </c>
      <c r="L857" s="1">
        <v>45797</v>
      </c>
      <c r="M857" s="1" t="str">
        <f>TEXT(Table1[[#This Row],[appointment_date]],"MM/YYYY")</f>
        <v>05/2025</v>
      </c>
      <c r="N857">
        <v>20</v>
      </c>
      <c r="O857" t="str" cm="1">
        <f t="array" ref="O857">_xlfn.IFS(Table1[[#This Row],[lead_time_days]]&lt;=7,"0-7 days",N857&lt;=14,"8-14 days",N857&lt;=30,"15-30 days",N857&lt;=60,"31-60 days",TRUE,"61+ days")</f>
        <v>15-30 days</v>
      </c>
      <c r="P857" t="s">
        <v>71</v>
      </c>
      <c r="Q857" t="s">
        <v>32</v>
      </c>
      <c r="R857">
        <v>0</v>
      </c>
      <c r="S857" t="str">
        <f>IF(Table1[prior_dna_count]&gt;=1,"Has prior DNA history","No prior DNA history")</f>
        <v>No prior DNA history</v>
      </c>
      <c r="T857" t="s">
        <v>22</v>
      </c>
      <c r="U857" t="str">
        <f t="shared" si="13"/>
        <v>0</v>
      </c>
      <c r="V857" t="str">
        <f>IF(Table1[appointment_status]="Attended","1","0")</f>
        <v>1</v>
      </c>
      <c r="W857" t="str">
        <f>IF(Table1[appointment_status]="Cancelled","1","0")</f>
        <v>0</v>
      </c>
    </row>
    <row r="858" spans="1:23">
      <c r="A858" t="s">
        <v>1566</v>
      </c>
      <c r="B858" t="s">
        <v>1567</v>
      </c>
      <c r="C858">
        <v>19</v>
      </c>
      <c r="D858" t="str" cm="1">
        <f t="array" ref="D858">_xlfn.IFS(Table1[[#This Row],[age]]&lt;=17,"0-17",C858&lt;=29,"18-29",C858&lt;=44,"30-44",C858&lt;=59,"45-59",C858&lt;=74,"60-74",TRUE,"75+")</f>
        <v>18-29</v>
      </c>
      <c r="E858" t="s">
        <v>17</v>
      </c>
      <c r="F858">
        <v>6</v>
      </c>
      <c r="G858" t="str" cm="1">
        <f t="array" ref="G858">_xlfn.IFS(_xlfn.SINGLE(Table1[imd_decile])&lt;=3,"Most Deprived",F858&lt;=7,"Moderately Deprived",F858&lt;=10,"Least Deprived")</f>
        <v>Moderately Deprived</v>
      </c>
      <c r="H858">
        <v>4.7</v>
      </c>
      <c r="I858" t="s">
        <v>25</v>
      </c>
      <c r="J858" t="s">
        <v>19</v>
      </c>
      <c r="K858" s="1">
        <v>45763</v>
      </c>
      <c r="L858" s="1">
        <v>45797</v>
      </c>
      <c r="M858" s="1" t="str">
        <f>TEXT(Table1[[#This Row],[appointment_date]],"MM/YYYY")</f>
        <v>05/2025</v>
      </c>
      <c r="N858">
        <v>34</v>
      </c>
      <c r="O858" t="str" cm="1">
        <f t="array" ref="O858">_xlfn.IFS(Table1[[#This Row],[lead_time_days]]&lt;=7,"0-7 days",N858&lt;=14,"8-14 days",N858&lt;=30,"15-30 days",N858&lt;=60,"31-60 days",TRUE,"61+ days")</f>
        <v>31-60 days</v>
      </c>
      <c r="P858" t="s">
        <v>71</v>
      </c>
      <c r="Q858" t="s">
        <v>21</v>
      </c>
      <c r="R858">
        <v>0</v>
      </c>
      <c r="S858" t="str">
        <f>IF(Table1[prior_dna_count]&gt;=1,"Has prior DNA history","No prior DNA history")</f>
        <v>No prior DNA history</v>
      </c>
      <c r="T858" t="s">
        <v>46</v>
      </c>
      <c r="U858" t="str">
        <f t="shared" si="13"/>
        <v>1</v>
      </c>
      <c r="V858" t="str">
        <f>IF(Table1[appointment_status]="Attended","1","0")</f>
        <v>0</v>
      </c>
      <c r="W858" t="str">
        <f>IF(Table1[appointment_status]="Cancelled","1","0")</f>
        <v>1</v>
      </c>
    </row>
    <row r="859" spans="1:23">
      <c r="A859" t="s">
        <v>1568</v>
      </c>
      <c r="B859" t="s">
        <v>1231</v>
      </c>
      <c r="C859">
        <v>50</v>
      </c>
      <c r="D859" t="str" cm="1">
        <f t="array" ref="D859">_xlfn.IFS(Table1[[#This Row],[age]]&lt;=17,"0-17",C859&lt;=29,"18-29",C859&lt;=44,"30-44",C859&lt;=59,"45-59",C859&lt;=74,"60-74",TRUE,"75+")</f>
        <v>45-59</v>
      </c>
      <c r="E859" t="s">
        <v>17</v>
      </c>
      <c r="F859">
        <v>5</v>
      </c>
      <c r="G859" t="str" cm="1">
        <f t="array" ref="G859">_xlfn.IFS(_xlfn.SINGLE(Table1[imd_decile])&lt;=3,"Most Deprived",F859&lt;=7,"Moderately Deprived",F859&lt;=10,"Least Deprived")</f>
        <v>Moderately Deprived</v>
      </c>
      <c r="H859">
        <v>9.9</v>
      </c>
      <c r="I859" t="s">
        <v>25</v>
      </c>
      <c r="J859" t="s">
        <v>19</v>
      </c>
      <c r="K859" s="1">
        <v>45760</v>
      </c>
      <c r="L859" s="1">
        <v>45797</v>
      </c>
      <c r="M859" s="1" t="str">
        <f>TEXT(Table1[[#This Row],[appointment_date]],"MM/YYYY")</f>
        <v>05/2025</v>
      </c>
      <c r="N859">
        <v>37</v>
      </c>
      <c r="O859" t="str" cm="1">
        <f t="array" ref="O859">_xlfn.IFS(Table1[[#This Row],[lead_time_days]]&lt;=7,"0-7 days",N859&lt;=14,"8-14 days",N859&lt;=30,"15-30 days",N859&lt;=60,"31-60 days",TRUE,"61+ days")</f>
        <v>31-60 days</v>
      </c>
      <c r="P859" t="s">
        <v>71</v>
      </c>
      <c r="Q859" t="s">
        <v>21</v>
      </c>
      <c r="R859">
        <v>0</v>
      </c>
      <c r="S859" t="str">
        <f>IF(Table1[prior_dna_count]&gt;=1,"Has prior DNA history","No prior DNA history")</f>
        <v>No prior DNA history</v>
      </c>
      <c r="T859" t="s">
        <v>22</v>
      </c>
      <c r="U859" t="str">
        <f t="shared" si="13"/>
        <v>0</v>
      </c>
      <c r="V859" t="str">
        <f>IF(Table1[appointment_status]="Attended","1","0")</f>
        <v>1</v>
      </c>
      <c r="W859" t="str">
        <f>IF(Table1[appointment_status]="Cancelled","1","0")</f>
        <v>0</v>
      </c>
    </row>
    <row r="860" spans="1:23">
      <c r="A860" t="s">
        <v>1569</v>
      </c>
      <c r="B860" t="s">
        <v>768</v>
      </c>
      <c r="C860">
        <v>49</v>
      </c>
      <c r="D860" t="str" cm="1">
        <f t="array" ref="D860">_xlfn.IFS(Table1[[#This Row],[age]]&lt;=17,"0-17",C860&lt;=29,"18-29",C860&lt;=44,"30-44",C860&lt;=59,"45-59",C860&lt;=74,"60-74",TRUE,"75+")</f>
        <v>45-59</v>
      </c>
      <c r="E860" t="s">
        <v>17</v>
      </c>
      <c r="F860">
        <v>7</v>
      </c>
      <c r="G860" t="str" cm="1">
        <f t="array" ref="G860">_xlfn.IFS(_xlfn.SINGLE(Table1[imd_decile])&lt;=3,"Most Deprived",F860&lt;=7,"Moderately Deprived",F860&lt;=10,"Least Deprived")</f>
        <v>Moderately Deprived</v>
      </c>
      <c r="H860">
        <v>15.4</v>
      </c>
      <c r="I860" t="s">
        <v>42</v>
      </c>
      <c r="J860" t="s">
        <v>19</v>
      </c>
      <c r="K860" s="1">
        <v>45760</v>
      </c>
      <c r="L860" s="1">
        <v>45798</v>
      </c>
      <c r="M860" s="1" t="str">
        <f>TEXT(Table1[[#This Row],[appointment_date]],"MM/YYYY")</f>
        <v>05/2025</v>
      </c>
      <c r="N860">
        <v>38</v>
      </c>
      <c r="O860" t="str" cm="1">
        <f t="array" ref="O860">_xlfn.IFS(Table1[[#This Row],[lead_time_days]]&lt;=7,"0-7 days",N860&lt;=14,"8-14 days",N860&lt;=30,"15-30 days",N860&lt;=60,"31-60 days",TRUE,"61+ days")</f>
        <v>31-60 days</v>
      </c>
      <c r="P860" t="s">
        <v>80</v>
      </c>
      <c r="Q860" t="s">
        <v>21</v>
      </c>
      <c r="R860">
        <v>0</v>
      </c>
      <c r="S860" t="str">
        <f>IF(Table1[prior_dna_count]&gt;=1,"Has prior DNA history","No prior DNA history")</f>
        <v>No prior DNA history</v>
      </c>
      <c r="T860" t="s">
        <v>22</v>
      </c>
      <c r="U860" t="str">
        <f t="shared" si="13"/>
        <v>1</v>
      </c>
      <c r="V860" t="str">
        <f>IF(Table1[appointment_status]="Attended","1","0")</f>
        <v>1</v>
      </c>
      <c r="W860" t="str">
        <f>IF(Table1[appointment_status]="Cancelled","1","0")</f>
        <v>0</v>
      </c>
    </row>
    <row r="861" spans="1:23">
      <c r="A861" t="s">
        <v>1570</v>
      </c>
      <c r="B861" t="s">
        <v>389</v>
      </c>
      <c r="C861">
        <v>66</v>
      </c>
      <c r="D861" t="str" cm="1">
        <f t="array" ref="D861">_xlfn.IFS(Table1[[#This Row],[age]]&lt;=17,"0-17",C861&lt;=29,"18-29",C861&lt;=44,"30-44",C861&lt;=59,"45-59",C861&lt;=74,"60-74",TRUE,"75+")</f>
        <v>60-74</v>
      </c>
      <c r="E861" t="s">
        <v>29</v>
      </c>
      <c r="F861">
        <v>2</v>
      </c>
      <c r="G861" t="str" cm="1">
        <f t="array" ref="G861">_xlfn.IFS(_xlfn.SINGLE(Table1[imd_decile])&lt;=3,"Most Deprived",F861&lt;=7,"Moderately Deprived",F861&lt;=10,"Least Deprived")</f>
        <v>Most Deprived</v>
      </c>
      <c r="H861">
        <v>7.6</v>
      </c>
      <c r="I861" t="s">
        <v>38</v>
      </c>
      <c r="J861" t="s">
        <v>26</v>
      </c>
      <c r="K861" s="1">
        <v>45786</v>
      </c>
      <c r="L861" s="1">
        <v>45798</v>
      </c>
      <c r="M861" s="1" t="str">
        <f>TEXT(Table1[[#This Row],[appointment_date]],"MM/YYYY")</f>
        <v>05/2025</v>
      </c>
      <c r="N861">
        <v>12</v>
      </c>
      <c r="O861" t="str" cm="1">
        <f t="array" ref="O861">_xlfn.IFS(Table1[[#This Row],[lead_time_days]]&lt;=7,"0-7 days",N861&lt;=14,"8-14 days",N861&lt;=30,"15-30 days",N861&lt;=60,"31-60 days",TRUE,"61+ days")</f>
        <v>8-14 days</v>
      </c>
      <c r="P861" t="s">
        <v>80</v>
      </c>
      <c r="Q861" t="s">
        <v>32</v>
      </c>
      <c r="R861">
        <v>0</v>
      </c>
      <c r="S861" t="str">
        <f>IF(Table1[prior_dna_count]&gt;=1,"Has prior DNA history","No prior DNA history")</f>
        <v>No prior DNA history</v>
      </c>
      <c r="T861" t="s">
        <v>46</v>
      </c>
      <c r="U861" t="str">
        <f t="shared" si="13"/>
        <v>1</v>
      </c>
      <c r="V861" t="str">
        <f>IF(Table1[appointment_status]="Attended","1","0")</f>
        <v>0</v>
      </c>
      <c r="W861" t="str">
        <f>IF(Table1[appointment_status]="Cancelled","1","0")</f>
        <v>1</v>
      </c>
    </row>
    <row r="862" spans="1:23">
      <c r="A862" t="s">
        <v>1571</v>
      </c>
      <c r="B862" t="s">
        <v>817</v>
      </c>
      <c r="C862">
        <v>8</v>
      </c>
      <c r="D862" t="str" cm="1">
        <f t="array" ref="D862">_xlfn.IFS(Table1[[#This Row],[age]]&lt;=17,"0-17",C862&lt;=29,"18-29",C862&lt;=44,"30-44",C862&lt;=59,"45-59",C862&lt;=74,"60-74",TRUE,"75+")</f>
        <v>0-17</v>
      </c>
      <c r="E862" t="s">
        <v>29</v>
      </c>
      <c r="F862">
        <v>5</v>
      </c>
      <c r="G862" t="str" cm="1">
        <f t="array" ref="G862">_xlfn.IFS(_xlfn.SINGLE(Table1[imd_decile])&lt;=3,"Most Deprived",F862&lt;=7,"Moderately Deprived",F862&lt;=10,"Least Deprived")</f>
        <v>Moderately Deprived</v>
      </c>
      <c r="H862">
        <v>4.3</v>
      </c>
      <c r="I862" t="s">
        <v>49</v>
      </c>
      <c r="J862" t="s">
        <v>19</v>
      </c>
      <c r="K862" s="1">
        <v>45773</v>
      </c>
      <c r="L862" s="1">
        <v>45798</v>
      </c>
      <c r="M862" s="1" t="str">
        <f>TEXT(Table1[[#This Row],[appointment_date]],"MM/YYYY")</f>
        <v>05/2025</v>
      </c>
      <c r="N862">
        <v>25</v>
      </c>
      <c r="O862" t="str" cm="1">
        <f t="array" ref="O862">_xlfn.IFS(Table1[[#This Row],[lead_time_days]]&lt;=7,"0-7 days",N862&lt;=14,"8-14 days",N862&lt;=30,"15-30 days",N862&lt;=60,"31-60 days",TRUE,"61+ days")</f>
        <v>15-30 days</v>
      </c>
      <c r="P862" t="s">
        <v>80</v>
      </c>
      <c r="Q862" t="s">
        <v>32</v>
      </c>
      <c r="R862">
        <v>0</v>
      </c>
      <c r="S862" t="str">
        <f>IF(Table1[prior_dna_count]&gt;=1,"Has prior DNA history","No prior DNA history")</f>
        <v>No prior DNA history</v>
      </c>
      <c r="T862" t="s">
        <v>39</v>
      </c>
      <c r="U862" t="str">
        <f t="shared" si="13"/>
        <v>0</v>
      </c>
      <c r="V862" t="str">
        <f>IF(Table1[appointment_status]="Attended","1","0")</f>
        <v>0</v>
      </c>
      <c r="W862" t="str">
        <f>IF(Table1[appointment_status]="Cancelled","1","0")</f>
        <v>0</v>
      </c>
    </row>
    <row r="863" spans="1:23">
      <c r="A863" t="s">
        <v>1572</v>
      </c>
      <c r="B863" t="s">
        <v>1573</v>
      </c>
      <c r="C863">
        <v>56</v>
      </c>
      <c r="D863" t="str" cm="1">
        <f t="array" ref="D863">_xlfn.IFS(Table1[[#This Row],[age]]&lt;=17,"0-17",C863&lt;=29,"18-29",C863&lt;=44,"30-44",C863&lt;=59,"45-59",C863&lt;=74,"60-74",TRUE,"75+")</f>
        <v>45-59</v>
      </c>
      <c r="E863" t="s">
        <v>17</v>
      </c>
      <c r="F863">
        <v>4</v>
      </c>
      <c r="G863" t="str" cm="1">
        <f t="array" ref="G863">_xlfn.IFS(_xlfn.SINGLE(Table1[imd_decile])&lt;=3,"Most Deprived",F863&lt;=7,"Moderately Deprived",F863&lt;=10,"Least Deprived")</f>
        <v>Moderately Deprived</v>
      </c>
      <c r="H863">
        <v>21.3</v>
      </c>
      <c r="I863" t="s">
        <v>91</v>
      </c>
      <c r="J863" t="s">
        <v>19</v>
      </c>
      <c r="K863" s="1">
        <v>45775</v>
      </c>
      <c r="L863" s="1">
        <v>45798</v>
      </c>
      <c r="M863" s="1" t="str">
        <f>TEXT(Table1[[#This Row],[appointment_date]],"MM/YYYY")</f>
        <v>05/2025</v>
      </c>
      <c r="N863">
        <v>23</v>
      </c>
      <c r="O863" t="str" cm="1">
        <f t="array" ref="O863">_xlfn.IFS(Table1[[#This Row],[lead_time_days]]&lt;=7,"0-7 days",N863&lt;=14,"8-14 days",N863&lt;=30,"15-30 days",N863&lt;=60,"31-60 days",TRUE,"61+ days")</f>
        <v>15-30 days</v>
      </c>
      <c r="P863" t="s">
        <v>80</v>
      </c>
      <c r="Q863" t="s">
        <v>21</v>
      </c>
      <c r="R863">
        <v>0</v>
      </c>
      <c r="S863" t="str">
        <f>IF(Table1[prior_dna_count]&gt;=1,"Has prior DNA history","No prior DNA history")</f>
        <v>No prior DNA history</v>
      </c>
      <c r="T863" t="s">
        <v>39</v>
      </c>
      <c r="U863" t="str">
        <f t="shared" si="13"/>
        <v>0</v>
      </c>
      <c r="V863" t="str">
        <f>IF(Table1[appointment_status]="Attended","1","0")</f>
        <v>0</v>
      </c>
      <c r="W863" t="str">
        <f>IF(Table1[appointment_status]="Cancelled","1","0")</f>
        <v>0</v>
      </c>
    </row>
    <row r="864" spans="1:23">
      <c r="A864" t="s">
        <v>1574</v>
      </c>
      <c r="B864" t="s">
        <v>1575</v>
      </c>
      <c r="C864">
        <v>52</v>
      </c>
      <c r="D864" t="str" cm="1">
        <f t="array" ref="D864">_xlfn.IFS(Table1[[#This Row],[age]]&lt;=17,"0-17",C864&lt;=29,"18-29",C864&lt;=44,"30-44",C864&lt;=59,"45-59",C864&lt;=74,"60-74",TRUE,"75+")</f>
        <v>45-59</v>
      </c>
      <c r="E864" t="s">
        <v>29</v>
      </c>
      <c r="F864">
        <v>6</v>
      </c>
      <c r="G864" t="str" cm="1">
        <f t="array" ref="G864">_xlfn.IFS(_xlfn.SINGLE(Table1[imd_decile])&lt;=3,"Most Deprived",F864&lt;=7,"Moderately Deprived",F864&lt;=10,"Least Deprived")</f>
        <v>Moderately Deprived</v>
      </c>
      <c r="H864">
        <v>4.4000000000000004</v>
      </c>
      <c r="I864" t="s">
        <v>49</v>
      </c>
      <c r="J864" t="s">
        <v>26</v>
      </c>
      <c r="K864" s="1">
        <v>45767</v>
      </c>
      <c r="L864" s="1">
        <v>45798</v>
      </c>
      <c r="M864" s="1" t="str">
        <f>TEXT(Table1[[#This Row],[appointment_date]],"MM/YYYY")</f>
        <v>05/2025</v>
      </c>
      <c r="N864">
        <v>31</v>
      </c>
      <c r="O864" t="str" cm="1">
        <f t="array" ref="O864">_xlfn.IFS(Table1[[#This Row],[lead_time_days]]&lt;=7,"0-7 days",N864&lt;=14,"8-14 days",N864&lt;=30,"15-30 days",N864&lt;=60,"31-60 days",TRUE,"61+ days")</f>
        <v>31-60 days</v>
      </c>
      <c r="P864" t="s">
        <v>80</v>
      </c>
      <c r="Q864" t="s">
        <v>21</v>
      </c>
      <c r="R864">
        <v>0</v>
      </c>
      <c r="S864" t="str">
        <f>IF(Table1[prior_dna_count]&gt;=1,"Has prior DNA history","No prior DNA history")</f>
        <v>No prior DNA history</v>
      </c>
      <c r="T864" t="s">
        <v>22</v>
      </c>
      <c r="U864" t="str">
        <f t="shared" si="13"/>
        <v>0</v>
      </c>
      <c r="V864" t="str">
        <f>IF(Table1[appointment_status]="Attended","1","0")</f>
        <v>1</v>
      </c>
      <c r="W864" t="str">
        <f>IF(Table1[appointment_status]="Cancelled","1","0")</f>
        <v>0</v>
      </c>
    </row>
    <row r="865" spans="1:23">
      <c r="A865" t="s">
        <v>1576</v>
      </c>
      <c r="B865" t="s">
        <v>90</v>
      </c>
      <c r="C865">
        <v>51</v>
      </c>
      <c r="D865" t="str" cm="1">
        <f t="array" ref="D865">_xlfn.IFS(Table1[[#This Row],[age]]&lt;=17,"0-17",C865&lt;=29,"18-29",C865&lt;=44,"30-44",C865&lt;=59,"45-59",C865&lt;=74,"60-74",TRUE,"75+")</f>
        <v>45-59</v>
      </c>
      <c r="E865" t="s">
        <v>17</v>
      </c>
      <c r="F865">
        <v>4</v>
      </c>
      <c r="G865" t="str" cm="1">
        <f t="array" ref="G865">_xlfn.IFS(_xlfn.SINGLE(Table1[imd_decile])&lt;=3,"Most Deprived",F865&lt;=7,"Moderately Deprived",F865&lt;=10,"Least Deprived")</f>
        <v>Moderately Deprived</v>
      </c>
      <c r="H865">
        <v>7.9</v>
      </c>
      <c r="I865" t="s">
        <v>45</v>
      </c>
      <c r="J865" t="s">
        <v>19</v>
      </c>
      <c r="K865" s="1">
        <v>45771</v>
      </c>
      <c r="L865" s="1">
        <v>45798</v>
      </c>
      <c r="M865" s="1" t="str">
        <f>TEXT(Table1[[#This Row],[appointment_date]],"MM/YYYY")</f>
        <v>05/2025</v>
      </c>
      <c r="N865">
        <v>27</v>
      </c>
      <c r="O865" t="str" cm="1">
        <f t="array" ref="O865">_xlfn.IFS(Table1[[#This Row],[lead_time_days]]&lt;=7,"0-7 days",N865&lt;=14,"8-14 days",N865&lt;=30,"15-30 days",N865&lt;=60,"31-60 days",TRUE,"61+ days")</f>
        <v>15-30 days</v>
      </c>
      <c r="P865" t="s">
        <v>80</v>
      </c>
      <c r="Q865" t="s">
        <v>21</v>
      </c>
      <c r="R865">
        <v>0</v>
      </c>
      <c r="S865" t="str">
        <f>IF(Table1[prior_dna_count]&gt;=1,"Has prior DNA history","No prior DNA history")</f>
        <v>No prior DNA history</v>
      </c>
      <c r="T865" t="s">
        <v>22</v>
      </c>
      <c r="U865" t="str">
        <f t="shared" si="13"/>
        <v>1</v>
      </c>
      <c r="V865" t="str">
        <f>IF(Table1[appointment_status]="Attended","1","0")</f>
        <v>1</v>
      </c>
      <c r="W865" t="str">
        <f>IF(Table1[appointment_status]="Cancelled","1","0")</f>
        <v>0</v>
      </c>
    </row>
    <row r="866" spans="1:23">
      <c r="A866" t="s">
        <v>1577</v>
      </c>
      <c r="B866" t="s">
        <v>1578</v>
      </c>
      <c r="C866">
        <v>1</v>
      </c>
      <c r="D866" t="str" cm="1">
        <f t="array" ref="D866">_xlfn.IFS(Table1[[#This Row],[age]]&lt;=17,"0-17",C866&lt;=29,"18-29",C866&lt;=44,"30-44",C866&lt;=59,"45-59",C866&lt;=74,"60-74",TRUE,"75+")</f>
        <v>0-17</v>
      </c>
      <c r="E866" t="s">
        <v>29</v>
      </c>
      <c r="F866">
        <v>4</v>
      </c>
      <c r="G866" t="str" cm="1">
        <f t="array" ref="G866">_xlfn.IFS(_xlfn.SINGLE(Table1[imd_decile])&lt;=3,"Most Deprived",F866&lt;=7,"Moderately Deprived",F866&lt;=10,"Least Deprived")</f>
        <v>Moderately Deprived</v>
      </c>
      <c r="H866">
        <v>12.3</v>
      </c>
      <c r="I866" t="s">
        <v>25</v>
      </c>
      <c r="J866" t="s">
        <v>26</v>
      </c>
      <c r="K866" s="1">
        <v>45790</v>
      </c>
      <c r="L866" s="1">
        <v>45799</v>
      </c>
      <c r="M866" s="1" t="str">
        <f>TEXT(Table1[[#This Row],[appointment_date]],"MM/YYYY")</f>
        <v>05/2025</v>
      </c>
      <c r="N866">
        <v>9</v>
      </c>
      <c r="O866" t="str" cm="1">
        <f t="array" ref="O866">_xlfn.IFS(Table1[[#This Row],[lead_time_days]]&lt;=7,"0-7 days",N866&lt;=14,"8-14 days",N866&lt;=30,"15-30 days",N866&lt;=60,"31-60 days",TRUE,"61+ days")</f>
        <v>8-14 days</v>
      </c>
      <c r="P866" t="s">
        <v>20</v>
      </c>
      <c r="Q866" t="s">
        <v>21</v>
      </c>
      <c r="R866">
        <v>0</v>
      </c>
      <c r="S866" t="str">
        <f>IF(Table1[prior_dna_count]&gt;=1,"Has prior DNA history","No prior DNA history")</f>
        <v>No prior DNA history</v>
      </c>
      <c r="T866" t="s">
        <v>39</v>
      </c>
      <c r="U866" t="str">
        <f t="shared" si="13"/>
        <v>1</v>
      </c>
      <c r="V866" t="str">
        <f>IF(Table1[appointment_status]="Attended","1","0")</f>
        <v>0</v>
      </c>
      <c r="W866" t="str">
        <f>IF(Table1[appointment_status]="Cancelled","1","0")</f>
        <v>0</v>
      </c>
    </row>
    <row r="867" spans="1:23">
      <c r="A867" t="s">
        <v>1579</v>
      </c>
      <c r="B867" t="s">
        <v>1580</v>
      </c>
      <c r="C867">
        <v>61</v>
      </c>
      <c r="D867" t="str" cm="1">
        <f t="array" ref="D867">_xlfn.IFS(Table1[[#This Row],[age]]&lt;=17,"0-17",C867&lt;=29,"18-29",C867&lt;=44,"30-44",C867&lt;=59,"45-59",C867&lt;=74,"60-74",TRUE,"75+")</f>
        <v>60-74</v>
      </c>
      <c r="E867" t="s">
        <v>29</v>
      </c>
      <c r="F867">
        <v>6</v>
      </c>
      <c r="G867" t="str" cm="1">
        <f t="array" ref="G867">_xlfn.IFS(_xlfn.SINGLE(Table1[imd_decile])&lt;=3,"Most Deprived",F867&lt;=7,"Moderately Deprived",F867&lt;=10,"Least Deprived")</f>
        <v>Moderately Deprived</v>
      </c>
      <c r="H867">
        <v>9.9</v>
      </c>
      <c r="I867" t="s">
        <v>58</v>
      </c>
      <c r="J867" t="s">
        <v>26</v>
      </c>
      <c r="K867" s="1">
        <v>45787</v>
      </c>
      <c r="L867" s="1">
        <v>45799</v>
      </c>
      <c r="M867" s="1" t="str">
        <f>TEXT(Table1[[#This Row],[appointment_date]],"MM/YYYY")</f>
        <v>05/2025</v>
      </c>
      <c r="N867">
        <v>12</v>
      </c>
      <c r="O867" t="str" cm="1">
        <f t="array" ref="O867">_xlfn.IFS(Table1[[#This Row],[lead_time_days]]&lt;=7,"0-7 days",N867&lt;=14,"8-14 days",N867&lt;=30,"15-30 days",N867&lt;=60,"31-60 days",TRUE,"61+ days")</f>
        <v>8-14 days</v>
      </c>
      <c r="P867" t="s">
        <v>20</v>
      </c>
      <c r="Q867" t="s">
        <v>32</v>
      </c>
      <c r="R867">
        <v>0</v>
      </c>
      <c r="S867" t="str">
        <f>IF(Table1[prior_dna_count]&gt;=1,"Has prior DNA history","No prior DNA history")</f>
        <v>No prior DNA history</v>
      </c>
      <c r="T867" t="s">
        <v>22</v>
      </c>
      <c r="U867" t="str">
        <f t="shared" si="13"/>
        <v>0</v>
      </c>
      <c r="V867" t="str">
        <f>IF(Table1[appointment_status]="Attended","1","0")</f>
        <v>1</v>
      </c>
      <c r="W867" t="str">
        <f>IF(Table1[appointment_status]="Cancelled","1","0")</f>
        <v>0</v>
      </c>
    </row>
    <row r="868" spans="1:23">
      <c r="A868" t="s">
        <v>1581</v>
      </c>
      <c r="B868" t="s">
        <v>1582</v>
      </c>
      <c r="C868">
        <v>65</v>
      </c>
      <c r="D868" t="str" cm="1">
        <f t="array" ref="D868">_xlfn.IFS(Table1[[#This Row],[age]]&lt;=17,"0-17",C868&lt;=29,"18-29",C868&lt;=44,"30-44",C868&lt;=59,"45-59",C868&lt;=74,"60-74",TRUE,"75+")</f>
        <v>60-74</v>
      </c>
      <c r="E868" t="s">
        <v>29</v>
      </c>
      <c r="F868">
        <v>8</v>
      </c>
      <c r="G868" t="str" cm="1">
        <f t="array" ref="G868">_xlfn.IFS(_xlfn.SINGLE(Table1[imd_decile])&lt;=3,"Most Deprived",F868&lt;=7,"Moderately Deprived",F868&lt;=10,"Least Deprived")</f>
        <v>Least Deprived</v>
      </c>
      <c r="H868">
        <v>4</v>
      </c>
      <c r="I868" t="s">
        <v>18</v>
      </c>
      <c r="J868" t="s">
        <v>26</v>
      </c>
      <c r="K868" s="1">
        <v>45793</v>
      </c>
      <c r="L868" s="1">
        <v>45799</v>
      </c>
      <c r="M868" s="1" t="str">
        <f>TEXT(Table1[[#This Row],[appointment_date]],"MM/YYYY")</f>
        <v>05/2025</v>
      </c>
      <c r="N868">
        <v>6</v>
      </c>
      <c r="O868" t="str" cm="1">
        <f t="array" ref="O868">_xlfn.IFS(Table1[[#This Row],[lead_time_days]]&lt;=7,"0-7 days",N868&lt;=14,"8-14 days",N868&lt;=30,"15-30 days",N868&lt;=60,"31-60 days",TRUE,"61+ days")</f>
        <v>0-7 days</v>
      </c>
      <c r="P868" t="s">
        <v>20</v>
      </c>
      <c r="Q868" t="s">
        <v>32</v>
      </c>
      <c r="R868">
        <v>0</v>
      </c>
      <c r="S868" t="str">
        <f>IF(Table1[prior_dna_count]&gt;=1,"Has prior DNA history","No prior DNA history")</f>
        <v>No prior DNA history</v>
      </c>
      <c r="T868" t="s">
        <v>22</v>
      </c>
      <c r="U868" t="str">
        <f t="shared" si="13"/>
        <v>1</v>
      </c>
      <c r="V868" t="str">
        <f>IF(Table1[appointment_status]="Attended","1","0")</f>
        <v>1</v>
      </c>
      <c r="W868" t="str">
        <f>IF(Table1[appointment_status]="Cancelled","1","0")</f>
        <v>0</v>
      </c>
    </row>
    <row r="869" spans="1:23">
      <c r="A869" t="s">
        <v>1583</v>
      </c>
      <c r="B869" t="s">
        <v>663</v>
      </c>
      <c r="C869">
        <v>68</v>
      </c>
      <c r="D869" t="str" cm="1">
        <f t="array" ref="D869">_xlfn.IFS(Table1[[#This Row],[age]]&lt;=17,"0-17",C869&lt;=29,"18-29",C869&lt;=44,"30-44",C869&lt;=59,"45-59",C869&lt;=74,"60-74",TRUE,"75+")</f>
        <v>60-74</v>
      </c>
      <c r="E869" t="s">
        <v>17</v>
      </c>
      <c r="F869">
        <v>2</v>
      </c>
      <c r="G869" t="str" cm="1">
        <f t="array" ref="G869">_xlfn.IFS(_xlfn.SINGLE(Table1[imd_decile])&lt;=3,"Most Deprived",F869&lt;=7,"Moderately Deprived",F869&lt;=10,"Least Deprived")</f>
        <v>Most Deprived</v>
      </c>
      <c r="H869">
        <v>15</v>
      </c>
      <c r="I869" t="s">
        <v>42</v>
      </c>
      <c r="J869" t="s">
        <v>19</v>
      </c>
      <c r="K869" s="1">
        <v>45766</v>
      </c>
      <c r="L869" s="1">
        <v>45799</v>
      </c>
      <c r="M869" s="1" t="str">
        <f>TEXT(Table1[[#This Row],[appointment_date]],"MM/YYYY")</f>
        <v>05/2025</v>
      </c>
      <c r="N869">
        <v>33</v>
      </c>
      <c r="O869" t="str" cm="1">
        <f t="array" ref="O869">_xlfn.IFS(Table1[[#This Row],[lead_time_days]]&lt;=7,"0-7 days",N869&lt;=14,"8-14 days",N869&lt;=30,"15-30 days",N869&lt;=60,"31-60 days",TRUE,"61+ days")</f>
        <v>31-60 days</v>
      </c>
      <c r="P869" t="s">
        <v>20</v>
      </c>
      <c r="Q869" t="s">
        <v>21</v>
      </c>
      <c r="R869">
        <v>0</v>
      </c>
      <c r="S869" t="str">
        <f>IF(Table1[prior_dna_count]&gt;=1,"Has prior DNA history","No prior DNA history")</f>
        <v>No prior DNA history</v>
      </c>
      <c r="T869" t="s">
        <v>22</v>
      </c>
      <c r="U869" t="str">
        <f t="shared" si="13"/>
        <v>1</v>
      </c>
      <c r="V869" t="str">
        <f>IF(Table1[appointment_status]="Attended","1","0")</f>
        <v>1</v>
      </c>
      <c r="W869" t="str">
        <f>IF(Table1[appointment_status]="Cancelled","1","0")</f>
        <v>0</v>
      </c>
    </row>
    <row r="870" spans="1:23">
      <c r="A870" t="s">
        <v>1584</v>
      </c>
      <c r="B870" t="s">
        <v>1585</v>
      </c>
      <c r="C870">
        <v>23</v>
      </c>
      <c r="D870" t="str" cm="1">
        <f t="array" ref="D870">_xlfn.IFS(Table1[[#This Row],[age]]&lt;=17,"0-17",C870&lt;=29,"18-29",C870&lt;=44,"30-44",C870&lt;=59,"45-59",C870&lt;=74,"60-74",TRUE,"75+")</f>
        <v>18-29</v>
      </c>
      <c r="E870" t="s">
        <v>17</v>
      </c>
      <c r="F870">
        <v>8</v>
      </c>
      <c r="G870" t="str" cm="1">
        <f t="array" ref="G870">_xlfn.IFS(_xlfn.SINGLE(Table1[imd_decile])&lt;=3,"Most Deprived",F870&lt;=7,"Moderately Deprived",F870&lt;=10,"Least Deprived")</f>
        <v>Least Deprived</v>
      </c>
      <c r="H870">
        <v>6</v>
      </c>
      <c r="I870" t="s">
        <v>18</v>
      </c>
      <c r="J870" t="s">
        <v>19</v>
      </c>
      <c r="K870" s="1">
        <v>45777</v>
      </c>
      <c r="L870" s="1">
        <v>45799</v>
      </c>
      <c r="M870" s="1" t="str">
        <f>TEXT(Table1[[#This Row],[appointment_date]],"MM/YYYY")</f>
        <v>05/2025</v>
      </c>
      <c r="N870">
        <v>22</v>
      </c>
      <c r="O870" t="str" cm="1">
        <f t="array" ref="O870">_xlfn.IFS(Table1[[#This Row],[lead_time_days]]&lt;=7,"0-7 days",N870&lt;=14,"8-14 days",N870&lt;=30,"15-30 days",N870&lt;=60,"31-60 days",TRUE,"61+ days")</f>
        <v>15-30 days</v>
      </c>
      <c r="P870" t="s">
        <v>20</v>
      </c>
      <c r="Q870" t="s">
        <v>21</v>
      </c>
      <c r="R870">
        <v>2</v>
      </c>
      <c r="S870" t="str">
        <f>IF(Table1[prior_dna_count]&gt;=1,"Has prior DNA history","No prior DNA history")</f>
        <v>Has prior DNA history</v>
      </c>
      <c r="T870" t="s">
        <v>39</v>
      </c>
      <c r="U870" t="str">
        <f t="shared" si="13"/>
        <v>1</v>
      </c>
      <c r="V870" t="str">
        <f>IF(Table1[appointment_status]="Attended","1","0")</f>
        <v>0</v>
      </c>
      <c r="W870" t="str">
        <f>IF(Table1[appointment_status]="Cancelled","1","0")</f>
        <v>0</v>
      </c>
    </row>
    <row r="871" spans="1:23">
      <c r="A871" t="s">
        <v>1586</v>
      </c>
      <c r="B871" t="s">
        <v>1587</v>
      </c>
      <c r="C871">
        <v>40</v>
      </c>
      <c r="D871" t="str" cm="1">
        <f t="array" ref="D871">_xlfn.IFS(Table1[[#This Row],[age]]&lt;=17,"0-17",C871&lt;=29,"18-29",C871&lt;=44,"30-44",C871&lt;=59,"45-59",C871&lt;=74,"60-74",TRUE,"75+")</f>
        <v>30-44</v>
      </c>
      <c r="E871" t="s">
        <v>29</v>
      </c>
      <c r="F871">
        <v>10</v>
      </c>
      <c r="G871" t="str" cm="1">
        <f t="array" ref="G871">_xlfn.IFS(_xlfn.SINGLE(Table1[imd_decile])&lt;=3,"Most Deprived",F871&lt;=7,"Moderately Deprived",F871&lt;=10,"Least Deprived")</f>
        <v>Least Deprived</v>
      </c>
      <c r="H871">
        <v>8.4</v>
      </c>
      <c r="I871" t="s">
        <v>42</v>
      </c>
      <c r="J871" t="s">
        <v>26</v>
      </c>
      <c r="K871" s="1">
        <v>45782</v>
      </c>
      <c r="L871" s="1">
        <v>45799</v>
      </c>
      <c r="M871" s="1" t="str">
        <f>TEXT(Table1[[#This Row],[appointment_date]],"MM/YYYY")</f>
        <v>05/2025</v>
      </c>
      <c r="N871">
        <v>17</v>
      </c>
      <c r="O871" t="str" cm="1">
        <f t="array" ref="O871">_xlfn.IFS(Table1[[#This Row],[lead_time_days]]&lt;=7,"0-7 days",N871&lt;=14,"8-14 days",N871&lt;=30,"15-30 days",N871&lt;=60,"31-60 days",TRUE,"61+ days")</f>
        <v>15-30 days</v>
      </c>
      <c r="P871" t="s">
        <v>20</v>
      </c>
      <c r="Q871" t="s">
        <v>32</v>
      </c>
      <c r="R871">
        <v>0</v>
      </c>
      <c r="S871" t="str">
        <f>IF(Table1[prior_dna_count]&gt;=1,"Has prior DNA history","No prior DNA history")</f>
        <v>No prior DNA history</v>
      </c>
      <c r="T871" t="s">
        <v>39</v>
      </c>
      <c r="U871" t="str">
        <f t="shared" si="13"/>
        <v>0</v>
      </c>
      <c r="V871" t="str">
        <f>IF(Table1[appointment_status]="Attended","1","0")</f>
        <v>0</v>
      </c>
      <c r="W871" t="str">
        <f>IF(Table1[appointment_status]="Cancelled","1","0")</f>
        <v>0</v>
      </c>
    </row>
    <row r="872" spans="1:23">
      <c r="A872" t="s">
        <v>1588</v>
      </c>
      <c r="B872" t="s">
        <v>1589</v>
      </c>
      <c r="C872">
        <v>48</v>
      </c>
      <c r="D872" t="str" cm="1">
        <f t="array" ref="D872">_xlfn.IFS(Table1[[#This Row],[age]]&lt;=17,"0-17",C872&lt;=29,"18-29",C872&lt;=44,"30-44",C872&lt;=59,"45-59",C872&lt;=74,"60-74",TRUE,"75+")</f>
        <v>45-59</v>
      </c>
      <c r="E872" t="s">
        <v>17</v>
      </c>
      <c r="F872">
        <v>10</v>
      </c>
      <c r="G872" t="str" cm="1">
        <f t="array" ref="G872">_xlfn.IFS(_xlfn.SINGLE(Table1[imd_decile])&lt;=3,"Most Deprived",F872&lt;=7,"Moderately Deprived",F872&lt;=10,"Least Deprived")</f>
        <v>Least Deprived</v>
      </c>
      <c r="H872">
        <v>3.4</v>
      </c>
      <c r="I872" t="s">
        <v>42</v>
      </c>
      <c r="J872" t="s">
        <v>26</v>
      </c>
      <c r="K872" s="1">
        <v>45770</v>
      </c>
      <c r="L872" s="1">
        <v>45799</v>
      </c>
      <c r="M872" s="1" t="str">
        <f>TEXT(Table1[[#This Row],[appointment_date]],"MM/YYYY")</f>
        <v>05/2025</v>
      </c>
      <c r="N872">
        <v>29</v>
      </c>
      <c r="O872" t="str" cm="1">
        <f t="array" ref="O872">_xlfn.IFS(Table1[[#This Row],[lead_time_days]]&lt;=7,"0-7 days",N872&lt;=14,"8-14 days",N872&lt;=30,"15-30 days",N872&lt;=60,"31-60 days",TRUE,"61+ days")</f>
        <v>15-30 days</v>
      </c>
      <c r="P872" t="s">
        <v>20</v>
      </c>
      <c r="Q872" t="s">
        <v>21</v>
      </c>
      <c r="R872">
        <v>0</v>
      </c>
      <c r="S872" t="str">
        <f>IF(Table1[prior_dna_count]&gt;=1,"Has prior DNA history","No prior DNA history")</f>
        <v>No prior DNA history</v>
      </c>
      <c r="T872" t="s">
        <v>22</v>
      </c>
      <c r="U872" t="str">
        <f t="shared" si="13"/>
        <v>0</v>
      </c>
      <c r="V872" t="str">
        <f>IF(Table1[appointment_status]="Attended","1","0")</f>
        <v>1</v>
      </c>
      <c r="W872" t="str">
        <f>IF(Table1[appointment_status]="Cancelled","1","0")</f>
        <v>0</v>
      </c>
    </row>
    <row r="873" spans="1:23">
      <c r="A873" t="s">
        <v>1590</v>
      </c>
      <c r="B873" t="s">
        <v>1591</v>
      </c>
      <c r="C873">
        <v>17</v>
      </c>
      <c r="D873" t="str" cm="1">
        <f t="array" ref="D873">_xlfn.IFS(Table1[[#This Row],[age]]&lt;=17,"0-17",C873&lt;=29,"18-29",C873&lt;=44,"30-44",C873&lt;=59,"45-59",C873&lt;=74,"60-74",TRUE,"75+")</f>
        <v>0-17</v>
      </c>
      <c r="E873" t="s">
        <v>29</v>
      </c>
      <c r="F873">
        <v>4</v>
      </c>
      <c r="G873" t="str" cm="1">
        <f t="array" ref="G873">_xlfn.IFS(_xlfn.SINGLE(Table1[imd_decile])&lt;=3,"Most Deprived",F873&lt;=7,"Moderately Deprived",F873&lt;=10,"Least Deprived")</f>
        <v>Moderately Deprived</v>
      </c>
      <c r="H873">
        <v>8.1999999999999993</v>
      </c>
      <c r="I873" t="s">
        <v>155</v>
      </c>
      <c r="J873" t="s">
        <v>19</v>
      </c>
      <c r="K873" s="1">
        <v>45771</v>
      </c>
      <c r="L873" s="1">
        <v>45799</v>
      </c>
      <c r="M873" s="1" t="str">
        <f>TEXT(Table1[[#This Row],[appointment_date]],"MM/YYYY")</f>
        <v>05/2025</v>
      </c>
      <c r="N873">
        <v>28</v>
      </c>
      <c r="O873" t="str" cm="1">
        <f t="array" ref="O873">_xlfn.IFS(Table1[[#This Row],[lead_time_days]]&lt;=7,"0-7 days",N873&lt;=14,"8-14 days",N873&lt;=30,"15-30 days",N873&lt;=60,"31-60 days",TRUE,"61+ days")</f>
        <v>15-30 days</v>
      </c>
      <c r="P873" t="s">
        <v>20</v>
      </c>
      <c r="Q873" t="s">
        <v>21</v>
      </c>
      <c r="R873">
        <v>0</v>
      </c>
      <c r="S873" t="str">
        <f>IF(Table1[prior_dna_count]&gt;=1,"Has prior DNA history","No prior DNA history")</f>
        <v>No prior DNA history</v>
      </c>
      <c r="T873" t="s">
        <v>22</v>
      </c>
      <c r="U873" t="str">
        <f t="shared" si="13"/>
        <v>1</v>
      </c>
      <c r="V873" t="str">
        <f>IF(Table1[appointment_status]="Attended","1","0")</f>
        <v>1</v>
      </c>
      <c r="W873" t="str">
        <f>IF(Table1[appointment_status]="Cancelled","1","0")</f>
        <v>0</v>
      </c>
    </row>
    <row r="874" spans="1:23">
      <c r="A874" t="s">
        <v>1592</v>
      </c>
      <c r="B874" t="s">
        <v>472</v>
      </c>
      <c r="C874">
        <v>55</v>
      </c>
      <c r="D874" t="str" cm="1">
        <f t="array" ref="D874">_xlfn.IFS(Table1[[#This Row],[age]]&lt;=17,"0-17",C874&lt;=29,"18-29",C874&lt;=44,"30-44",C874&lt;=59,"45-59",C874&lt;=74,"60-74",TRUE,"75+")</f>
        <v>45-59</v>
      </c>
      <c r="E874" t="s">
        <v>29</v>
      </c>
      <c r="F874">
        <v>1</v>
      </c>
      <c r="G874" t="str" cm="1">
        <f t="array" ref="G874">_xlfn.IFS(_xlfn.SINGLE(Table1[imd_decile])&lt;=3,"Most Deprived",F874&lt;=7,"Moderately Deprived",F874&lt;=10,"Least Deprived")</f>
        <v>Most Deprived</v>
      </c>
      <c r="H874">
        <v>10.7</v>
      </c>
      <c r="I874" t="s">
        <v>18</v>
      </c>
      <c r="J874" t="s">
        <v>19</v>
      </c>
      <c r="K874" s="1">
        <v>45778</v>
      </c>
      <c r="L874" s="1">
        <v>45799</v>
      </c>
      <c r="M874" s="1" t="str">
        <f>TEXT(Table1[[#This Row],[appointment_date]],"MM/YYYY")</f>
        <v>05/2025</v>
      </c>
      <c r="N874">
        <v>21</v>
      </c>
      <c r="O874" t="str" cm="1">
        <f t="array" ref="O874">_xlfn.IFS(Table1[[#This Row],[lead_time_days]]&lt;=7,"0-7 days",N874&lt;=14,"8-14 days",N874&lt;=30,"15-30 days",N874&lt;=60,"31-60 days",TRUE,"61+ days")</f>
        <v>15-30 days</v>
      </c>
      <c r="P874" t="s">
        <v>20</v>
      </c>
      <c r="Q874" t="s">
        <v>21</v>
      </c>
      <c r="R874">
        <v>1</v>
      </c>
      <c r="S874" t="str">
        <f>IF(Table1[prior_dna_count]&gt;=1,"Has prior DNA history","No prior DNA history")</f>
        <v>Has prior DNA history</v>
      </c>
      <c r="T874" t="s">
        <v>22</v>
      </c>
      <c r="U874" t="str">
        <f t="shared" si="13"/>
        <v>1</v>
      </c>
      <c r="V874" t="str">
        <f>IF(Table1[appointment_status]="Attended","1","0")</f>
        <v>1</v>
      </c>
      <c r="W874" t="str">
        <f>IF(Table1[appointment_status]="Cancelled","1","0")</f>
        <v>0</v>
      </c>
    </row>
    <row r="875" spans="1:23">
      <c r="A875" t="s">
        <v>1593</v>
      </c>
      <c r="B875" t="s">
        <v>1594</v>
      </c>
      <c r="C875">
        <v>42</v>
      </c>
      <c r="D875" t="str" cm="1">
        <f t="array" ref="D875">_xlfn.IFS(Table1[[#This Row],[age]]&lt;=17,"0-17",C875&lt;=29,"18-29",C875&lt;=44,"30-44",C875&lt;=59,"45-59",C875&lt;=74,"60-74",TRUE,"75+")</f>
        <v>30-44</v>
      </c>
      <c r="E875" t="s">
        <v>29</v>
      </c>
      <c r="F875">
        <v>7</v>
      </c>
      <c r="G875" t="str" cm="1">
        <f t="array" ref="G875">_xlfn.IFS(_xlfn.SINGLE(Table1[imd_decile])&lt;=3,"Most Deprived",F875&lt;=7,"Moderately Deprived",F875&lt;=10,"Least Deprived")</f>
        <v>Moderately Deprived</v>
      </c>
      <c r="H875">
        <v>2.5</v>
      </c>
      <c r="I875" t="s">
        <v>45</v>
      </c>
      <c r="J875" t="s">
        <v>26</v>
      </c>
      <c r="K875" s="1">
        <v>45791</v>
      </c>
      <c r="L875" s="1">
        <v>45799</v>
      </c>
      <c r="M875" s="1" t="str">
        <f>TEXT(Table1[[#This Row],[appointment_date]],"MM/YYYY")</f>
        <v>05/2025</v>
      </c>
      <c r="N875">
        <v>8</v>
      </c>
      <c r="O875" t="str" cm="1">
        <f t="array" ref="O875">_xlfn.IFS(Table1[[#This Row],[lead_time_days]]&lt;=7,"0-7 days",N875&lt;=14,"8-14 days",N875&lt;=30,"15-30 days",N875&lt;=60,"31-60 days",TRUE,"61+ days")</f>
        <v>8-14 days</v>
      </c>
      <c r="P875" t="s">
        <v>20</v>
      </c>
      <c r="Q875" t="s">
        <v>32</v>
      </c>
      <c r="R875">
        <v>0</v>
      </c>
      <c r="S875" t="str">
        <f>IF(Table1[prior_dna_count]&gt;=1,"Has prior DNA history","No prior DNA history")</f>
        <v>No prior DNA history</v>
      </c>
      <c r="T875" t="s">
        <v>22</v>
      </c>
      <c r="U875" t="str">
        <f t="shared" si="13"/>
        <v>1</v>
      </c>
      <c r="V875" t="str">
        <f>IF(Table1[appointment_status]="Attended","1","0")</f>
        <v>1</v>
      </c>
      <c r="W875" t="str">
        <f>IF(Table1[appointment_status]="Cancelled","1","0")</f>
        <v>0</v>
      </c>
    </row>
    <row r="876" spans="1:23">
      <c r="A876" t="s">
        <v>1595</v>
      </c>
      <c r="B876" t="s">
        <v>1596</v>
      </c>
      <c r="C876">
        <v>63</v>
      </c>
      <c r="D876" t="str" cm="1">
        <f t="array" ref="D876">_xlfn.IFS(Table1[[#This Row],[age]]&lt;=17,"0-17",C876&lt;=29,"18-29",C876&lt;=44,"30-44",C876&lt;=59,"45-59",C876&lt;=74,"60-74",TRUE,"75+")</f>
        <v>60-74</v>
      </c>
      <c r="E876" t="s">
        <v>17</v>
      </c>
      <c r="F876">
        <v>7</v>
      </c>
      <c r="G876" t="str" cm="1">
        <f t="array" ref="G876">_xlfn.IFS(_xlfn.SINGLE(Table1[imd_decile])&lt;=3,"Most Deprived",F876&lt;=7,"Moderately Deprived",F876&lt;=10,"Least Deprived")</f>
        <v>Moderately Deprived</v>
      </c>
      <c r="H876">
        <v>4</v>
      </c>
      <c r="I876" t="s">
        <v>45</v>
      </c>
      <c r="J876" t="s">
        <v>19</v>
      </c>
      <c r="K876" s="1">
        <v>45744</v>
      </c>
      <c r="L876" s="1">
        <v>45799</v>
      </c>
      <c r="M876" s="1" t="str">
        <f>TEXT(Table1[[#This Row],[appointment_date]],"MM/YYYY")</f>
        <v>05/2025</v>
      </c>
      <c r="N876">
        <v>55</v>
      </c>
      <c r="O876" t="str" cm="1">
        <f t="array" ref="O876">_xlfn.IFS(Table1[[#This Row],[lead_time_days]]&lt;=7,"0-7 days",N876&lt;=14,"8-14 days",N876&lt;=30,"15-30 days",N876&lt;=60,"31-60 days",TRUE,"61+ days")</f>
        <v>31-60 days</v>
      </c>
      <c r="P876" t="s">
        <v>20</v>
      </c>
      <c r="Q876" t="s">
        <v>21</v>
      </c>
      <c r="R876">
        <v>0</v>
      </c>
      <c r="S876" t="str">
        <f>IF(Table1[prior_dna_count]&gt;=1,"Has prior DNA history","No prior DNA history")</f>
        <v>No prior DNA history</v>
      </c>
      <c r="T876" t="s">
        <v>22</v>
      </c>
      <c r="U876" t="str">
        <f t="shared" si="13"/>
        <v>1</v>
      </c>
      <c r="V876" t="str">
        <f>IF(Table1[appointment_status]="Attended","1","0")</f>
        <v>1</v>
      </c>
      <c r="W876" t="str">
        <f>IF(Table1[appointment_status]="Cancelled","1","0")</f>
        <v>0</v>
      </c>
    </row>
    <row r="877" spans="1:23">
      <c r="A877" t="s">
        <v>1597</v>
      </c>
      <c r="B877" t="s">
        <v>1598</v>
      </c>
      <c r="C877">
        <v>6</v>
      </c>
      <c r="D877" t="str" cm="1">
        <f t="array" ref="D877">_xlfn.IFS(Table1[[#This Row],[age]]&lt;=17,"0-17",C877&lt;=29,"18-29",C877&lt;=44,"30-44",C877&lt;=59,"45-59",C877&lt;=74,"60-74",TRUE,"75+")</f>
        <v>0-17</v>
      </c>
      <c r="E877" t="s">
        <v>17</v>
      </c>
      <c r="F877">
        <v>8</v>
      </c>
      <c r="G877" t="str" cm="1">
        <f t="array" ref="G877">_xlfn.IFS(_xlfn.SINGLE(Table1[imd_decile])&lt;=3,"Most Deprived",F877&lt;=7,"Moderately Deprived",F877&lt;=10,"Least Deprived")</f>
        <v>Least Deprived</v>
      </c>
      <c r="H877">
        <v>15.4</v>
      </c>
      <c r="I877" t="s">
        <v>42</v>
      </c>
      <c r="J877" t="s">
        <v>26</v>
      </c>
      <c r="K877" s="1">
        <v>45791</v>
      </c>
      <c r="L877" s="1">
        <v>45799</v>
      </c>
      <c r="M877" s="1" t="str">
        <f>TEXT(Table1[[#This Row],[appointment_date]],"MM/YYYY")</f>
        <v>05/2025</v>
      </c>
      <c r="N877">
        <v>8</v>
      </c>
      <c r="O877" t="str" cm="1">
        <f t="array" ref="O877">_xlfn.IFS(Table1[[#This Row],[lead_time_days]]&lt;=7,"0-7 days",N877&lt;=14,"8-14 days",N877&lt;=30,"15-30 days",N877&lt;=60,"31-60 days",TRUE,"61+ days")</f>
        <v>8-14 days</v>
      </c>
      <c r="P877" t="s">
        <v>20</v>
      </c>
      <c r="Q877" t="s">
        <v>21</v>
      </c>
      <c r="R877">
        <v>0</v>
      </c>
      <c r="S877" t="str">
        <f>IF(Table1[prior_dna_count]&gt;=1,"Has prior DNA history","No prior DNA history")</f>
        <v>No prior DNA history</v>
      </c>
      <c r="T877" t="s">
        <v>22</v>
      </c>
      <c r="U877" t="str">
        <f t="shared" si="13"/>
        <v>1</v>
      </c>
      <c r="V877" t="str">
        <f>IF(Table1[appointment_status]="Attended","1","0")</f>
        <v>1</v>
      </c>
      <c r="W877" t="str">
        <f>IF(Table1[appointment_status]="Cancelled","1","0")</f>
        <v>0</v>
      </c>
    </row>
    <row r="878" spans="1:23">
      <c r="A878" t="s">
        <v>1599</v>
      </c>
      <c r="B878" t="s">
        <v>598</v>
      </c>
      <c r="C878">
        <v>34</v>
      </c>
      <c r="D878" t="str" cm="1">
        <f t="array" ref="D878">_xlfn.IFS(Table1[[#This Row],[age]]&lt;=17,"0-17",C878&lt;=29,"18-29",C878&lt;=44,"30-44",C878&lt;=59,"45-59",C878&lt;=74,"60-74",TRUE,"75+")</f>
        <v>30-44</v>
      </c>
      <c r="E878" t="s">
        <v>17</v>
      </c>
      <c r="F878">
        <v>7</v>
      </c>
      <c r="G878" t="str" cm="1">
        <f t="array" ref="G878">_xlfn.IFS(_xlfn.SINGLE(Table1[imd_decile])&lt;=3,"Most Deprived",F878&lt;=7,"Moderately Deprived",F878&lt;=10,"Least Deprived")</f>
        <v>Moderately Deprived</v>
      </c>
      <c r="H878">
        <v>6.2</v>
      </c>
      <c r="I878" t="s">
        <v>30</v>
      </c>
      <c r="J878" t="s">
        <v>19</v>
      </c>
      <c r="K878" s="1">
        <v>45750</v>
      </c>
      <c r="L878" s="1">
        <v>45800</v>
      </c>
      <c r="M878" s="1" t="str">
        <f>TEXT(Table1[[#This Row],[appointment_date]],"MM/YYYY")</f>
        <v>05/2025</v>
      </c>
      <c r="N878">
        <v>50</v>
      </c>
      <c r="O878" t="str" cm="1">
        <f t="array" ref="O878">_xlfn.IFS(Table1[[#This Row],[lead_time_days]]&lt;=7,"0-7 days",N878&lt;=14,"8-14 days",N878&lt;=30,"15-30 days",N878&lt;=60,"31-60 days",TRUE,"61+ days")</f>
        <v>31-60 days</v>
      </c>
      <c r="P878" t="s">
        <v>52</v>
      </c>
      <c r="Q878" t="s">
        <v>21</v>
      </c>
      <c r="R878">
        <v>0</v>
      </c>
      <c r="S878" t="str">
        <f>IF(Table1[prior_dna_count]&gt;=1,"Has prior DNA history","No prior DNA history")</f>
        <v>No prior DNA history</v>
      </c>
      <c r="T878" t="s">
        <v>22</v>
      </c>
      <c r="U878" t="str">
        <f t="shared" si="13"/>
        <v>1</v>
      </c>
      <c r="V878" t="str">
        <f>IF(Table1[appointment_status]="Attended","1","0")</f>
        <v>1</v>
      </c>
      <c r="W878" t="str">
        <f>IF(Table1[appointment_status]="Cancelled","1","0")</f>
        <v>0</v>
      </c>
    </row>
    <row r="879" spans="1:23">
      <c r="A879" t="s">
        <v>1600</v>
      </c>
      <c r="B879" t="s">
        <v>413</v>
      </c>
      <c r="C879">
        <v>61</v>
      </c>
      <c r="D879" t="str" cm="1">
        <f t="array" ref="D879">_xlfn.IFS(Table1[[#This Row],[age]]&lt;=17,"0-17",C879&lt;=29,"18-29",C879&lt;=44,"30-44",C879&lt;=59,"45-59",C879&lt;=74,"60-74",TRUE,"75+")</f>
        <v>60-74</v>
      </c>
      <c r="E879" t="s">
        <v>29</v>
      </c>
      <c r="F879">
        <v>1</v>
      </c>
      <c r="G879" t="str" cm="1">
        <f t="array" ref="G879">_xlfn.IFS(_xlfn.SINGLE(Table1[imd_decile])&lt;=3,"Most Deprived",F879&lt;=7,"Moderately Deprived",F879&lt;=10,"Least Deprived")</f>
        <v>Most Deprived</v>
      </c>
      <c r="H879">
        <v>12.9</v>
      </c>
      <c r="I879" t="s">
        <v>49</v>
      </c>
      <c r="J879" t="s">
        <v>19</v>
      </c>
      <c r="K879" s="1">
        <v>45737</v>
      </c>
      <c r="L879" s="1">
        <v>45800</v>
      </c>
      <c r="M879" s="1" t="str">
        <f>TEXT(Table1[[#This Row],[appointment_date]],"MM/YYYY")</f>
        <v>05/2025</v>
      </c>
      <c r="N879">
        <v>63</v>
      </c>
      <c r="O879" t="str" cm="1">
        <f t="array" ref="O879">_xlfn.IFS(Table1[[#This Row],[lead_time_days]]&lt;=7,"0-7 days",N879&lt;=14,"8-14 days",N879&lt;=30,"15-30 days",N879&lt;=60,"31-60 days",TRUE,"61+ days")</f>
        <v>61+ days</v>
      </c>
      <c r="P879" t="s">
        <v>52</v>
      </c>
      <c r="Q879" t="s">
        <v>32</v>
      </c>
      <c r="R879">
        <v>1</v>
      </c>
      <c r="S879" t="str">
        <f>IF(Table1[prior_dna_count]&gt;=1,"Has prior DNA history","No prior DNA history")</f>
        <v>Has prior DNA history</v>
      </c>
      <c r="T879" t="s">
        <v>46</v>
      </c>
      <c r="U879" t="str">
        <f t="shared" si="13"/>
        <v>1</v>
      </c>
      <c r="V879" t="str">
        <f>IF(Table1[appointment_status]="Attended","1","0")</f>
        <v>0</v>
      </c>
      <c r="W879" t="str">
        <f>IF(Table1[appointment_status]="Cancelled","1","0")</f>
        <v>1</v>
      </c>
    </row>
    <row r="880" spans="1:23">
      <c r="A880" t="s">
        <v>1601</v>
      </c>
      <c r="B880" t="s">
        <v>1602</v>
      </c>
      <c r="C880">
        <v>42</v>
      </c>
      <c r="D880" t="str" cm="1">
        <f t="array" ref="D880">_xlfn.IFS(Table1[[#This Row],[age]]&lt;=17,"0-17",C880&lt;=29,"18-29",C880&lt;=44,"30-44",C880&lt;=59,"45-59",C880&lt;=74,"60-74",TRUE,"75+")</f>
        <v>30-44</v>
      </c>
      <c r="E880" t="s">
        <v>29</v>
      </c>
      <c r="F880">
        <v>2</v>
      </c>
      <c r="G880" t="str" cm="1">
        <f t="array" ref="G880">_xlfn.IFS(_xlfn.SINGLE(Table1[imd_decile])&lt;=3,"Most Deprived",F880&lt;=7,"Moderately Deprived",F880&lt;=10,"Least Deprived")</f>
        <v>Most Deprived</v>
      </c>
      <c r="H880">
        <v>18.899999999999999</v>
      </c>
      <c r="I880" t="s">
        <v>58</v>
      </c>
      <c r="J880" t="s">
        <v>19</v>
      </c>
      <c r="K880" s="1">
        <v>45785</v>
      </c>
      <c r="L880" s="1">
        <v>45800</v>
      </c>
      <c r="M880" s="1" t="str">
        <f>TEXT(Table1[[#This Row],[appointment_date]],"MM/YYYY")</f>
        <v>05/2025</v>
      </c>
      <c r="N880">
        <v>15</v>
      </c>
      <c r="O880" t="str" cm="1">
        <f t="array" ref="O880">_xlfn.IFS(Table1[[#This Row],[lead_time_days]]&lt;=7,"0-7 days",N880&lt;=14,"8-14 days",N880&lt;=30,"15-30 days",N880&lt;=60,"31-60 days",TRUE,"61+ days")</f>
        <v>15-30 days</v>
      </c>
      <c r="P880" t="s">
        <v>52</v>
      </c>
      <c r="Q880" t="s">
        <v>21</v>
      </c>
      <c r="R880">
        <v>1</v>
      </c>
      <c r="S880" t="str">
        <f>IF(Table1[prior_dna_count]&gt;=1,"Has prior DNA history","No prior DNA history")</f>
        <v>Has prior DNA history</v>
      </c>
      <c r="T880" t="s">
        <v>22</v>
      </c>
      <c r="U880" t="str">
        <f t="shared" si="13"/>
        <v>0</v>
      </c>
      <c r="V880" t="str">
        <f>IF(Table1[appointment_status]="Attended","1","0")</f>
        <v>1</v>
      </c>
      <c r="W880" t="str">
        <f>IF(Table1[appointment_status]="Cancelled","1","0")</f>
        <v>0</v>
      </c>
    </row>
    <row r="881" spans="1:23">
      <c r="A881" t="s">
        <v>1603</v>
      </c>
      <c r="B881" t="s">
        <v>1604</v>
      </c>
      <c r="C881">
        <v>67</v>
      </c>
      <c r="D881" t="str" cm="1">
        <f t="array" ref="D881">_xlfn.IFS(Table1[[#This Row],[age]]&lt;=17,"0-17",C881&lt;=29,"18-29",C881&lt;=44,"30-44",C881&lt;=59,"45-59",C881&lt;=74,"60-74",TRUE,"75+")</f>
        <v>60-74</v>
      </c>
      <c r="E881" t="s">
        <v>29</v>
      </c>
      <c r="F881">
        <v>4</v>
      </c>
      <c r="G881" t="str" cm="1">
        <f t="array" ref="G881">_xlfn.IFS(_xlfn.SINGLE(Table1[imd_decile])&lt;=3,"Most Deprived",F881&lt;=7,"Moderately Deprived",F881&lt;=10,"Least Deprived")</f>
        <v>Moderately Deprived</v>
      </c>
      <c r="H881">
        <v>11.5</v>
      </c>
      <c r="I881" t="s">
        <v>49</v>
      </c>
      <c r="J881" t="s">
        <v>19</v>
      </c>
      <c r="K881" s="1">
        <v>45734</v>
      </c>
      <c r="L881" s="1">
        <v>45800</v>
      </c>
      <c r="M881" s="1" t="str">
        <f>TEXT(Table1[[#This Row],[appointment_date]],"MM/YYYY")</f>
        <v>05/2025</v>
      </c>
      <c r="N881">
        <v>66</v>
      </c>
      <c r="O881" t="str" cm="1">
        <f t="array" ref="O881">_xlfn.IFS(Table1[[#This Row],[lead_time_days]]&lt;=7,"0-7 days",N881&lt;=14,"8-14 days",N881&lt;=30,"15-30 days",N881&lt;=60,"31-60 days",TRUE,"61+ days")</f>
        <v>61+ days</v>
      </c>
      <c r="P881" t="s">
        <v>52</v>
      </c>
      <c r="Q881" t="s">
        <v>21</v>
      </c>
      <c r="R881">
        <v>0</v>
      </c>
      <c r="S881" t="str">
        <f>IF(Table1[prior_dna_count]&gt;=1,"Has prior DNA history","No prior DNA history")</f>
        <v>No prior DNA history</v>
      </c>
      <c r="T881" t="s">
        <v>22</v>
      </c>
      <c r="U881" t="str">
        <f t="shared" si="13"/>
        <v>1</v>
      </c>
      <c r="V881" t="str">
        <f>IF(Table1[appointment_status]="Attended","1","0")</f>
        <v>1</v>
      </c>
      <c r="W881" t="str">
        <f>IF(Table1[appointment_status]="Cancelled","1","0")</f>
        <v>0</v>
      </c>
    </row>
    <row r="882" spans="1:23">
      <c r="A882" t="s">
        <v>1605</v>
      </c>
      <c r="B882" t="s">
        <v>1366</v>
      </c>
      <c r="C882">
        <v>49</v>
      </c>
      <c r="D882" t="str" cm="1">
        <f t="array" ref="D882">_xlfn.IFS(Table1[[#This Row],[age]]&lt;=17,"0-17",C882&lt;=29,"18-29",C882&lt;=44,"30-44",C882&lt;=59,"45-59",C882&lt;=74,"60-74",TRUE,"75+")</f>
        <v>45-59</v>
      </c>
      <c r="E882" t="s">
        <v>17</v>
      </c>
      <c r="F882">
        <v>9</v>
      </c>
      <c r="G882" t="str" cm="1">
        <f t="array" ref="G882">_xlfn.IFS(_xlfn.SINGLE(Table1[imd_decile])&lt;=3,"Most Deprived",F882&lt;=7,"Moderately Deprived",F882&lt;=10,"Least Deprived")</f>
        <v>Least Deprived</v>
      </c>
      <c r="H882">
        <v>5.0999999999999996</v>
      </c>
      <c r="I882" t="s">
        <v>155</v>
      </c>
      <c r="J882" t="s">
        <v>26</v>
      </c>
      <c r="K882" s="1">
        <v>45758</v>
      </c>
      <c r="L882" s="1">
        <v>45800</v>
      </c>
      <c r="M882" s="1" t="str">
        <f>TEXT(Table1[[#This Row],[appointment_date]],"MM/YYYY")</f>
        <v>05/2025</v>
      </c>
      <c r="N882">
        <v>42</v>
      </c>
      <c r="O882" t="str" cm="1">
        <f t="array" ref="O882">_xlfn.IFS(Table1[[#This Row],[lead_time_days]]&lt;=7,"0-7 days",N882&lt;=14,"8-14 days",N882&lt;=30,"15-30 days",N882&lt;=60,"31-60 days",TRUE,"61+ days")</f>
        <v>31-60 days</v>
      </c>
      <c r="P882" t="s">
        <v>52</v>
      </c>
      <c r="Q882" t="s">
        <v>21</v>
      </c>
      <c r="R882">
        <v>1</v>
      </c>
      <c r="S882" t="str">
        <f>IF(Table1[prior_dna_count]&gt;=1,"Has prior DNA history","No prior DNA history")</f>
        <v>Has prior DNA history</v>
      </c>
      <c r="T882" t="s">
        <v>22</v>
      </c>
      <c r="U882" t="str">
        <f t="shared" si="13"/>
        <v>1</v>
      </c>
      <c r="V882" t="str">
        <f>IF(Table1[appointment_status]="Attended","1","0")</f>
        <v>1</v>
      </c>
      <c r="W882" t="str">
        <f>IF(Table1[appointment_status]="Cancelled","1","0")</f>
        <v>0</v>
      </c>
    </row>
    <row r="883" spans="1:23">
      <c r="A883" t="s">
        <v>1606</v>
      </c>
      <c r="B883" t="s">
        <v>1607</v>
      </c>
      <c r="C883">
        <v>13</v>
      </c>
      <c r="D883" t="str" cm="1">
        <f t="array" ref="D883">_xlfn.IFS(Table1[[#This Row],[age]]&lt;=17,"0-17",C883&lt;=29,"18-29",C883&lt;=44,"30-44",C883&lt;=59,"45-59",C883&lt;=74,"60-74",TRUE,"75+")</f>
        <v>0-17</v>
      </c>
      <c r="E883" t="s">
        <v>29</v>
      </c>
      <c r="F883">
        <v>4</v>
      </c>
      <c r="G883" t="str" cm="1">
        <f t="array" ref="G883">_xlfn.IFS(_xlfn.SINGLE(Table1[imd_decile])&lt;=3,"Most Deprived",F883&lt;=7,"Moderately Deprived",F883&lt;=10,"Least Deprived")</f>
        <v>Moderately Deprived</v>
      </c>
      <c r="H883">
        <v>5.7</v>
      </c>
      <c r="I883" t="s">
        <v>42</v>
      </c>
      <c r="J883" t="s">
        <v>19</v>
      </c>
      <c r="K883" s="1">
        <v>45773</v>
      </c>
      <c r="L883" s="1">
        <v>45800</v>
      </c>
      <c r="M883" s="1" t="str">
        <f>TEXT(Table1[[#This Row],[appointment_date]],"MM/YYYY")</f>
        <v>05/2025</v>
      </c>
      <c r="N883">
        <v>27</v>
      </c>
      <c r="O883" t="str" cm="1">
        <f t="array" ref="O883">_xlfn.IFS(Table1[[#This Row],[lead_time_days]]&lt;=7,"0-7 days",N883&lt;=14,"8-14 days",N883&lt;=30,"15-30 days",N883&lt;=60,"31-60 days",TRUE,"61+ days")</f>
        <v>15-30 days</v>
      </c>
      <c r="P883" t="s">
        <v>52</v>
      </c>
      <c r="Q883" t="s">
        <v>21</v>
      </c>
      <c r="R883">
        <v>0</v>
      </c>
      <c r="S883" t="str">
        <f>IF(Table1[prior_dna_count]&gt;=1,"Has prior DNA history","No prior DNA history")</f>
        <v>No prior DNA history</v>
      </c>
      <c r="T883" t="s">
        <v>22</v>
      </c>
      <c r="U883" t="str">
        <f t="shared" si="13"/>
        <v>1</v>
      </c>
      <c r="V883" t="str">
        <f>IF(Table1[appointment_status]="Attended","1","0")</f>
        <v>1</v>
      </c>
      <c r="W883" t="str">
        <f>IF(Table1[appointment_status]="Cancelled","1","0")</f>
        <v>0</v>
      </c>
    </row>
    <row r="884" spans="1:23">
      <c r="A884" t="s">
        <v>1608</v>
      </c>
      <c r="B884" t="s">
        <v>1609</v>
      </c>
      <c r="C884">
        <v>20</v>
      </c>
      <c r="D884" t="str" cm="1">
        <f t="array" ref="D884">_xlfn.IFS(Table1[[#This Row],[age]]&lt;=17,"0-17",C884&lt;=29,"18-29",C884&lt;=44,"30-44",C884&lt;=59,"45-59",C884&lt;=74,"60-74",TRUE,"75+")</f>
        <v>18-29</v>
      </c>
      <c r="E884" t="s">
        <v>29</v>
      </c>
      <c r="F884">
        <v>4</v>
      </c>
      <c r="G884" t="str" cm="1">
        <f t="array" ref="G884">_xlfn.IFS(_xlfn.SINGLE(Table1[imd_decile])&lt;=3,"Most Deprived",F884&lt;=7,"Moderately Deprived",F884&lt;=10,"Least Deprived")</f>
        <v>Moderately Deprived</v>
      </c>
      <c r="H884">
        <v>5.7</v>
      </c>
      <c r="I884" t="s">
        <v>42</v>
      </c>
      <c r="J884" t="s">
        <v>26</v>
      </c>
      <c r="K884" s="1">
        <v>45794</v>
      </c>
      <c r="L884" s="1">
        <v>45801</v>
      </c>
      <c r="M884" s="1" t="str">
        <f>TEXT(Table1[[#This Row],[appointment_date]],"MM/YYYY")</f>
        <v>05/2025</v>
      </c>
      <c r="N884">
        <v>7</v>
      </c>
      <c r="O884" t="str" cm="1">
        <f t="array" ref="O884">_xlfn.IFS(Table1[[#This Row],[lead_time_days]]&lt;=7,"0-7 days",N884&lt;=14,"8-14 days",N884&lt;=30,"15-30 days",N884&lt;=60,"31-60 days",TRUE,"61+ days")</f>
        <v>0-7 days</v>
      </c>
      <c r="P884" t="s">
        <v>55</v>
      </c>
      <c r="Q884" t="s">
        <v>21</v>
      </c>
      <c r="R884">
        <v>0</v>
      </c>
      <c r="S884" t="str">
        <f>IF(Table1[prior_dna_count]&gt;=1,"Has prior DNA history","No prior DNA history")</f>
        <v>No prior DNA history</v>
      </c>
      <c r="T884" t="s">
        <v>22</v>
      </c>
      <c r="U884" t="str">
        <f t="shared" si="13"/>
        <v>1</v>
      </c>
      <c r="V884" t="str">
        <f>IF(Table1[appointment_status]="Attended","1","0")</f>
        <v>1</v>
      </c>
      <c r="W884" t="str">
        <f>IF(Table1[appointment_status]="Cancelled","1","0")</f>
        <v>0</v>
      </c>
    </row>
    <row r="885" spans="1:23">
      <c r="A885" t="s">
        <v>1610</v>
      </c>
      <c r="B885" t="s">
        <v>1611</v>
      </c>
      <c r="C885">
        <v>62</v>
      </c>
      <c r="D885" t="str" cm="1">
        <f t="array" ref="D885">_xlfn.IFS(Table1[[#This Row],[age]]&lt;=17,"0-17",C885&lt;=29,"18-29",C885&lt;=44,"30-44",C885&lt;=59,"45-59",C885&lt;=74,"60-74",TRUE,"75+")</f>
        <v>60-74</v>
      </c>
      <c r="E885" t="s">
        <v>29</v>
      </c>
      <c r="F885">
        <v>3</v>
      </c>
      <c r="G885" t="str" cm="1">
        <f t="array" ref="G885">_xlfn.IFS(_xlfn.SINGLE(Table1[imd_decile])&lt;=3,"Most Deprived",F885&lt;=7,"Moderately Deprived",F885&lt;=10,"Least Deprived")</f>
        <v>Most Deprived</v>
      </c>
      <c r="H885">
        <v>3.6</v>
      </c>
      <c r="I885" t="s">
        <v>42</v>
      </c>
      <c r="J885" t="s">
        <v>19</v>
      </c>
      <c r="K885" s="1">
        <v>45777</v>
      </c>
      <c r="L885" s="1">
        <v>45801</v>
      </c>
      <c r="M885" s="1" t="str">
        <f>TEXT(Table1[[#This Row],[appointment_date]],"MM/YYYY")</f>
        <v>05/2025</v>
      </c>
      <c r="N885">
        <v>24</v>
      </c>
      <c r="O885" t="str" cm="1">
        <f t="array" ref="O885">_xlfn.IFS(Table1[[#This Row],[lead_time_days]]&lt;=7,"0-7 days",N885&lt;=14,"8-14 days",N885&lt;=30,"15-30 days",N885&lt;=60,"31-60 days",TRUE,"61+ days")</f>
        <v>15-30 days</v>
      </c>
      <c r="P885" t="s">
        <v>55</v>
      </c>
      <c r="Q885" t="s">
        <v>21</v>
      </c>
      <c r="R885">
        <v>0</v>
      </c>
      <c r="S885" t="str">
        <f>IF(Table1[prior_dna_count]&gt;=1,"Has prior DNA history","No prior DNA history")</f>
        <v>No prior DNA history</v>
      </c>
      <c r="T885" t="s">
        <v>22</v>
      </c>
      <c r="U885" t="str">
        <f t="shared" si="13"/>
        <v>1</v>
      </c>
      <c r="V885" t="str">
        <f>IF(Table1[appointment_status]="Attended","1","0")</f>
        <v>1</v>
      </c>
      <c r="W885" t="str">
        <f>IF(Table1[appointment_status]="Cancelled","1","0")</f>
        <v>0</v>
      </c>
    </row>
    <row r="886" spans="1:23">
      <c r="A886" t="s">
        <v>1612</v>
      </c>
      <c r="B886" t="s">
        <v>179</v>
      </c>
      <c r="C886">
        <v>72</v>
      </c>
      <c r="D886" t="str" cm="1">
        <f t="array" ref="D886">_xlfn.IFS(Table1[[#This Row],[age]]&lt;=17,"0-17",C886&lt;=29,"18-29",C886&lt;=44,"30-44",C886&lt;=59,"45-59",C886&lt;=74,"60-74",TRUE,"75+")</f>
        <v>60-74</v>
      </c>
      <c r="E886" t="s">
        <v>17</v>
      </c>
      <c r="F886">
        <v>4</v>
      </c>
      <c r="G886" t="str" cm="1">
        <f t="array" ref="G886">_xlfn.IFS(_xlfn.SINGLE(Table1[imd_decile])&lt;=3,"Most Deprived",F886&lt;=7,"Moderately Deprived",F886&lt;=10,"Least Deprived")</f>
        <v>Moderately Deprived</v>
      </c>
      <c r="H886">
        <v>22.9</v>
      </c>
      <c r="I886" t="s">
        <v>45</v>
      </c>
      <c r="J886" t="s">
        <v>19</v>
      </c>
      <c r="K886" s="1">
        <v>45784</v>
      </c>
      <c r="L886" s="1">
        <v>45801</v>
      </c>
      <c r="M886" s="1" t="str">
        <f>TEXT(Table1[[#This Row],[appointment_date]],"MM/YYYY")</f>
        <v>05/2025</v>
      </c>
      <c r="N886">
        <v>17</v>
      </c>
      <c r="O886" t="str" cm="1">
        <f t="array" ref="O886">_xlfn.IFS(Table1[[#This Row],[lead_time_days]]&lt;=7,"0-7 days",N886&lt;=14,"8-14 days",N886&lt;=30,"15-30 days",N886&lt;=60,"31-60 days",TRUE,"61+ days")</f>
        <v>15-30 days</v>
      </c>
      <c r="P886" t="s">
        <v>55</v>
      </c>
      <c r="Q886" t="s">
        <v>21</v>
      </c>
      <c r="R886">
        <v>0</v>
      </c>
      <c r="S886" t="str">
        <f>IF(Table1[prior_dna_count]&gt;=1,"Has prior DNA history","No prior DNA history")</f>
        <v>No prior DNA history</v>
      </c>
      <c r="T886" t="s">
        <v>22</v>
      </c>
      <c r="U886" t="str">
        <f t="shared" si="13"/>
        <v>1</v>
      </c>
      <c r="V886" t="str">
        <f>IF(Table1[appointment_status]="Attended","1","0")</f>
        <v>1</v>
      </c>
      <c r="W886" t="str">
        <f>IF(Table1[appointment_status]="Cancelled","1","0")</f>
        <v>0</v>
      </c>
    </row>
    <row r="887" spans="1:23">
      <c r="A887" t="s">
        <v>1613</v>
      </c>
      <c r="B887" t="s">
        <v>1614</v>
      </c>
      <c r="C887">
        <v>40</v>
      </c>
      <c r="D887" t="str" cm="1">
        <f t="array" ref="D887">_xlfn.IFS(Table1[[#This Row],[age]]&lt;=17,"0-17",C887&lt;=29,"18-29",C887&lt;=44,"30-44",C887&lt;=59,"45-59",C887&lt;=74,"60-74",TRUE,"75+")</f>
        <v>30-44</v>
      </c>
      <c r="E887" t="s">
        <v>29</v>
      </c>
      <c r="F887">
        <v>4</v>
      </c>
      <c r="G887" t="str" cm="1">
        <f t="array" ref="G887">_xlfn.IFS(_xlfn.SINGLE(Table1[imd_decile])&lt;=3,"Most Deprived",F887&lt;=7,"Moderately Deprived",F887&lt;=10,"Least Deprived")</f>
        <v>Moderately Deprived</v>
      </c>
      <c r="H887">
        <v>5.4</v>
      </c>
      <c r="I887" t="s">
        <v>91</v>
      </c>
      <c r="J887" t="s">
        <v>26</v>
      </c>
      <c r="K887" s="1">
        <v>45788</v>
      </c>
      <c r="L887" s="1">
        <v>45801</v>
      </c>
      <c r="M887" s="1" t="str">
        <f>TEXT(Table1[[#This Row],[appointment_date]],"MM/YYYY")</f>
        <v>05/2025</v>
      </c>
      <c r="N887">
        <v>13</v>
      </c>
      <c r="O887" t="str" cm="1">
        <f t="array" ref="O887">_xlfn.IFS(Table1[[#This Row],[lead_time_days]]&lt;=7,"0-7 days",N887&lt;=14,"8-14 days",N887&lt;=30,"15-30 days",N887&lt;=60,"31-60 days",TRUE,"61+ days")</f>
        <v>8-14 days</v>
      </c>
      <c r="P887" t="s">
        <v>55</v>
      </c>
      <c r="Q887" t="s">
        <v>21</v>
      </c>
      <c r="R887">
        <v>0</v>
      </c>
      <c r="S887" t="str">
        <f>IF(Table1[prior_dna_count]&gt;=1,"Has prior DNA history","No prior DNA history")</f>
        <v>No prior DNA history</v>
      </c>
      <c r="T887" t="s">
        <v>22</v>
      </c>
      <c r="U887" t="str">
        <f t="shared" si="13"/>
        <v>1</v>
      </c>
      <c r="V887" t="str">
        <f>IF(Table1[appointment_status]="Attended","1","0")</f>
        <v>1</v>
      </c>
      <c r="W887" t="str">
        <f>IF(Table1[appointment_status]="Cancelled","1","0")</f>
        <v>0</v>
      </c>
    </row>
    <row r="888" spans="1:23">
      <c r="A888" t="s">
        <v>1615</v>
      </c>
      <c r="B888" t="s">
        <v>772</v>
      </c>
      <c r="C888">
        <v>24</v>
      </c>
      <c r="D888" t="str" cm="1">
        <f t="array" ref="D888">_xlfn.IFS(Table1[[#This Row],[age]]&lt;=17,"0-17",C888&lt;=29,"18-29",C888&lt;=44,"30-44",C888&lt;=59,"45-59",C888&lt;=74,"60-74",TRUE,"75+")</f>
        <v>18-29</v>
      </c>
      <c r="E888" t="s">
        <v>29</v>
      </c>
      <c r="F888">
        <v>5</v>
      </c>
      <c r="G888" t="str" cm="1">
        <f t="array" ref="G888">_xlfn.IFS(_xlfn.SINGLE(Table1[imd_decile])&lt;=3,"Most Deprived",F888&lt;=7,"Moderately Deprived",F888&lt;=10,"Least Deprived")</f>
        <v>Moderately Deprived</v>
      </c>
      <c r="H888">
        <v>5.2</v>
      </c>
      <c r="I888" t="s">
        <v>25</v>
      </c>
      <c r="J888" t="s">
        <v>26</v>
      </c>
      <c r="K888" s="1">
        <v>45786</v>
      </c>
      <c r="L888" s="1">
        <v>45801</v>
      </c>
      <c r="M888" s="1" t="str">
        <f>TEXT(Table1[[#This Row],[appointment_date]],"MM/YYYY")</f>
        <v>05/2025</v>
      </c>
      <c r="N888">
        <v>15</v>
      </c>
      <c r="O888" t="str" cm="1">
        <f t="array" ref="O888">_xlfn.IFS(Table1[[#This Row],[lead_time_days]]&lt;=7,"0-7 days",N888&lt;=14,"8-14 days",N888&lt;=30,"15-30 days",N888&lt;=60,"31-60 days",TRUE,"61+ days")</f>
        <v>15-30 days</v>
      </c>
      <c r="P888" t="s">
        <v>55</v>
      </c>
      <c r="Q888" t="s">
        <v>21</v>
      </c>
      <c r="R888">
        <v>0</v>
      </c>
      <c r="S888" t="str">
        <f>IF(Table1[prior_dna_count]&gt;=1,"Has prior DNA history","No prior DNA history")</f>
        <v>No prior DNA history</v>
      </c>
      <c r="T888" t="s">
        <v>22</v>
      </c>
      <c r="U888" t="str">
        <f t="shared" si="13"/>
        <v>1</v>
      </c>
      <c r="V888" t="str">
        <f>IF(Table1[appointment_status]="Attended","1","0")</f>
        <v>1</v>
      </c>
      <c r="W888" t="str">
        <f>IF(Table1[appointment_status]="Cancelled","1","0")</f>
        <v>0</v>
      </c>
    </row>
    <row r="889" spans="1:23">
      <c r="A889" t="s">
        <v>1616</v>
      </c>
      <c r="B889" t="s">
        <v>1617</v>
      </c>
      <c r="C889">
        <v>46</v>
      </c>
      <c r="D889" t="str" cm="1">
        <f t="array" ref="D889">_xlfn.IFS(Table1[[#This Row],[age]]&lt;=17,"0-17",C889&lt;=29,"18-29",C889&lt;=44,"30-44",C889&lt;=59,"45-59",C889&lt;=74,"60-74",TRUE,"75+")</f>
        <v>45-59</v>
      </c>
      <c r="E889" t="s">
        <v>29</v>
      </c>
      <c r="F889">
        <v>4</v>
      </c>
      <c r="G889" t="str" cm="1">
        <f t="array" ref="G889">_xlfn.IFS(_xlfn.SINGLE(Table1[imd_decile])&lt;=3,"Most Deprived",F889&lt;=7,"Moderately Deprived",F889&lt;=10,"Least Deprived")</f>
        <v>Moderately Deprived</v>
      </c>
      <c r="H889">
        <v>2.7</v>
      </c>
      <c r="I889" t="s">
        <v>49</v>
      </c>
      <c r="J889" t="s">
        <v>19</v>
      </c>
      <c r="K889" s="1">
        <v>45738</v>
      </c>
      <c r="L889" s="1">
        <v>45802</v>
      </c>
      <c r="M889" s="1" t="str">
        <f>TEXT(Table1[[#This Row],[appointment_date]],"MM/YYYY")</f>
        <v>05/2025</v>
      </c>
      <c r="N889">
        <v>64</v>
      </c>
      <c r="O889" t="str" cm="1">
        <f t="array" ref="O889">_xlfn.IFS(Table1[[#This Row],[lead_time_days]]&lt;=7,"0-7 days",N889&lt;=14,"8-14 days",N889&lt;=30,"15-30 days",N889&lt;=60,"31-60 days",TRUE,"61+ days")</f>
        <v>61+ days</v>
      </c>
      <c r="P889" t="s">
        <v>31</v>
      </c>
      <c r="Q889" t="s">
        <v>21</v>
      </c>
      <c r="R889">
        <v>0</v>
      </c>
      <c r="S889" t="str">
        <f>IF(Table1[prior_dna_count]&gt;=1,"Has prior DNA history","No prior DNA history")</f>
        <v>No prior DNA history</v>
      </c>
      <c r="T889" t="s">
        <v>46</v>
      </c>
      <c r="U889" t="str">
        <f t="shared" si="13"/>
        <v>1</v>
      </c>
      <c r="V889" t="str">
        <f>IF(Table1[appointment_status]="Attended","1","0")</f>
        <v>0</v>
      </c>
      <c r="W889" t="str">
        <f>IF(Table1[appointment_status]="Cancelled","1","0")</f>
        <v>1</v>
      </c>
    </row>
    <row r="890" spans="1:23">
      <c r="A890" t="s">
        <v>1618</v>
      </c>
      <c r="B890" t="s">
        <v>843</v>
      </c>
      <c r="C890">
        <v>18</v>
      </c>
      <c r="D890" t="str" cm="1">
        <f t="array" ref="D890">_xlfn.IFS(Table1[[#This Row],[age]]&lt;=17,"0-17",C890&lt;=29,"18-29",C890&lt;=44,"30-44",C890&lt;=59,"45-59",C890&lt;=74,"60-74",TRUE,"75+")</f>
        <v>18-29</v>
      </c>
      <c r="E890" t="s">
        <v>29</v>
      </c>
      <c r="F890">
        <v>4</v>
      </c>
      <c r="G890" t="str" cm="1">
        <f t="array" ref="G890">_xlfn.IFS(_xlfn.SINGLE(Table1[imd_decile])&lt;=3,"Most Deprived",F890&lt;=7,"Moderately Deprived",F890&lt;=10,"Least Deprived")</f>
        <v>Moderately Deprived</v>
      </c>
      <c r="H890">
        <v>23.2</v>
      </c>
      <c r="I890" t="s">
        <v>30</v>
      </c>
      <c r="J890" t="s">
        <v>19</v>
      </c>
      <c r="K890" s="1">
        <v>45794</v>
      </c>
      <c r="L890" s="1">
        <v>45802</v>
      </c>
      <c r="M890" s="1" t="str">
        <f>TEXT(Table1[[#This Row],[appointment_date]],"MM/YYYY")</f>
        <v>05/2025</v>
      </c>
      <c r="N890">
        <v>8</v>
      </c>
      <c r="O890" t="str" cm="1">
        <f t="array" ref="O890">_xlfn.IFS(Table1[[#This Row],[lead_time_days]]&lt;=7,"0-7 days",N890&lt;=14,"8-14 days",N890&lt;=30,"15-30 days",N890&lt;=60,"31-60 days",TRUE,"61+ days")</f>
        <v>8-14 days</v>
      </c>
      <c r="P890" t="s">
        <v>31</v>
      </c>
      <c r="Q890" t="s">
        <v>21</v>
      </c>
      <c r="R890">
        <v>0</v>
      </c>
      <c r="S890" t="str">
        <f>IF(Table1[prior_dna_count]&gt;=1,"Has prior DNA history","No prior DNA history")</f>
        <v>No prior DNA history</v>
      </c>
      <c r="T890" t="s">
        <v>22</v>
      </c>
      <c r="U890" t="str">
        <f t="shared" si="13"/>
        <v>0</v>
      </c>
      <c r="V890" t="str">
        <f>IF(Table1[appointment_status]="Attended","1","0")</f>
        <v>1</v>
      </c>
      <c r="W890" t="str">
        <f>IF(Table1[appointment_status]="Cancelled","1","0")</f>
        <v>0</v>
      </c>
    </row>
    <row r="891" spans="1:23">
      <c r="A891" t="s">
        <v>1619</v>
      </c>
      <c r="B891" t="s">
        <v>1620</v>
      </c>
      <c r="C891">
        <v>21</v>
      </c>
      <c r="D891" t="str" cm="1">
        <f t="array" ref="D891">_xlfn.IFS(Table1[[#This Row],[age]]&lt;=17,"0-17",C891&lt;=29,"18-29",C891&lt;=44,"30-44",C891&lt;=59,"45-59",C891&lt;=74,"60-74",TRUE,"75+")</f>
        <v>18-29</v>
      </c>
      <c r="E891" t="s">
        <v>29</v>
      </c>
      <c r="F891">
        <v>7</v>
      </c>
      <c r="G891" t="str" cm="1">
        <f t="array" ref="G891">_xlfn.IFS(_xlfn.SINGLE(Table1[imd_decile])&lt;=3,"Most Deprived",F891&lt;=7,"Moderately Deprived",F891&lt;=10,"Least Deprived")</f>
        <v>Moderately Deprived</v>
      </c>
      <c r="H891">
        <v>5.9</v>
      </c>
      <c r="I891" t="s">
        <v>91</v>
      </c>
      <c r="J891" t="s">
        <v>19</v>
      </c>
      <c r="K891" s="1">
        <v>45781</v>
      </c>
      <c r="L891" s="1">
        <v>45802</v>
      </c>
      <c r="M891" s="1" t="str">
        <f>TEXT(Table1[[#This Row],[appointment_date]],"MM/YYYY")</f>
        <v>05/2025</v>
      </c>
      <c r="N891">
        <v>21</v>
      </c>
      <c r="O891" t="str" cm="1">
        <f t="array" ref="O891">_xlfn.IFS(Table1[[#This Row],[lead_time_days]]&lt;=7,"0-7 days",N891&lt;=14,"8-14 days",N891&lt;=30,"15-30 days",N891&lt;=60,"31-60 days",TRUE,"61+ days")</f>
        <v>15-30 days</v>
      </c>
      <c r="P891" t="s">
        <v>31</v>
      </c>
      <c r="Q891" t="s">
        <v>32</v>
      </c>
      <c r="R891">
        <v>0</v>
      </c>
      <c r="S891" t="str">
        <f>IF(Table1[prior_dna_count]&gt;=1,"Has prior DNA history","No prior DNA history")</f>
        <v>No prior DNA history</v>
      </c>
      <c r="T891" t="s">
        <v>22</v>
      </c>
      <c r="U891" t="str">
        <f t="shared" si="13"/>
        <v>1</v>
      </c>
      <c r="V891" t="str">
        <f>IF(Table1[appointment_status]="Attended","1","0")</f>
        <v>1</v>
      </c>
      <c r="W891" t="str">
        <f>IF(Table1[appointment_status]="Cancelled","1","0")</f>
        <v>0</v>
      </c>
    </row>
    <row r="892" spans="1:23">
      <c r="A892" t="s">
        <v>1621</v>
      </c>
      <c r="B892" t="s">
        <v>1622</v>
      </c>
      <c r="C892">
        <v>53</v>
      </c>
      <c r="D892" t="str" cm="1">
        <f t="array" ref="D892">_xlfn.IFS(Table1[[#This Row],[age]]&lt;=17,"0-17",C892&lt;=29,"18-29",C892&lt;=44,"30-44",C892&lt;=59,"45-59",C892&lt;=74,"60-74",TRUE,"75+")</f>
        <v>45-59</v>
      </c>
      <c r="E892" t="s">
        <v>29</v>
      </c>
      <c r="F892">
        <v>8</v>
      </c>
      <c r="G892" t="str" cm="1">
        <f t="array" ref="G892">_xlfn.IFS(_xlfn.SINGLE(Table1[imd_decile])&lt;=3,"Most Deprived",F892&lt;=7,"Moderately Deprived",F892&lt;=10,"Least Deprived")</f>
        <v>Least Deprived</v>
      </c>
      <c r="H892">
        <v>3.3</v>
      </c>
      <c r="I892" t="s">
        <v>42</v>
      </c>
      <c r="J892" t="s">
        <v>19</v>
      </c>
      <c r="K892" s="1">
        <v>45772</v>
      </c>
      <c r="L892" s="1">
        <v>45802</v>
      </c>
      <c r="M892" s="1" t="str">
        <f>TEXT(Table1[[#This Row],[appointment_date]],"MM/YYYY")</f>
        <v>05/2025</v>
      </c>
      <c r="N892">
        <v>30</v>
      </c>
      <c r="O892" t="str" cm="1">
        <f t="array" ref="O892">_xlfn.IFS(Table1[[#This Row],[lead_time_days]]&lt;=7,"0-7 days",N892&lt;=14,"8-14 days",N892&lt;=30,"15-30 days",N892&lt;=60,"31-60 days",TRUE,"61+ days")</f>
        <v>15-30 days</v>
      </c>
      <c r="P892" t="s">
        <v>31</v>
      </c>
      <c r="Q892" t="s">
        <v>21</v>
      </c>
      <c r="R892">
        <v>0</v>
      </c>
      <c r="S892" t="str">
        <f>IF(Table1[prior_dna_count]&gt;=1,"Has prior DNA history","No prior DNA history")</f>
        <v>No prior DNA history</v>
      </c>
      <c r="T892" t="s">
        <v>22</v>
      </c>
      <c r="U892" t="str">
        <f t="shared" si="13"/>
        <v>1</v>
      </c>
      <c r="V892" t="str">
        <f>IF(Table1[appointment_status]="Attended","1","0")</f>
        <v>1</v>
      </c>
      <c r="W892" t="str">
        <f>IF(Table1[appointment_status]="Cancelled","1","0")</f>
        <v>0</v>
      </c>
    </row>
    <row r="893" spans="1:23">
      <c r="A893" t="s">
        <v>1623</v>
      </c>
      <c r="B893" t="s">
        <v>1624</v>
      </c>
      <c r="C893">
        <v>39</v>
      </c>
      <c r="D893" t="str" cm="1">
        <f t="array" ref="D893">_xlfn.IFS(Table1[[#This Row],[age]]&lt;=17,"0-17",C893&lt;=29,"18-29",C893&lt;=44,"30-44",C893&lt;=59,"45-59",C893&lt;=74,"60-74",TRUE,"75+")</f>
        <v>30-44</v>
      </c>
      <c r="E893" t="s">
        <v>29</v>
      </c>
      <c r="F893">
        <v>10</v>
      </c>
      <c r="G893" t="str" cm="1">
        <f t="array" ref="G893">_xlfn.IFS(_xlfn.SINGLE(Table1[imd_decile])&lt;=3,"Most Deprived",F893&lt;=7,"Moderately Deprived",F893&lt;=10,"Least Deprived")</f>
        <v>Least Deprived</v>
      </c>
      <c r="H893">
        <v>3.6</v>
      </c>
      <c r="I893" t="s">
        <v>91</v>
      </c>
      <c r="J893" t="s">
        <v>19</v>
      </c>
      <c r="K893" s="1">
        <v>45778</v>
      </c>
      <c r="L893" s="1">
        <v>45802</v>
      </c>
      <c r="M893" s="1" t="str">
        <f>TEXT(Table1[[#This Row],[appointment_date]],"MM/YYYY")</f>
        <v>05/2025</v>
      </c>
      <c r="N893">
        <v>24</v>
      </c>
      <c r="O893" t="str" cm="1">
        <f t="array" ref="O893">_xlfn.IFS(Table1[[#This Row],[lead_time_days]]&lt;=7,"0-7 days",N893&lt;=14,"8-14 days",N893&lt;=30,"15-30 days",N893&lt;=60,"31-60 days",TRUE,"61+ days")</f>
        <v>15-30 days</v>
      </c>
      <c r="P893" t="s">
        <v>31</v>
      </c>
      <c r="Q893" t="s">
        <v>32</v>
      </c>
      <c r="R893">
        <v>0</v>
      </c>
      <c r="S893" t="str">
        <f>IF(Table1[prior_dna_count]&gt;=1,"Has prior DNA history","No prior DNA history")</f>
        <v>No prior DNA history</v>
      </c>
      <c r="T893" t="s">
        <v>22</v>
      </c>
      <c r="U893" t="str">
        <f t="shared" si="13"/>
        <v>1</v>
      </c>
      <c r="V893" t="str">
        <f>IF(Table1[appointment_status]="Attended","1","0")</f>
        <v>1</v>
      </c>
      <c r="W893" t="str">
        <f>IF(Table1[appointment_status]="Cancelled","1","0")</f>
        <v>0</v>
      </c>
    </row>
    <row r="894" spans="1:23">
      <c r="A894" t="s">
        <v>1625</v>
      </c>
      <c r="B894" t="s">
        <v>1508</v>
      </c>
      <c r="C894">
        <v>53</v>
      </c>
      <c r="D894" t="str" cm="1">
        <f t="array" ref="D894">_xlfn.IFS(Table1[[#This Row],[age]]&lt;=17,"0-17",C894&lt;=29,"18-29",C894&lt;=44,"30-44",C894&lt;=59,"45-59",C894&lt;=74,"60-74",TRUE,"75+")</f>
        <v>45-59</v>
      </c>
      <c r="E894" t="s">
        <v>17</v>
      </c>
      <c r="F894">
        <v>3</v>
      </c>
      <c r="G894" t="str" cm="1">
        <f t="array" ref="G894">_xlfn.IFS(_xlfn.SINGLE(Table1[imd_decile])&lt;=3,"Most Deprived",F894&lt;=7,"Moderately Deprived",F894&lt;=10,"Least Deprived")</f>
        <v>Most Deprived</v>
      </c>
      <c r="H894">
        <v>1.1000000000000001</v>
      </c>
      <c r="I894" t="s">
        <v>18</v>
      </c>
      <c r="J894" t="s">
        <v>19</v>
      </c>
      <c r="K894" s="1">
        <v>45714</v>
      </c>
      <c r="L894" s="1">
        <v>45802</v>
      </c>
      <c r="M894" s="1" t="str">
        <f>TEXT(Table1[[#This Row],[appointment_date]],"MM/YYYY")</f>
        <v>05/2025</v>
      </c>
      <c r="N894">
        <v>88</v>
      </c>
      <c r="O894" t="str" cm="1">
        <f t="array" ref="O894">_xlfn.IFS(Table1[[#This Row],[lead_time_days]]&lt;=7,"0-7 days",N894&lt;=14,"8-14 days",N894&lt;=30,"15-30 days",N894&lt;=60,"31-60 days",TRUE,"61+ days")</f>
        <v>61+ days</v>
      </c>
      <c r="P894" t="s">
        <v>31</v>
      </c>
      <c r="Q894" t="s">
        <v>32</v>
      </c>
      <c r="R894">
        <v>0</v>
      </c>
      <c r="S894" t="str">
        <f>IF(Table1[prior_dna_count]&gt;=1,"Has prior DNA history","No prior DNA history")</f>
        <v>No prior DNA history</v>
      </c>
      <c r="T894" t="s">
        <v>22</v>
      </c>
      <c r="U894" t="str">
        <f t="shared" si="13"/>
        <v>1</v>
      </c>
      <c r="V894" t="str">
        <f>IF(Table1[appointment_status]="Attended","1","0")</f>
        <v>1</v>
      </c>
      <c r="W894" t="str">
        <f>IF(Table1[appointment_status]="Cancelled","1","0")</f>
        <v>0</v>
      </c>
    </row>
    <row r="895" spans="1:23">
      <c r="A895" t="s">
        <v>1626</v>
      </c>
      <c r="B895" t="s">
        <v>1362</v>
      </c>
      <c r="C895">
        <v>37</v>
      </c>
      <c r="D895" t="str" cm="1">
        <f t="array" ref="D895">_xlfn.IFS(Table1[[#This Row],[age]]&lt;=17,"0-17",C895&lt;=29,"18-29",C895&lt;=44,"30-44",C895&lt;=59,"45-59",C895&lt;=74,"60-74",TRUE,"75+")</f>
        <v>30-44</v>
      </c>
      <c r="E895" t="s">
        <v>17</v>
      </c>
      <c r="F895">
        <v>5</v>
      </c>
      <c r="G895" t="str" cm="1">
        <f t="array" ref="G895">_xlfn.IFS(_xlfn.SINGLE(Table1[imd_decile])&lt;=3,"Most Deprived",F895&lt;=7,"Moderately Deprived",F895&lt;=10,"Least Deprived")</f>
        <v>Moderately Deprived</v>
      </c>
      <c r="H895">
        <v>14.2</v>
      </c>
      <c r="I895" t="s">
        <v>155</v>
      </c>
      <c r="J895" t="s">
        <v>19</v>
      </c>
      <c r="K895" s="1">
        <v>45777</v>
      </c>
      <c r="L895" s="1">
        <v>45803</v>
      </c>
      <c r="M895" s="1" t="str">
        <f>TEXT(Table1[[#This Row],[appointment_date]],"MM/YYYY")</f>
        <v>05/2025</v>
      </c>
      <c r="N895">
        <v>26</v>
      </c>
      <c r="O895" t="str" cm="1">
        <f t="array" ref="O895">_xlfn.IFS(Table1[[#This Row],[lead_time_days]]&lt;=7,"0-7 days",N895&lt;=14,"8-14 days",N895&lt;=30,"15-30 days",N895&lt;=60,"31-60 days",TRUE,"61+ days")</f>
        <v>15-30 days</v>
      </c>
      <c r="P895" t="s">
        <v>35</v>
      </c>
      <c r="Q895" t="s">
        <v>21</v>
      </c>
      <c r="R895">
        <v>0</v>
      </c>
      <c r="S895" t="str">
        <f>IF(Table1[prior_dna_count]&gt;=1,"Has prior DNA history","No prior DNA history")</f>
        <v>No prior DNA history</v>
      </c>
      <c r="T895" t="s">
        <v>22</v>
      </c>
      <c r="U895" t="str">
        <f t="shared" si="13"/>
        <v>1</v>
      </c>
      <c r="V895" t="str">
        <f>IF(Table1[appointment_status]="Attended","1","0")</f>
        <v>1</v>
      </c>
      <c r="W895" t="str">
        <f>IF(Table1[appointment_status]="Cancelled","1","0")</f>
        <v>0</v>
      </c>
    </row>
    <row r="896" spans="1:23">
      <c r="A896" t="s">
        <v>1627</v>
      </c>
      <c r="B896" t="s">
        <v>1628</v>
      </c>
      <c r="C896">
        <v>16</v>
      </c>
      <c r="D896" t="str" cm="1">
        <f t="array" ref="D896">_xlfn.IFS(Table1[[#This Row],[age]]&lt;=17,"0-17",C896&lt;=29,"18-29",C896&lt;=44,"30-44",C896&lt;=59,"45-59",C896&lt;=74,"60-74",TRUE,"75+")</f>
        <v>0-17</v>
      </c>
      <c r="E896" t="s">
        <v>17</v>
      </c>
      <c r="F896">
        <v>9</v>
      </c>
      <c r="G896" t="str" cm="1">
        <f t="array" ref="G896">_xlfn.IFS(_xlfn.SINGLE(Table1[imd_decile])&lt;=3,"Most Deprived",F896&lt;=7,"Moderately Deprived",F896&lt;=10,"Least Deprived")</f>
        <v>Least Deprived</v>
      </c>
      <c r="H896">
        <v>7.8</v>
      </c>
      <c r="I896" t="s">
        <v>155</v>
      </c>
      <c r="J896" t="s">
        <v>26</v>
      </c>
      <c r="K896" s="1">
        <v>45788</v>
      </c>
      <c r="L896" s="1">
        <v>45803</v>
      </c>
      <c r="M896" s="1" t="str">
        <f>TEXT(Table1[[#This Row],[appointment_date]],"MM/YYYY")</f>
        <v>05/2025</v>
      </c>
      <c r="N896">
        <v>15</v>
      </c>
      <c r="O896" t="str" cm="1">
        <f t="array" ref="O896">_xlfn.IFS(Table1[[#This Row],[lead_time_days]]&lt;=7,"0-7 days",N896&lt;=14,"8-14 days",N896&lt;=30,"15-30 days",N896&lt;=60,"31-60 days",TRUE,"61+ days")</f>
        <v>15-30 days</v>
      </c>
      <c r="P896" t="s">
        <v>35</v>
      </c>
      <c r="Q896" t="s">
        <v>21</v>
      </c>
      <c r="R896">
        <v>0</v>
      </c>
      <c r="S896" t="str">
        <f>IF(Table1[prior_dna_count]&gt;=1,"Has prior DNA history","No prior DNA history")</f>
        <v>No prior DNA history</v>
      </c>
      <c r="T896" t="s">
        <v>22</v>
      </c>
      <c r="U896" t="str">
        <f t="shared" si="13"/>
        <v>1</v>
      </c>
      <c r="V896" t="str">
        <f>IF(Table1[appointment_status]="Attended","1","0")</f>
        <v>1</v>
      </c>
      <c r="W896" t="str">
        <f>IF(Table1[appointment_status]="Cancelled","1","0")</f>
        <v>0</v>
      </c>
    </row>
    <row r="897" spans="1:23">
      <c r="A897" t="s">
        <v>1629</v>
      </c>
      <c r="B897" t="s">
        <v>889</v>
      </c>
      <c r="C897">
        <v>32</v>
      </c>
      <c r="D897" t="str" cm="1">
        <f t="array" ref="D897">_xlfn.IFS(Table1[[#This Row],[age]]&lt;=17,"0-17",C897&lt;=29,"18-29",C897&lt;=44,"30-44",C897&lt;=59,"45-59",C897&lt;=74,"60-74",TRUE,"75+")</f>
        <v>30-44</v>
      </c>
      <c r="E897" t="s">
        <v>29</v>
      </c>
      <c r="F897">
        <v>3</v>
      </c>
      <c r="G897" t="str" cm="1">
        <f t="array" ref="G897">_xlfn.IFS(_xlfn.SINGLE(Table1[imd_decile])&lt;=3,"Most Deprived",F897&lt;=7,"Moderately Deprived",F897&lt;=10,"Least Deprived")</f>
        <v>Most Deprived</v>
      </c>
      <c r="H897">
        <v>15.3</v>
      </c>
      <c r="I897" t="s">
        <v>91</v>
      </c>
      <c r="J897" t="s">
        <v>19</v>
      </c>
      <c r="K897" s="1">
        <v>45754</v>
      </c>
      <c r="L897" s="1">
        <v>45803</v>
      </c>
      <c r="M897" s="1" t="str">
        <f>TEXT(Table1[[#This Row],[appointment_date]],"MM/YYYY")</f>
        <v>05/2025</v>
      </c>
      <c r="N897">
        <v>49</v>
      </c>
      <c r="O897" t="str" cm="1">
        <f t="array" ref="O897">_xlfn.IFS(Table1[[#This Row],[lead_time_days]]&lt;=7,"0-7 days",N897&lt;=14,"8-14 days",N897&lt;=30,"15-30 days",N897&lt;=60,"31-60 days",TRUE,"61+ days")</f>
        <v>31-60 days</v>
      </c>
      <c r="P897" t="s">
        <v>35</v>
      </c>
      <c r="Q897" t="s">
        <v>21</v>
      </c>
      <c r="R897">
        <v>0</v>
      </c>
      <c r="S897" t="str">
        <f>IF(Table1[prior_dna_count]&gt;=1,"Has prior DNA history","No prior DNA history")</f>
        <v>No prior DNA history</v>
      </c>
      <c r="T897" t="s">
        <v>22</v>
      </c>
      <c r="U897" t="str">
        <f t="shared" si="13"/>
        <v>1</v>
      </c>
      <c r="V897" t="str">
        <f>IF(Table1[appointment_status]="Attended","1","0")</f>
        <v>1</v>
      </c>
      <c r="W897" t="str">
        <f>IF(Table1[appointment_status]="Cancelled","1","0")</f>
        <v>0</v>
      </c>
    </row>
    <row r="898" spans="1:23">
      <c r="A898" t="s">
        <v>1630</v>
      </c>
      <c r="B898" t="s">
        <v>1631</v>
      </c>
      <c r="C898">
        <v>58</v>
      </c>
      <c r="D898" t="str" cm="1">
        <f t="array" ref="D898">_xlfn.IFS(Table1[[#This Row],[age]]&lt;=17,"0-17",C898&lt;=29,"18-29",C898&lt;=44,"30-44",C898&lt;=59,"45-59",C898&lt;=74,"60-74",TRUE,"75+")</f>
        <v>45-59</v>
      </c>
      <c r="E898" t="s">
        <v>17</v>
      </c>
      <c r="F898">
        <v>9</v>
      </c>
      <c r="G898" t="str" cm="1">
        <f t="array" ref="G898">_xlfn.IFS(_xlfn.SINGLE(Table1[imd_decile])&lt;=3,"Most Deprived",F898&lt;=7,"Moderately Deprived",F898&lt;=10,"Least Deprived")</f>
        <v>Least Deprived</v>
      </c>
      <c r="H898">
        <v>19</v>
      </c>
      <c r="I898" t="s">
        <v>155</v>
      </c>
      <c r="J898" t="s">
        <v>19</v>
      </c>
      <c r="K898" s="1">
        <v>45769</v>
      </c>
      <c r="L898" s="1">
        <v>45803</v>
      </c>
      <c r="M898" s="1" t="str">
        <f>TEXT(Table1[[#This Row],[appointment_date]],"MM/YYYY")</f>
        <v>05/2025</v>
      </c>
      <c r="N898">
        <v>34</v>
      </c>
      <c r="O898" t="str" cm="1">
        <f t="array" ref="O898">_xlfn.IFS(Table1[[#This Row],[lead_time_days]]&lt;=7,"0-7 days",N898&lt;=14,"8-14 days",N898&lt;=30,"15-30 days",N898&lt;=60,"31-60 days",TRUE,"61+ days")</f>
        <v>31-60 days</v>
      </c>
      <c r="P898" t="s">
        <v>35</v>
      </c>
      <c r="Q898" t="s">
        <v>21</v>
      </c>
      <c r="R898">
        <v>0</v>
      </c>
      <c r="S898" t="str">
        <f>IF(Table1[prior_dna_count]&gt;=1,"Has prior DNA history","No prior DNA history")</f>
        <v>No prior DNA history</v>
      </c>
      <c r="T898" t="s">
        <v>22</v>
      </c>
      <c r="U898" t="str">
        <f t="shared" ref="U898:U961" si="14">V897</f>
        <v>1</v>
      </c>
      <c r="V898" t="str">
        <f>IF(Table1[appointment_status]="Attended","1","0")</f>
        <v>1</v>
      </c>
      <c r="W898" t="str">
        <f>IF(Table1[appointment_status]="Cancelled","1","0")</f>
        <v>0</v>
      </c>
    </row>
    <row r="899" spans="1:23">
      <c r="A899" t="s">
        <v>1632</v>
      </c>
      <c r="B899" t="s">
        <v>1476</v>
      </c>
      <c r="C899">
        <v>67</v>
      </c>
      <c r="D899" t="str" cm="1">
        <f t="array" ref="D899">_xlfn.IFS(Table1[[#This Row],[age]]&lt;=17,"0-17",C899&lt;=29,"18-29",C899&lt;=44,"30-44",C899&lt;=59,"45-59",C899&lt;=74,"60-74",TRUE,"75+")</f>
        <v>60-74</v>
      </c>
      <c r="E899" t="s">
        <v>29</v>
      </c>
      <c r="F899">
        <v>10</v>
      </c>
      <c r="G899" t="str" cm="1">
        <f t="array" ref="G899">_xlfn.IFS(_xlfn.SINGLE(Table1[imd_decile])&lt;=3,"Most Deprived",F899&lt;=7,"Moderately Deprived",F899&lt;=10,"Least Deprived")</f>
        <v>Least Deprived</v>
      </c>
      <c r="H899">
        <v>7.5</v>
      </c>
      <c r="I899" t="s">
        <v>42</v>
      </c>
      <c r="J899" t="s">
        <v>26</v>
      </c>
      <c r="K899" s="1">
        <v>45783</v>
      </c>
      <c r="L899" s="1">
        <v>45803</v>
      </c>
      <c r="M899" s="1" t="str">
        <f>TEXT(Table1[[#This Row],[appointment_date]],"MM/YYYY")</f>
        <v>05/2025</v>
      </c>
      <c r="N899">
        <v>20</v>
      </c>
      <c r="O899" t="str" cm="1">
        <f t="array" ref="O899">_xlfn.IFS(Table1[[#This Row],[lead_time_days]]&lt;=7,"0-7 days",N899&lt;=14,"8-14 days",N899&lt;=30,"15-30 days",N899&lt;=60,"31-60 days",TRUE,"61+ days")</f>
        <v>15-30 days</v>
      </c>
      <c r="P899" t="s">
        <v>35</v>
      </c>
      <c r="Q899" t="s">
        <v>21</v>
      </c>
      <c r="R899">
        <v>0</v>
      </c>
      <c r="S899" t="str">
        <f>IF(Table1[prior_dna_count]&gt;=1,"Has prior DNA history","No prior DNA history")</f>
        <v>No prior DNA history</v>
      </c>
      <c r="T899" t="s">
        <v>22</v>
      </c>
      <c r="U899" t="str">
        <f t="shared" si="14"/>
        <v>1</v>
      </c>
      <c r="V899" t="str">
        <f>IF(Table1[appointment_status]="Attended","1","0")</f>
        <v>1</v>
      </c>
      <c r="W899" t="str">
        <f>IF(Table1[appointment_status]="Cancelled","1","0")</f>
        <v>0</v>
      </c>
    </row>
    <row r="900" spans="1:23">
      <c r="A900" t="s">
        <v>1633</v>
      </c>
      <c r="B900" t="s">
        <v>1167</v>
      </c>
      <c r="C900">
        <v>50</v>
      </c>
      <c r="D900" t="str" cm="1">
        <f t="array" ref="D900">_xlfn.IFS(Table1[[#This Row],[age]]&lt;=17,"0-17",C900&lt;=29,"18-29",C900&lt;=44,"30-44",C900&lt;=59,"45-59",C900&lt;=74,"60-74",TRUE,"75+")</f>
        <v>45-59</v>
      </c>
      <c r="E900" t="s">
        <v>17</v>
      </c>
      <c r="F900">
        <v>7</v>
      </c>
      <c r="G900" t="str" cm="1">
        <f t="array" ref="G900">_xlfn.IFS(_xlfn.SINGLE(Table1[imd_decile])&lt;=3,"Most Deprived",F900&lt;=7,"Moderately Deprived",F900&lt;=10,"Least Deprived")</f>
        <v>Moderately Deprived</v>
      </c>
      <c r="H900">
        <v>4.4000000000000004</v>
      </c>
      <c r="I900" t="s">
        <v>91</v>
      </c>
      <c r="J900" t="s">
        <v>26</v>
      </c>
      <c r="K900" s="1">
        <v>45785</v>
      </c>
      <c r="L900" s="1">
        <v>45803</v>
      </c>
      <c r="M900" s="1" t="str">
        <f>TEXT(Table1[[#This Row],[appointment_date]],"MM/YYYY")</f>
        <v>05/2025</v>
      </c>
      <c r="N900">
        <v>18</v>
      </c>
      <c r="O900" t="str" cm="1">
        <f t="array" ref="O900">_xlfn.IFS(Table1[[#This Row],[lead_time_days]]&lt;=7,"0-7 days",N900&lt;=14,"8-14 days",N900&lt;=30,"15-30 days",N900&lt;=60,"31-60 days",TRUE,"61+ days")</f>
        <v>15-30 days</v>
      </c>
      <c r="P900" t="s">
        <v>35</v>
      </c>
      <c r="Q900" t="s">
        <v>32</v>
      </c>
      <c r="R900">
        <v>0</v>
      </c>
      <c r="S900" t="str">
        <f>IF(Table1[prior_dna_count]&gt;=1,"Has prior DNA history","No prior DNA history")</f>
        <v>No prior DNA history</v>
      </c>
      <c r="T900" t="s">
        <v>22</v>
      </c>
      <c r="U900" t="str">
        <f t="shared" si="14"/>
        <v>1</v>
      </c>
      <c r="V900" t="str">
        <f>IF(Table1[appointment_status]="Attended","1","0")</f>
        <v>1</v>
      </c>
      <c r="W900" t="str">
        <f>IF(Table1[appointment_status]="Cancelled","1","0")</f>
        <v>0</v>
      </c>
    </row>
    <row r="901" spans="1:23">
      <c r="A901" t="s">
        <v>1634</v>
      </c>
      <c r="B901" t="s">
        <v>531</v>
      </c>
      <c r="C901">
        <v>26</v>
      </c>
      <c r="D901" t="str" cm="1">
        <f t="array" ref="D901">_xlfn.IFS(Table1[[#This Row],[age]]&lt;=17,"0-17",C901&lt;=29,"18-29",C901&lt;=44,"30-44",C901&lt;=59,"45-59",C901&lt;=74,"60-74",TRUE,"75+")</f>
        <v>18-29</v>
      </c>
      <c r="E901" t="s">
        <v>29</v>
      </c>
      <c r="F901">
        <v>5</v>
      </c>
      <c r="G901" t="str" cm="1">
        <f t="array" ref="G901">_xlfn.IFS(_xlfn.SINGLE(Table1[imd_decile])&lt;=3,"Most Deprived",F901&lt;=7,"Moderately Deprived",F901&lt;=10,"Least Deprived")</f>
        <v>Moderately Deprived</v>
      </c>
      <c r="H901">
        <v>1.8</v>
      </c>
      <c r="I901" t="s">
        <v>45</v>
      </c>
      <c r="J901" t="s">
        <v>19</v>
      </c>
      <c r="K901" s="1">
        <v>45792</v>
      </c>
      <c r="L901" s="1">
        <v>45803</v>
      </c>
      <c r="M901" s="1" t="str">
        <f>TEXT(Table1[[#This Row],[appointment_date]],"MM/YYYY")</f>
        <v>05/2025</v>
      </c>
      <c r="N901">
        <v>11</v>
      </c>
      <c r="O901" t="str" cm="1">
        <f t="array" ref="O901">_xlfn.IFS(Table1[[#This Row],[lead_time_days]]&lt;=7,"0-7 days",N901&lt;=14,"8-14 days",N901&lt;=30,"15-30 days",N901&lt;=60,"31-60 days",TRUE,"61+ days")</f>
        <v>8-14 days</v>
      </c>
      <c r="P901" t="s">
        <v>35</v>
      </c>
      <c r="Q901" t="s">
        <v>32</v>
      </c>
      <c r="R901">
        <v>0</v>
      </c>
      <c r="S901" t="str">
        <f>IF(Table1[prior_dna_count]&gt;=1,"Has prior DNA history","No prior DNA history")</f>
        <v>No prior DNA history</v>
      </c>
      <c r="T901" t="s">
        <v>22</v>
      </c>
      <c r="U901" t="str">
        <f t="shared" si="14"/>
        <v>1</v>
      </c>
      <c r="V901" t="str">
        <f>IF(Table1[appointment_status]="Attended","1","0")</f>
        <v>1</v>
      </c>
      <c r="W901" t="str">
        <f>IF(Table1[appointment_status]="Cancelled","1","0")</f>
        <v>0</v>
      </c>
    </row>
    <row r="902" spans="1:23">
      <c r="A902" t="s">
        <v>1635</v>
      </c>
      <c r="B902" t="s">
        <v>1636</v>
      </c>
      <c r="C902">
        <v>17</v>
      </c>
      <c r="D902" t="str" cm="1">
        <f t="array" ref="D902">_xlfn.IFS(Table1[[#This Row],[age]]&lt;=17,"0-17",C902&lt;=29,"18-29",C902&lt;=44,"30-44",C902&lt;=59,"45-59",C902&lt;=74,"60-74",TRUE,"75+")</f>
        <v>0-17</v>
      </c>
      <c r="E902" t="s">
        <v>29</v>
      </c>
      <c r="F902">
        <v>6</v>
      </c>
      <c r="G902" t="str" cm="1">
        <f t="array" ref="G902">_xlfn.IFS(_xlfn.SINGLE(Table1[imd_decile])&lt;=3,"Most Deprived",F902&lt;=7,"Moderately Deprived",F902&lt;=10,"Least Deprived")</f>
        <v>Moderately Deprived</v>
      </c>
      <c r="H902">
        <v>1.6</v>
      </c>
      <c r="I902" t="s">
        <v>38</v>
      </c>
      <c r="J902" t="s">
        <v>26</v>
      </c>
      <c r="K902" s="1">
        <v>45798</v>
      </c>
      <c r="L902" s="1">
        <v>45803</v>
      </c>
      <c r="M902" s="1" t="str">
        <f>TEXT(Table1[[#This Row],[appointment_date]],"MM/YYYY")</f>
        <v>05/2025</v>
      </c>
      <c r="N902">
        <v>5</v>
      </c>
      <c r="O902" t="str" cm="1">
        <f t="array" ref="O902">_xlfn.IFS(Table1[[#This Row],[lead_time_days]]&lt;=7,"0-7 days",N902&lt;=14,"8-14 days",N902&lt;=30,"15-30 days",N902&lt;=60,"31-60 days",TRUE,"61+ days")</f>
        <v>0-7 days</v>
      </c>
      <c r="P902" t="s">
        <v>35</v>
      </c>
      <c r="Q902" t="s">
        <v>32</v>
      </c>
      <c r="R902">
        <v>0</v>
      </c>
      <c r="S902" t="str">
        <f>IF(Table1[prior_dna_count]&gt;=1,"Has prior DNA history","No prior DNA history")</f>
        <v>No prior DNA history</v>
      </c>
      <c r="T902" t="s">
        <v>39</v>
      </c>
      <c r="U902" t="str">
        <f t="shared" si="14"/>
        <v>1</v>
      </c>
      <c r="V902" t="str">
        <f>IF(Table1[appointment_status]="Attended","1","0")</f>
        <v>0</v>
      </c>
      <c r="W902" t="str">
        <f>IF(Table1[appointment_status]="Cancelled","1","0")</f>
        <v>0</v>
      </c>
    </row>
    <row r="903" spans="1:23">
      <c r="A903" t="s">
        <v>1637</v>
      </c>
      <c r="B903" t="s">
        <v>1638</v>
      </c>
      <c r="C903">
        <v>44</v>
      </c>
      <c r="D903" t="str" cm="1">
        <f t="array" ref="D903">_xlfn.IFS(Table1[[#This Row],[age]]&lt;=17,"0-17",C903&lt;=29,"18-29",C903&lt;=44,"30-44",C903&lt;=59,"45-59",C903&lt;=74,"60-74",TRUE,"75+")</f>
        <v>30-44</v>
      </c>
      <c r="E903" t="s">
        <v>17</v>
      </c>
      <c r="F903">
        <v>2</v>
      </c>
      <c r="G903" t="str" cm="1">
        <f t="array" ref="G903">_xlfn.IFS(_xlfn.SINGLE(Table1[imd_decile])&lt;=3,"Most Deprived",F903&lt;=7,"Moderately Deprived",F903&lt;=10,"Least Deprived")</f>
        <v>Most Deprived</v>
      </c>
      <c r="H903">
        <v>2.4</v>
      </c>
      <c r="I903" t="s">
        <v>91</v>
      </c>
      <c r="J903" t="s">
        <v>26</v>
      </c>
      <c r="K903" s="1">
        <v>45792</v>
      </c>
      <c r="L903" s="1">
        <v>45803</v>
      </c>
      <c r="M903" s="1" t="str">
        <f>TEXT(Table1[[#This Row],[appointment_date]],"MM/YYYY")</f>
        <v>05/2025</v>
      </c>
      <c r="N903">
        <v>11</v>
      </c>
      <c r="O903" t="str" cm="1">
        <f t="array" ref="O903">_xlfn.IFS(Table1[[#This Row],[lead_time_days]]&lt;=7,"0-7 days",N903&lt;=14,"8-14 days",N903&lt;=30,"15-30 days",N903&lt;=60,"31-60 days",TRUE,"61+ days")</f>
        <v>8-14 days</v>
      </c>
      <c r="P903" t="s">
        <v>35</v>
      </c>
      <c r="Q903" t="s">
        <v>32</v>
      </c>
      <c r="R903">
        <v>0</v>
      </c>
      <c r="S903" t="str">
        <f>IF(Table1[prior_dna_count]&gt;=1,"Has prior DNA history","No prior DNA history")</f>
        <v>No prior DNA history</v>
      </c>
      <c r="T903" t="s">
        <v>39</v>
      </c>
      <c r="U903" t="str">
        <f t="shared" si="14"/>
        <v>0</v>
      </c>
      <c r="V903" t="str">
        <f>IF(Table1[appointment_status]="Attended","1","0")</f>
        <v>0</v>
      </c>
      <c r="W903" t="str">
        <f>IF(Table1[appointment_status]="Cancelled","1","0")</f>
        <v>0</v>
      </c>
    </row>
    <row r="904" spans="1:23">
      <c r="A904" t="s">
        <v>1639</v>
      </c>
      <c r="B904" t="s">
        <v>734</v>
      </c>
      <c r="C904">
        <v>48</v>
      </c>
      <c r="D904" t="str" cm="1">
        <f t="array" ref="D904">_xlfn.IFS(Table1[[#This Row],[age]]&lt;=17,"0-17",C904&lt;=29,"18-29",C904&lt;=44,"30-44",C904&lt;=59,"45-59",C904&lt;=74,"60-74",TRUE,"75+")</f>
        <v>45-59</v>
      </c>
      <c r="E904" t="s">
        <v>17</v>
      </c>
      <c r="F904">
        <v>8</v>
      </c>
      <c r="G904" t="str" cm="1">
        <f t="array" ref="G904">_xlfn.IFS(_xlfn.SINGLE(Table1[imd_decile])&lt;=3,"Most Deprived",F904&lt;=7,"Moderately Deprived",F904&lt;=10,"Least Deprived")</f>
        <v>Least Deprived</v>
      </c>
      <c r="H904">
        <v>22.2</v>
      </c>
      <c r="I904" t="s">
        <v>42</v>
      </c>
      <c r="J904" t="s">
        <v>19</v>
      </c>
      <c r="K904" s="1">
        <v>45763</v>
      </c>
      <c r="L904" s="1">
        <v>45803</v>
      </c>
      <c r="M904" s="1" t="str">
        <f>TEXT(Table1[[#This Row],[appointment_date]],"MM/YYYY")</f>
        <v>05/2025</v>
      </c>
      <c r="N904">
        <v>40</v>
      </c>
      <c r="O904" t="str" cm="1">
        <f t="array" ref="O904">_xlfn.IFS(Table1[[#This Row],[lead_time_days]]&lt;=7,"0-7 days",N904&lt;=14,"8-14 days",N904&lt;=30,"15-30 days",N904&lt;=60,"31-60 days",TRUE,"61+ days")</f>
        <v>31-60 days</v>
      </c>
      <c r="P904" t="s">
        <v>35</v>
      </c>
      <c r="Q904" t="s">
        <v>21</v>
      </c>
      <c r="R904">
        <v>0</v>
      </c>
      <c r="S904" t="str">
        <f>IF(Table1[prior_dna_count]&gt;=1,"Has prior DNA history","No prior DNA history")</f>
        <v>No prior DNA history</v>
      </c>
      <c r="T904" t="s">
        <v>22</v>
      </c>
      <c r="U904" t="str">
        <f t="shared" si="14"/>
        <v>0</v>
      </c>
      <c r="V904" t="str">
        <f>IF(Table1[appointment_status]="Attended","1","0")</f>
        <v>1</v>
      </c>
      <c r="W904" t="str">
        <f>IF(Table1[appointment_status]="Cancelled","1","0")</f>
        <v>0</v>
      </c>
    </row>
    <row r="905" spans="1:23">
      <c r="A905" t="s">
        <v>1640</v>
      </c>
      <c r="B905" t="s">
        <v>139</v>
      </c>
      <c r="C905">
        <v>39</v>
      </c>
      <c r="D905" t="str" cm="1">
        <f t="array" ref="D905">_xlfn.IFS(Table1[[#This Row],[age]]&lt;=17,"0-17",C905&lt;=29,"18-29",C905&lt;=44,"30-44",C905&lt;=59,"45-59",C905&lt;=74,"60-74",TRUE,"75+")</f>
        <v>30-44</v>
      </c>
      <c r="E905" t="s">
        <v>17</v>
      </c>
      <c r="F905">
        <v>10</v>
      </c>
      <c r="G905" t="str" cm="1">
        <f t="array" ref="G905">_xlfn.IFS(_xlfn.SINGLE(Table1[imd_decile])&lt;=3,"Most Deprived",F905&lt;=7,"Moderately Deprived",F905&lt;=10,"Least Deprived")</f>
        <v>Least Deprived</v>
      </c>
      <c r="H905">
        <v>12.2</v>
      </c>
      <c r="I905" t="s">
        <v>42</v>
      </c>
      <c r="J905" t="s">
        <v>19</v>
      </c>
      <c r="K905" s="1">
        <v>45757</v>
      </c>
      <c r="L905" s="1">
        <v>45803</v>
      </c>
      <c r="M905" s="1" t="str">
        <f>TEXT(Table1[[#This Row],[appointment_date]],"MM/YYYY")</f>
        <v>05/2025</v>
      </c>
      <c r="N905">
        <v>46</v>
      </c>
      <c r="O905" t="str" cm="1">
        <f t="array" ref="O905">_xlfn.IFS(Table1[[#This Row],[lead_time_days]]&lt;=7,"0-7 days",N905&lt;=14,"8-14 days",N905&lt;=30,"15-30 days",N905&lt;=60,"31-60 days",TRUE,"61+ days")</f>
        <v>31-60 days</v>
      </c>
      <c r="P905" t="s">
        <v>35</v>
      </c>
      <c r="Q905" t="s">
        <v>21</v>
      </c>
      <c r="R905">
        <v>0</v>
      </c>
      <c r="S905" t="str">
        <f>IF(Table1[prior_dna_count]&gt;=1,"Has prior DNA history","No prior DNA history")</f>
        <v>No prior DNA history</v>
      </c>
      <c r="T905" t="s">
        <v>22</v>
      </c>
      <c r="U905" t="str">
        <f t="shared" si="14"/>
        <v>1</v>
      </c>
      <c r="V905" t="str">
        <f>IF(Table1[appointment_status]="Attended","1","0")</f>
        <v>1</v>
      </c>
      <c r="W905" t="str">
        <f>IF(Table1[appointment_status]="Cancelled","1","0")</f>
        <v>0</v>
      </c>
    </row>
    <row r="906" spans="1:23">
      <c r="A906" t="s">
        <v>1641</v>
      </c>
      <c r="B906" t="s">
        <v>1642</v>
      </c>
      <c r="C906">
        <v>46</v>
      </c>
      <c r="D906" t="str" cm="1">
        <f t="array" ref="D906">_xlfn.IFS(Table1[[#This Row],[age]]&lt;=17,"0-17",C906&lt;=29,"18-29",C906&lt;=44,"30-44",C906&lt;=59,"45-59",C906&lt;=74,"60-74",TRUE,"75+")</f>
        <v>45-59</v>
      </c>
      <c r="E906" t="s">
        <v>17</v>
      </c>
      <c r="F906">
        <v>3</v>
      </c>
      <c r="G906" t="str" cm="1">
        <f t="array" ref="G906">_xlfn.IFS(_xlfn.SINGLE(Table1[imd_decile])&lt;=3,"Most Deprived",F906&lt;=7,"Moderately Deprived",F906&lt;=10,"Least Deprived")</f>
        <v>Most Deprived</v>
      </c>
      <c r="H906">
        <v>1.1000000000000001</v>
      </c>
      <c r="I906" t="s">
        <v>58</v>
      </c>
      <c r="J906" t="s">
        <v>26</v>
      </c>
      <c r="K906" s="1">
        <v>45780</v>
      </c>
      <c r="L906" s="1">
        <v>45804</v>
      </c>
      <c r="M906" s="1" t="str">
        <f>TEXT(Table1[[#This Row],[appointment_date]],"MM/YYYY")</f>
        <v>05/2025</v>
      </c>
      <c r="N906">
        <v>24</v>
      </c>
      <c r="O906" t="str" cm="1">
        <f t="array" ref="O906">_xlfn.IFS(Table1[[#This Row],[lead_time_days]]&lt;=7,"0-7 days",N906&lt;=14,"8-14 days",N906&lt;=30,"15-30 days",N906&lt;=60,"31-60 days",TRUE,"61+ days")</f>
        <v>15-30 days</v>
      </c>
      <c r="P906" t="s">
        <v>71</v>
      </c>
      <c r="Q906" t="s">
        <v>21</v>
      </c>
      <c r="R906">
        <v>0</v>
      </c>
      <c r="S906" t="str">
        <f>IF(Table1[prior_dna_count]&gt;=1,"Has prior DNA history","No prior DNA history")</f>
        <v>No prior DNA history</v>
      </c>
      <c r="T906" t="s">
        <v>22</v>
      </c>
      <c r="U906" t="str">
        <f t="shared" si="14"/>
        <v>1</v>
      </c>
      <c r="V906" t="str">
        <f>IF(Table1[appointment_status]="Attended","1","0")</f>
        <v>1</v>
      </c>
      <c r="W906" t="str">
        <f>IF(Table1[appointment_status]="Cancelled","1","0")</f>
        <v>0</v>
      </c>
    </row>
    <row r="907" spans="1:23">
      <c r="A907" t="s">
        <v>1643</v>
      </c>
      <c r="B907" t="s">
        <v>1644</v>
      </c>
      <c r="C907">
        <v>26</v>
      </c>
      <c r="D907" t="str" cm="1">
        <f t="array" ref="D907">_xlfn.IFS(Table1[[#This Row],[age]]&lt;=17,"0-17",C907&lt;=29,"18-29",C907&lt;=44,"30-44",C907&lt;=59,"45-59",C907&lt;=74,"60-74",TRUE,"75+")</f>
        <v>18-29</v>
      </c>
      <c r="E907" t="s">
        <v>17</v>
      </c>
      <c r="F907">
        <v>6</v>
      </c>
      <c r="G907" t="str" cm="1">
        <f t="array" ref="G907">_xlfn.IFS(_xlfn.SINGLE(Table1[imd_decile])&lt;=3,"Most Deprived",F907&lt;=7,"Moderately Deprived",F907&lt;=10,"Least Deprived")</f>
        <v>Moderately Deprived</v>
      </c>
      <c r="H907">
        <v>21.4</v>
      </c>
      <c r="I907" t="s">
        <v>49</v>
      </c>
      <c r="J907" t="s">
        <v>19</v>
      </c>
      <c r="K907" s="1">
        <v>45745</v>
      </c>
      <c r="L907" s="1">
        <v>45804</v>
      </c>
      <c r="M907" s="1" t="str">
        <f>TEXT(Table1[[#This Row],[appointment_date]],"MM/YYYY")</f>
        <v>05/2025</v>
      </c>
      <c r="N907">
        <v>59</v>
      </c>
      <c r="O907" t="str" cm="1">
        <f t="array" ref="O907">_xlfn.IFS(Table1[[#This Row],[lead_time_days]]&lt;=7,"0-7 days",N907&lt;=14,"8-14 days",N907&lt;=30,"15-30 days",N907&lt;=60,"31-60 days",TRUE,"61+ days")</f>
        <v>31-60 days</v>
      </c>
      <c r="P907" t="s">
        <v>71</v>
      </c>
      <c r="Q907" t="s">
        <v>21</v>
      </c>
      <c r="R907">
        <v>1</v>
      </c>
      <c r="S907" t="str">
        <f>IF(Table1[prior_dna_count]&gt;=1,"Has prior DNA history","No prior DNA history")</f>
        <v>Has prior DNA history</v>
      </c>
      <c r="T907" t="s">
        <v>22</v>
      </c>
      <c r="U907" t="str">
        <f t="shared" si="14"/>
        <v>1</v>
      </c>
      <c r="V907" t="str">
        <f>IF(Table1[appointment_status]="Attended","1","0")</f>
        <v>1</v>
      </c>
      <c r="W907" t="str">
        <f>IF(Table1[appointment_status]="Cancelled","1","0")</f>
        <v>0</v>
      </c>
    </row>
    <row r="908" spans="1:23">
      <c r="A908" t="s">
        <v>1645</v>
      </c>
      <c r="B908" t="s">
        <v>1646</v>
      </c>
      <c r="C908">
        <v>43</v>
      </c>
      <c r="D908" t="str" cm="1">
        <f t="array" ref="D908">_xlfn.IFS(Table1[[#This Row],[age]]&lt;=17,"0-17",C908&lt;=29,"18-29",C908&lt;=44,"30-44",C908&lt;=59,"45-59",C908&lt;=74,"60-74",TRUE,"75+")</f>
        <v>30-44</v>
      </c>
      <c r="E908" t="s">
        <v>17</v>
      </c>
      <c r="F908">
        <v>10</v>
      </c>
      <c r="G908" t="str" cm="1">
        <f t="array" ref="G908">_xlfn.IFS(_xlfn.SINGLE(Table1[imd_decile])&lt;=3,"Most Deprived",F908&lt;=7,"Moderately Deprived",F908&lt;=10,"Least Deprived")</f>
        <v>Least Deprived</v>
      </c>
      <c r="H908">
        <v>4.8</v>
      </c>
      <c r="I908" t="s">
        <v>42</v>
      </c>
      <c r="J908" t="s">
        <v>26</v>
      </c>
      <c r="K908" s="1">
        <v>45787</v>
      </c>
      <c r="L908" s="1">
        <v>45804</v>
      </c>
      <c r="M908" s="1" t="str">
        <f>TEXT(Table1[[#This Row],[appointment_date]],"MM/YYYY")</f>
        <v>05/2025</v>
      </c>
      <c r="N908">
        <v>17</v>
      </c>
      <c r="O908" t="str" cm="1">
        <f t="array" ref="O908">_xlfn.IFS(Table1[[#This Row],[lead_time_days]]&lt;=7,"0-7 days",N908&lt;=14,"8-14 days",N908&lt;=30,"15-30 days",N908&lt;=60,"31-60 days",TRUE,"61+ days")</f>
        <v>15-30 days</v>
      </c>
      <c r="P908" t="s">
        <v>71</v>
      </c>
      <c r="Q908" t="s">
        <v>21</v>
      </c>
      <c r="R908">
        <v>0</v>
      </c>
      <c r="S908" t="str">
        <f>IF(Table1[prior_dna_count]&gt;=1,"Has prior DNA history","No prior DNA history")</f>
        <v>No prior DNA history</v>
      </c>
      <c r="T908" t="s">
        <v>22</v>
      </c>
      <c r="U908" t="str">
        <f t="shared" si="14"/>
        <v>1</v>
      </c>
      <c r="V908" t="str">
        <f>IF(Table1[appointment_status]="Attended","1","0")</f>
        <v>1</v>
      </c>
      <c r="W908" t="str">
        <f>IF(Table1[appointment_status]="Cancelled","1","0")</f>
        <v>0</v>
      </c>
    </row>
    <row r="909" spans="1:23">
      <c r="A909" t="s">
        <v>1647</v>
      </c>
      <c r="B909" t="s">
        <v>726</v>
      </c>
      <c r="C909">
        <v>65</v>
      </c>
      <c r="D909" t="str" cm="1">
        <f t="array" ref="D909">_xlfn.IFS(Table1[[#This Row],[age]]&lt;=17,"0-17",C909&lt;=29,"18-29",C909&lt;=44,"30-44",C909&lt;=59,"45-59",C909&lt;=74,"60-74",TRUE,"75+")</f>
        <v>60-74</v>
      </c>
      <c r="E909" t="s">
        <v>17</v>
      </c>
      <c r="F909">
        <v>5</v>
      </c>
      <c r="G909" t="str" cm="1">
        <f t="array" ref="G909">_xlfn.IFS(_xlfn.SINGLE(Table1[imd_decile])&lt;=3,"Most Deprived",F909&lt;=7,"Moderately Deprived",F909&lt;=10,"Least Deprived")</f>
        <v>Moderately Deprived</v>
      </c>
      <c r="H909">
        <v>4.9000000000000004</v>
      </c>
      <c r="I909" t="s">
        <v>58</v>
      </c>
      <c r="J909" t="s">
        <v>19</v>
      </c>
      <c r="K909" s="1">
        <v>45754</v>
      </c>
      <c r="L909" s="1">
        <v>45804</v>
      </c>
      <c r="M909" s="1" t="str">
        <f>TEXT(Table1[[#This Row],[appointment_date]],"MM/YYYY")</f>
        <v>05/2025</v>
      </c>
      <c r="N909">
        <v>50</v>
      </c>
      <c r="O909" t="str" cm="1">
        <f t="array" ref="O909">_xlfn.IFS(Table1[[#This Row],[lead_time_days]]&lt;=7,"0-7 days",N909&lt;=14,"8-14 days",N909&lt;=30,"15-30 days",N909&lt;=60,"31-60 days",TRUE,"61+ days")</f>
        <v>31-60 days</v>
      </c>
      <c r="P909" t="s">
        <v>71</v>
      </c>
      <c r="Q909" t="s">
        <v>21</v>
      </c>
      <c r="R909">
        <v>0</v>
      </c>
      <c r="S909" t="str">
        <f>IF(Table1[prior_dna_count]&gt;=1,"Has prior DNA history","No prior DNA history")</f>
        <v>No prior DNA history</v>
      </c>
      <c r="T909" t="s">
        <v>22</v>
      </c>
      <c r="U909" t="str">
        <f t="shared" si="14"/>
        <v>1</v>
      </c>
      <c r="V909" t="str">
        <f>IF(Table1[appointment_status]="Attended","1","0")</f>
        <v>1</v>
      </c>
      <c r="W909" t="str">
        <f>IF(Table1[appointment_status]="Cancelled","1","0")</f>
        <v>0</v>
      </c>
    </row>
    <row r="910" spans="1:23">
      <c r="A910" t="s">
        <v>1648</v>
      </c>
      <c r="B910" t="s">
        <v>1649</v>
      </c>
      <c r="C910">
        <v>47</v>
      </c>
      <c r="D910" t="str" cm="1">
        <f t="array" ref="D910">_xlfn.IFS(Table1[[#This Row],[age]]&lt;=17,"0-17",C910&lt;=29,"18-29",C910&lt;=44,"30-44",C910&lt;=59,"45-59",C910&lt;=74,"60-74",TRUE,"75+")</f>
        <v>45-59</v>
      </c>
      <c r="E910" t="s">
        <v>29</v>
      </c>
      <c r="F910">
        <v>6</v>
      </c>
      <c r="G910" t="str" cm="1">
        <f t="array" ref="G910">_xlfn.IFS(_xlfn.SINGLE(Table1[imd_decile])&lt;=3,"Most Deprived",F910&lt;=7,"Moderately Deprived",F910&lt;=10,"Least Deprived")</f>
        <v>Moderately Deprived</v>
      </c>
      <c r="H910">
        <v>13</v>
      </c>
      <c r="I910" t="s">
        <v>58</v>
      </c>
      <c r="J910" t="s">
        <v>26</v>
      </c>
      <c r="K910" s="1">
        <v>45796</v>
      </c>
      <c r="L910" s="1">
        <v>45804</v>
      </c>
      <c r="M910" s="1" t="str">
        <f>TEXT(Table1[[#This Row],[appointment_date]],"MM/YYYY")</f>
        <v>05/2025</v>
      </c>
      <c r="N910">
        <v>8</v>
      </c>
      <c r="O910" t="str" cm="1">
        <f t="array" ref="O910">_xlfn.IFS(Table1[[#This Row],[lead_time_days]]&lt;=7,"0-7 days",N910&lt;=14,"8-14 days",N910&lt;=30,"15-30 days",N910&lt;=60,"31-60 days",TRUE,"61+ days")</f>
        <v>8-14 days</v>
      </c>
      <c r="P910" t="s">
        <v>71</v>
      </c>
      <c r="Q910" t="s">
        <v>21</v>
      </c>
      <c r="R910">
        <v>1</v>
      </c>
      <c r="S910" t="str">
        <f>IF(Table1[prior_dna_count]&gt;=1,"Has prior DNA history","No prior DNA history")</f>
        <v>Has prior DNA history</v>
      </c>
      <c r="T910" t="s">
        <v>39</v>
      </c>
      <c r="U910" t="str">
        <f t="shared" si="14"/>
        <v>1</v>
      </c>
      <c r="V910" t="str">
        <f>IF(Table1[appointment_status]="Attended","1","0")</f>
        <v>0</v>
      </c>
      <c r="W910" t="str">
        <f>IF(Table1[appointment_status]="Cancelled","1","0")</f>
        <v>0</v>
      </c>
    </row>
    <row r="911" spans="1:23">
      <c r="A911" t="s">
        <v>1650</v>
      </c>
      <c r="B911" t="s">
        <v>1573</v>
      </c>
      <c r="C911">
        <v>56</v>
      </c>
      <c r="D911" t="str" cm="1">
        <f t="array" ref="D911">_xlfn.IFS(Table1[[#This Row],[age]]&lt;=17,"0-17",C911&lt;=29,"18-29",C911&lt;=44,"30-44",C911&lt;=59,"45-59",C911&lt;=74,"60-74",TRUE,"75+")</f>
        <v>45-59</v>
      </c>
      <c r="E911" t="s">
        <v>17</v>
      </c>
      <c r="F911">
        <v>4</v>
      </c>
      <c r="G911" t="str" cm="1">
        <f t="array" ref="G911">_xlfn.IFS(_xlfn.SINGLE(Table1[imd_decile])&lt;=3,"Most Deprived",F911&lt;=7,"Moderately Deprived",F911&lt;=10,"Least Deprived")</f>
        <v>Moderately Deprived</v>
      </c>
      <c r="H911">
        <v>21.3</v>
      </c>
      <c r="I911" t="s">
        <v>25</v>
      </c>
      <c r="J911" t="s">
        <v>19</v>
      </c>
      <c r="K911" s="1">
        <v>45711</v>
      </c>
      <c r="L911" s="1">
        <v>45804</v>
      </c>
      <c r="M911" s="1" t="str">
        <f>TEXT(Table1[[#This Row],[appointment_date]],"MM/YYYY")</f>
        <v>05/2025</v>
      </c>
      <c r="N911">
        <v>93</v>
      </c>
      <c r="O911" t="str" cm="1">
        <f t="array" ref="O911">_xlfn.IFS(Table1[[#This Row],[lead_time_days]]&lt;=7,"0-7 days",N911&lt;=14,"8-14 days",N911&lt;=30,"15-30 days",N911&lt;=60,"31-60 days",TRUE,"61+ days")</f>
        <v>61+ days</v>
      </c>
      <c r="P911" t="s">
        <v>71</v>
      </c>
      <c r="Q911" t="s">
        <v>21</v>
      </c>
      <c r="R911">
        <v>1</v>
      </c>
      <c r="S911" t="str">
        <f>IF(Table1[prior_dna_count]&gt;=1,"Has prior DNA history","No prior DNA history")</f>
        <v>Has prior DNA history</v>
      </c>
      <c r="T911" t="s">
        <v>46</v>
      </c>
      <c r="U911" t="str">
        <f t="shared" si="14"/>
        <v>0</v>
      </c>
      <c r="V911" t="str">
        <f>IF(Table1[appointment_status]="Attended","1","0")</f>
        <v>0</v>
      </c>
      <c r="W911" t="str">
        <f>IF(Table1[appointment_status]="Cancelled","1","0")</f>
        <v>1</v>
      </c>
    </row>
    <row r="912" spans="1:23">
      <c r="A912" t="s">
        <v>1651</v>
      </c>
      <c r="B912" t="s">
        <v>1652</v>
      </c>
      <c r="C912">
        <v>68</v>
      </c>
      <c r="D912" t="str" cm="1">
        <f t="array" ref="D912">_xlfn.IFS(Table1[[#This Row],[age]]&lt;=17,"0-17",C912&lt;=29,"18-29",C912&lt;=44,"30-44",C912&lt;=59,"45-59",C912&lt;=74,"60-74",TRUE,"75+")</f>
        <v>60-74</v>
      </c>
      <c r="E912" t="s">
        <v>17</v>
      </c>
      <c r="F912">
        <v>2</v>
      </c>
      <c r="G912" t="str" cm="1">
        <f t="array" ref="G912">_xlfn.IFS(_xlfn.SINGLE(Table1[imd_decile])&lt;=3,"Most Deprived",F912&lt;=7,"Moderately Deprived",F912&lt;=10,"Least Deprived")</f>
        <v>Most Deprived</v>
      </c>
      <c r="H912">
        <v>9.1999999999999993</v>
      </c>
      <c r="I912" t="s">
        <v>42</v>
      </c>
      <c r="J912" t="s">
        <v>19</v>
      </c>
      <c r="K912" s="1">
        <v>45734</v>
      </c>
      <c r="L912" s="1">
        <v>45804</v>
      </c>
      <c r="M912" s="1" t="str">
        <f>TEXT(Table1[[#This Row],[appointment_date]],"MM/YYYY")</f>
        <v>05/2025</v>
      </c>
      <c r="N912">
        <v>70</v>
      </c>
      <c r="O912" t="str" cm="1">
        <f t="array" ref="O912">_xlfn.IFS(Table1[[#This Row],[lead_time_days]]&lt;=7,"0-7 days",N912&lt;=14,"8-14 days",N912&lt;=30,"15-30 days",N912&lt;=60,"31-60 days",TRUE,"61+ days")</f>
        <v>61+ days</v>
      </c>
      <c r="P912" t="s">
        <v>71</v>
      </c>
      <c r="Q912" t="s">
        <v>21</v>
      </c>
      <c r="R912">
        <v>0</v>
      </c>
      <c r="S912" t="str">
        <f>IF(Table1[prior_dna_count]&gt;=1,"Has prior DNA history","No prior DNA history")</f>
        <v>No prior DNA history</v>
      </c>
      <c r="T912" t="s">
        <v>22</v>
      </c>
      <c r="U912" t="str">
        <f t="shared" si="14"/>
        <v>0</v>
      </c>
      <c r="V912" t="str">
        <f>IF(Table1[appointment_status]="Attended","1","0")</f>
        <v>1</v>
      </c>
      <c r="W912" t="str">
        <f>IF(Table1[appointment_status]="Cancelled","1","0")</f>
        <v>0</v>
      </c>
    </row>
    <row r="913" spans="1:23">
      <c r="A913" t="s">
        <v>1653</v>
      </c>
      <c r="B913" t="s">
        <v>1654</v>
      </c>
      <c r="C913">
        <v>47</v>
      </c>
      <c r="D913" t="str" cm="1">
        <f t="array" ref="D913">_xlfn.IFS(Table1[[#This Row],[age]]&lt;=17,"0-17",C913&lt;=29,"18-29",C913&lt;=44,"30-44",C913&lt;=59,"45-59",C913&lt;=74,"60-74",TRUE,"75+")</f>
        <v>45-59</v>
      </c>
      <c r="E913" t="s">
        <v>29</v>
      </c>
      <c r="F913">
        <v>3</v>
      </c>
      <c r="G913" t="str" cm="1">
        <f t="array" ref="G913">_xlfn.IFS(_xlfn.SINGLE(Table1[imd_decile])&lt;=3,"Most Deprived",F913&lt;=7,"Moderately Deprived",F913&lt;=10,"Least Deprived")</f>
        <v>Most Deprived</v>
      </c>
      <c r="H913">
        <v>2.7</v>
      </c>
      <c r="I913" t="s">
        <v>25</v>
      </c>
      <c r="J913" t="s">
        <v>26</v>
      </c>
      <c r="K913" s="1">
        <v>45762</v>
      </c>
      <c r="L913" s="1">
        <v>45804</v>
      </c>
      <c r="M913" s="1" t="str">
        <f>TEXT(Table1[[#This Row],[appointment_date]],"MM/YYYY")</f>
        <v>05/2025</v>
      </c>
      <c r="N913">
        <v>42</v>
      </c>
      <c r="O913" t="str" cm="1">
        <f t="array" ref="O913">_xlfn.IFS(Table1[[#This Row],[lead_time_days]]&lt;=7,"0-7 days",N913&lt;=14,"8-14 days",N913&lt;=30,"15-30 days",N913&lt;=60,"31-60 days",TRUE,"61+ days")</f>
        <v>31-60 days</v>
      </c>
      <c r="P913" t="s">
        <v>71</v>
      </c>
      <c r="Q913" t="s">
        <v>32</v>
      </c>
      <c r="R913">
        <v>0</v>
      </c>
      <c r="S913" t="str">
        <f>IF(Table1[prior_dna_count]&gt;=1,"Has prior DNA history","No prior DNA history")</f>
        <v>No prior DNA history</v>
      </c>
      <c r="T913" t="s">
        <v>39</v>
      </c>
      <c r="U913" t="str">
        <f t="shared" si="14"/>
        <v>1</v>
      </c>
      <c r="V913" t="str">
        <f>IF(Table1[appointment_status]="Attended","1","0")</f>
        <v>0</v>
      </c>
      <c r="W913" t="str">
        <f>IF(Table1[appointment_status]="Cancelled","1","0")</f>
        <v>0</v>
      </c>
    </row>
    <row r="914" spans="1:23">
      <c r="A914" t="s">
        <v>1655</v>
      </c>
      <c r="B914" t="s">
        <v>1656</v>
      </c>
      <c r="C914">
        <v>44</v>
      </c>
      <c r="D914" t="str" cm="1">
        <f t="array" ref="D914">_xlfn.IFS(Table1[[#This Row],[age]]&lt;=17,"0-17",C914&lt;=29,"18-29",C914&lt;=44,"30-44",C914&lt;=59,"45-59",C914&lt;=74,"60-74",TRUE,"75+")</f>
        <v>30-44</v>
      </c>
      <c r="E914" t="s">
        <v>29</v>
      </c>
      <c r="F914">
        <v>1</v>
      </c>
      <c r="G914" t="str" cm="1">
        <f t="array" ref="G914">_xlfn.IFS(_xlfn.SINGLE(Table1[imd_decile])&lt;=3,"Most Deprived",F914&lt;=7,"Moderately Deprived",F914&lt;=10,"Least Deprived")</f>
        <v>Most Deprived</v>
      </c>
      <c r="H914">
        <v>9.5</v>
      </c>
      <c r="I914" t="s">
        <v>91</v>
      </c>
      <c r="J914" t="s">
        <v>19</v>
      </c>
      <c r="K914" s="1">
        <v>45744</v>
      </c>
      <c r="L914" s="1">
        <v>45804</v>
      </c>
      <c r="M914" s="1" t="str">
        <f>TEXT(Table1[[#This Row],[appointment_date]],"MM/YYYY")</f>
        <v>05/2025</v>
      </c>
      <c r="N914">
        <v>60</v>
      </c>
      <c r="O914" t="str" cm="1">
        <f t="array" ref="O914">_xlfn.IFS(Table1[[#This Row],[lead_time_days]]&lt;=7,"0-7 days",N914&lt;=14,"8-14 days",N914&lt;=30,"15-30 days",N914&lt;=60,"31-60 days",TRUE,"61+ days")</f>
        <v>31-60 days</v>
      </c>
      <c r="P914" t="s">
        <v>71</v>
      </c>
      <c r="Q914" t="s">
        <v>21</v>
      </c>
      <c r="R914">
        <v>0</v>
      </c>
      <c r="S914" t="str">
        <f>IF(Table1[prior_dna_count]&gt;=1,"Has prior DNA history","No prior DNA history")</f>
        <v>No prior DNA history</v>
      </c>
      <c r="T914" t="s">
        <v>22</v>
      </c>
      <c r="U914" t="str">
        <f t="shared" si="14"/>
        <v>0</v>
      </c>
      <c r="V914" t="str">
        <f>IF(Table1[appointment_status]="Attended","1","0")</f>
        <v>1</v>
      </c>
      <c r="W914" t="str">
        <f>IF(Table1[appointment_status]="Cancelled","1","0")</f>
        <v>0</v>
      </c>
    </row>
    <row r="915" spans="1:23">
      <c r="A915" t="s">
        <v>1657</v>
      </c>
      <c r="B915" t="s">
        <v>476</v>
      </c>
      <c r="C915">
        <v>75</v>
      </c>
      <c r="D915" t="str" cm="1">
        <f t="array" ref="D915">_xlfn.IFS(Table1[[#This Row],[age]]&lt;=17,"0-17",C915&lt;=29,"18-29",C915&lt;=44,"30-44",C915&lt;=59,"45-59",C915&lt;=74,"60-74",TRUE,"75+")</f>
        <v>75+</v>
      </c>
      <c r="E915" t="s">
        <v>29</v>
      </c>
      <c r="F915">
        <v>10</v>
      </c>
      <c r="G915" t="str" cm="1">
        <f t="array" ref="G915">_xlfn.IFS(_xlfn.SINGLE(Table1[imd_decile])&lt;=3,"Most Deprived",F915&lt;=7,"Moderately Deprived",F915&lt;=10,"Least Deprived")</f>
        <v>Least Deprived</v>
      </c>
      <c r="H915">
        <v>5.5</v>
      </c>
      <c r="I915" t="s">
        <v>58</v>
      </c>
      <c r="J915" t="s">
        <v>19</v>
      </c>
      <c r="K915" s="1">
        <v>45758</v>
      </c>
      <c r="L915" s="1">
        <v>45805</v>
      </c>
      <c r="M915" s="1" t="str">
        <f>TEXT(Table1[[#This Row],[appointment_date]],"MM/YYYY")</f>
        <v>05/2025</v>
      </c>
      <c r="N915">
        <v>47</v>
      </c>
      <c r="O915" t="str" cm="1">
        <f t="array" ref="O915">_xlfn.IFS(Table1[[#This Row],[lead_time_days]]&lt;=7,"0-7 days",N915&lt;=14,"8-14 days",N915&lt;=30,"15-30 days",N915&lt;=60,"31-60 days",TRUE,"61+ days")</f>
        <v>31-60 days</v>
      </c>
      <c r="P915" t="s">
        <v>80</v>
      </c>
      <c r="Q915" t="s">
        <v>21</v>
      </c>
      <c r="R915">
        <v>0</v>
      </c>
      <c r="S915" t="str">
        <f>IF(Table1[prior_dna_count]&gt;=1,"Has prior DNA history","No prior DNA history")</f>
        <v>No prior DNA history</v>
      </c>
      <c r="T915" t="s">
        <v>22</v>
      </c>
      <c r="U915" t="str">
        <f t="shared" si="14"/>
        <v>1</v>
      </c>
      <c r="V915" t="str">
        <f>IF(Table1[appointment_status]="Attended","1","0")</f>
        <v>1</v>
      </c>
      <c r="W915" t="str">
        <f>IF(Table1[appointment_status]="Cancelled","1","0")</f>
        <v>0</v>
      </c>
    </row>
    <row r="916" spans="1:23">
      <c r="A916" t="s">
        <v>1658</v>
      </c>
      <c r="B916" t="s">
        <v>1088</v>
      </c>
      <c r="C916">
        <v>35</v>
      </c>
      <c r="D916" t="str" cm="1">
        <f t="array" ref="D916">_xlfn.IFS(Table1[[#This Row],[age]]&lt;=17,"0-17",C916&lt;=29,"18-29",C916&lt;=44,"30-44",C916&lt;=59,"45-59",C916&lt;=74,"60-74",TRUE,"75+")</f>
        <v>30-44</v>
      </c>
      <c r="E916" t="s">
        <v>17</v>
      </c>
      <c r="F916">
        <v>6</v>
      </c>
      <c r="G916" t="str" cm="1">
        <f t="array" ref="G916">_xlfn.IFS(_xlfn.SINGLE(Table1[imd_decile])&lt;=3,"Most Deprived",F916&lt;=7,"Moderately Deprived",F916&lt;=10,"Least Deprived")</f>
        <v>Moderately Deprived</v>
      </c>
      <c r="H916">
        <v>12.8</v>
      </c>
      <c r="I916" t="s">
        <v>25</v>
      </c>
      <c r="J916" t="s">
        <v>19</v>
      </c>
      <c r="K916" s="1">
        <v>45763</v>
      </c>
      <c r="L916" s="1">
        <v>45805</v>
      </c>
      <c r="M916" s="1" t="str">
        <f>TEXT(Table1[[#This Row],[appointment_date]],"MM/YYYY")</f>
        <v>05/2025</v>
      </c>
      <c r="N916">
        <v>42</v>
      </c>
      <c r="O916" t="str" cm="1">
        <f t="array" ref="O916">_xlfn.IFS(Table1[[#This Row],[lead_time_days]]&lt;=7,"0-7 days",N916&lt;=14,"8-14 days",N916&lt;=30,"15-30 days",N916&lt;=60,"31-60 days",TRUE,"61+ days")</f>
        <v>31-60 days</v>
      </c>
      <c r="P916" t="s">
        <v>80</v>
      </c>
      <c r="Q916" t="s">
        <v>21</v>
      </c>
      <c r="R916">
        <v>0</v>
      </c>
      <c r="S916" t="str">
        <f>IF(Table1[prior_dna_count]&gt;=1,"Has prior DNA history","No prior DNA history")</f>
        <v>No prior DNA history</v>
      </c>
      <c r="T916" t="s">
        <v>22</v>
      </c>
      <c r="U916" t="str">
        <f t="shared" si="14"/>
        <v>1</v>
      </c>
      <c r="V916" t="str">
        <f>IF(Table1[appointment_status]="Attended","1","0")</f>
        <v>1</v>
      </c>
      <c r="W916" t="str">
        <f>IF(Table1[appointment_status]="Cancelled","1","0")</f>
        <v>0</v>
      </c>
    </row>
    <row r="917" spans="1:23">
      <c r="A917" t="s">
        <v>1659</v>
      </c>
      <c r="B917" t="s">
        <v>1188</v>
      </c>
      <c r="C917">
        <v>45</v>
      </c>
      <c r="D917" t="str" cm="1">
        <f t="array" ref="D917">_xlfn.IFS(Table1[[#This Row],[age]]&lt;=17,"0-17",C917&lt;=29,"18-29",C917&lt;=44,"30-44",C917&lt;=59,"45-59",C917&lt;=74,"60-74",TRUE,"75+")</f>
        <v>45-59</v>
      </c>
      <c r="E917" t="s">
        <v>17</v>
      </c>
      <c r="F917">
        <v>3</v>
      </c>
      <c r="G917" t="str" cm="1">
        <f t="array" ref="G917">_xlfn.IFS(_xlfn.SINGLE(Table1[imd_decile])&lt;=3,"Most Deprived",F917&lt;=7,"Moderately Deprived",F917&lt;=10,"Least Deprived")</f>
        <v>Most Deprived</v>
      </c>
      <c r="H917">
        <v>12.1</v>
      </c>
      <c r="I917" t="s">
        <v>91</v>
      </c>
      <c r="J917" t="s">
        <v>19</v>
      </c>
      <c r="K917" s="1">
        <v>45745</v>
      </c>
      <c r="L917" s="1">
        <v>45805</v>
      </c>
      <c r="M917" s="1" t="str">
        <f>TEXT(Table1[[#This Row],[appointment_date]],"MM/YYYY")</f>
        <v>05/2025</v>
      </c>
      <c r="N917">
        <v>60</v>
      </c>
      <c r="O917" t="str" cm="1">
        <f t="array" ref="O917">_xlfn.IFS(Table1[[#This Row],[lead_time_days]]&lt;=7,"0-7 days",N917&lt;=14,"8-14 days",N917&lt;=30,"15-30 days",N917&lt;=60,"31-60 days",TRUE,"61+ days")</f>
        <v>31-60 days</v>
      </c>
      <c r="P917" t="s">
        <v>80</v>
      </c>
      <c r="Q917" t="s">
        <v>32</v>
      </c>
      <c r="R917">
        <v>0</v>
      </c>
      <c r="S917" t="str">
        <f>IF(Table1[prior_dna_count]&gt;=1,"Has prior DNA history","No prior DNA history")</f>
        <v>No prior DNA history</v>
      </c>
      <c r="T917" t="s">
        <v>22</v>
      </c>
      <c r="U917" t="str">
        <f t="shared" si="14"/>
        <v>1</v>
      </c>
      <c r="V917" t="str">
        <f>IF(Table1[appointment_status]="Attended","1","0")</f>
        <v>1</v>
      </c>
      <c r="W917" t="str">
        <f>IF(Table1[appointment_status]="Cancelled","1","0")</f>
        <v>0</v>
      </c>
    </row>
    <row r="918" spans="1:23">
      <c r="A918" t="s">
        <v>1660</v>
      </c>
      <c r="B918" t="s">
        <v>1661</v>
      </c>
      <c r="C918">
        <v>55</v>
      </c>
      <c r="D918" t="str" cm="1">
        <f t="array" ref="D918">_xlfn.IFS(Table1[[#This Row],[age]]&lt;=17,"0-17",C918&lt;=29,"18-29",C918&lt;=44,"30-44",C918&lt;=59,"45-59",C918&lt;=74,"60-74",TRUE,"75+")</f>
        <v>45-59</v>
      </c>
      <c r="E918" t="s">
        <v>17</v>
      </c>
      <c r="F918">
        <v>9</v>
      </c>
      <c r="G918" t="str" cm="1">
        <f t="array" ref="G918">_xlfn.IFS(_xlfn.SINGLE(Table1[imd_decile])&lt;=3,"Most Deprived",F918&lt;=7,"Moderately Deprived",F918&lt;=10,"Least Deprived")</f>
        <v>Least Deprived</v>
      </c>
      <c r="H918">
        <v>6.2</v>
      </c>
      <c r="I918" t="s">
        <v>25</v>
      </c>
      <c r="J918" t="s">
        <v>19</v>
      </c>
      <c r="K918" s="1">
        <v>45791</v>
      </c>
      <c r="L918" s="1">
        <v>45805</v>
      </c>
      <c r="M918" s="1" t="str">
        <f>TEXT(Table1[[#This Row],[appointment_date]],"MM/YYYY")</f>
        <v>05/2025</v>
      </c>
      <c r="N918">
        <v>14</v>
      </c>
      <c r="O918" t="str" cm="1">
        <f t="array" ref="O918">_xlfn.IFS(Table1[[#This Row],[lead_time_days]]&lt;=7,"0-7 days",N918&lt;=14,"8-14 days",N918&lt;=30,"15-30 days",N918&lt;=60,"31-60 days",TRUE,"61+ days")</f>
        <v>8-14 days</v>
      </c>
      <c r="P918" t="s">
        <v>80</v>
      </c>
      <c r="Q918" t="s">
        <v>21</v>
      </c>
      <c r="R918">
        <v>0</v>
      </c>
      <c r="S918" t="str">
        <f>IF(Table1[prior_dna_count]&gt;=1,"Has prior DNA history","No prior DNA history")</f>
        <v>No prior DNA history</v>
      </c>
      <c r="T918" t="s">
        <v>22</v>
      </c>
      <c r="U918" t="str">
        <f t="shared" si="14"/>
        <v>1</v>
      </c>
      <c r="V918" t="str">
        <f>IF(Table1[appointment_status]="Attended","1","0")</f>
        <v>1</v>
      </c>
      <c r="W918" t="str">
        <f>IF(Table1[appointment_status]="Cancelled","1","0")</f>
        <v>0</v>
      </c>
    </row>
    <row r="919" spans="1:23">
      <c r="A919" t="s">
        <v>1662</v>
      </c>
      <c r="B919" t="s">
        <v>413</v>
      </c>
      <c r="C919">
        <v>61</v>
      </c>
      <c r="D919" t="str" cm="1">
        <f t="array" ref="D919">_xlfn.IFS(Table1[[#This Row],[age]]&lt;=17,"0-17",C919&lt;=29,"18-29",C919&lt;=44,"30-44",C919&lt;=59,"45-59",C919&lt;=74,"60-74",TRUE,"75+")</f>
        <v>60-74</v>
      </c>
      <c r="E919" t="s">
        <v>29</v>
      </c>
      <c r="F919">
        <v>1</v>
      </c>
      <c r="G919" t="str" cm="1">
        <f t="array" ref="G919">_xlfn.IFS(_xlfn.SINGLE(Table1[imd_decile])&lt;=3,"Most Deprived",F919&lt;=7,"Moderately Deprived",F919&lt;=10,"Least Deprived")</f>
        <v>Most Deprived</v>
      </c>
      <c r="H919">
        <v>12.9</v>
      </c>
      <c r="I919" t="s">
        <v>42</v>
      </c>
      <c r="J919" t="s">
        <v>26</v>
      </c>
      <c r="K919" s="1">
        <v>45771</v>
      </c>
      <c r="L919" s="1">
        <v>45805</v>
      </c>
      <c r="M919" s="1" t="str">
        <f>TEXT(Table1[[#This Row],[appointment_date]],"MM/YYYY")</f>
        <v>05/2025</v>
      </c>
      <c r="N919">
        <v>34</v>
      </c>
      <c r="O919" t="str" cm="1">
        <f t="array" ref="O919">_xlfn.IFS(Table1[[#This Row],[lead_time_days]]&lt;=7,"0-7 days",N919&lt;=14,"8-14 days",N919&lt;=30,"15-30 days",N919&lt;=60,"31-60 days",TRUE,"61+ days")</f>
        <v>31-60 days</v>
      </c>
      <c r="P919" t="s">
        <v>80</v>
      </c>
      <c r="Q919" t="s">
        <v>32</v>
      </c>
      <c r="R919">
        <v>0</v>
      </c>
      <c r="S919" t="str">
        <f>IF(Table1[prior_dna_count]&gt;=1,"Has prior DNA history","No prior DNA history")</f>
        <v>No prior DNA history</v>
      </c>
      <c r="T919" t="s">
        <v>39</v>
      </c>
      <c r="U919" t="str">
        <f t="shared" si="14"/>
        <v>1</v>
      </c>
      <c r="V919" t="str">
        <f>IF(Table1[appointment_status]="Attended","1","0")</f>
        <v>0</v>
      </c>
      <c r="W919" t="str">
        <f>IF(Table1[appointment_status]="Cancelled","1","0")</f>
        <v>0</v>
      </c>
    </row>
    <row r="920" spans="1:23">
      <c r="A920" t="s">
        <v>1663</v>
      </c>
      <c r="B920" t="s">
        <v>1664</v>
      </c>
      <c r="C920">
        <v>32</v>
      </c>
      <c r="D920" t="str" cm="1">
        <f t="array" ref="D920">_xlfn.IFS(Table1[[#This Row],[age]]&lt;=17,"0-17",C920&lt;=29,"18-29",C920&lt;=44,"30-44",C920&lt;=59,"45-59",C920&lt;=74,"60-74",TRUE,"75+")</f>
        <v>30-44</v>
      </c>
      <c r="E920" t="s">
        <v>29</v>
      </c>
      <c r="F920">
        <v>10</v>
      </c>
      <c r="G920" t="str" cm="1">
        <f t="array" ref="G920">_xlfn.IFS(_xlfn.SINGLE(Table1[imd_decile])&lt;=3,"Most Deprived",F920&lt;=7,"Moderately Deprived",F920&lt;=10,"Least Deprived")</f>
        <v>Least Deprived</v>
      </c>
      <c r="H920">
        <v>4.7</v>
      </c>
      <c r="I920" t="s">
        <v>38</v>
      </c>
      <c r="J920" t="s">
        <v>26</v>
      </c>
      <c r="K920" s="1">
        <v>45800</v>
      </c>
      <c r="L920" s="1">
        <v>45805</v>
      </c>
      <c r="M920" s="1" t="str">
        <f>TEXT(Table1[[#This Row],[appointment_date]],"MM/YYYY")</f>
        <v>05/2025</v>
      </c>
      <c r="N920">
        <v>5</v>
      </c>
      <c r="O920" t="str" cm="1">
        <f t="array" ref="O920">_xlfn.IFS(Table1[[#This Row],[lead_time_days]]&lt;=7,"0-7 days",N920&lt;=14,"8-14 days",N920&lt;=30,"15-30 days",N920&lt;=60,"31-60 days",TRUE,"61+ days")</f>
        <v>0-7 days</v>
      </c>
      <c r="P920" t="s">
        <v>80</v>
      </c>
      <c r="Q920" t="s">
        <v>21</v>
      </c>
      <c r="R920">
        <v>0</v>
      </c>
      <c r="S920" t="str">
        <f>IF(Table1[prior_dna_count]&gt;=1,"Has prior DNA history","No prior DNA history")</f>
        <v>No prior DNA history</v>
      </c>
      <c r="T920" t="s">
        <v>22</v>
      </c>
      <c r="U920" t="str">
        <f t="shared" si="14"/>
        <v>0</v>
      </c>
      <c r="V920" t="str">
        <f>IF(Table1[appointment_status]="Attended","1","0")</f>
        <v>1</v>
      </c>
      <c r="W920" t="str">
        <f>IF(Table1[appointment_status]="Cancelled","1","0")</f>
        <v>0</v>
      </c>
    </row>
    <row r="921" spans="1:23">
      <c r="A921" t="s">
        <v>1665</v>
      </c>
      <c r="B921" t="s">
        <v>1666</v>
      </c>
      <c r="C921">
        <v>46</v>
      </c>
      <c r="D921" t="str" cm="1">
        <f t="array" ref="D921">_xlfn.IFS(Table1[[#This Row],[age]]&lt;=17,"0-17",C921&lt;=29,"18-29",C921&lt;=44,"30-44",C921&lt;=59,"45-59",C921&lt;=74,"60-74",TRUE,"75+")</f>
        <v>45-59</v>
      </c>
      <c r="E921" t="s">
        <v>29</v>
      </c>
      <c r="F921">
        <v>9</v>
      </c>
      <c r="G921" t="str" cm="1">
        <f t="array" ref="G921">_xlfn.IFS(_xlfn.SINGLE(Table1[imd_decile])&lt;=3,"Most Deprived",F921&lt;=7,"Moderately Deprived",F921&lt;=10,"Least Deprived")</f>
        <v>Least Deprived</v>
      </c>
      <c r="H921">
        <v>18.100000000000001</v>
      </c>
      <c r="I921" t="s">
        <v>45</v>
      </c>
      <c r="J921" t="s">
        <v>26</v>
      </c>
      <c r="K921" s="1">
        <v>45786</v>
      </c>
      <c r="L921" s="1">
        <v>45805</v>
      </c>
      <c r="M921" s="1" t="str">
        <f>TEXT(Table1[[#This Row],[appointment_date]],"MM/YYYY")</f>
        <v>05/2025</v>
      </c>
      <c r="N921">
        <v>19</v>
      </c>
      <c r="O921" t="str" cm="1">
        <f t="array" ref="O921">_xlfn.IFS(Table1[[#This Row],[lead_time_days]]&lt;=7,"0-7 days",N921&lt;=14,"8-14 days",N921&lt;=30,"15-30 days",N921&lt;=60,"31-60 days",TRUE,"61+ days")</f>
        <v>15-30 days</v>
      </c>
      <c r="P921" t="s">
        <v>80</v>
      </c>
      <c r="Q921" t="s">
        <v>32</v>
      </c>
      <c r="R921">
        <v>0</v>
      </c>
      <c r="S921" t="str">
        <f>IF(Table1[prior_dna_count]&gt;=1,"Has prior DNA history","No prior DNA history")</f>
        <v>No prior DNA history</v>
      </c>
      <c r="T921" t="s">
        <v>22</v>
      </c>
      <c r="U921" t="str">
        <f t="shared" si="14"/>
        <v>1</v>
      </c>
      <c r="V921" t="str">
        <f>IF(Table1[appointment_status]="Attended","1","0")</f>
        <v>1</v>
      </c>
      <c r="W921" t="str">
        <f>IF(Table1[appointment_status]="Cancelled","1","0")</f>
        <v>0</v>
      </c>
    </row>
    <row r="922" spans="1:23">
      <c r="A922" t="s">
        <v>1667</v>
      </c>
      <c r="B922" t="s">
        <v>1668</v>
      </c>
      <c r="C922">
        <v>58</v>
      </c>
      <c r="D922" t="str" cm="1">
        <f t="array" ref="D922">_xlfn.IFS(Table1[[#This Row],[age]]&lt;=17,"0-17",C922&lt;=29,"18-29",C922&lt;=44,"30-44",C922&lt;=59,"45-59",C922&lt;=74,"60-74",TRUE,"75+")</f>
        <v>45-59</v>
      </c>
      <c r="E922" t="s">
        <v>29</v>
      </c>
      <c r="F922">
        <v>3</v>
      </c>
      <c r="G922" t="str" cm="1">
        <f t="array" ref="G922">_xlfn.IFS(_xlfn.SINGLE(Table1[imd_decile])&lt;=3,"Most Deprived",F922&lt;=7,"Moderately Deprived",F922&lt;=10,"Least Deprived")</f>
        <v>Most Deprived</v>
      </c>
      <c r="H922">
        <v>3.1</v>
      </c>
      <c r="I922" t="s">
        <v>91</v>
      </c>
      <c r="J922" t="s">
        <v>19</v>
      </c>
      <c r="K922" s="1">
        <v>45768</v>
      </c>
      <c r="L922" s="1">
        <v>45805</v>
      </c>
      <c r="M922" s="1" t="str">
        <f>TEXT(Table1[[#This Row],[appointment_date]],"MM/YYYY")</f>
        <v>05/2025</v>
      </c>
      <c r="N922">
        <v>37</v>
      </c>
      <c r="O922" t="str" cm="1">
        <f t="array" ref="O922">_xlfn.IFS(Table1[[#This Row],[lead_time_days]]&lt;=7,"0-7 days",N922&lt;=14,"8-14 days",N922&lt;=30,"15-30 days",N922&lt;=60,"31-60 days",TRUE,"61+ days")</f>
        <v>31-60 days</v>
      </c>
      <c r="P922" t="s">
        <v>80</v>
      </c>
      <c r="Q922" t="s">
        <v>21</v>
      </c>
      <c r="R922">
        <v>0</v>
      </c>
      <c r="S922" t="str">
        <f>IF(Table1[prior_dna_count]&gt;=1,"Has prior DNA history","No prior DNA history")</f>
        <v>No prior DNA history</v>
      </c>
      <c r="T922" t="s">
        <v>22</v>
      </c>
      <c r="U922" t="str">
        <f t="shared" si="14"/>
        <v>1</v>
      </c>
      <c r="V922" t="str">
        <f>IF(Table1[appointment_status]="Attended","1","0")</f>
        <v>1</v>
      </c>
      <c r="W922" t="str">
        <f>IF(Table1[appointment_status]="Cancelled","1","0")</f>
        <v>0</v>
      </c>
    </row>
    <row r="923" spans="1:23">
      <c r="A923" t="s">
        <v>1669</v>
      </c>
      <c r="B923" t="s">
        <v>754</v>
      </c>
      <c r="C923">
        <v>46</v>
      </c>
      <c r="D923" t="str" cm="1">
        <f t="array" ref="D923">_xlfn.IFS(Table1[[#This Row],[age]]&lt;=17,"0-17",C923&lt;=29,"18-29",C923&lt;=44,"30-44",C923&lt;=59,"45-59",C923&lt;=74,"60-74",TRUE,"75+")</f>
        <v>45-59</v>
      </c>
      <c r="E923" t="s">
        <v>29</v>
      </c>
      <c r="F923">
        <v>7</v>
      </c>
      <c r="G923" t="str" cm="1">
        <f t="array" ref="G923">_xlfn.IFS(_xlfn.SINGLE(Table1[imd_decile])&lt;=3,"Most Deprived",F923&lt;=7,"Moderately Deprived",F923&lt;=10,"Least Deprived")</f>
        <v>Moderately Deprived</v>
      </c>
      <c r="H923">
        <v>3.9</v>
      </c>
      <c r="I923" t="s">
        <v>155</v>
      </c>
      <c r="J923" t="s">
        <v>26</v>
      </c>
      <c r="K923" s="1">
        <v>45793</v>
      </c>
      <c r="L923" s="1">
        <v>45805</v>
      </c>
      <c r="M923" s="1" t="str">
        <f>TEXT(Table1[[#This Row],[appointment_date]],"MM/YYYY")</f>
        <v>05/2025</v>
      </c>
      <c r="N923">
        <v>12</v>
      </c>
      <c r="O923" t="str" cm="1">
        <f t="array" ref="O923">_xlfn.IFS(Table1[[#This Row],[lead_time_days]]&lt;=7,"0-7 days",N923&lt;=14,"8-14 days",N923&lt;=30,"15-30 days",N923&lt;=60,"31-60 days",TRUE,"61+ days")</f>
        <v>8-14 days</v>
      </c>
      <c r="P923" t="s">
        <v>80</v>
      </c>
      <c r="Q923" t="s">
        <v>32</v>
      </c>
      <c r="R923">
        <v>0</v>
      </c>
      <c r="S923" t="str">
        <f>IF(Table1[prior_dna_count]&gt;=1,"Has prior DNA history","No prior DNA history")</f>
        <v>No prior DNA history</v>
      </c>
      <c r="T923" t="s">
        <v>22</v>
      </c>
      <c r="U923" t="str">
        <f t="shared" si="14"/>
        <v>1</v>
      </c>
      <c r="V923" t="str">
        <f>IF(Table1[appointment_status]="Attended","1","0")</f>
        <v>1</v>
      </c>
      <c r="W923" t="str">
        <f>IF(Table1[appointment_status]="Cancelled","1","0")</f>
        <v>0</v>
      </c>
    </row>
    <row r="924" spans="1:23">
      <c r="A924" t="s">
        <v>1670</v>
      </c>
      <c r="B924" t="s">
        <v>1671</v>
      </c>
      <c r="C924">
        <v>25</v>
      </c>
      <c r="D924" t="str" cm="1">
        <f t="array" ref="D924">_xlfn.IFS(Table1[[#This Row],[age]]&lt;=17,"0-17",C924&lt;=29,"18-29",C924&lt;=44,"30-44",C924&lt;=59,"45-59",C924&lt;=74,"60-74",TRUE,"75+")</f>
        <v>18-29</v>
      </c>
      <c r="E924" t="s">
        <v>17</v>
      </c>
      <c r="F924">
        <v>8</v>
      </c>
      <c r="G924" t="str" cm="1">
        <f t="array" ref="G924">_xlfn.IFS(_xlfn.SINGLE(Table1[imd_decile])&lt;=3,"Most Deprived",F924&lt;=7,"Moderately Deprived",F924&lt;=10,"Least Deprived")</f>
        <v>Least Deprived</v>
      </c>
      <c r="H924">
        <v>12.7</v>
      </c>
      <c r="I924" t="s">
        <v>155</v>
      </c>
      <c r="J924" t="s">
        <v>19</v>
      </c>
      <c r="K924" s="1">
        <v>45782</v>
      </c>
      <c r="L924" s="1">
        <v>45806</v>
      </c>
      <c r="M924" s="1" t="str">
        <f>TEXT(Table1[[#This Row],[appointment_date]],"MM/YYYY")</f>
        <v>05/2025</v>
      </c>
      <c r="N924">
        <v>24</v>
      </c>
      <c r="O924" t="str" cm="1">
        <f t="array" ref="O924">_xlfn.IFS(Table1[[#This Row],[lead_time_days]]&lt;=7,"0-7 days",N924&lt;=14,"8-14 days",N924&lt;=30,"15-30 days",N924&lt;=60,"31-60 days",TRUE,"61+ days")</f>
        <v>15-30 days</v>
      </c>
      <c r="P924" t="s">
        <v>20</v>
      </c>
      <c r="Q924" t="s">
        <v>21</v>
      </c>
      <c r="R924">
        <v>0</v>
      </c>
      <c r="S924" t="str">
        <f>IF(Table1[prior_dna_count]&gt;=1,"Has prior DNA history","No prior DNA history")</f>
        <v>No prior DNA history</v>
      </c>
      <c r="T924" t="s">
        <v>22</v>
      </c>
      <c r="U924" t="str">
        <f t="shared" si="14"/>
        <v>1</v>
      </c>
      <c r="V924" t="str">
        <f>IF(Table1[appointment_status]="Attended","1","0")</f>
        <v>1</v>
      </c>
      <c r="W924" t="str">
        <f>IF(Table1[appointment_status]="Cancelled","1","0")</f>
        <v>0</v>
      </c>
    </row>
    <row r="925" spans="1:23">
      <c r="A925" t="s">
        <v>1672</v>
      </c>
      <c r="B925" t="s">
        <v>1673</v>
      </c>
      <c r="C925">
        <v>54</v>
      </c>
      <c r="D925" t="str" cm="1">
        <f t="array" ref="D925">_xlfn.IFS(Table1[[#This Row],[age]]&lt;=17,"0-17",C925&lt;=29,"18-29",C925&lt;=44,"30-44",C925&lt;=59,"45-59",C925&lt;=74,"60-74",TRUE,"75+")</f>
        <v>45-59</v>
      </c>
      <c r="E925" t="s">
        <v>29</v>
      </c>
      <c r="F925">
        <v>7</v>
      </c>
      <c r="G925" t="str" cm="1">
        <f t="array" ref="G925">_xlfn.IFS(_xlfn.SINGLE(Table1[imd_decile])&lt;=3,"Most Deprived",F925&lt;=7,"Moderately Deprived",F925&lt;=10,"Least Deprived")</f>
        <v>Moderately Deprived</v>
      </c>
      <c r="H925">
        <v>1.8</v>
      </c>
      <c r="I925" t="s">
        <v>18</v>
      </c>
      <c r="J925" t="s">
        <v>19</v>
      </c>
      <c r="K925" s="1">
        <v>45781</v>
      </c>
      <c r="L925" s="1">
        <v>45806</v>
      </c>
      <c r="M925" s="1" t="str">
        <f>TEXT(Table1[[#This Row],[appointment_date]],"MM/YYYY")</f>
        <v>05/2025</v>
      </c>
      <c r="N925">
        <v>25</v>
      </c>
      <c r="O925" t="str" cm="1">
        <f t="array" ref="O925">_xlfn.IFS(Table1[[#This Row],[lead_time_days]]&lt;=7,"0-7 days",N925&lt;=14,"8-14 days",N925&lt;=30,"15-30 days",N925&lt;=60,"31-60 days",TRUE,"61+ days")</f>
        <v>15-30 days</v>
      </c>
      <c r="P925" t="s">
        <v>20</v>
      </c>
      <c r="Q925" t="s">
        <v>21</v>
      </c>
      <c r="R925">
        <v>0</v>
      </c>
      <c r="S925" t="str">
        <f>IF(Table1[prior_dna_count]&gt;=1,"Has prior DNA history","No prior DNA history")</f>
        <v>No prior DNA history</v>
      </c>
      <c r="T925" t="s">
        <v>22</v>
      </c>
      <c r="U925" t="str">
        <f t="shared" si="14"/>
        <v>1</v>
      </c>
      <c r="V925" t="str">
        <f>IF(Table1[appointment_status]="Attended","1","0")</f>
        <v>1</v>
      </c>
      <c r="W925" t="str">
        <f>IF(Table1[appointment_status]="Cancelled","1","0")</f>
        <v>0</v>
      </c>
    </row>
    <row r="926" spans="1:23">
      <c r="A926" t="s">
        <v>1674</v>
      </c>
      <c r="B926" t="s">
        <v>1675</v>
      </c>
      <c r="C926">
        <v>48</v>
      </c>
      <c r="D926" t="str" cm="1">
        <f t="array" ref="D926">_xlfn.IFS(Table1[[#This Row],[age]]&lt;=17,"0-17",C926&lt;=29,"18-29",C926&lt;=44,"30-44",C926&lt;=59,"45-59",C926&lt;=74,"60-74",TRUE,"75+")</f>
        <v>45-59</v>
      </c>
      <c r="E926" t="s">
        <v>17</v>
      </c>
      <c r="F926">
        <v>8</v>
      </c>
      <c r="G926" t="str" cm="1">
        <f t="array" ref="G926">_xlfn.IFS(_xlfn.SINGLE(Table1[imd_decile])&lt;=3,"Most Deprived",F926&lt;=7,"Moderately Deprived",F926&lt;=10,"Least Deprived")</f>
        <v>Least Deprived</v>
      </c>
      <c r="H926">
        <v>2.5</v>
      </c>
      <c r="I926" t="s">
        <v>155</v>
      </c>
      <c r="J926" t="s">
        <v>26</v>
      </c>
      <c r="K926" s="1">
        <v>45787</v>
      </c>
      <c r="L926" s="1">
        <v>45806</v>
      </c>
      <c r="M926" s="1" t="str">
        <f>TEXT(Table1[[#This Row],[appointment_date]],"MM/YYYY")</f>
        <v>05/2025</v>
      </c>
      <c r="N926">
        <v>19</v>
      </c>
      <c r="O926" t="str" cm="1">
        <f t="array" ref="O926">_xlfn.IFS(Table1[[#This Row],[lead_time_days]]&lt;=7,"0-7 days",N926&lt;=14,"8-14 days",N926&lt;=30,"15-30 days",N926&lt;=60,"31-60 days",TRUE,"61+ days")</f>
        <v>15-30 days</v>
      </c>
      <c r="P926" t="s">
        <v>20</v>
      </c>
      <c r="Q926" t="s">
        <v>21</v>
      </c>
      <c r="R926">
        <v>0</v>
      </c>
      <c r="S926" t="str">
        <f>IF(Table1[prior_dna_count]&gt;=1,"Has prior DNA history","No prior DNA history")</f>
        <v>No prior DNA history</v>
      </c>
      <c r="T926" t="s">
        <v>22</v>
      </c>
      <c r="U926" t="str">
        <f t="shared" si="14"/>
        <v>1</v>
      </c>
      <c r="V926" t="str">
        <f>IF(Table1[appointment_status]="Attended","1","0")</f>
        <v>1</v>
      </c>
      <c r="W926" t="str">
        <f>IF(Table1[appointment_status]="Cancelled","1","0")</f>
        <v>0</v>
      </c>
    </row>
    <row r="927" spans="1:23">
      <c r="A927" t="s">
        <v>1676</v>
      </c>
      <c r="B927" t="s">
        <v>1677</v>
      </c>
      <c r="C927">
        <v>23</v>
      </c>
      <c r="D927" t="str" cm="1">
        <f t="array" ref="D927">_xlfn.IFS(Table1[[#This Row],[age]]&lt;=17,"0-17",C927&lt;=29,"18-29",C927&lt;=44,"30-44",C927&lt;=59,"45-59",C927&lt;=74,"60-74",TRUE,"75+")</f>
        <v>18-29</v>
      </c>
      <c r="E927" t="s">
        <v>29</v>
      </c>
      <c r="F927">
        <v>7</v>
      </c>
      <c r="G927" t="str" cm="1">
        <f t="array" ref="G927">_xlfn.IFS(_xlfn.SINGLE(Table1[imd_decile])&lt;=3,"Most Deprived",F927&lt;=7,"Moderately Deprived",F927&lt;=10,"Least Deprived")</f>
        <v>Moderately Deprived</v>
      </c>
      <c r="H927">
        <v>2.5</v>
      </c>
      <c r="I927" t="s">
        <v>58</v>
      </c>
      <c r="J927" t="s">
        <v>19</v>
      </c>
      <c r="K927" s="1">
        <v>45771</v>
      </c>
      <c r="L927" s="1">
        <v>45806</v>
      </c>
      <c r="M927" s="1" t="str">
        <f>TEXT(Table1[[#This Row],[appointment_date]],"MM/YYYY")</f>
        <v>05/2025</v>
      </c>
      <c r="N927">
        <v>35</v>
      </c>
      <c r="O927" t="str" cm="1">
        <f t="array" ref="O927">_xlfn.IFS(Table1[[#This Row],[lead_time_days]]&lt;=7,"0-7 days",N927&lt;=14,"8-14 days",N927&lt;=30,"15-30 days",N927&lt;=60,"31-60 days",TRUE,"61+ days")</f>
        <v>31-60 days</v>
      </c>
      <c r="P927" t="s">
        <v>20</v>
      </c>
      <c r="Q927" t="s">
        <v>21</v>
      </c>
      <c r="R927">
        <v>0</v>
      </c>
      <c r="S927" t="str">
        <f>IF(Table1[prior_dna_count]&gt;=1,"Has prior DNA history","No prior DNA history")</f>
        <v>No prior DNA history</v>
      </c>
      <c r="T927" t="s">
        <v>22</v>
      </c>
      <c r="U927" t="str">
        <f t="shared" si="14"/>
        <v>1</v>
      </c>
      <c r="V927" t="str">
        <f>IF(Table1[appointment_status]="Attended","1","0")</f>
        <v>1</v>
      </c>
      <c r="W927" t="str">
        <f>IF(Table1[appointment_status]="Cancelled","1","0")</f>
        <v>0</v>
      </c>
    </row>
    <row r="928" spans="1:23">
      <c r="A928" t="s">
        <v>1678</v>
      </c>
      <c r="B928" t="s">
        <v>1679</v>
      </c>
      <c r="C928">
        <v>17</v>
      </c>
      <c r="D928" t="str" cm="1">
        <f t="array" ref="D928">_xlfn.IFS(Table1[[#This Row],[age]]&lt;=17,"0-17",C928&lt;=29,"18-29",C928&lt;=44,"30-44",C928&lt;=59,"45-59",C928&lt;=74,"60-74",TRUE,"75+")</f>
        <v>0-17</v>
      </c>
      <c r="E928" t="s">
        <v>17</v>
      </c>
      <c r="F928">
        <v>6</v>
      </c>
      <c r="G928" t="str" cm="1">
        <f t="array" ref="G928">_xlfn.IFS(_xlfn.SINGLE(Table1[imd_decile])&lt;=3,"Most Deprived",F928&lt;=7,"Moderately Deprived",F928&lt;=10,"Least Deprived")</f>
        <v>Moderately Deprived</v>
      </c>
      <c r="H928">
        <v>4</v>
      </c>
      <c r="I928" t="s">
        <v>155</v>
      </c>
      <c r="J928" t="s">
        <v>26</v>
      </c>
      <c r="K928" s="1">
        <v>45791</v>
      </c>
      <c r="L928" s="1">
        <v>45806</v>
      </c>
      <c r="M928" s="1" t="str">
        <f>TEXT(Table1[[#This Row],[appointment_date]],"MM/YYYY")</f>
        <v>05/2025</v>
      </c>
      <c r="N928">
        <v>15</v>
      </c>
      <c r="O928" t="str" cm="1">
        <f t="array" ref="O928">_xlfn.IFS(Table1[[#This Row],[lead_time_days]]&lt;=7,"0-7 days",N928&lt;=14,"8-14 days",N928&lt;=30,"15-30 days",N928&lt;=60,"31-60 days",TRUE,"61+ days")</f>
        <v>15-30 days</v>
      </c>
      <c r="P928" t="s">
        <v>20</v>
      </c>
      <c r="Q928" t="s">
        <v>21</v>
      </c>
      <c r="R928">
        <v>0</v>
      </c>
      <c r="S928" t="str">
        <f>IF(Table1[prior_dna_count]&gt;=1,"Has prior DNA history","No prior DNA history")</f>
        <v>No prior DNA history</v>
      </c>
      <c r="T928" t="s">
        <v>22</v>
      </c>
      <c r="U928" t="str">
        <f t="shared" si="14"/>
        <v>1</v>
      </c>
      <c r="V928" t="str">
        <f>IF(Table1[appointment_status]="Attended","1","0")</f>
        <v>1</v>
      </c>
      <c r="W928" t="str">
        <f>IF(Table1[appointment_status]="Cancelled","1","0")</f>
        <v>0</v>
      </c>
    </row>
    <row r="929" spans="1:23">
      <c r="A929" t="s">
        <v>1680</v>
      </c>
      <c r="B929" t="s">
        <v>1681</v>
      </c>
      <c r="C929">
        <v>54</v>
      </c>
      <c r="D929" t="str" cm="1">
        <f t="array" ref="D929">_xlfn.IFS(Table1[[#This Row],[age]]&lt;=17,"0-17",C929&lt;=29,"18-29",C929&lt;=44,"30-44",C929&lt;=59,"45-59",C929&lt;=74,"60-74",TRUE,"75+")</f>
        <v>45-59</v>
      </c>
      <c r="E929" t="s">
        <v>29</v>
      </c>
      <c r="F929">
        <v>1</v>
      </c>
      <c r="G929" t="str" cm="1">
        <f t="array" ref="G929">_xlfn.IFS(_xlfn.SINGLE(Table1[imd_decile])&lt;=3,"Most Deprived",F929&lt;=7,"Moderately Deprived",F929&lt;=10,"Least Deprived")</f>
        <v>Most Deprived</v>
      </c>
      <c r="H929">
        <v>7.3</v>
      </c>
      <c r="I929" t="s">
        <v>30</v>
      </c>
      <c r="J929" t="s">
        <v>26</v>
      </c>
      <c r="K929" s="1">
        <v>45798</v>
      </c>
      <c r="L929" s="1">
        <v>45806</v>
      </c>
      <c r="M929" s="1" t="str">
        <f>TEXT(Table1[[#This Row],[appointment_date]],"MM/YYYY")</f>
        <v>05/2025</v>
      </c>
      <c r="N929">
        <v>8</v>
      </c>
      <c r="O929" t="str" cm="1">
        <f t="array" ref="O929">_xlfn.IFS(Table1[[#This Row],[lead_time_days]]&lt;=7,"0-7 days",N929&lt;=14,"8-14 days",N929&lt;=30,"15-30 days",N929&lt;=60,"31-60 days",TRUE,"61+ days")</f>
        <v>8-14 days</v>
      </c>
      <c r="P929" t="s">
        <v>20</v>
      </c>
      <c r="Q929" t="s">
        <v>32</v>
      </c>
      <c r="R929">
        <v>0</v>
      </c>
      <c r="S929" t="str">
        <f>IF(Table1[prior_dna_count]&gt;=1,"Has prior DNA history","No prior DNA history")</f>
        <v>No prior DNA history</v>
      </c>
      <c r="T929" t="s">
        <v>39</v>
      </c>
      <c r="U929" t="str">
        <f t="shared" si="14"/>
        <v>1</v>
      </c>
      <c r="V929" t="str">
        <f>IF(Table1[appointment_status]="Attended","1","0")</f>
        <v>0</v>
      </c>
      <c r="W929" t="str">
        <f>IF(Table1[appointment_status]="Cancelled","1","0")</f>
        <v>0</v>
      </c>
    </row>
    <row r="930" spans="1:23">
      <c r="A930" t="s">
        <v>1682</v>
      </c>
      <c r="B930" t="s">
        <v>1683</v>
      </c>
      <c r="C930">
        <v>42</v>
      </c>
      <c r="D930" t="str" cm="1">
        <f t="array" ref="D930">_xlfn.IFS(Table1[[#This Row],[age]]&lt;=17,"0-17",C930&lt;=29,"18-29",C930&lt;=44,"30-44",C930&lt;=59,"45-59",C930&lt;=74,"60-74",TRUE,"75+")</f>
        <v>30-44</v>
      </c>
      <c r="E930" t="s">
        <v>17</v>
      </c>
      <c r="F930">
        <v>1</v>
      </c>
      <c r="G930" t="str" cm="1">
        <f t="array" ref="G930">_xlfn.IFS(_xlfn.SINGLE(Table1[imd_decile])&lt;=3,"Most Deprived",F930&lt;=7,"Moderately Deprived",F930&lt;=10,"Least Deprived")</f>
        <v>Most Deprived</v>
      </c>
      <c r="H930">
        <v>6.1</v>
      </c>
      <c r="I930" t="s">
        <v>155</v>
      </c>
      <c r="J930" t="s">
        <v>26</v>
      </c>
      <c r="K930" s="1">
        <v>45771</v>
      </c>
      <c r="L930" s="1">
        <v>45806</v>
      </c>
      <c r="M930" s="1" t="str">
        <f>TEXT(Table1[[#This Row],[appointment_date]],"MM/YYYY")</f>
        <v>05/2025</v>
      </c>
      <c r="N930">
        <v>35</v>
      </c>
      <c r="O930" t="str" cm="1">
        <f t="array" ref="O930">_xlfn.IFS(Table1[[#This Row],[lead_time_days]]&lt;=7,"0-7 days",N930&lt;=14,"8-14 days",N930&lt;=30,"15-30 days",N930&lt;=60,"31-60 days",TRUE,"61+ days")</f>
        <v>31-60 days</v>
      </c>
      <c r="P930" t="s">
        <v>20</v>
      </c>
      <c r="Q930" t="s">
        <v>21</v>
      </c>
      <c r="R930">
        <v>1</v>
      </c>
      <c r="S930" t="str">
        <f>IF(Table1[prior_dna_count]&gt;=1,"Has prior DNA history","No prior DNA history")</f>
        <v>Has prior DNA history</v>
      </c>
      <c r="T930" t="s">
        <v>39</v>
      </c>
      <c r="U930" t="str">
        <f t="shared" si="14"/>
        <v>0</v>
      </c>
      <c r="V930" t="str">
        <f>IF(Table1[appointment_status]="Attended","1","0")</f>
        <v>0</v>
      </c>
      <c r="W930" t="str">
        <f>IF(Table1[appointment_status]="Cancelled","1","0")</f>
        <v>0</v>
      </c>
    </row>
    <row r="931" spans="1:23">
      <c r="A931" t="s">
        <v>1684</v>
      </c>
      <c r="B931" t="s">
        <v>1035</v>
      </c>
      <c r="C931">
        <v>36</v>
      </c>
      <c r="D931" t="str" cm="1">
        <f t="array" ref="D931">_xlfn.IFS(Table1[[#This Row],[age]]&lt;=17,"0-17",C931&lt;=29,"18-29",C931&lt;=44,"30-44",C931&lt;=59,"45-59",C931&lt;=74,"60-74",TRUE,"75+")</f>
        <v>30-44</v>
      </c>
      <c r="E931" t="s">
        <v>17</v>
      </c>
      <c r="F931">
        <v>3</v>
      </c>
      <c r="G931" t="str" cm="1">
        <f t="array" ref="G931">_xlfn.IFS(_xlfn.SINGLE(Table1[imd_decile])&lt;=3,"Most Deprived",F931&lt;=7,"Moderately Deprived",F931&lt;=10,"Least Deprived")</f>
        <v>Most Deprived</v>
      </c>
      <c r="H931">
        <v>4.5999999999999996</v>
      </c>
      <c r="I931" t="s">
        <v>45</v>
      </c>
      <c r="J931" t="s">
        <v>26</v>
      </c>
      <c r="K931" s="1">
        <v>45804</v>
      </c>
      <c r="L931" s="1">
        <v>45807</v>
      </c>
      <c r="M931" s="1" t="str">
        <f>TEXT(Table1[[#This Row],[appointment_date]],"MM/YYYY")</f>
        <v>05/2025</v>
      </c>
      <c r="N931">
        <v>3</v>
      </c>
      <c r="O931" t="str" cm="1">
        <f t="array" ref="O931">_xlfn.IFS(Table1[[#This Row],[lead_time_days]]&lt;=7,"0-7 days",N931&lt;=14,"8-14 days",N931&lt;=30,"15-30 days",N931&lt;=60,"31-60 days",TRUE,"61+ days")</f>
        <v>0-7 days</v>
      </c>
      <c r="P931" t="s">
        <v>52</v>
      </c>
      <c r="Q931" t="s">
        <v>21</v>
      </c>
      <c r="R931">
        <v>0</v>
      </c>
      <c r="S931" t="str">
        <f>IF(Table1[prior_dna_count]&gt;=1,"Has prior DNA history","No prior DNA history")</f>
        <v>No prior DNA history</v>
      </c>
      <c r="T931" t="s">
        <v>22</v>
      </c>
      <c r="U931" t="str">
        <f t="shared" si="14"/>
        <v>0</v>
      </c>
      <c r="V931" t="str">
        <f>IF(Table1[appointment_status]="Attended","1","0")</f>
        <v>1</v>
      </c>
      <c r="W931" t="str">
        <f>IF(Table1[appointment_status]="Cancelled","1","0")</f>
        <v>0</v>
      </c>
    </row>
    <row r="932" spans="1:23">
      <c r="A932" t="s">
        <v>1685</v>
      </c>
      <c r="B932" t="s">
        <v>876</v>
      </c>
      <c r="C932">
        <v>66</v>
      </c>
      <c r="D932" t="str" cm="1">
        <f t="array" ref="D932">_xlfn.IFS(Table1[[#This Row],[age]]&lt;=17,"0-17",C932&lt;=29,"18-29",C932&lt;=44,"30-44",C932&lt;=59,"45-59",C932&lt;=74,"60-74",TRUE,"75+")</f>
        <v>60-74</v>
      </c>
      <c r="E932" t="s">
        <v>17</v>
      </c>
      <c r="F932">
        <v>9</v>
      </c>
      <c r="G932" t="str" cm="1">
        <f t="array" ref="G932">_xlfn.IFS(_xlfn.SINGLE(Table1[imd_decile])&lt;=3,"Most Deprived",F932&lt;=7,"Moderately Deprived",F932&lt;=10,"Least Deprived")</f>
        <v>Least Deprived</v>
      </c>
      <c r="H932">
        <v>2.1</v>
      </c>
      <c r="I932" t="s">
        <v>25</v>
      </c>
      <c r="J932" t="s">
        <v>19</v>
      </c>
      <c r="K932" s="1">
        <v>45749</v>
      </c>
      <c r="L932" s="1">
        <v>45807</v>
      </c>
      <c r="M932" s="1" t="str">
        <f>TEXT(Table1[[#This Row],[appointment_date]],"MM/YYYY")</f>
        <v>05/2025</v>
      </c>
      <c r="N932">
        <v>58</v>
      </c>
      <c r="O932" t="str" cm="1">
        <f t="array" ref="O932">_xlfn.IFS(Table1[[#This Row],[lead_time_days]]&lt;=7,"0-7 days",N932&lt;=14,"8-14 days",N932&lt;=30,"15-30 days",N932&lt;=60,"31-60 days",TRUE,"61+ days")</f>
        <v>31-60 days</v>
      </c>
      <c r="P932" t="s">
        <v>52</v>
      </c>
      <c r="Q932" t="s">
        <v>21</v>
      </c>
      <c r="R932">
        <v>0</v>
      </c>
      <c r="S932" t="str">
        <f>IF(Table1[prior_dna_count]&gt;=1,"Has prior DNA history","No prior DNA history")</f>
        <v>No prior DNA history</v>
      </c>
      <c r="T932" t="s">
        <v>22</v>
      </c>
      <c r="U932" t="str">
        <f t="shared" si="14"/>
        <v>1</v>
      </c>
      <c r="V932" t="str">
        <f>IF(Table1[appointment_status]="Attended","1","0")</f>
        <v>1</v>
      </c>
      <c r="W932" t="str">
        <f>IF(Table1[appointment_status]="Cancelled","1","0")</f>
        <v>0</v>
      </c>
    </row>
    <row r="933" spans="1:23">
      <c r="A933" t="s">
        <v>1686</v>
      </c>
      <c r="B933" t="s">
        <v>1687</v>
      </c>
      <c r="C933">
        <v>68</v>
      </c>
      <c r="D933" t="str" cm="1">
        <f t="array" ref="D933">_xlfn.IFS(Table1[[#This Row],[age]]&lt;=17,"0-17",C933&lt;=29,"18-29",C933&lt;=44,"30-44",C933&lt;=59,"45-59",C933&lt;=74,"60-74",TRUE,"75+")</f>
        <v>60-74</v>
      </c>
      <c r="E933" t="s">
        <v>29</v>
      </c>
      <c r="F933">
        <v>3</v>
      </c>
      <c r="G933" t="str" cm="1">
        <f t="array" ref="G933">_xlfn.IFS(_xlfn.SINGLE(Table1[imd_decile])&lt;=3,"Most Deprived",F933&lt;=7,"Moderately Deprived",F933&lt;=10,"Least Deprived")</f>
        <v>Most Deprived</v>
      </c>
      <c r="H933">
        <v>15</v>
      </c>
      <c r="I933" t="s">
        <v>25</v>
      </c>
      <c r="J933" t="s">
        <v>19</v>
      </c>
      <c r="K933" s="1">
        <v>45775</v>
      </c>
      <c r="L933" s="1">
        <v>45807</v>
      </c>
      <c r="M933" s="1" t="str">
        <f>TEXT(Table1[[#This Row],[appointment_date]],"MM/YYYY")</f>
        <v>05/2025</v>
      </c>
      <c r="N933">
        <v>32</v>
      </c>
      <c r="O933" t="str" cm="1">
        <f t="array" ref="O933">_xlfn.IFS(Table1[[#This Row],[lead_time_days]]&lt;=7,"0-7 days",N933&lt;=14,"8-14 days",N933&lt;=30,"15-30 days",N933&lt;=60,"31-60 days",TRUE,"61+ days")</f>
        <v>31-60 days</v>
      </c>
      <c r="P933" t="s">
        <v>52</v>
      </c>
      <c r="Q933" t="s">
        <v>21</v>
      </c>
      <c r="R933">
        <v>0</v>
      </c>
      <c r="S933" t="str">
        <f>IF(Table1[prior_dna_count]&gt;=1,"Has prior DNA history","No prior DNA history")</f>
        <v>No prior DNA history</v>
      </c>
      <c r="T933" t="s">
        <v>22</v>
      </c>
      <c r="U933" t="str">
        <f t="shared" si="14"/>
        <v>1</v>
      </c>
      <c r="V933" t="str">
        <f>IF(Table1[appointment_status]="Attended","1","0")</f>
        <v>1</v>
      </c>
      <c r="W933" t="str">
        <f>IF(Table1[appointment_status]="Cancelled","1","0")</f>
        <v>0</v>
      </c>
    </row>
    <row r="934" spans="1:23">
      <c r="A934" t="s">
        <v>1688</v>
      </c>
      <c r="B934" t="s">
        <v>1254</v>
      </c>
      <c r="C934">
        <v>55</v>
      </c>
      <c r="D934" t="str" cm="1">
        <f t="array" ref="D934">_xlfn.IFS(Table1[[#This Row],[age]]&lt;=17,"0-17",C934&lt;=29,"18-29",C934&lt;=44,"30-44",C934&lt;=59,"45-59",C934&lt;=74,"60-74",TRUE,"75+")</f>
        <v>45-59</v>
      </c>
      <c r="E934" t="s">
        <v>17</v>
      </c>
      <c r="F934">
        <v>9</v>
      </c>
      <c r="G934" t="str" cm="1">
        <f t="array" ref="G934">_xlfn.IFS(_xlfn.SINGLE(Table1[imd_decile])&lt;=3,"Most Deprived",F934&lt;=7,"Moderately Deprived",F934&lt;=10,"Least Deprived")</f>
        <v>Least Deprived</v>
      </c>
      <c r="H934">
        <v>4.7</v>
      </c>
      <c r="I934" t="s">
        <v>49</v>
      </c>
      <c r="J934" t="s">
        <v>19</v>
      </c>
      <c r="K934" s="1">
        <v>45765</v>
      </c>
      <c r="L934" s="1">
        <v>45807</v>
      </c>
      <c r="M934" s="1" t="str">
        <f>TEXT(Table1[[#This Row],[appointment_date]],"MM/YYYY")</f>
        <v>05/2025</v>
      </c>
      <c r="N934">
        <v>42</v>
      </c>
      <c r="O934" t="str" cm="1">
        <f t="array" ref="O934">_xlfn.IFS(Table1[[#This Row],[lead_time_days]]&lt;=7,"0-7 days",N934&lt;=14,"8-14 days",N934&lt;=30,"15-30 days",N934&lt;=60,"31-60 days",TRUE,"61+ days")</f>
        <v>31-60 days</v>
      </c>
      <c r="P934" t="s">
        <v>52</v>
      </c>
      <c r="Q934" t="s">
        <v>21</v>
      </c>
      <c r="R934">
        <v>0</v>
      </c>
      <c r="S934" t="str">
        <f>IF(Table1[prior_dna_count]&gt;=1,"Has prior DNA history","No prior DNA history")</f>
        <v>No prior DNA history</v>
      </c>
      <c r="T934" t="s">
        <v>22</v>
      </c>
      <c r="U934" t="str">
        <f t="shared" si="14"/>
        <v>1</v>
      </c>
      <c r="V934" t="str">
        <f>IF(Table1[appointment_status]="Attended","1","0")</f>
        <v>1</v>
      </c>
      <c r="W934" t="str">
        <f>IF(Table1[appointment_status]="Cancelled","1","0")</f>
        <v>0</v>
      </c>
    </row>
    <row r="935" spans="1:23">
      <c r="A935" t="s">
        <v>1689</v>
      </c>
      <c r="B935" t="s">
        <v>1276</v>
      </c>
      <c r="C935">
        <v>44</v>
      </c>
      <c r="D935" t="str" cm="1">
        <f t="array" ref="D935">_xlfn.IFS(Table1[[#This Row],[age]]&lt;=17,"0-17",C935&lt;=29,"18-29",C935&lt;=44,"30-44",C935&lt;=59,"45-59",C935&lt;=74,"60-74",TRUE,"75+")</f>
        <v>30-44</v>
      </c>
      <c r="E935" t="s">
        <v>29</v>
      </c>
      <c r="F935">
        <v>5</v>
      </c>
      <c r="G935" t="str" cm="1">
        <f t="array" ref="G935">_xlfn.IFS(_xlfn.SINGLE(Table1[imd_decile])&lt;=3,"Most Deprived",F935&lt;=7,"Moderately Deprived",F935&lt;=10,"Least Deprived")</f>
        <v>Moderately Deprived</v>
      </c>
      <c r="H935">
        <v>16</v>
      </c>
      <c r="I935" t="s">
        <v>155</v>
      </c>
      <c r="J935" t="s">
        <v>26</v>
      </c>
      <c r="K935" s="1">
        <v>45798</v>
      </c>
      <c r="L935" s="1">
        <v>45807</v>
      </c>
      <c r="M935" s="1" t="str">
        <f>TEXT(Table1[[#This Row],[appointment_date]],"MM/YYYY")</f>
        <v>05/2025</v>
      </c>
      <c r="N935">
        <v>9</v>
      </c>
      <c r="O935" t="str" cm="1">
        <f t="array" ref="O935">_xlfn.IFS(Table1[[#This Row],[lead_time_days]]&lt;=7,"0-7 days",N935&lt;=14,"8-14 days",N935&lt;=30,"15-30 days",N935&lt;=60,"31-60 days",TRUE,"61+ days")</f>
        <v>8-14 days</v>
      </c>
      <c r="P935" t="s">
        <v>52</v>
      </c>
      <c r="Q935" t="s">
        <v>21</v>
      </c>
      <c r="R935">
        <v>0</v>
      </c>
      <c r="S935" t="str">
        <f>IF(Table1[prior_dna_count]&gt;=1,"Has prior DNA history","No prior DNA history")</f>
        <v>No prior DNA history</v>
      </c>
      <c r="T935" t="s">
        <v>22</v>
      </c>
      <c r="U935" t="str">
        <f t="shared" si="14"/>
        <v>1</v>
      </c>
      <c r="V935" t="str">
        <f>IF(Table1[appointment_status]="Attended","1","0")</f>
        <v>1</v>
      </c>
      <c r="W935" t="str">
        <f>IF(Table1[appointment_status]="Cancelled","1","0")</f>
        <v>0</v>
      </c>
    </row>
    <row r="936" spans="1:23">
      <c r="A936" t="s">
        <v>1690</v>
      </c>
      <c r="B936" t="s">
        <v>1691</v>
      </c>
      <c r="C936">
        <v>73</v>
      </c>
      <c r="D936" t="str" cm="1">
        <f t="array" ref="D936">_xlfn.IFS(Table1[[#This Row],[age]]&lt;=17,"0-17",C936&lt;=29,"18-29",C936&lt;=44,"30-44",C936&lt;=59,"45-59",C936&lt;=74,"60-74",TRUE,"75+")</f>
        <v>60-74</v>
      </c>
      <c r="E936" t="s">
        <v>17</v>
      </c>
      <c r="F936">
        <v>3</v>
      </c>
      <c r="G936" t="str" cm="1">
        <f t="array" ref="G936">_xlfn.IFS(_xlfn.SINGLE(Table1[imd_decile])&lt;=3,"Most Deprived",F936&lt;=7,"Moderately Deprived",F936&lt;=10,"Least Deprived")</f>
        <v>Most Deprived</v>
      </c>
      <c r="H936">
        <v>7.4</v>
      </c>
      <c r="I936" t="s">
        <v>91</v>
      </c>
      <c r="J936" t="s">
        <v>19</v>
      </c>
      <c r="K936" s="1">
        <v>45753</v>
      </c>
      <c r="L936" s="1">
        <v>45807</v>
      </c>
      <c r="M936" s="1" t="str">
        <f>TEXT(Table1[[#This Row],[appointment_date]],"MM/YYYY")</f>
        <v>05/2025</v>
      </c>
      <c r="N936">
        <v>54</v>
      </c>
      <c r="O936" t="str" cm="1">
        <f t="array" ref="O936">_xlfn.IFS(Table1[[#This Row],[lead_time_days]]&lt;=7,"0-7 days",N936&lt;=14,"8-14 days",N936&lt;=30,"15-30 days",N936&lt;=60,"31-60 days",TRUE,"61+ days")</f>
        <v>31-60 days</v>
      </c>
      <c r="P936" t="s">
        <v>52</v>
      </c>
      <c r="Q936" t="s">
        <v>21</v>
      </c>
      <c r="R936">
        <v>1</v>
      </c>
      <c r="S936" t="str">
        <f>IF(Table1[prior_dna_count]&gt;=1,"Has prior DNA history","No prior DNA history")</f>
        <v>Has prior DNA history</v>
      </c>
      <c r="T936" t="s">
        <v>22</v>
      </c>
      <c r="U936" t="str">
        <f t="shared" si="14"/>
        <v>1</v>
      </c>
      <c r="V936" t="str">
        <f>IF(Table1[appointment_status]="Attended","1","0")</f>
        <v>1</v>
      </c>
      <c r="W936" t="str">
        <f>IF(Table1[appointment_status]="Cancelled","1","0")</f>
        <v>0</v>
      </c>
    </row>
    <row r="937" spans="1:23">
      <c r="A937" t="s">
        <v>1692</v>
      </c>
      <c r="B937" t="s">
        <v>1693</v>
      </c>
      <c r="C937">
        <v>45</v>
      </c>
      <c r="D937" t="str" cm="1">
        <f t="array" ref="D937">_xlfn.IFS(Table1[[#This Row],[age]]&lt;=17,"0-17",C937&lt;=29,"18-29",C937&lt;=44,"30-44",C937&lt;=59,"45-59",C937&lt;=74,"60-74",TRUE,"75+")</f>
        <v>45-59</v>
      </c>
      <c r="E937" t="s">
        <v>29</v>
      </c>
      <c r="F937">
        <v>9</v>
      </c>
      <c r="G937" t="str" cm="1">
        <f t="array" ref="G937">_xlfn.IFS(_xlfn.SINGLE(Table1[imd_decile])&lt;=3,"Most Deprived",F937&lt;=7,"Moderately Deprived",F937&lt;=10,"Least Deprived")</f>
        <v>Least Deprived</v>
      </c>
      <c r="H937">
        <v>13.2</v>
      </c>
      <c r="I937" t="s">
        <v>155</v>
      </c>
      <c r="J937" t="s">
        <v>19</v>
      </c>
      <c r="K937" s="1">
        <v>45794</v>
      </c>
      <c r="L937" s="1">
        <v>45807</v>
      </c>
      <c r="M937" s="1" t="str">
        <f>TEXT(Table1[[#This Row],[appointment_date]],"MM/YYYY")</f>
        <v>05/2025</v>
      </c>
      <c r="N937">
        <v>13</v>
      </c>
      <c r="O937" t="str" cm="1">
        <f t="array" ref="O937">_xlfn.IFS(Table1[[#This Row],[lead_time_days]]&lt;=7,"0-7 days",N937&lt;=14,"8-14 days",N937&lt;=30,"15-30 days",N937&lt;=60,"31-60 days",TRUE,"61+ days")</f>
        <v>8-14 days</v>
      </c>
      <c r="P937" t="s">
        <v>52</v>
      </c>
      <c r="Q937" t="s">
        <v>21</v>
      </c>
      <c r="R937">
        <v>0</v>
      </c>
      <c r="S937" t="str">
        <f>IF(Table1[prior_dna_count]&gt;=1,"Has prior DNA history","No prior DNA history")</f>
        <v>No prior DNA history</v>
      </c>
      <c r="T937" t="s">
        <v>22</v>
      </c>
      <c r="U937" t="str">
        <f t="shared" si="14"/>
        <v>1</v>
      </c>
      <c r="V937" t="str">
        <f>IF(Table1[appointment_status]="Attended","1","0")</f>
        <v>1</v>
      </c>
      <c r="W937" t="str">
        <f>IF(Table1[appointment_status]="Cancelled","1","0")</f>
        <v>0</v>
      </c>
    </row>
    <row r="938" spans="1:23">
      <c r="A938" t="s">
        <v>1694</v>
      </c>
      <c r="B938" t="s">
        <v>1695</v>
      </c>
      <c r="C938">
        <v>63</v>
      </c>
      <c r="D938" t="str" cm="1">
        <f t="array" ref="D938">_xlfn.IFS(Table1[[#This Row],[age]]&lt;=17,"0-17",C938&lt;=29,"18-29",C938&lt;=44,"30-44",C938&lt;=59,"45-59",C938&lt;=74,"60-74",TRUE,"75+")</f>
        <v>60-74</v>
      </c>
      <c r="E938" t="s">
        <v>17</v>
      </c>
      <c r="F938">
        <v>8</v>
      </c>
      <c r="G938" t="str" cm="1">
        <f t="array" ref="G938">_xlfn.IFS(_xlfn.SINGLE(Table1[imd_decile])&lt;=3,"Most Deprived",F938&lt;=7,"Moderately Deprived",F938&lt;=10,"Least Deprived")</f>
        <v>Least Deprived</v>
      </c>
      <c r="H938">
        <v>7</v>
      </c>
      <c r="I938" t="s">
        <v>91</v>
      </c>
      <c r="J938" t="s">
        <v>26</v>
      </c>
      <c r="K938" s="1">
        <v>45793</v>
      </c>
      <c r="L938" s="1">
        <v>45807</v>
      </c>
      <c r="M938" s="1" t="str">
        <f>TEXT(Table1[[#This Row],[appointment_date]],"MM/YYYY")</f>
        <v>05/2025</v>
      </c>
      <c r="N938">
        <v>14</v>
      </c>
      <c r="O938" t="str" cm="1">
        <f t="array" ref="O938">_xlfn.IFS(Table1[[#This Row],[lead_time_days]]&lt;=7,"0-7 days",N938&lt;=14,"8-14 days",N938&lt;=30,"15-30 days",N938&lt;=60,"31-60 days",TRUE,"61+ days")</f>
        <v>8-14 days</v>
      </c>
      <c r="P938" t="s">
        <v>52</v>
      </c>
      <c r="Q938" t="s">
        <v>21</v>
      </c>
      <c r="R938">
        <v>0</v>
      </c>
      <c r="S938" t="str">
        <f>IF(Table1[prior_dna_count]&gt;=1,"Has prior DNA history","No prior DNA history")</f>
        <v>No prior DNA history</v>
      </c>
      <c r="T938" t="s">
        <v>22</v>
      </c>
      <c r="U938" t="str">
        <f t="shared" si="14"/>
        <v>1</v>
      </c>
      <c r="V938" t="str">
        <f>IF(Table1[appointment_status]="Attended","1","0")</f>
        <v>1</v>
      </c>
      <c r="W938" t="str">
        <f>IF(Table1[appointment_status]="Cancelled","1","0")</f>
        <v>0</v>
      </c>
    </row>
    <row r="939" spans="1:23">
      <c r="A939" t="s">
        <v>1696</v>
      </c>
      <c r="B939" t="s">
        <v>1697</v>
      </c>
      <c r="C939">
        <v>52</v>
      </c>
      <c r="D939" t="str" cm="1">
        <f t="array" ref="D939">_xlfn.IFS(Table1[[#This Row],[age]]&lt;=17,"0-17",C939&lt;=29,"18-29",C939&lt;=44,"30-44",C939&lt;=59,"45-59",C939&lt;=74,"60-74",TRUE,"75+")</f>
        <v>45-59</v>
      </c>
      <c r="E939" t="s">
        <v>17</v>
      </c>
      <c r="F939">
        <v>8</v>
      </c>
      <c r="G939" t="str" cm="1">
        <f t="array" ref="G939">_xlfn.IFS(_xlfn.SINGLE(Table1[imd_decile])&lt;=3,"Most Deprived",F939&lt;=7,"Moderately Deprived",F939&lt;=10,"Least Deprived")</f>
        <v>Least Deprived</v>
      </c>
      <c r="H939">
        <v>22</v>
      </c>
      <c r="I939" t="s">
        <v>49</v>
      </c>
      <c r="J939" t="s">
        <v>19</v>
      </c>
      <c r="K939" s="1">
        <v>45754</v>
      </c>
      <c r="L939" s="1">
        <v>45807</v>
      </c>
      <c r="M939" s="1" t="str">
        <f>TEXT(Table1[[#This Row],[appointment_date]],"MM/YYYY")</f>
        <v>05/2025</v>
      </c>
      <c r="N939">
        <v>53</v>
      </c>
      <c r="O939" t="str" cm="1">
        <f t="array" ref="O939">_xlfn.IFS(Table1[[#This Row],[lead_time_days]]&lt;=7,"0-7 days",N939&lt;=14,"8-14 days",N939&lt;=30,"15-30 days",N939&lt;=60,"31-60 days",TRUE,"61+ days")</f>
        <v>31-60 days</v>
      </c>
      <c r="P939" t="s">
        <v>52</v>
      </c>
      <c r="Q939" t="s">
        <v>32</v>
      </c>
      <c r="R939">
        <v>0</v>
      </c>
      <c r="S939" t="str">
        <f>IF(Table1[prior_dna_count]&gt;=1,"Has prior DNA history","No prior DNA history")</f>
        <v>No prior DNA history</v>
      </c>
      <c r="T939" t="s">
        <v>22</v>
      </c>
      <c r="U939" t="str">
        <f t="shared" si="14"/>
        <v>1</v>
      </c>
      <c r="V939" t="str">
        <f>IF(Table1[appointment_status]="Attended","1","0")</f>
        <v>1</v>
      </c>
      <c r="W939" t="str">
        <f>IF(Table1[appointment_status]="Cancelled","1","0")</f>
        <v>0</v>
      </c>
    </row>
    <row r="940" spans="1:23">
      <c r="A940" t="s">
        <v>1698</v>
      </c>
      <c r="B940" t="s">
        <v>440</v>
      </c>
      <c r="C940">
        <v>48</v>
      </c>
      <c r="D940" t="str" cm="1">
        <f t="array" ref="D940">_xlfn.IFS(Table1[[#This Row],[age]]&lt;=17,"0-17",C940&lt;=29,"18-29",C940&lt;=44,"30-44",C940&lt;=59,"45-59",C940&lt;=74,"60-74",TRUE,"75+")</f>
        <v>45-59</v>
      </c>
      <c r="E940" t="s">
        <v>29</v>
      </c>
      <c r="F940">
        <v>2</v>
      </c>
      <c r="G940" t="str" cm="1">
        <f t="array" ref="G940">_xlfn.IFS(_xlfn.SINGLE(Table1[imd_decile])&lt;=3,"Most Deprived",F940&lt;=7,"Moderately Deprived",F940&lt;=10,"Least Deprived")</f>
        <v>Most Deprived</v>
      </c>
      <c r="H940">
        <v>4.8</v>
      </c>
      <c r="I940" t="s">
        <v>58</v>
      </c>
      <c r="J940" t="s">
        <v>19</v>
      </c>
      <c r="K940" s="1">
        <v>45792</v>
      </c>
      <c r="L940" s="1">
        <v>45807</v>
      </c>
      <c r="M940" s="1" t="str">
        <f>TEXT(Table1[[#This Row],[appointment_date]],"MM/YYYY")</f>
        <v>05/2025</v>
      </c>
      <c r="N940">
        <v>15</v>
      </c>
      <c r="O940" t="str" cm="1">
        <f t="array" ref="O940">_xlfn.IFS(Table1[[#This Row],[lead_time_days]]&lt;=7,"0-7 days",N940&lt;=14,"8-14 days",N940&lt;=30,"15-30 days",N940&lt;=60,"31-60 days",TRUE,"61+ days")</f>
        <v>15-30 days</v>
      </c>
      <c r="P940" t="s">
        <v>52</v>
      </c>
      <c r="Q940" t="s">
        <v>21</v>
      </c>
      <c r="R940">
        <v>0</v>
      </c>
      <c r="S940" t="str">
        <f>IF(Table1[prior_dna_count]&gt;=1,"Has prior DNA history","No prior DNA history")</f>
        <v>No prior DNA history</v>
      </c>
      <c r="T940" t="s">
        <v>22</v>
      </c>
      <c r="U940" t="str">
        <f t="shared" si="14"/>
        <v>1</v>
      </c>
      <c r="V940" t="str">
        <f>IF(Table1[appointment_status]="Attended","1","0")</f>
        <v>1</v>
      </c>
      <c r="W940" t="str">
        <f>IF(Table1[appointment_status]="Cancelled","1","0")</f>
        <v>0</v>
      </c>
    </row>
    <row r="941" spans="1:23">
      <c r="A941" t="s">
        <v>1699</v>
      </c>
      <c r="B941" t="s">
        <v>974</v>
      </c>
      <c r="C941">
        <v>24</v>
      </c>
      <c r="D941" t="str" cm="1">
        <f t="array" ref="D941">_xlfn.IFS(Table1[[#This Row],[age]]&lt;=17,"0-17",C941&lt;=29,"18-29",C941&lt;=44,"30-44",C941&lt;=59,"45-59",C941&lt;=74,"60-74",TRUE,"75+")</f>
        <v>18-29</v>
      </c>
      <c r="E941" t="s">
        <v>29</v>
      </c>
      <c r="F941">
        <v>8</v>
      </c>
      <c r="G941" t="str" cm="1">
        <f t="array" ref="G941">_xlfn.IFS(_xlfn.SINGLE(Table1[imd_decile])&lt;=3,"Most Deprived",F941&lt;=7,"Moderately Deprived",F941&lt;=10,"Least Deprived")</f>
        <v>Least Deprived</v>
      </c>
      <c r="H941">
        <v>13.4</v>
      </c>
      <c r="I941" t="s">
        <v>30</v>
      </c>
      <c r="J941" t="s">
        <v>19</v>
      </c>
      <c r="K941" s="1">
        <v>45777</v>
      </c>
      <c r="L941" s="1">
        <v>45807</v>
      </c>
      <c r="M941" s="1" t="str">
        <f>TEXT(Table1[[#This Row],[appointment_date]],"MM/YYYY")</f>
        <v>05/2025</v>
      </c>
      <c r="N941">
        <v>30</v>
      </c>
      <c r="O941" t="str" cm="1">
        <f t="array" ref="O941">_xlfn.IFS(Table1[[#This Row],[lead_time_days]]&lt;=7,"0-7 days",N941&lt;=14,"8-14 days",N941&lt;=30,"15-30 days",N941&lt;=60,"31-60 days",TRUE,"61+ days")</f>
        <v>15-30 days</v>
      </c>
      <c r="P941" t="s">
        <v>52</v>
      </c>
      <c r="Q941" t="s">
        <v>21</v>
      </c>
      <c r="R941">
        <v>0</v>
      </c>
      <c r="S941" t="str">
        <f>IF(Table1[prior_dna_count]&gt;=1,"Has prior DNA history","No prior DNA history")</f>
        <v>No prior DNA history</v>
      </c>
      <c r="T941" t="s">
        <v>22</v>
      </c>
      <c r="U941" t="str">
        <f t="shared" si="14"/>
        <v>1</v>
      </c>
      <c r="V941" t="str">
        <f>IF(Table1[appointment_status]="Attended","1","0")</f>
        <v>1</v>
      </c>
      <c r="W941" t="str">
        <f>IF(Table1[appointment_status]="Cancelled","1","0")</f>
        <v>0</v>
      </c>
    </row>
    <row r="942" spans="1:23">
      <c r="A942" t="s">
        <v>1700</v>
      </c>
      <c r="B942" t="s">
        <v>1701</v>
      </c>
      <c r="C942">
        <v>87</v>
      </c>
      <c r="D942" t="str" cm="1">
        <f t="array" ref="D942">_xlfn.IFS(Table1[[#This Row],[age]]&lt;=17,"0-17",C942&lt;=29,"18-29",C942&lt;=44,"30-44",C942&lt;=59,"45-59",C942&lt;=74,"60-74",TRUE,"75+")</f>
        <v>75+</v>
      </c>
      <c r="E942" t="s">
        <v>17</v>
      </c>
      <c r="F942">
        <v>7</v>
      </c>
      <c r="G942" t="str" cm="1">
        <f t="array" ref="G942">_xlfn.IFS(_xlfn.SINGLE(Table1[imd_decile])&lt;=3,"Most Deprived",F942&lt;=7,"Moderately Deprived",F942&lt;=10,"Least Deprived")</f>
        <v>Moderately Deprived</v>
      </c>
      <c r="H942">
        <v>12.8</v>
      </c>
      <c r="I942" t="s">
        <v>58</v>
      </c>
      <c r="J942" t="s">
        <v>19</v>
      </c>
      <c r="K942" s="1">
        <v>45745</v>
      </c>
      <c r="L942" s="1">
        <v>45807</v>
      </c>
      <c r="M942" s="1" t="str">
        <f>TEXT(Table1[[#This Row],[appointment_date]],"MM/YYYY")</f>
        <v>05/2025</v>
      </c>
      <c r="N942">
        <v>62</v>
      </c>
      <c r="O942" t="str" cm="1">
        <f t="array" ref="O942">_xlfn.IFS(Table1[[#This Row],[lead_time_days]]&lt;=7,"0-7 days",N942&lt;=14,"8-14 days",N942&lt;=30,"15-30 days",N942&lt;=60,"31-60 days",TRUE,"61+ days")</f>
        <v>61+ days</v>
      </c>
      <c r="P942" t="s">
        <v>52</v>
      </c>
      <c r="Q942" t="s">
        <v>21</v>
      </c>
      <c r="R942">
        <v>0</v>
      </c>
      <c r="S942" t="str">
        <f>IF(Table1[prior_dna_count]&gt;=1,"Has prior DNA history","No prior DNA history")</f>
        <v>No prior DNA history</v>
      </c>
      <c r="T942" t="s">
        <v>39</v>
      </c>
      <c r="U942" t="str">
        <f t="shared" si="14"/>
        <v>1</v>
      </c>
      <c r="V942" t="str">
        <f>IF(Table1[appointment_status]="Attended","1","0")</f>
        <v>0</v>
      </c>
      <c r="W942" t="str">
        <f>IF(Table1[appointment_status]="Cancelled","1","0")</f>
        <v>0</v>
      </c>
    </row>
    <row r="943" spans="1:23">
      <c r="A943" t="s">
        <v>1702</v>
      </c>
      <c r="B943" t="s">
        <v>1703</v>
      </c>
      <c r="C943">
        <v>62</v>
      </c>
      <c r="D943" t="str" cm="1">
        <f t="array" ref="D943">_xlfn.IFS(Table1[[#This Row],[age]]&lt;=17,"0-17",C943&lt;=29,"18-29",C943&lt;=44,"30-44",C943&lt;=59,"45-59",C943&lt;=74,"60-74",TRUE,"75+")</f>
        <v>60-74</v>
      </c>
      <c r="E943" t="s">
        <v>29</v>
      </c>
      <c r="F943">
        <v>5</v>
      </c>
      <c r="G943" t="str" cm="1">
        <f t="array" ref="G943">_xlfn.IFS(_xlfn.SINGLE(Table1[imd_decile])&lt;=3,"Most Deprived",F943&lt;=7,"Moderately Deprived",F943&lt;=10,"Least Deprived")</f>
        <v>Moderately Deprived</v>
      </c>
      <c r="H943">
        <v>17.600000000000001</v>
      </c>
      <c r="I943" t="s">
        <v>42</v>
      </c>
      <c r="J943" t="s">
        <v>19</v>
      </c>
      <c r="K943" s="1">
        <v>45784</v>
      </c>
      <c r="L943" s="1">
        <v>45807</v>
      </c>
      <c r="M943" s="1" t="str">
        <f>TEXT(Table1[[#This Row],[appointment_date]],"MM/YYYY")</f>
        <v>05/2025</v>
      </c>
      <c r="N943">
        <v>23</v>
      </c>
      <c r="O943" t="str" cm="1">
        <f t="array" ref="O943">_xlfn.IFS(Table1[[#This Row],[lead_time_days]]&lt;=7,"0-7 days",N943&lt;=14,"8-14 days",N943&lt;=30,"15-30 days",N943&lt;=60,"31-60 days",TRUE,"61+ days")</f>
        <v>15-30 days</v>
      </c>
      <c r="P943" t="s">
        <v>52</v>
      </c>
      <c r="Q943" t="s">
        <v>21</v>
      </c>
      <c r="R943">
        <v>0</v>
      </c>
      <c r="S943" t="str">
        <f>IF(Table1[prior_dna_count]&gt;=1,"Has prior DNA history","No prior DNA history")</f>
        <v>No prior DNA history</v>
      </c>
      <c r="T943" t="s">
        <v>22</v>
      </c>
      <c r="U943" t="str">
        <f t="shared" si="14"/>
        <v>0</v>
      </c>
      <c r="V943" t="str">
        <f>IF(Table1[appointment_status]="Attended","1","0")</f>
        <v>1</v>
      </c>
      <c r="W943" t="str">
        <f>IF(Table1[appointment_status]="Cancelled","1","0")</f>
        <v>0</v>
      </c>
    </row>
    <row r="944" spans="1:23">
      <c r="A944" t="s">
        <v>1704</v>
      </c>
      <c r="B944" t="s">
        <v>840</v>
      </c>
      <c r="C944">
        <v>35</v>
      </c>
      <c r="D944" t="str" cm="1">
        <f t="array" ref="D944">_xlfn.IFS(Table1[[#This Row],[age]]&lt;=17,"0-17",C944&lt;=29,"18-29",C944&lt;=44,"30-44",C944&lt;=59,"45-59",C944&lt;=74,"60-74",TRUE,"75+")</f>
        <v>30-44</v>
      </c>
      <c r="E944" t="s">
        <v>29</v>
      </c>
      <c r="F944">
        <v>5</v>
      </c>
      <c r="G944" t="str" cm="1">
        <f t="array" ref="G944">_xlfn.IFS(_xlfn.SINGLE(Table1[imd_decile])&lt;=3,"Most Deprived",F944&lt;=7,"Moderately Deprived",F944&lt;=10,"Least Deprived")</f>
        <v>Moderately Deprived</v>
      </c>
      <c r="H944">
        <v>7.1</v>
      </c>
      <c r="I944" t="s">
        <v>155</v>
      </c>
      <c r="J944" t="s">
        <v>26</v>
      </c>
      <c r="K944" s="1">
        <v>45794</v>
      </c>
      <c r="L944" s="1">
        <v>45808</v>
      </c>
      <c r="M944" s="1" t="str">
        <f>TEXT(Table1[[#This Row],[appointment_date]],"MM/YYYY")</f>
        <v>05/2025</v>
      </c>
      <c r="N944">
        <v>14</v>
      </c>
      <c r="O944" t="str" cm="1">
        <f t="array" ref="O944">_xlfn.IFS(Table1[[#This Row],[lead_time_days]]&lt;=7,"0-7 days",N944&lt;=14,"8-14 days",N944&lt;=30,"15-30 days",N944&lt;=60,"31-60 days",TRUE,"61+ days")</f>
        <v>8-14 days</v>
      </c>
      <c r="P944" t="s">
        <v>55</v>
      </c>
      <c r="Q944" t="s">
        <v>21</v>
      </c>
      <c r="R944">
        <v>0</v>
      </c>
      <c r="S944" t="str">
        <f>IF(Table1[prior_dna_count]&gt;=1,"Has prior DNA history","No prior DNA history")</f>
        <v>No prior DNA history</v>
      </c>
      <c r="T944" t="s">
        <v>22</v>
      </c>
      <c r="U944" t="str">
        <f t="shared" si="14"/>
        <v>1</v>
      </c>
      <c r="V944" t="str">
        <f>IF(Table1[appointment_status]="Attended","1","0")</f>
        <v>1</v>
      </c>
      <c r="W944" t="str">
        <f>IF(Table1[appointment_status]="Cancelled","1","0")</f>
        <v>0</v>
      </c>
    </row>
    <row r="945" spans="1:23">
      <c r="A945" t="s">
        <v>1705</v>
      </c>
      <c r="B945" t="s">
        <v>887</v>
      </c>
      <c r="C945">
        <v>48</v>
      </c>
      <c r="D945" t="str" cm="1">
        <f t="array" ref="D945">_xlfn.IFS(Table1[[#This Row],[age]]&lt;=17,"0-17",C945&lt;=29,"18-29",C945&lt;=44,"30-44",C945&lt;=59,"45-59",C945&lt;=74,"60-74",TRUE,"75+")</f>
        <v>45-59</v>
      </c>
      <c r="E945" t="s">
        <v>17</v>
      </c>
      <c r="F945">
        <v>8</v>
      </c>
      <c r="G945" t="str" cm="1">
        <f t="array" ref="G945">_xlfn.IFS(_xlfn.SINGLE(Table1[imd_decile])&lt;=3,"Most Deprived",F945&lt;=7,"Moderately Deprived",F945&lt;=10,"Least Deprived")</f>
        <v>Least Deprived</v>
      </c>
      <c r="H945">
        <v>13.2</v>
      </c>
      <c r="I945" t="s">
        <v>58</v>
      </c>
      <c r="J945" t="s">
        <v>19</v>
      </c>
      <c r="K945" s="1">
        <v>45791</v>
      </c>
      <c r="L945" s="1">
        <v>45808</v>
      </c>
      <c r="M945" s="1" t="str">
        <f>TEXT(Table1[[#This Row],[appointment_date]],"MM/YYYY")</f>
        <v>05/2025</v>
      </c>
      <c r="N945">
        <v>17</v>
      </c>
      <c r="O945" t="str" cm="1">
        <f t="array" ref="O945">_xlfn.IFS(Table1[[#This Row],[lead_time_days]]&lt;=7,"0-7 days",N945&lt;=14,"8-14 days",N945&lt;=30,"15-30 days",N945&lt;=60,"31-60 days",TRUE,"61+ days")</f>
        <v>15-30 days</v>
      </c>
      <c r="P945" t="s">
        <v>55</v>
      </c>
      <c r="Q945" t="s">
        <v>21</v>
      </c>
      <c r="R945">
        <v>0</v>
      </c>
      <c r="S945" t="str">
        <f>IF(Table1[prior_dna_count]&gt;=1,"Has prior DNA history","No prior DNA history")</f>
        <v>No prior DNA history</v>
      </c>
      <c r="T945" t="s">
        <v>22</v>
      </c>
      <c r="U945" t="str">
        <f t="shared" si="14"/>
        <v>1</v>
      </c>
      <c r="V945" t="str">
        <f>IF(Table1[appointment_status]="Attended","1","0")</f>
        <v>1</v>
      </c>
      <c r="W945" t="str">
        <f>IF(Table1[appointment_status]="Cancelled","1","0")</f>
        <v>0</v>
      </c>
    </row>
    <row r="946" spans="1:23">
      <c r="A946" t="s">
        <v>1706</v>
      </c>
      <c r="B946" t="s">
        <v>1707</v>
      </c>
      <c r="C946">
        <v>34</v>
      </c>
      <c r="D946" t="str" cm="1">
        <f t="array" ref="D946">_xlfn.IFS(Table1[[#This Row],[age]]&lt;=17,"0-17",C946&lt;=29,"18-29",C946&lt;=44,"30-44",C946&lt;=59,"45-59",C946&lt;=74,"60-74",TRUE,"75+")</f>
        <v>30-44</v>
      </c>
      <c r="E946" t="s">
        <v>29</v>
      </c>
      <c r="F946">
        <v>10</v>
      </c>
      <c r="G946" t="str" cm="1">
        <f t="array" ref="G946">_xlfn.IFS(_xlfn.SINGLE(Table1[imd_decile])&lt;=3,"Most Deprived",F946&lt;=7,"Moderately Deprived",F946&lt;=10,"Least Deprived")</f>
        <v>Least Deprived</v>
      </c>
      <c r="H946">
        <v>1</v>
      </c>
      <c r="I946" t="s">
        <v>45</v>
      </c>
      <c r="J946" t="s">
        <v>19</v>
      </c>
      <c r="K946" s="1">
        <v>45765</v>
      </c>
      <c r="L946" s="1">
        <v>45808</v>
      </c>
      <c r="M946" s="1" t="str">
        <f>TEXT(Table1[[#This Row],[appointment_date]],"MM/YYYY")</f>
        <v>05/2025</v>
      </c>
      <c r="N946">
        <v>43</v>
      </c>
      <c r="O946" t="str" cm="1">
        <f t="array" ref="O946">_xlfn.IFS(Table1[[#This Row],[lead_time_days]]&lt;=7,"0-7 days",N946&lt;=14,"8-14 days",N946&lt;=30,"15-30 days",N946&lt;=60,"31-60 days",TRUE,"61+ days")</f>
        <v>31-60 days</v>
      </c>
      <c r="P946" t="s">
        <v>55</v>
      </c>
      <c r="Q946" t="s">
        <v>21</v>
      </c>
      <c r="R946">
        <v>0</v>
      </c>
      <c r="S946" t="str">
        <f>IF(Table1[prior_dna_count]&gt;=1,"Has prior DNA history","No prior DNA history")</f>
        <v>No prior DNA history</v>
      </c>
      <c r="T946" t="s">
        <v>46</v>
      </c>
      <c r="U946" t="str">
        <f t="shared" si="14"/>
        <v>1</v>
      </c>
      <c r="V946" t="str">
        <f>IF(Table1[appointment_status]="Attended","1","0")</f>
        <v>0</v>
      </c>
      <c r="W946" t="str">
        <f>IF(Table1[appointment_status]="Cancelled","1","0")</f>
        <v>1</v>
      </c>
    </row>
    <row r="947" spans="1:23">
      <c r="A947" t="s">
        <v>1708</v>
      </c>
      <c r="B947" t="s">
        <v>395</v>
      </c>
      <c r="C947">
        <v>29</v>
      </c>
      <c r="D947" t="str" cm="1">
        <f t="array" ref="D947">_xlfn.IFS(Table1[[#This Row],[age]]&lt;=17,"0-17",C947&lt;=29,"18-29",C947&lt;=44,"30-44",C947&lt;=59,"45-59",C947&lt;=74,"60-74",TRUE,"75+")</f>
        <v>18-29</v>
      </c>
      <c r="E947" t="s">
        <v>29</v>
      </c>
      <c r="F947">
        <v>10</v>
      </c>
      <c r="G947" t="str" cm="1">
        <f t="array" ref="G947">_xlfn.IFS(_xlfn.SINGLE(Table1[imd_decile])&lt;=3,"Most Deprived",F947&lt;=7,"Moderately Deprived",F947&lt;=10,"Least Deprived")</f>
        <v>Least Deprived</v>
      </c>
      <c r="H947">
        <v>8.9</v>
      </c>
      <c r="I947" t="s">
        <v>30</v>
      </c>
      <c r="J947" t="s">
        <v>26</v>
      </c>
      <c r="K947" s="1">
        <v>45790</v>
      </c>
      <c r="L947" s="1">
        <v>45808</v>
      </c>
      <c r="M947" s="1" t="str">
        <f>TEXT(Table1[[#This Row],[appointment_date]],"MM/YYYY")</f>
        <v>05/2025</v>
      </c>
      <c r="N947">
        <v>18</v>
      </c>
      <c r="O947" t="str" cm="1">
        <f t="array" ref="O947">_xlfn.IFS(Table1[[#This Row],[lead_time_days]]&lt;=7,"0-7 days",N947&lt;=14,"8-14 days",N947&lt;=30,"15-30 days",N947&lt;=60,"31-60 days",TRUE,"61+ days")</f>
        <v>15-30 days</v>
      </c>
      <c r="P947" t="s">
        <v>55</v>
      </c>
      <c r="Q947" t="s">
        <v>32</v>
      </c>
      <c r="R947">
        <v>0</v>
      </c>
      <c r="S947" t="str">
        <f>IF(Table1[prior_dna_count]&gt;=1,"Has prior DNA history","No prior DNA history")</f>
        <v>No prior DNA history</v>
      </c>
      <c r="T947" t="s">
        <v>22</v>
      </c>
      <c r="U947" t="str">
        <f t="shared" si="14"/>
        <v>0</v>
      </c>
      <c r="V947" t="str">
        <f>IF(Table1[appointment_status]="Attended","1","0")</f>
        <v>1</v>
      </c>
      <c r="W947" t="str">
        <f>IF(Table1[appointment_status]="Cancelled","1","0")</f>
        <v>0</v>
      </c>
    </row>
    <row r="948" spans="1:23">
      <c r="A948" t="s">
        <v>1709</v>
      </c>
      <c r="B948" t="s">
        <v>1710</v>
      </c>
      <c r="C948">
        <v>52</v>
      </c>
      <c r="D948" t="str" cm="1">
        <f t="array" ref="D948">_xlfn.IFS(Table1[[#This Row],[age]]&lt;=17,"0-17",C948&lt;=29,"18-29",C948&lt;=44,"30-44",C948&lt;=59,"45-59",C948&lt;=74,"60-74",TRUE,"75+")</f>
        <v>45-59</v>
      </c>
      <c r="E948" t="s">
        <v>17</v>
      </c>
      <c r="F948">
        <v>3</v>
      </c>
      <c r="G948" t="str" cm="1">
        <f t="array" ref="G948">_xlfn.IFS(_xlfn.SINGLE(Table1[imd_decile])&lt;=3,"Most Deprived",F948&lt;=7,"Moderately Deprived",F948&lt;=10,"Least Deprived")</f>
        <v>Most Deprived</v>
      </c>
      <c r="H948">
        <v>2.9</v>
      </c>
      <c r="I948" t="s">
        <v>58</v>
      </c>
      <c r="J948" t="s">
        <v>19</v>
      </c>
      <c r="K948" s="1">
        <v>45779</v>
      </c>
      <c r="L948" s="1">
        <v>45808</v>
      </c>
      <c r="M948" s="1" t="str">
        <f>TEXT(Table1[[#This Row],[appointment_date]],"MM/YYYY")</f>
        <v>05/2025</v>
      </c>
      <c r="N948">
        <v>29</v>
      </c>
      <c r="O948" t="str" cm="1">
        <f t="array" ref="O948">_xlfn.IFS(Table1[[#This Row],[lead_time_days]]&lt;=7,"0-7 days",N948&lt;=14,"8-14 days",N948&lt;=30,"15-30 days",N948&lt;=60,"31-60 days",TRUE,"61+ days")</f>
        <v>15-30 days</v>
      </c>
      <c r="P948" t="s">
        <v>55</v>
      </c>
      <c r="Q948" t="s">
        <v>21</v>
      </c>
      <c r="R948">
        <v>0</v>
      </c>
      <c r="S948" t="str">
        <f>IF(Table1[prior_dna_count]&gt;=1,"Has prior DNA history","No prior DNA history")</f>
        <v>No prior DNA history</v>
      </c>
      <c r="T948" t="s">
        <v>22</v>
      </c>
      <c r="U948" t="str">
        <f t="shared" si="14"/>
        <v>1</v>
      </c>
      <c r="V948" t="str">
        <f>IF(Table1[appointment_status]="Attended","1","0")</f>
        <v>1</v>
      </c>
      <c r="W948" t="str">
        <f>IF(Table1[appointment_status]="Cancelled","1","0")</f>
        <v>0</v>
      </c>
    </row>
    <row r="949" spans="1:23">
      <c r="A949" t="s">
        <v>1711</v>
      </c>
      <c r="B949" t="s">
        <v>1712</v>
      </c>
      <c r="C949">
        <v>85</v>
      </c>
      <c r="D949" t="str" cm="1">
        <f t="array" ref="D949">_xlfn.IFS(Table1[[#This Row],[age]]&lt;=17,"0-17",C949&lt;=29,"18-29",C949&lt;=44,"30-44",C949&lt;=59,"45-59",C949&lt;=74,"60-74",TRUE,"75+")</f>
        <v>75+</v>
      </c>
      <c r="E949" t="s">
        <v>29</v>
      </c>
      <c r="F949">
        <v>1</v>
      </c>
      <c r="G949" t="str" cm="1">
        <f t="array" ref="G949">_xlfn.IFS(_xlfn.SINGLE(Table1[imd_decile])&lt;=3,"Most Deprived",F949&lt;=7,"Moderately Deprived",F949&lt;=10,"Least Deprived")</f>
        <v>Most Deprived</v>
      </c>
      <c r="H949">
        <v>6.1</v>
      </c>
      <c r="I949" t="s">
        <v>42</v>
      </c>
      <c r="J949" t="s">
        <v>19</v>
      </c>
      <c r="K949" s="1">
        <v>45754</v>
      </c>
      <c r="L949" s="1">
        <v>45808</v>
      </c>
      <c r="M949" s="1" t="str">
        <f>TEXT(Table1[[#This Row],[appointment_date]],"MM/YYYY")</f>
        <v>05/2025</v>
      </c>
      <c r="N949">
        <v>54</v>
      </c>
      <c r="O949" t="str" cm="1">
        <f t="array" ref="O949">_xlfn.IFS(Table1[[#This Row],[lead_time_days]]&lt;=7,"0-7 days",N949&lt;=14,"8-14 days",N949&lt;=30,"15-30 days",N949&lt;=60,"31-60 days",TRUE,"61+ days")</f>
        <v>31-60 days</v>
      </c>
      <c r="P949" t="s">
        <v>55</v>
      </c>
      <c r="Q949" t="s">
        <v>21</v>
      </c>
      <c r="R949">
        <v>0</v>
      </c>
      <c r="S949" t="str">
        <f>IF(Table1[prior_dna_count]&gt;=1,"Has prior DNA history","No prior DNA history")</f>
        <v>No prior DNA history</v>
      </c>
      <c r="T949" t="s">
        <v>22</v>
      </c>
      <c r="U949" t="str">
        <f t="shared" si="14"/>
        <v>1</v>
      </c>
      <c r="V949" t="str">
        <f>IF(Table1[appointment_status]="Attended","1","0")</f>
        <v>1</v>
      </c>
      <c r="W949" t="str">
        <f>IF(Table1[appointment_status]="Cancelled","1","0")</f>
        <v>0</v>
      </c>
    </row>
    <row r="950" spans="1:23">
      <c r="A950" t="s">
        <v>1713</v>
      </c>
      <c r="B950" t="s">
        <v>1714</v>
      </c>
      <c r="C950">
        <v>47</v>
      </c>
      <c r="D950" t="str" cm="1">
        <f t="array" ref="D950">_xlfn.IFS(Table1[[#This Row],[age]]&lt;=17,"0-17",C950&lt;=29,"18-29",C950&lt;=44,"30-44",C950&lt;=59,"45-59",C950&lt;=74,"60-74",TRUE,"75+")</f>
        <v>45-59</v>
      </c>
      <c r="E950" t="s">
        <v>29</v>
      </c>
      <c r="F950">
        <v>7</v>
      </c>
      <c r="G950" t="str" cm="1">
        <f t="array" ref="G950">_xlfn.IFS(_xlfn.SINGLE(Table1[imd_decile])&lt;=3,"Most Deprived",F950&lt;=7,"Moderately Deprived",F950&lt;=10,"Least Deprived")</f>
        <v>Moderately Deprived</v>
      </c>
      <c r="H950">
        <v>1.2</v>
      </c>
      <c r="I950" t="s">
        <v>42</v>
      </c>
      <c r="J950" t="s">
        <v>19</v>
      </c>
      <c r="K950" s="1">
        <v>45676</v>
      </c>
      <c r="L950" s="1">
        <v>45808</v>
      </c>
      <c r="M950" s="1" t="str">
        <f>TEXT(Table1[[#This Row],[appointment_date]],"MM/YYYY")</f>
        <v>05/2025</v>
      </c>
      <c r="N950">
        <v>132</v>
      </c>
      <c r="O950" t="str" cm="1">
        <f t="array" ref="O950">_xlfn.IFS(Table1[[#This Row],[lead_time_days]]&lt;=7,"0-7 days",N950&lt;=14,"8-14 days",N950&lt;=30,"15-30 days",N950&lt;=60,"31-60 days",TRUE,"61+ days")</f>
        <v>61+ days</v>
      </c>
      <c r="P950" t="s">
        <v>55</v>
      </c>
      <c r="Q950" t="s">
        <v>32</v>
      </c>
      <c r="R950">
        <v>0</v>
      </c>
      <c r="S950" t="str">
        <f>IF(Table1[prior_dna_count]&gt;=1,"Has prior DNA history","No prior DNA history")</f>
        <v>No prior DNA history</v>
      </c>
      <c r="T950" t="s">
        <v>22</v>
      </c>
      <c r="U950" t="str">
        <f t="shared" si="14"/>
        <v>1</v>
      </c>
      <c r="V950" t="str">
        <f>IF(Table1[appointment_status]="Attended","1","0")</f>
        <v>1</v>
      </c>
      <c r="W950" t="str">
        <f>IF(Table1[appointment_status]="Cancelled","1","0")</f>
        <v>0</v>
      </c>
    </row>
    <row r="951" spans="1:23">
      <c r="A951" t="s">
        <v>1715</v>
      </c>
      <c r="B951" t="s">
        <v>1303</v>
      </c>
      <c r="C951">
        <v>70</v>
      </c>
      <c r="D951" t="str" cm="1">
        <f t="array" ref="D951">_xlfn.IFS(Table1[[#This Row],[age]]&lt;=17,"0-17",C951&lt;=29,"18-29",C951&lt;=44,"30-44",C951&lt;=59,"45-59",C951&lt;=74,"60-74",TRUE,"75+")</f>
        <v>60-74</v>
      </c>
      <c r="E951" t="s">
        <v>29</v>
      </c>
      <c r="F951">
        <v>4</v>
      </c>
      <c r="G951" t="str" cm="1">
        <f t="array" ref="G951">_xlfn.IFS(_xlfn.SINGLE(Table1[imd_decile])&lt;=3,"Most Deprived",F951&lt;=7,"Moderately Deprived",F951&lt;=10,"Least Deprived")</f>
        <v>Moderately Deprived</v>
      </c>
      <c r="H951">
        <v>9.3000000000000007</v>
      </c>
      <c r="I951" t="s">
        <v>91</v>
      </c>
      <c r="J951" t="s">
        <v>26</v>
      </c>
      <c r="K951" s="1">
        <v>45805</v>
      </c>
      <c r="L951" s="1">
        <v>45808</v>
      </c>
      <c r="M951" s="1" t="str">
        <f>TEXT(Table1[[#This Row],[appointment_date]],"MM/YYYY")</f>
        <v>05/2025</v>
      </c>
      <c r="N951">
        <v>3</v>
      </c>
      <c r="O951" t="str" cm="1">
        <f t="array" ref="O951">_xlfn.IFS(Table1[[#This Row],[lead_time_days]]&lt;=7,"0-7 days",N951&lt;=14,"8-14 days",N951&lt;=30,"15-30 days",N951&lt;=60,"31-60 days",TRUE,"61+ days")</f>
        <v>0-7 days</v>
      </c>
      <c r="P951" t="s">
        <v>55</v>
      </c>
      <c r="Q951" t="s">
        <v>32</v>
      </c>
      <c r="R951">
        <v>0</v>
      </c>
      <c r="S951" t="str">
        <f>IF(Table1[prior_dna_count]&gt;=1,"Has prior DNA history","No prior DNA history")</f>
        <v>No prior DNA history</v>
      </c>
      <c r="T951" t="s">
        <v>22</v>
      </c>
      <c r="U951" t="str">
        <f t="shared" si="14"/>
        <v>1</v>
      </c>
      <c r="V951" t="str">
        <f>IF(Table1[appointment_status]="Attended","1","0")</f>
        <v>1</v>
      </c>
      <c r="W951" t="str">
        <f>IF(Table1[appointment_status]="Cancelled","1","0")</f>
        <v>0</v>
      </c>
    </row>
    <row r="952" spans="1:23">
      <c r="A952" t="s">
        <v>1716</v>
      </c>
      <c r="B952" t="s">
        <v>551</v>
      </c>
      <c r="C952">
        <v>29</v>
      </c>
      <c r="D952" t="str" cm="1">
        <f t="array" ref="D952">_xlfn.IFS(Table1[[#This Row],[age]]&lt;=17,"0-17",C952&lt;=29,"18-29",C952&lt;=44,"30-44",C952&lt;=59,"45-59",C952&lt;=74,"60-74",TRUE,"75+")</f>
        <v>18-29</v>
      </c>
      <c r="E952" t="s">
        <v>17</v>
      </c>
      <c r="F952">
        <v>8</v>
      </c>
      <c r="G952" t="str" cm="1">
        <f t="array" ref="G952">_xlfn.IFS(_xlfn.SINGLE(Table1[imd_decile])&lt;=3,"Most Deprived",F952&lt;=7,"Moderately Deprived",F952&lt;=10,"Least Deprived")</f>
        <v>Least Deprived</v>
      </c>
      <c r="H952">
        <v>23.5</v>
      </c>
      <c r="I952" t="s">
        <v>49</v>
      </c>
      <c r="J952" t="s">
        <v>19</v>
      </c>
      <c r="K952" s="1">
        <v>45783</v>
      </c>
      <c r="L952" s="1">
        <v>45808</v>
      </c>
      <c r="M952" s="1" t="str">
        <f>TEXT(Table1[[#This Row],[appointment_date]],"MM/YYYY")</f>
        <v>05/2025</v>
      </c>
      <c r="N952">
        <v>25</v>
      </c>
      <c r="O952" t="str" cm="1">
        <f t="array" ref="O952">_xlfn.IFS(Table1[[#This Row],[lead_time_days]]&lt;=7,"0-7 days",N952&lt;=14,"8-14 days",N952&lt;=30,"15-30 days",N952&lt;=60,"31-60 days",TRUE,"61+ days")</f>
        <v>15-30 days</v>
      </c>
      <c r="P952" t="s">
        <v>55</v>
      </c>
      <c r="Q952" t="s">
        <v>21</v>
      </c>
      <c r="R952">
        <v>0</v>
      </c>
      <c r="S952" t="str">
        <f>IF(Table1[prior_dna_count]&gt;=1,"Has prior DNA history","No prior DNA history")</f>
        <v>No prior DNA history</v>
      </c>
      <c r="T952" t="s">
        <v>39</v>
      </c>
      <c r="U952" t="str">
        <f t="shared" si="14"/>
        <v>1</v>
      </c>
      <c r="V952" t="str">
        <f>IF(Table1[appointment_status]="Attended","1","0")</f>
        <v>0</v>
      </c>
      <c r="W952" t="str">
        <f>IF(Table1[appointment_status]="Cancelled","1","0")</f>
        <v>0</v>
      </c>
    </row>
    <row r="953" spans="1:23">
      <c r="A953" t="s">
        <v>1717</v>
      </c>
      <c r="B953" t="s">
        <v>245</v>
      </c>
      <c r="C953">
        <v>33</v>
      </c>
      <c r="D953" t="str" cm="1">
        <f t="array" ref="D953">_xlfn.IFS(Table1[[#This Row],[age]]&lt;=17,"0-17",C953&lt;=29,"18-29",C953&lt;=44,"30-44",C953&lt;=59,"45-59",C953&lt;=74,"60-74",TRUE,"75+")</f>
        <v>30-44</v>
      </c>
      <c r="E953" t="s">
        <v>17</v>
      </c>
      <c r="F953">
        <v>10</v>
      </c>
      <c r="G953" t="str" cm="1">
        <f t="array" ref="G953">_xlfn.IFS(_xlfn.SINGLE(Table1[imd_decile])&lt;=3,"Most Deprived",F953&lt;=7,"Moderately Deprived",F953&lt;=10,"Least Deprived")</f>
        <v>Least Deprived</v>
      </c>
      <c r="H953">
        <v>11.6</v>
      </c>
      <c r="I953" t="s">
        <v>42</v>
      </c>
      <c r="J953" t="s">
        <v>19</v>
      </c>
      <c r="K953" s="1">
        <v>45804</v>
      </c>
      <c r="L953" s="1">
        <v>45808</v>
      </c>
      <c r="M953" s="1" t="str">
        <f>TEXT(Table1[[#This Row],[appointment_date]],"MM/YYYY")</f>
        <v>05/2025</v>
      </c>
      <c r="N953">
        <v>4</v>
      </c>
      <c r="O953" t="str" cm="1">
        <f t="array" ref="O953">_xlfn.IFS(Table1[[#This Row],[lead_time_days]]&lt;=7,"0-7 days",N953&lt;=14,"8-14 days",N953&lt;=30,"15-30 days",N953&lt;=60,"31-60 days",TRUE,"61+ days")</f>
        <v>0-7 days</v>
      </c>
      <c r="P953" t="s">
        <v>55</v>
      </c>
      <c r="Q953" t="s">
        <v>32</v>
      </c>
      <c r="R953">
        <v>0</v>
      </c>
      <c r="S953" t="str">
        <f>IF(Table1[prior_dna_count]&gt;=1,"Has prior DNA history","No prior DNA history")</f>
        <v>No prior DNA history</v>
      </c>
      <c r="T953" t="s">
        <v>22</v>
      </c>
      <c r="U953" t="str">
        <f t="shared" si="14"/>
        <v>0</v>
      </c>
      <c r="V953" t="str">
        <f>IF(Table1[appointment_status]="Attended","1","0")</f>
        <v>1</v>
      </c>
      <c r="W953" t="str">
        <f>IF(Table1[appointment_status]="Cancelled","1","0")</f>
        <v>0</v>
      </c>
    </row>
    <row r="954" spans="1:23">
      <c r="A954" t="s">
        <v>1718</v>
      </c>
      <c r="B954" t="s">
        <v>1719</v>
      </c>
      <c r="C954">
        <v>93</v>
      </c>
      <c r="D954" t="str" cm="1">
        <f t="array" ref="D954">_xlfn.IFS(Table1[[#This Row],[age]]&lt;=17,"0-17",C954&lt;=29,"18-29",C954&lt;=44,"30-44",C954&lt;=59,"45-59",C954&lt;=74,"60-74",TRUE,"75+")</f>
        <v>75+</v>
      </c>
      <c r="E954" t="s">
        <v>17</v>
      </c>
      <c r="F954">
        <v>8</v>
      </c>
      <c r="G954" t="str" cm="1">
        <f t="array" ref="G954">_xlfn.IFS(_xlfn.SINGLE(Table1[imd_decile])&lt;=3,"Most Deprived",F954&lt;=7,"Moderately Deprived",F954&lt;=10,"Least Deprived")</f>
        <v>Least Deprived</v>
      </c>
      <c r="H954">
        <v>8.3000000000000007</v>
      </c>
      <c r="I954" t="s">
        <v>18</v>
      </c>
      <c r="J954" t="s">
        <v>19</v>
      </c>
      <c r="K954" s="1">
        <v>45735</v>
      </c>
      <c r="L954" s="1">
        <v>45809</v>
      </c>
      <c r="M954" s="1" t="str">
        <f>TEXT(Table1[[#This Row],[appointment_date]],"MM/YYYY")</f>
        <v>06/2025</v>
      </c>
      <c r="N954">
        <v>74</v>
      </c>
      <c r="O954" t="str" cm="1">
        <f t="array" ref="O954">_xlfn.IFS(Table1[[#This Row],[lead_time_days]]&lt;=7,"0-7 days",N954&lt;=14,"8-14 days",N954&lt;=30,"15-30 days",N954&lt;=60,"31-60 days",TRUE,"61+ days")</f>
        <v>61+ days</v>
      </c>
      <c r="P954" t="s">
        <v>31</v>
      </c>
      <c r="Q954" t="s">
        <v>32</v>
      </c>
      <c r="R954">
        <v>0</v>
      </c>
      <c r="S954" t="str">
        <f>IF(Table1[prior_dna_count]&gt;=1,"Has prior DNA history","No prior DNA history")</f>
        <v>No prior DNA history</v>
      </c>
      <c r="T954" t="s">
        <v>22</v>
      </c>
      <c r="U954" t="str">
        <f t="shared" si="14"/>
        <v>1</v>
      </c>
      <c r="V954" t="str">
        <f>IF(Table1[appointment_status]="Attended","1","0")</f>
        <v>1</v>
      </c>
      <c r="W954" t="str">
        <f>IF(Table1[appointment_status]="Cancelled","1","0")</f>
        <v>0</v>
      </c>
    </row>
    <row r="955" spans="1:23">
      <c r="A955" t="s">
        <v>1720</v>
      </c>
      <c r="B955" t="s">
        <v>62</v>
      </c>
      <c r="C955">
        <v>15</v>
      </c>
      <c r="D955" t="str" cm="1">
        <f t="array" ref="D955">_xlfn.IFS(Table1[[#This Row],[age]]&lt;=17,"0-17",C955&lt;=29,"18-29",C955&lt;=44,"30-44",C955&lt;=59,"45-59",C955&lt;=74,"60-74",TRUE,"75+")</f>
        <v>0-17</v>
      </c>
      <c r="E955" t="s">
        <v>29</v>
      </c>
      <c r="F955">
        <v>2</v>
      </c>
      <c r="G955" t="str" cm="1">
        <f t="array" ref="G955">_xlfn.IFS(_xlfn.SINGLE(Table1[imd_decile])&lt;=3,"Most Deprived",F955&lt;=7,"Moderately Deprived",F955&lt;=10,"Least Deprived")</f>
        <v>Most Deprived</v>
      </c>
      <c r="H955">
        <v>2.6</v>
      </c>
      <c r="I955" t="s">
        <v>58</v>
      </c>
      <c r="J955" t="s">
        <v>19</v>
      </c>
      <c r="K955" s="1">
        <v>45749</v>
      </c>
      <c r="L955" s="1">
        <v>45809</v>
      </c>
      <c r="M955" s="1" t="str">
        <f>TEXT(Table1[[#This Row],[appointment_date]],"MM/YYYY")</f>
        <v>06/2025</v>
      </c>
      <c r="N955">
        <v>60</v>
      </c>
      <c r="O955" t="str" cm="1">
        <f t="array" ref="O955">_xlfn.IFS(Table1[[#This Row],[lead_time_days]]&lt;=7,"0-7 days",N955&lt;=14,"8-14 days",N955&lt;=30,"15-30 days",N955&lt;=60,"31-60 days",TRUE,"61+ days")</f>
        <v>31-60 days</v>
      </c>
      <c r="P955" t="s">
        <v>31</v>
      </c>
      <c r="Q955" t="s">
        <v>32</v>
      </c>
      <c r="R955">
        <v>0</v>
      </c>
      <c r="S955" t="str">
        <f>IF(Table1[prior_dna_count]&gt;=1,"Has prior DNA history","No prior DNA history")</f>
        <v>No prior DNA history</v>
      </c>
      <c r="T955" t="s">
        <v>22</v>
      </c>
      <c r="U955" t="str">
        <f t="shared" si="14"/>
        <v>1</v>
      </c>
      <c r="V955" t="str">
        <f>IF(Table1[appointment_status]="Attended","1","0")</f>
        <v>1</v>
      </c>
      <c r="W955" t="str">
        <f>IF(Table1[appointment_status]="Cancelled","1","0")</f>
        <v>0</v>
      </c>
    </row>
    <row r="956" spans="1:23">
      <c r="A956" t="s">
        <v>1721</v>
      </c>
      <c r="B956" t="s">
        <v>1722</v>
      </c>
      <c r="C956">
        <v>5</v>
      </c>
      <c r="D956" t="str" cm="1">
        <f t="array" ref="D956">_xlfn.IFS(Table1[[#This Row],[age]]&lt;=17,"0-17",C956&lt;=29,"18-29",C956&lt;=44,"30-44",C956&lt;=59,"45-59",C956&lt;=74,"60-74",TRUE,"75+")</f>
        <v>0-17</v>
      </c>
      <c r="E956" t="s">
        <v>29</v>
      </c>
      <c r="F956">
        <v>3</v>
      </c>
      <c r="G956" t="str" cm="1">
        <f t="array" ref="G956">_xlfn.IFS(_xlfn.SINGLE(Table1[imd_decile])&lt;=3,"Most Deprived",F956&lt;=7,"Moderately Deprived",F956&lt;=10,"Least Deprived")</f>
        <v>Most Deprived</v>
      </c>
      <c r="H956">
        <v>2.5</v>
      </c>
      <c r="I956" t="s">
        <v>58</v>
      </c>
      <c r="J956" t="s">
        <v>19</v>
      </c>
      <c r="K956" s="1">
        <v>45755</v>
      </c>
      <c r="L956" s="1">
        <v>45809</v>
      </c>
      <c r="M956" s="1" t="str">
        <f>TEXT(Table1[[#This Row],[appointment_date]],"MM/YYYY")</f>
        <v>06/2025</v>
      </c>
      <c r="N956">
        <v>54</v>
      </c>
      <c r="O956" t="str" cm="1">
        <f t="array" ref="O956">_xlfn.IFS(Table1[[#This Row],[lead_time_days]]&lt;=7,"0-7 days",N956&lt;=14,"8-14 days",N956&lt;=30,"15-30 days",N956&lt;=60,"31-60 days",TRUE,"61+ days")</f>
        <v>31-60 days</v>
      </c>
      <c r="P956" t="s">
        <v>31</v>
      </c>
      <c r="Q956" t="s">
        <v>21</v>
      </c>
      <c r="R956">
        <v>0</v>
      </c>
      <c r="S956" t="str">
        <f>IF(Table1[prior_dna_count]&gt;=1,"Has prior DNA history","No prior DNA history")</f>
        <v>No prior DNA history</v>
      </c>
      <c r="T956" t="s">
        <v>22</v>
      </c>
      <c r="U956" t="str">
        <f t="shared" si="14"/>
        <v>1</v>
      </c>
      <c r="V956" t="str">
        <f>IF(Table1[appointment_status]="Attended","1","0")</f>
        <v>1</v>
      </c>
      <c r="W956" t="str">
        <f>IF(Table1[appointment_status]="Cancelled","1","0")</f>
        <v>0</v>
      </c>
    </row>
    <row r="957" spans="1:23">
      <c r="A957" t="s">
        <v>1723</v>
      </c>
      <c r="B957" t="s">
        <v>1724</v>
      </c>
      <c r="C957">
        <v>62</v>
      </c>
      <c r="D957" t="str" cm="1">
        <f t="array" ref="D957">_xlfn.IFS(Table1[[#This Row],[age]]&lt;=17,"0-17",C957&lt;=29,"18-29",C957&lt;=44,"30-44",C957&lt;=59,"45-59",C957&lt;=74,"60-74",TRUE,"75+")</f>
        <v>60-74</v>
      </c>
      <c r="E957" t="s">
        <v>17</v>
      </c>
      <c r="F957">
        <v>1</v>
      </c>
      <c r="G957" t="str" cm="1">
        <f t="array" ref="G957">_xlfn.IFS(_xlfn.SINGLE(Table1[imd_decile])&lt;=3,"Most Deprived",F957&lt;=7,"Moderately Deprived",F957&lt;=10,"Least Deprived")</f>
        <v>Most Deprived</v>
      </c>
      <c r="H957">
        <v>6.9</v>
      </c>
      <c r="I957" t="s">
        <v>49</v>
      </c>
      <c r="J957" t="s">
        <v>26</v>
      </c>
      <c r="K957" s="1">
        <v>45794</v>
      </c>
      <c r="L957" s="1">
        <v>45809</v>
      </c>
      <c r="M957" s="1" t="str">
        <f>TEXT(Table1[[#This Row],[appointment_date]],"MM/YYYY")</f>
        <v>06/2025</v>
      </c>
      <c r="N957">
        <v>15</v>
      </c>
      <c r="O957" t="str" cm="1">
        <f t="array" ref="O957">_xlfn.IFS(Table1[[#This Row],[lead_time_days]]&lt;=7,"0-7 days",N957&lt;=14,"8-14 days",N957&lt;=30,"15-30 days",N957&lt;=60,"31-60 days",TRUE,"61+ days")</f>
        <v>15-30 days</v>
      </c>
      <c r="P957" t="s">
        <v>31</v>
      </c>
      <c r="Q957" t="s">
        <v>21</v>
      </c>
      <c r="R957">
        <v>0</v>
      </c>
      <c r="S957" t="str">
        <f>IF(Table1[prior_dna_count]&gt;=1,"Has prior DNA history","No prior DNA history")</f>
        <v>No prior DNA history</v>
      </c>
      <c r="T957" t="s">
        <v>22</v>
      </c>
      <c r="U957" t="str">
        <f t="shared" si="14"/>
        <v>1</v>
      </c>
      <c r="V957" t="str">
        <f>IF(Table1[appointment_status]="Attended","1","0")</f>
        <v>1</v>
      </c>
      <c r="W957" t="str">
        <f>IF(Table1[appointment_status]="Cancelled","1","0")</f>
        <v>0</v>
      </c>
    </row>
    <row r="958" spans="1:23">
      <c r="A958" t="s">
        <v>1725</v>
      </c>
      <c r="B958" t="s">
        <v>1726</v>
      </c>
      <c r="C958">
        <v>73</v>
      </c>
      <c r="D958" t="str" cm="1">
        <f t="array" ref="D958">_xlfn.IFS(Table1[[#This Row],[age]]&lt;=17,"0-17",C958&lt;=29,"18-29",C958&lt;=44,"30-44",C958&lt;=59,"45-59",C958&lt;=74,"60-74",TRUE,"75+")</f>
        <v>60-74</v>
      </c>
      <c r="E958" t="s">
        <v>17</v>
      </c>
      <c r="F958">
        <v>6</v>
      </c>
      <c r="G958" t="str" cm="1">
        <f t="array" ref="G958">_xlfn.IFS(_xlfn.SINGLE(Table1[imd_decile])&lt;=3,"Most Deprived",F958&lt;=7,"Moderately Deprived",F958&lt;=10,"Least Deprived")</f>
        <v>Moderately Deprived</v>
      </c>
      <c r="H958">
        <v>8.1999999999999993</v>
      </c>
      <c r="I958" t="s">
        <v>25</v>
      </c>
      <c r="J958" t="s">
        <v>19</v>
      </c>
      <c r="K958" s="1">
        <v>45790</v>
      </c>
      <c r="L958" s="1">
        <v>45809</v>
      </c>
      <c r="M958" s="1" t="str">
        <f>TEXT(Table1[[#This Row],[appointment_date]],"MM/YYYY")</f>
        <v>06/2025</v>
      </c>
      <c r="N958">
        <v>19</v>
      </c>
      <c r="O958" t="str" cm="1">
        <f t="array" ref="O958">_xlfn.IFS(Table1[[#This Row],[lead_time_days]]&lt;=7,"0-7 days",N958&lt;=14,"8-14 days",N958&lt;=30,"15-30 days",N958&lt;=60,"31-60 days",TRUE,"61+ days")</f>
        <v>15-30 days</v>
      </c>
      <c r="P958" t="s">
        <v>31</v>
      </c>
      <c r="Q958" t="s">
        <v>21</v>
      </c>
      <c r="R958">
        <v>0</v>
      </c>
      <c r="S958" t="str">
        <f>IF(Table1[prior_dna_count]&gt;=1,"Has prior DNA history","No prior DNA history")</f>
        <v>No prior DNA history</v>
      </c>
      <c r="T958" t="s">
        <v>22</v>
      </c>
      <c r="U958" t="str">
        <f t="shared" si="14"/>
        <v>1</v>
      </c>
      <c r="V958" t="str">
        <f>IF(Table1[appointment_status]="Attended","1","0")</f>
        <v>1</v>
      </c>
      <c r="W958" t="str">
        <f>IF(Table1[appointment_status]="Cancelled","1","0")</f>
        <v>0</v>
      </c>
    </row>
    <row r="959" spans="1:23">
      <c r="A959" t="s">
        <v>1727</v>
      </c>
      <c r="B959" t="s">
        <v>284</v>
      </c>
      <c r="C959">
        <v>59</v>
      </c>
      <c r="D959" t="str" cm="1">
        <f t="array" ref="D959">_xlfn.IFS(Table1[[#This Row],[age]]&lt;=17,"0-17",C959&lt;=29,"18-29",C959&lt;=44,"30-44",C959&lt;=59,"45-59",C959&lt;=74,"60-74",TRUE,"75+")</f>
        <v>45-59</v>
      </c>
      <c r="E959" t="s">
        <v>17</v>
      </c>
      <c r="F959">
        <v>8</v>
      </c>
      <c r="G959" t="str" cm="1">
        <f t="array" ref="G959">_xlfn.IFS(_xlfn.SINGLE(Table1[imd_decile])&lt;=3,"Most Deprived",F959&lt;=7,"Moderately Deprived",F959&lt;=10,"Least Deprived")</f>
        <v>Least Deprived</v>
      </c>
      <c r="H959">
        <v>7.2</v>
      </c>
      <c r="I959" t="s">
        <v>38</v>
      </c>
      <c r="J959" t="s">
        <v>19</v>
      </c>
      <c r="K959" s="1">
        <v>45774</v>
      </c>
      <c r="L959" s="1">
        <v>45809</v>
      </c>
      <c r="M959" s="1" t="str">
        <f>TEXT(Table1[[#This Row],[appointment_date]],"MM/YYYY")</f>
        <v>06/2025</v>
      </c>
      <c r="N959">
        <v>35</v>
      </c>
      <c r="O959" t="str" cm="1">
        <f t="array" ref="O959">_xlfn.IFS(Table1[[#This Row],[lead_time_days]]&lt;=7,"0-7 days",N959&lt;=14,"8-14 days",N959&lt;=30,"15-30 days",N959&lt;=60,"31-60 days",TRUE,"61+ days")</f>
        <v>31-60 days</v>
      </c>
      <c r="P959" t="s">
        <v>31</v>
      </c>
      <c r="Q959" t="s">
        <v>21</v>
      </c>
      <c r="R959">
        <v>1</v>
      </c>
      <c r="S959" t="str">
        <f>IF(Table1[prior_dna_count]&gt;=1,"Has prior DNA history","No prior DNA history")</f>
        <v>Has prior DNA history</v>
      </c>
      <c r="T959" t="s">
        <v>22</v>
      </c>
      <c r="U959" t="str">
        <f t="shared" si="14"/>
        <v>1</v>
      </c>
      <c r="V959" t="str">
        <f>IF(Table1[appointment_status]="Attended","1","0")</f>
        <v>1</v>
      </c>
      <c r="W959" t="str">
        <f>IF(Table1[appointment_status]="Cancelled","1","0")</f>
        <v>0</v>
      </c>
    </row>
    <row r="960" spans="1:23">
      <c r="A960" t="s">
        <v>1728</v>
      </c>
      <c r="B960" t="s">
        <v>1729</v>
      </c>
      <c r="C960">
        <v>46</v>
      </c>
      <c r="D960" t="str" cm="1">
        <f t="array" ref="D960">_xlfn.IFS(Table1[[#This Row],[age]]&lt;=17,"0-17",C960&lt;=29,"18-29",C960&lt;=44,"30-44",C960&lt;=59,"45-59",C960&lt;=74,"60-74",TRUE,"75+")</f>
        <v>45-59</v>
      </c>
      <c r="E960" t="s">
        <v>17</v>
      </c>
      <c r="F960">
        <v>2</v>
      </c>
      <c r="G960" t="str" cm="1">
        <f t="array" ref="G960">_xlfn.IFS(_xlfn.SINGLE(Table1[imd_decile])&lt;=3,"Most Deprived",F960&lt;=7,"Moderately Deprived",F960&lt;=10,"Least Deprived")</f>
        <v>Most Deprived</v>
      </c>
      <c r="H960">
        <v>9.6</v>
      </c>
      <c r="I960" t="s">
        <v>42</v>
      </c>
      <c r="J960" t="s">
        <v>26</v>
      </c>
      <c r="K960" s="1">
        <v>45798</v>
      </c>
      <c r="L960" s="1">
        <v>45810</v>
      </c>
      <c r="M960" s="1" t="str">
        <f>TEXT(Table1[[#This Row],[appointment_date]],"MM/YYYY")</f>
        <v>06/2025</v>
      </c>
      <c r="N960">
        <v>12</v>
      </c>
      <c r="O960" t="str" cm="1">
        <f t="array" ref="O960">_xlfn.IFS(Table1[[#This Row],[lead_time_days]]&lt;=7,"0-7 days",N960&lt;=14,"8-14 days",N960&lt;=30,"15-30 days",N960&lt;=60,"31-60 days",TRUE,"61+ days")</f>
        <v>8-14 days</v>
      </c>
      <c r="P960" t="s">
        <v>35</v>
      </c>
      <c r="Q960" t="s">
        <v>21</v>
      </c>
      <c r="R960">
        <v>0</v>
      </c>
      <c r="S960" t="str">
        <f>IF(Table1[prior_dna_count]&gt;=1,"Has prior DNA history","No prior DNA history")</f>
        <v>No prior DNA history</v>
      </c>
      <c r="T960" t="s">
        <v>22</v>
      </c>
      <c r="U960" t="str">
        <f t="shared" si="14"/>
        <v>1</v>
      </c>
      <c r="V960" t="str">
        <f>IF(Table1[appointment_status]="Attended","1","0")</f>
        <v>1</v>
      </c>
      <c r="W960" t="str">
        <f>IF(Table1[appointment_status]="Cancelled","1","0")</f>
        <v>0</v>
      </c>
    </row>
    <row r="961" spans="1:23">
      <c r="A961" t="s">
        <v>1730</v>
      </c>
      <c r="B961" t="s">
        <v>693</v>
      </c>
      <c r="C961">
        <v>45</v>
      </c>
      <c r="D961" t="str" cm="1">
        <f t="array" ref="D961">_xlfn.IFS(Table1[[#This Row],[age]]&lt;=17,"0-17",C961&lt;=29,"18-29",C961&lt;=44,"30-44",C961&lt;=59,"45-59",C961&lt;=74,"60-74",TRUE,"75+")</f>
        <v>45-59</v>
      </c>
      <c r="E961" t="s">
        <v>29</v>
      </c>
      <c r="F961">
        <v>6</v>
      </c>
      <c r="G961" t="str" cm="1">
        <f t="array" ref="G961">_xlfn.IFS(_xlfn.SINGLE(Table1[imd_decile])&lt;=3,"Most Deprived",F961&lt;=7,"Moderately Deprived",F961&lt;=10,"Least Deprived")</f>
        <v>Moderately Deprived</v>
      </c>
      <c r="H961">
        <v>11.6</v>
      </c>
      <c r="I961" t="s">
        <v>155</v>
      </c>
      <c r="J961" t="s">
        <v>19</v>
      </c>
      <c r="K961" s="1">
        <v>45743</v>
      </c>
      <c r="L961" s="1">
        <v>45810</v>
      </c>
      <c r="M961" s="1" t="str">
        <f>TEXT(Table1[[#This Row],[appointment_date]],"MM/YYYY")</f>
        <v>06/2025</v>
      </c>
      <c r="N961">
        <v>67</v>
      </c>
      <c r="O961" t="str" cm="1">
        <f t="array" ref="O961">_xlfn.IFS(Table1[[#This Row],[lead_time_days]]&lt;=7,"0-7 days",N961&lt;=14,"8-14 days",N961&lt;=30,"15-30 days",N961&lt;=60,"31-60 days",TRUE,"61+ days")</f>
        <v>61+ days</v>
      </c>
      <c r="P961" t="s">
        <v>35</v>
      </c>
      <c r="Q961" t="s">
        <v>21</v>
      </c>
      <c r="R961">
        <v>0</v>
      </c>
      <c r="S961" t="str">
        <f>IF(Table1[prior_dna_count]&gt;=1,"Has prior DNA history","No prior DNA history")</f>
        <v>No prior DNA history</v>
      </c>
      <c r="T961" t="s">
        <v>22</v>
      </c>
      <c r="U961" t="str">
        <f t="shared" si="14"/>
        <v>1</v>
      </c>
      <c r="V961" t="str">
        <f>IF(Table1[appointment_status]="Attended","1","0")</f>
        <v>1</v>
      </c>
      <c r="W961" t="str">
        <f>IF(Table1[appointment_status]="Cancelled","1","0")</f>
        <v>0</v>
      </c>
    </row>
    <row r="962" spans="1:23">
      <c r="A962" t="s">
        <v>1731</v>
      </c>
      <c r="B962" t="s">
        <v>764</v>
      </c>
      <c r="C962">
        <v>30</v>
      </c>
      <c r="D962" t="str" cm="1">
        <f t="array" ref="D962">_xlfn.IFS(Table1[[#This Row],[age]]&lt;=17,"0-17",C962&lt;=29,"18-29",C962&lt;=44,"30-44",C962&lt;=59,"45-59",C962&lt;=74,"60-74",TRUE,"75+")</f>
        <v>30-44</v>
      </c>
      <c r="E962" t="s">
        <v>17</v>
      </c>
      <c r="F962">
        <v>6</v>
      </c>
      <c r="G962" t="str" cm="1">
        <f t="array" ref="G962">_xlfn.IFS(_xlfn.SINGLE(Table1[imd_decile])&lt;=3,"Most Deprived",F962&lt;=7,"Moderately Deprived",F962&lt;=10,"Least Deprived")</f>
        <v>Moderately Deprived</v>
      </c>
      <c r="H962">
        <v>5</v>
      </c>
      <c r="I962" t="s">
        <v>45</v>
      </c>
      <c r="J962" t="s">
        <v>19</v>
      </c>
      <c r="K962" s="1">
        <v>45770</v>
      </c>
      <c r="L962" s="1">
        <v>45810</v>
      </c>
      <c r="M962" s="1" t="str">
        <f>TEXT(Table1[[#This Row],[appointment_date]],"MM/YYYY")</f>
        <v>06/2025</v>
      </c>
      <c r="N962">
        <v>40</v>
      </c>
      <c r="O962" t="str" cm="1">
        <f t="array" ref="O962">_xlfn.IFS(Table1[[#This Row],[lead_time_days]]&lt;=7,"0-7 days",N962&lt;=14,"8-14 days",N962&lt;=30,"15-30 days",N962&lt;=60,"31-60 days",TRUE,"61+ days")</f>
        <v>31-60 days</v>
      </c>
      <c r="P962" t="s">
        <v>35</v>
      </c>
      <c r="Q962" t="s">
        <v>21</v>
      </c>
      <c r="R962">
        <v>1</v>
      </c>
      <c r="S962" t="str">
        <f>IF(Table1[prior_dna_count]&gt;=1,"Has prior DNA history","No prior DNA history")</f>
        <v>Has prior DNA history</v>
      </c>
      <c r="T962" t="s">
        <v>22</v>
      </c>
      <c r="U962" t="str">
        <f t="shared" ref="U962:U1025" si="15">V961</f>
        <v>1</v>
      </c>
      <c r="V962" t="str">
        <f>IF(Table1[appointment_status]="Attended","1","0")</f>
        <v>1</v>
      </c>
      <c r="W962" t="str">
        <f>IF(Table1[appointment_status]="Cancelled","1","0")</f>
        <v>0</v>
      </c>
    </row>
    <row r="963" spans="1:23">
      <c r="A963" t="s">
        <v>1732</v>
      </c>
      <c r="B963" t="s">
        <v>1733</v>
      </c>
      <c r="C963">
        <v>47</v>
      </c>
      <c r="D963" t="str" cm="1">
        <f t="array" ref="D963">_xlfn.IFS(Table1[[#This Row],[age]]&lt;=17,"0-17",C963&lt;=29,"18-29",C963&lt;=44,"30-44",C963&lt;=59,"45-59",C963&lt;=74,"60-74",TRUE,"75+")</f>
        <v>45-59</v>
      </c>
      <c r="E963" t="s">
        <v>29</v>
      </c>
      <c r="F963">
        <v>4</v>
      </c>
      <c r="G963" t="str" cm="1">
        <f t="array" ref="G963">_xlfn.IFS(_xlfn.SINGLE(Table1[imd_decile])&lt;=3,"Most Deprived",F963&lt;=7,"Moderately Deprived",F963&lt;=10,"Least Deprived")</f>
        <v>Moderately Deprived</v>
      </c>
      <c r="H963">
        <v>5.7</v>
      </c>
      <c r="I963" t="s">
        <v>42</v>
      </c>
      <c r="J963" t="s">
        <v>19</v>
      </c>
      <c r="K963" s="1">
        <v>45742</v>
      </c>
      <c r="L963" s="1">
        <v>45810</v>
      </c>
      <c r="M963" s="1" t="str">
        <f>TEXT(Table1[[#This Row],[appointment_date]],"MM/YYYY")</f>
        <v>06/2025</v>
      </c>
      <c r="N963">
        <v>68</v>
      </c>
      <c r="O963" t="str" cm="1">
        <f t="array" ref="O963">_xlfn.IFS(Table1[[#This Row],[lead_time_days]]&lt;=7,"0-7 days",N963&lt;=14,"8-14 days",N963&lt;=30,"15-30 days",N963&lt;=60,"31-60 days",TRUE,"61+ days")</f>
        <v>61+ days</v>
      </c>
      <c r="P963" t="s">
        <v>35</v>
      </c>
      <c r="Q963" t="s">
        <v>32</v>
      </c>
      <c r="R963">
        <v>0</v>
      </c>
      <c r="S963" t="str">
        <f>IF(Table1[prior_dna_count]&gt;=1,"Has prior DNA history","No prior DNA history")</f>
        <v>No prior DNA history</v>
      </c>
      <c r="T963" t="s">
        <v>22</v>
      </c>
      <c r="U963" t="str">
        <f t="shared" si="15"/>
        <v>1</v>
      </c>
      <c r="V963" t="str">
        <f>IF(Table1[appointment_status]="Attended","1","0")</f>
        <v>1</v>
      </c>
      <c r="W963" t="str">
        <f>IF(Table1[appointment_status]="Cancelled","1","0")</f>
        <v>0</v>
      </c>
    </row>
    <row r="964" spans="1:23">
      <c r="A964" t="s">
        <v>1734</v>
      </c>
      <c r="B964" t="s">
        <v>1735</v>
      </c>
      <c r="C964">
        <v>39</v>
      </c>
      <c r="D964" t="str" cm="1">
        <f t="array" ref="D964">_xlfn.IFS(Table1[[#This Row],[age]]&lt;=17,"0-17",C964&lt;=29,"18-29",C964&lt;=44,"30-44",C964&lt;=59,"45-59",C964&lt;=74,"60-74",TRUE,"75+")</f>
        <v>30-44</v>
      </c>
      <c r="E964" t="s">
        <v>29</v>
      </c>
      <c r="F964">
        <v>5</v>
      </c>
      <c r="G964" t="str" cm="1">
        <f t="array" ref="G964">_xlfn.IFS(_xlfn.SINGLE(Table1[imd_decile])&lt;=3,"Most Deprived",F964&lt;=7,"Moderately Deprived",F964&lt;=10,"Least Deprived")</f>
        <v>Moderately Deprived</v>
      </c>
      <c r="H964">
        <v>24</v>
      </c>
      <c r="I964" t="s">
        <v>45</v>
      </c>
      <c r="J964" t="s">
        <v>19</v>
      </c>
      <c r="K964" s="1">
        <v>45782</v>
      </c>
      <c r="L964" s="1">
        <v>45810</v>
      </c>
      <c r="M964" s="1" t="str">
        <f>TEXT(Table1[[#This Row],[appointment_date]],"MM/YYYY")</f>
        <v>06/2025</v>
      </c>
      <c r="N964">
        <v>28</v>
      </c>
      <c r="O964" t="str" cm="1">
        <f t="array" ref="O964">_xlfn.IFS(Table1[[#This Row],[lead_time_days]]&lt;=7,"0-7 days",N964&lt;=14,"8-14 days",N964&lt;=30,"15-30 days",N964&lt;=60,"31-60 days",TRUE,"61+ days")</f>
        <v>15-30 days</v>
      </c>
      <c r="P964" t="s">
        <v>35</v>
      </c>
      <c r="Q964" t="s">
        <v>21</v>
      </c>
      <c r="R964">
        <v>0</v>
      </c>
      <c r="S964" t="str">
        <f>IF(Table1[prior_dna_count]&gt;=1,"Has prior DNA history","No prior DNA history")</f>
        <v>No prior DNA history</v>
      </c>
      <c r="T964" t="s">
        <v>22</v>
      </c>
      <c r="U964" t="str">
        <f t="shared" si="15"/>
        <v>1</v>
      </c>
      <c r="V964" t="str">
        <f>IF(Table1[appointment_status]="Attended","1","0")</f>
        <v>1</v>
      </c>
      <c r="W964" t="str">
        <f>IF(Table1[appointment_status]="Cancelled","1","0")</f>
        <v>0</v>
      </c>
    </row>
    <row r="965" spans="1:23">
      <c r="A965" t="s">
        <v>1736</v>
      </c>
      <c r="B965" t="s">
        <v>1587</v>
      </c>
      <c r="C965">
        <v>40</v>
      </c>
      <c r="D965" t="str" cm="1">
        <f t="array" ref="D965">_xlfn.IFS(Table1[[#This Row],[age]]&lt;=17,"0-17",C965&lt;=29,"18-29",C965&lt;=44,"30-44",C965&lt;=59,"45-59",C965&lt;=74,"60-74",TRUE,"75+")</f>
        <v>30-44</v>
      </c>
      <c r="E965" t="s">
        <v>29</v>
      </c>
      <c r="F965">
        <v>10</v>
      </c>
      <c r="G965" t="str" cm="1">
        <f t="array" ref="G965">_xlfn.IFS(_xlfn.SINGLE(Table1[imd_decile])&lt;=3,"Most Deprived",F965&lt;=7,"Moderately Deprived",F965&lt;=10,"Least Deprived")</f>
        <v>Least Deprived</v>
      </c>
      <c r="H965">
        <v>8.4</v>
      </c>
      <c r="I965" t="s">
        <v>25</v>
      </c>
      <c r="J965" t="s">
        <v>19</v>
      </c>
      <c r="K965" s="1">
        <v>45771</v>
      </c>
      <c r="L965" s="1">
        <v>45810</v>
      </c>
      <c r="M965" s="1" t="str">
        <f>TEXT(Table1[[#This Row],[appointment_date]],"MM/YYYY")</f>
        <v>06/2025</v>
      </c>
      <c r="N965">
        <v>39</v>
      </c>
      <c r="O965" t="str" cm="1">
        <f t="array" ref="O965">_xlfn.IFS(Table1[[#This Row],[lead_time_days]]&lt;=7,"0-7 days",N965&lt;=14,"8-14 days",N965&lt;=30,"15-30 days",N965&lt;=60,"31-60 days",TRUE,"61+ days")</f>
        <v>31-60 days</v>
      </c>
      <c r="P965" t="s">
        <v>35</v>
      </c>
      <c r="Q965" t="s">
        <v>32</v>
      </c>
      <c r="R965">
        <v>0</v>
      </c>
      <c r="S965" t="str">
        <f>IF(Table1[prior_dna_count]&gt;=1,"Has prior DNA history","No prior DNA history")</f>
        <v>No prior DNA history</v>
      </c>
      <c r="T965" t="s">
        <v>22</v>
      </c>
      <c r="U965" t="str">
        <f t="shared" si="15"/>
        <v>1</v>
      </c>
      <c r="V965" t="str">
        <f>IF(Table1[appointment_status]="Attended","1","0")</f>
        <v>1</v>
      </c>
      <c r="W965" t="str">
        <f>IF(Table1[appointment_status]="Cancelled","1","0")</f>
        <v>0</v>
      </c>
    </row>
    <row r="966" spans="1:23">
      <c r="A966" t="s">
        <v>1737</v>
      </c>
      <c r="B966" t="s">
        <v>1738</v>
      </c>
      <c r="C966">
        <v>34</v>
      </c>
      <c r="D966" t="str" cm="1">
        <f t="array" ref="D966">_xlfn.IFS(Table1[[#This Row],[age]]&lt;=17,"0-17",C966&lt;=29,"18-29",C966&lt;=44,"30-44",C966&lt;=59,"45-59",C966&lt;=74,"60-74",TRUE,"75+")</f>
        <v>30-44</v>
      </c>
      <c r="E966" t="s">
        <v>17</v>
      </c>
      <c r="F966">
        <v>6</v>
      </c>
      <c r="G966" t="str" cm="1">
        <f t="array" ref="G966">_xlfn.IFS(_xlfn.SINGLE(Table1[imd_decile])&lt;=3,"Most Deprived",F966&lt;=7,"Moderately Deprived",F966&lt;=10,"Least Deprived")</f>
        <v>Moderately Deprived</v>
      </c>
      <c r="H966">
        <v>7.4</v>
      </c>
      <c r="I966" t="s">
        <v>45</v>
      </c>
      <c r="J966" t="s">
        <v>26</v>
      </c>
      <c r="K966" s="1">
        <v>45800</v>
      </c>
      <c r="L966" s="1">
        <v>45810</v>
      </c>
      <c r="M966" s="1" t="str">
        <f>TEXT(Table1[[#This Row],[appointment_date]],"MM/YYYY")</f>
        <v>06/2025</v>
      </c>
      <c r="N966">
        <v>10</v>
      </c>
      <c r="O966" t="str" cm="1">
        <f t="array" ref="O966">_xlfn.IFS(Table1[[#This Row],[lead_time_days]]&lt;=7,"0-7 days",N966&lt;=14,"8-14 days",N966&lt;=30,"15-30 days",N966&lt;=60,"31-60 days",TRUE,"61+ days")</f>
        <v>8-14 days</v>
      </c>
      <c r="P966" t="s">
        <v>35</v>
      </c>
      <c r="Q966" t="s">
        <v>21</v>
      </c>
      <c r="R966">
        <v>0</v>
      </c>
      <c r="S966" t="str">
        <f>IF(Table1[prior_dna_count]&gt;=1,"Has prior DNA history","No prior DNA history")</f>
        <v>No prior DNA history</v>
      </c>
      <c r="T966" t="s">
        <v>22</v>
      </c>
      <c r="U966" t="str">
        <f t="shared" si="15"/>
        <v>1</v>
      </c>
      <c r="V966" t="str">
        <f>IF(Table1[appointment_status]="Attended","1","0")</f>
        <v>1</v>
      </c>
      <c r="W966" t="str">
        <f>IF(Table1[appointment_status]="Cancelled","1","0")</f>
        <v>0</v>
      </c>
    </row>
    <row r="967" spans="1:23">
      <c r="A967" t="s">
        <v>1739</v>
      </c>
      <c r="B967" t="s">
        <v>261</v>
      </c>
      <c r="C967">
        <v>43</v>
      </c>
      <c r="D967" t="str" cm="1">
        <f t="array" ref="D967">_xlfn.IFS(Table1[[#This Row],[age]]&lt;=17,"0-17",C967&lt;=29,"18-29",C967&lt;=44,"30-44",C967&lt;=59,"45-59",C967&lt;=74,"60-74",TRUE,"75+")</f>
        <v>30-44</v>
      </c>
      <c r="E967" t="s">
        <v>17</v>
      </c>
      <c r="F967">
        <v>3</v>
      </c>
      <c r="G967" t="str" cm="1">
        <f t="array" ref="G967">_xlfn.IFS(_xlfn.SINGLE(Table1[imd_decile])&lt;=3,"Most Deprived",F967&lt;=7,"Moderately Deprived",F967&lt;=10,"Least Deprived")</f>
        <v>Most Deprived</v>
      </c>
      <c r="H967">
        <v>2.7</v>
      </c>
      <c r="I967" t="s">
        <v>45</v>
      </c>
      <c r="J967" t="s">
        <v>19</v>
      </c>
      <c r="K967" s="1">
        <v>45783</v>
      </c>
      <c r="L967" s="1">
        <v>45810</v>
      </c>
      <c r="M967" s="1" t="str">
        <f>TEXT(Table1[[#This Row],[appointment_date]],"MM/YYYY")</f>
        <v>06/2025</v>
      </c>
      <c r="N967">
        <v>27</v>
      </c>
      <c r="O967" t="str" cm="1">
        <f t="array" ref="O967">_xlfn.IFS(Table1[[#This Row],[lead_time_days]]&lt;=7,"0-7 days",N967&lt;=14,"8-14 days",N967&lt;=30,"15-30 days",N967&lt;=60,"31-60 days",TRUE,"61+ days")</f>
        <v>15-30 days</v>
      </c>
      <c r="P967" t="s">
        <v>35</v>
      </c>
      <c r="Q967" t="s">
        <v>21</v>
      </c>
      <c r="R967">
        <v>0</v>
      </c>
      <c r="S967" t="str">
        <f>IF(Table1[prior_dna_count]&gt;=1,"Has prior DNA history","No prior DNA history")</f>
        <v>No prior DNA history</v>
      </c>
      <c r="T967" t="s">
        <v>22</v>
      </c>
      <c r="U967" t="str">
        <f t="shared" si="15"/>
        <v>1</v>
      </c>
      <c r="V967" t="str">
        <f>IF(Table1[appointment_status]="Attended","1","0")</f>
        <v>1</v>
      </c>
      <c r="W967" t="str">
        <f>IF(Table1[appointment_status]="Cancelled","1","0")</f>
        <v>0</v>
      </c>
    </row>
    <row r="968" spans="1:23">
      <c r="A968" t="s">
        <v>1740</v>
      </c>
      <c r="B968" t="s">
        <v>1299</v>
      </c>
      <c r="C968">
        <v>12</v>
      </c>
      <c r="D968" t="str" cm="1">
        <f t="array" ref="D968">_xlfn.IFS(Table1[[#This Row],[age]]&lt;=17,"0-17",C968&lt;=29,"18-29",C968&lt;=44,"30-44",C968&lt;=59,"45-59",C968&lt;=74,"60-74",TRUE,"75+")</f>
        <v>0-17</v>
      </c>
      <c r="E968" t="s">
        <v>17</v>
      </c>
      <c r="F968">
        <v>6</v>
      </c>
      <c r="G968" t="str" cm="1">
        <f t="array" ref="G968">_xlfn.IFS(_xlfn.SINGLE(Table1[imd_decile])&lt;=3,"Most Deprived",F968&lt;=7,"Moderately Deprived",F968&lt;=10,"Least Deprived")</f>
        <v>Moderately Deprived</v>
      </c>
      <c r="H968">
        <v>12.3</v>
      </c>
      <c r="I968" t="s">
        <v>42</v>
      </c>
      <c r="J968" t="s">
        <v>19</v>
      </c>
      <c r="K968" s="1">
        <v>45792</v>
      </c>
      <c r="L968" s="1">
        <v>45810</v>
      </c>
      <c r="M968" s="1" t="str">
        <f>TEXT(Table1[[#This Row],[appointment_date]],"MM/YYYY")</f>
        <v>06/2025</v>
      </c>
      <c r="N968">
        <v>18</v>
      </c>
      <c r="O968" t="str" cm="1">
        <f t="array" ref="O968">_xlfn.IFS(Table1[[#This Row],[lead_time_days]]&lt;=7,"0-7 days",N968&lt;=14,"8-14 days",N968&lt;=30,"15-30 days",N968&lt;=60,"31-60 days",TRUE,"61+ days")</f>
        <v>15-30 days</v>
      </c>
      <c r="P968" t="s">
        <v>35</v>
      </c>
      <c r="Q968" t="s">
        <v>21</v>
      </c>
      <c r="R968">
        <v>0</v>
      </c>
      <c r="S968" t="str">
        <f>IF(Table1[prior_dna_count]&gt;=1,"Has prior DNA history","No prior DNA history")</f>
        <v>No prior DNA history</v>
      </c>
      <c r="T968" t="s">
        <v>22</v>
      </c>
      <c r="U968" t="str">
        <f t="shared" si="15"/>
        <v>1</v>
      </c>
      <c r="V968" t="str">
        <f>IF(Table1[appointment_status]="Attended","1","0")</f>
        <v>1</v>
      </c>
      <c r="W968" t="str">
        <f>IF(Table1[appointment_status]="Cancelled","1","0")</f>
        <v>0</v>
      </c>
    </row>
    <row r="969" spans="1:23">
      <c r="A969" t="s">
        <v>1741</v>
      </c>
      <c r="B969" t="s">
        <v>1742</v>
      </c>
      <c r="C969">
        <v>56</v>
      </c>
      <c r="D969" t="str" cm="1">
        <f t="array" ref="D969">_xlfn.IFS(Table1[[#This Row],[age]]&lt;=17,"0-17",C969&lt;=29,"18-29",C969&lt;=44,"30-44",C969&lt;=59,"45-59",C969&lt;=74,"60-74",TRUE,"75+")</f>
        <v>45-59</v>
      </c>
      <c r="E969" t="s">
        <v>29</v>
      </c>
      <c r="F969">
        <v>7</v>
      </c>
      <c r="G969" t="str" cm="1">
        <f t="array" ref="G969">_xlfn.IFS(_xlfn.SINGLE(Table1[imd_decile])&lt;=3,"Most Deprived",F969&lt;=7,"Moderately Deprived",F969&lt;=10,"Least Deprived")</f>
        <v>Moderately Deprived</v>
      </c>
      <c r="H969">
        <v>10.4</v>
      </c>
      <c r="I969" t="s">
        <v>45</v>
      </c>
      <c r="J969" t="s">
        <v>19</v>
      </c>
      <c r="K969" s="1">
        <v>45792</v>
      </c>
      <c r="L969" s="1">
        <v>45810</v>
      </c>
      <c r="M969" s="1" t="str">
        <f>TEXT(Table1[[#This Row],[appointment_date]],"MM/YYYY")</f>
        <v>06/2025</v>
      </c>
      <c r="N969">
        <v>18</v>
      </c>
      <c r="O969" t="str" cm="1">
        <f t="array" ref="O969">_xlfn.IFS(Table1[[#This Row],[lead_time_days]]&lt;=7,"0-7 days",N969&lt;=14,"8-14 days",N969&lt;=30,"15-30 days",N969&lt;=60,"31-60 days",TRUE,"61+ days")</f>
        <v>15-30 days</v>
      </c>
      <c r="P969" t="s">
        <v>35</v>
      </c>
      <c r="Q969" t="s">
        <v>32</v>
      </c>
      <c r="R969">
        <v>0</v>
      </c>
      <c r="S969" t="str">
        <f>IF(Table1[prior_dna_count]&gt;=1,"Has prior DNA history","No prior DNA history")</f>
        <v>No prior DNA history</v>
      </c>
      <c r="T969" t="s">
        <v>22</v>
      </c>
      <c r="U969" t="str">
        <f t="shared" si="15"/>
        <v>1</v>
      </c>
      <c r="V969" t="str">
        <f>IF(Table1[appointment_status]="Attended","1","0")</f>
        <v>1</v>
      </c>
      <c r="W969" t="str">
        <f>IF(Table1[appointment_status]="Cancelled","1","0")</f>
        <v>0</v>
      </c>
    </row>
    <row r="970" spans="1:23">
      <c r="A970" t="s">
        <v>1743</v>
      </c>
      <c r="B970" t="s">
        <v>1744</v>
      </c>
      <c r="C970">
        <v>65</v>
      </c>
      <c r="D970" t="str" cm="1">
        <f t="array" ref="D970">_xlfn.IFS(Table1[[#This Row],[age]]&lt;=17,"0-17",C970&lt;=29,"18-29",C970&lt;=44,"30-44",C970&lt;=59,"45-59",C970&lt;=74,"60-74",TRUE,"75+")</f>
        <v>60-74</v>
      </c>
      <c r="E970" t="s">
        <v>17</v>
      </c>
      <c r="F970">
        <v>8</v>
      </c>
      <c r="G970" t="str" cm="1">
        <f t="array" ref="G970">_xlfn.IFS(_xlfn.SINGLE(Table1[imd_decile])&lt;=3,"Most Deprived",F970&lt;=7,"Moderately Deprived",F970&lt;=10,"Least Deprived")</f>
        <v>Least Deprived</v>
      </c>
      <c r="H970">
        <v>5</v>
      </c>
      <c r="I970" t="s">
        <v>42</v>
      </c>
      <c r="J970" t="s">
        <v>26</v>
      </c>
      <c r="K970" s="1">
        <v>45793</v>
      </c>
      <c r="L970" s="1">
        <v>45810</v>
      </c>
      <c r="M970" s="1" t="str">
        <f>TEXT(Table1[[#This Row],[appointment_date]],"MM/YYYY")</f>
        <v>06/2025</v>
      </c>
      <c r="N970">
        <v>17</v>
      </c>
      <c r="O970" t="str" cm="1">
        <f t="array" ref="O970">_xlfn.IFS(Table1[[#This Row],[lead_time_days]]&lt;=7,"0-7 days",N970&lt;=14,"8-14 days",N970&lt;=30,"15-30 days",N970&lt;=60,"31-60 days",TRUE,"61+ days")</f>
        <v>15-30 days</v>
      </c>
      <c r="P970" t="s">
        <v>35</v>
      </c>
      <c r="Q970" t="s">
        <v>21</v>
      </c>
      <c r="R970">
        <v>0</v>
      </c>
      <c r="S970" t="str">
        <f>IF(Table1[prior_dna_count]&gt;=1,"Has prior DNA history","No prior DNA history")</f>
        <v>No prior DNA history</v>
      </c>
      <c r="T970" t="s">
        <v>22</v>
      </c>
      <c r="U970" t="str">
        <f t="shared" si="15"/>
        <v>1</v>
      </c>
      <c r="V970" t="str">
        <f>IF(Table1[appointment_status]="Attended","1","0")</f>
        <v>1</v>
      </c>
      <c r="W970" t="str">
        <f>IF(Table1[appointment_status]="Cancelled","1","0")</f>
        <v>0</v>
      </c>
    </row>
    <row r="971" spans="1:23">
      <c r="A971" t="s">
        <v>1745</v>
      </c>
      <c r="B971" t="s">
        <v>1746</v>
      </c>
      <c r="C971">
        <v>16</v>
      </c>
      <c r="D971" t="str" cm="1">
        <f t="array" ref="D971">_xlfn.IFS(Table1[[#This Row],[age]]&lt;=17,"0-17",C971&lt;=29,"18-29",C971&lt;=44,"30-44",C971&lt;=59,"45-59",C971&lt;=74,"60-74",TRUE,"75+")</f>
        <v>0-17</v>
      </c>
      <c r="E971" t="s">
        <v>17</v>
      </c>
      <c r="F971">
        <v>2</v>
      </c>
      <c r="G971" t="str" cm="1">
        <f t="array" ref="G971">_xlfn.IFS(_xlfn.SINGLE(Table1[imd_decile])&lt;=3,"Most Deprived",F971&lt;=7,"Moderately Deprived",F971&lt;=10,"Least Deprived")</f>
        <v>Most Deprived</v>
      </c>
      <c r="H971">
        <v>7.8</v>
      </c>
      <c r="I971" t="s">
        <v>42</v>
      </c>
      <c r="J971" t="s">
        <v>19</v>
      </c>
      <c r="K971" s="1">
        <v>45784</v>
      </c>
      <c r="L971" s="1">
        <v>45810</v>
      </c>
      <c r="M971" s="1" t="str">
        <f>TEXT(Table1[[#This Row],[appointment_date]],"MM/YYYY")</f>
        <v>06/2025</v>
      </c>
      <c r="N971">
        <v>26</v>
      </c>
      <c r="O971" t="str" cm="1">
        <f t="array" ref="O971">_xlfn.IFS(Table1[[#This Row],[lead_time_days]]&lt;=7,"0-7 days",N971&lt;=14,"8-14 days",N971&lt;=30,"15-30 days",N971&lt;=60,"31-60 days",TRUE,"61+ days")</f>
        <v>15-30 days</v>
      </c>
      <c r="P971" t="s">
        <v>35</v>
      </c>
      <c r="Q971" t="s">
        <v>21</v>
      </c>
      <c r="R971">
        <v>0</v>
      </c>
      <c r="S971" t="str">
        <f>IF(Table1[prior_dna_count]&gt;=1,"Has prior DNA history","No prior DNA history")</f>
        <v>No prior DNA history</v>
      </c>
      <c r="T971" t="s">
        <v>46</v>
      </c>
      <c r="U971" t="str">
        <f t="shared" si="15"/>
        <v>1</v>
      </c>
      <c r="V971" t="str">
        <f>IF(Table1[appointment_status]="Attended","1","0")</f>
        <v>0</v>
      </c>
      <c r="W971" t="str">
        <f>IF(Table1[appointment_status]="Cancelled","1","0")</f>
        <v>1</v>
      </c>
    </row>
    <row r="972" spans="1:23">
      <c r="A972" t="s">
        <v>1747</v>
      </c>
      <c r="B972" t="s">
        <v>1748</v>
      </c>
      <c r="C972">
        <v>26</v>
      </c>
      <c r="D972" t="str" cm="1">
        <f t="array" ref="D972">_xlfn.IFS(Table1[[#This Row],[age]]&lt;=17,"0-17",C972&lt;=29,"18-29",C972&lt;=44,"30-44",C972&lt;=59,"45-59",C972&lt;=74,"60-74",TRUE,"75+")</f>
        <v>18-29</v>
      </c>
      <c r="E972" t="s">
        <v>17</v>
      </c>
      <c r="F972">
        <v>5</v>
      </c>
      <c r="G972" t="str" cm="1">
        <f t="array" ref="G972">_xlfn.IFS(_xlfn.SINGLE(Table1[imd_decile])&lt;=3,"Most Deprived",F972&lt;=7,"Moderately Deprived",F972&lt;=10,"Least Deprived")</f>
        <v>Moderately Deprived</v>
      </c>
      <c r="H972">
        <v>10.3</v>
      </c>
      <c r="I972" t="s">
        <v>91</v>
      </c>
      <c r="J972" t="s">
        <v>19</v>
      </c>
      <c r="K972" s="1">
        <v>45788</v>
      </c>
      <c r="L972" s="1">
        <v>45810</v>
      </c>
      <c r="M972" s="1" t="str">
        <f>TEXT(Table1[[#This Row],[appointment_date]],"MM/YYYY")</f>
        <v>06/2025</v>
      </c>
      <c r="N972">
        <v>22</v>
      </c>
      <c r="O972" t="str" cm="1">
        <f t="array" ref="O972">_xlfn.IFS(Table1[[#This Row],[lead_time_days]]&lt;=7,"0-7 days",N972&lt;=14,"8-14 days",N972&lt;=30,"15-30 days",N972&lt;=60,"31-60 days",TRUE,"61+ days")</f>
        <v>15-30 days</v>
      </c>
      <c r="P972" t="s">
        <v>35</v>
      </c>
      <c r="Q972" t="s">
        <v>21</v>
      </c>
      <c r="R972">
        <v>0</v>
      </c>
      <c r="S972" t="str">
        <f>IF(Table1[prior_dna_count]&gt;=1,"Has prior DNA history","No prior DNA history")</f>
        <v>No prior DNA history</v>
      </c>
      <c r="T972" t="s">
        <v>46</v>
      </c>
      <c r="U972" t="str">
        <f t="shared" si="15"/>
        <v>0</v>
      </c>
      <c r="V972" t="str">
        <f>IF(Table1[appointment_status]="Attended","1","0")</f>
        <v>0</v>
      </c>
      <c r="W972" t="str">
        <f>IF(Table1[appointment_status]="Cancelled","1","0")</f>
        <v>1</v>
      </c>
    </row>
    <row r="973" spans="1:23">
      <c r="A973" t="s">
        <v>1749</v>
      </c>
      <c r="B973" t="s">
        <v>1197</v>
      </c>
      <c r="C973">
        <v>11</v>
      </c>
      <c r="D973" t="str" cm="1">
        <f t="array" ref="D973">_xlfn.IFS(Table1[[#This Row],[age]]&lt;=17,"0-17",C973&lt;=29,"18-29",C973&lt;=44,"30-44",C973&lt;=59,"45-59",C973&lt;=74,"60-74",TRUE,"75+")</f>
        <v>0-17</v>
      </c>
      <c r="E973" t="s">
        <v>17</v>
      </c>
      <c r="F973">
        <v>2</v>
      </c>
      <c r="G973" t="str" cm="1">
        <f t="array" ref="G973">_xlfn.IFS(_xlfn.SINGLE(Table1[imd_decile])&lt;=3,"Most Deprived",F973&lt;=7,"Moderately Deprived",F973&lt;=10,"Least Deprived")</f>
        <v>Most Deprived</v>
      </c>
      <c r="H973">
        <v>4.5999999999999996</v>
      </c>
      <c r="I973" t="s">
        <v>42</v>
      </c>
      <c r="J973" t="s">
        <v>26</v>
      </c>
      <c r="K973" s="1">
        <v>45788</v>
      </c>
      <c r="L973" s="1">
        <v>45811</v>
      </c>
      <c r="M973" s="1" t="str">
        <f>TEXT(Table1[[#This Row],[appointment_date]],"MM/YYYY")</f>
        <v>06/2025</v>
      </c>
      <c r="N973">
        <v>23</v>
      </c>
      <c r="O973" t="str" cm="1">
        <f t="array" ref="O973">_xlfn.IFS(Table1[[#This Row],[lead_time_days]]&lt;=7,"0-7 days",N973&lt;=14,"8-14 days",N973&lt;=30,"15-30 days",N973&lt;=60,"31-60 days",TRUE,"61+ days")</f>
        <v>15-30 days</v>
      </c>
      <c r="P973" t="s">
        <v>71</v>
      </c>
      <c r="Q973" t="s">
        <v>32</v>
      </c>
      <c r="R973">
        <v>0</v>
      </c>
      <c r="S973" t="str">
        <f>IF(Table1[prior_dna_count]&gt;=1,"Has prior DNA history","No prior DNA history")</f>
        <v>No prior DNA history</v>
      </c>
      <c r="T973" t="s">
        <v>22</v>
      </c>
      <c r="U973" t="str">
        <f t="shared" si="15"/>
        <v>0</v>
      </c>
      <c r="V973" t="str">
        <f>IF(Table1[appointment_status]="Attended","1","0")</f>
        <v>1</v>
      </c>
      <c r="W973" t="str">
        <f>IF(Table1[appointment_status]="Cancelled","1","0")</f>
        <v>0</v>
      </c>
    </row>
    <row r="974" spans="1:23">
      <c r="A974" t="s">
        <v>1750</v>
      </c>
      <c r="B974" t="s">
        <v>454</v>
      </c>
      <c r="C974">
        <v>28</v>
      </c>
      <c r="D974" t="str" cm="1">
        <f t="array" ref="D974">_xlfn.IFS(Table1[[#This Row],[age]]&lt;=17,"0-17",C974&lt;=29,"18-29",C974&lt;=44,"30-44",C974&lt;=59,"45-59",C974&lt;=74,"60-74",TRUE,"75+")</f>
        <v>18-29</v>
      </c>
      <c r="E974" t="s">
        <v>29</v>
      </c>
      <c r="F974">
        <v>9</v>
      </c>
      <c r="G974" t="str" cm="1">
        <f t="array" ref="G974">_xlfn.IFS(_xlfn.SINGLE(Table1[imd_decile])&lt;=3,"Most Deprived",F974&lt;=7,"Moderately Deprived",F974&lt;=10,"Least Deprived")</f>
        <v>Least Deprived</v>
      </c>
      <c r="H974">
        <v>18.8</v>
      </c>
      <c r="I974" t="s">
        <v>18</v>
      </c>
      <c r="J974" t="s">
        <v>19</v>
      </c>
      <c r="K974" s="1">
        <v>45768</v>
      </c>
      <c r="L974" s="1">
        <v>45811</v>
      </c>
      <c r="M974" s="1" t="str">
        <f>TEXT(Table1[[#This Row],[appointment_date]],"MM/YYYY")</f>
        <v>06/2025</v>
      </c>
      <c r="N974">
        <v>43</v>
      </c>
      <c r="O974" t="str" cm="1">
        <f t="array" ref="O974">_xlfn.IFS(Table1[[#This Row],[lead_time_days]]&lt;=7,"0-7 days",N974&lt;=14,"8-14 days",N974&lt;=30,"15-30 days",N974&lt;=60,"31-60 days",TRUE,"61+ days")</f>
        <v>31-60 days</v>
      </c>
      <c r="P974" t="s">
        <v>71</v>
      </c>
      <c r="Q974" t="s">
        <v>21</v>
      </c>
      <c r="R974">
        <v>0</v>
      </c>
      <c r="S974" t="str">
        <f>IF(Table1[prior_dna_count]&gt;=1,"Has prior DNA history","No prior DNA history")</f>
        <v>No prior DNA history</v>
      </c>
      <c r="T974" t="s">
        <v>22</v>
      </c>
      <c r="U974" t="str">
        <f t="shared" si="15"/>
        <v>1</v>
      </c>
      <c r="V974" t="str">
        <f>IF(Table1[appointment_status]="Attended","1","0")</f>
        <v>1</v>
      </c>
      <c r="W974" t="str">
        <f>IF(Table1[appointment_status]="Cancelled","1","0")</f>
        <v>0</v>
      </c>
    </row>
    <row r="975" spans="1:23">
      <c r="A975" t="s">
        <v>1751</v>
      </c>
      <c r="B975" t="s">
        <v>1752</v>
      </c>
      <c r="C975">
        <v>44</v>
      </c>
      <c r="D975" t="str" cm="1">
        <f t="array" ref="D975">_xlfn.IFS(Table1[[#This Row],[age]]&lt;=17,"0-17",C975&lt;=29,"18-29",C975&lt;=44,"30-44",C975&lt;=59,"45-59",C975&lt;=74,"60-74",TRUE,"75+")</f>
        <v>30-44</v>
      </c>
      <c r="E975" t="s">
        <v>17</v>
      </c>
      <c r="F975">
        <v>3</v>
      </c>
      <c r="G975" t="str" cm="1">
        <f t="array" ref="G975">_xlfn.IFS(_xlfn.SINGLE(Table1[imd_decile])&lt;=3,"Most Deprived",F975&lt;=7,"Moderately Deprived",F975&lt;=10,"Least Deprived")</f>
        <v>Most Deprived</v>
      </c>
      <c r="H975">
        <v>7.1</v>
      </c>
      <c r="I975" t="s">
        <v>25</v>
      </c>
      <c r="J975" t="s">
        <v>19</v>
      </c>
      <c r="K975" s="1">
        <v>45678</v>
      </c>
      <c r="L975" s="1">
        <v>45811</v>
      </c>
      <c r="M975" s="1" t="str">
        <f>TEXT(Table1[[#This Row],[appointment_date]],"MM/YYYY")</f>
        <v>06/2025</v>
      </c>
      <c r="N975">
        <v>133</v>
      </c>
      <c r="O975" t="str" cm="1">
        <f t="array" ref="O975">_xlfn.IFS(Table1[[#This Row],[lead_time_days]]&lt;=7,"0-7 days",N975&lt;=14,"8-14 days",N975&lt;=30,"15-30 days",N975&lt;=60,"31-60 days",TRUE,"61+ days")</f>
        <v>61+ days</v>
      </c>
      <c r="P975" t="s">
        <v>71</v>
      </c>
      <c r="Q975" t="s">
        <v>21</v>
      </c>
      <c r="R975">
        <v>0</v>
      </c>
      <c r="S975" t="str">
        <f>IF(Table1[prior_dna_count]&gt;=1,"Has prior DNA history","No prior DNA history")</f>
        <v>No prior DNA history</v>
      </c>
      <c r="T975" t="s">
        <v>22</v>
      </c>
      <c r="U975" t="str">
        <f t="shared" si="15"/>
        <v>1</v>
      </c>
      <c r="V975" t="str">
        <f>IF(Table1[appointment_status]="Attended","1","0")</f>
        <v>1</v>
      </c>
      <c r="W975" t="str">
        <f>IF(Table1[appointment_status]="Cancelled","1","0")</f>
        <v>0</v>
      </c>
    </row>
    <row r="976" spans="1:23">
      <c r="A976" t="s">
        <v>1753</v>
      </c>
      <c r="B976" t="s">
        <v>1754</v>
      </c>
      <c r="C976">
        <v>40</v>
      </c>
      <c r="D976" t="str" cm="1">
        <f t="array" ref="D976">_xlfn.IFS(Table1[[#This Row],[age]]&lt;=17,"0-17",C976&lt;=29,"18-29",C976&lt;=44,"30-44",C976&lt;=59,"45-59",C976&lt;=74,"60-74",TRUE,"75+")</f>
        <v>30-44</v>
      </c>
      <c r="E976" t="s">
        <v>29</v>
      </c>
      <c r="F976">
        <v>10</v>
      </c>
      <c r="G976" t="str" cm="1">
        <f t="array" ref="G976">_xlfn.IFS(_xlfn.SINGLE(Table1[imd_decile])&lt;=3,"Most Deprived",F976&lt;=7,"Moderately Deprived",F976&lt;=10,"Least Deprived")</f>
        <v>Least Deprived</v>
      </c>
      <c r="H976">
        <v>2.2999999999999998</v>
      </c>
      <c r="I976" t="s">
        <v>58</v>
      </c>
      <c r="J976" t="s">
        <v>19</v>
      </c>
      <c r="K976" s="1">
        <v>45767</v>
      </c>
      <c r="L976" s="1">
        <v>45811</v>
      </c>
      <c r="M976" s="1" t="str">
        <f>TEXT(Table1[[#This Row],[appointment_date]],"MM/YYYY")</f>
        <v>06/2025</v>
      </c>
      <c r="N976">
        <v>44</v>
      </c>
      <c r="O976" t="str" cm="1">
        <f t="array" ref="O976">_xlfn.IFS(Table1[[#This Row],[lead_time_days]]&lt;=7,"0-7 days",N976&lt;=14,"8-14 days",N976&lt;=30,"15-30 days",N976&lt;=60,"31-60 days",TRUE,"61+ days")</f>
        <v>31-60 days</v>
      </c>
      <c r="P976" t="s">
        <v>71</v>
      </c>
      <c r="Q976" t="s">
        <v>32</v>
      </c>
      <c r="R976">
        <v>1</v>
      </c>
      <c r="S976" t="str">
        <f>IF(Table1[prior_dna_count]&gt;=1,"Has prior DNA history","No prior DNA history")</f>
        <v>Has prior DNA history</v>
      </c>
      <c r="T976" t="s">
        <v>22</v>
      </c>
      <c r="U976" t="str">
        <f t="shared" si="15"/>
        <v>1</v>
      </c>
      <c r="V976" t="str">
        <f>IF(Table1[appointment_status]="Attended","1","0")</f>
        <v>1</v>
      </c>
      <c r="W976" t="str">
        <f>IF(Table1[appointment_status]="Cancelled","1","0")</f>
        <v>0</v>
      </c>
    </row>
    <row r="977" spans="1:23">
      <c r="A977" t="s">
        <v>1755</v>
      </c>
      <c r="B977" t="s">
        <v>1756</v>
      </c>
      <c r="C977">
        <v>34</v>
      </c>
      <c r="D977" t="str" cm="1">
        <f t="array" ref="D977">_xlfn.IFS(Table1[[#This Row],[age]]&lt;=17,"0-17",C977&lt;=29,"18-29",C977&lt;=44,"30-44",C977&lt;=59,"45-59",C977&lt;=74,"60-74",TRUE,"75+")</f>
        <v>30-44</v>
      </c>
      <c r="E977" t="s">
        <v>17</v>
      </c>
      <c r="F977">
        <v>8</v>
      </c>
      <c r="G977" t="str" cm="1">
        <f t="array" ref="G977">_xlfn.IFS(_xlfn.SINGLE(Table1[imd_decile])&lt;=3,"Most Deprived",F977&lt;=7,"Moderately Deprived",F977&lt;=10,"Least Deprived")</f>
        <v>Least Deprived</v>
      </c>
      <c r="H977">
        <v>6.7</v>
      </c>
      <c r="I977" t="s">
        <v>49</v>
      </c>
      <c r="J977" t="s">
        <v>19</v>
      </c>
      <c r="K977" s="1">
        <v>45781</v>
      </c>
      <c r="L977" s="1">
        <v>45811</v>
      </c>
      <c r="M977" s="1" t="str">
        <f>TEXT(Table1[[#This Row],[appointment_date]],"MM/YYYY")</f>
        <v>06/2025</v>
      </c>
      <c r="N977">
        <v>30</v>
      </c>
      <c r="O977" t="str" cm="1">
        <f t="array" ref="O977">_xlfn.IFS(Table1[[#This Row],[lead_time_days]]&lt;=7,"0-7 days",N977&lt;=14,"8-14 days",N977&lt;=30,"15-30 days",N977&lt;=60,"31-60 days",TRUE,"61+ days")</f>
        <v>15-30 days</v>
      </c>
      <c r="P977" t="s">
        <v>71</v>
      </c>
      <c r="Q977" t="s">
        <v>21</v>
      </c>
      <c r="R977">
        <v>0</v>
      </c>
      <c r="S977" t="str">
        <f>IF(Table1[prior_dna_count]&gt;=1,"Has prior DNA history","No prior DNA history")</f>
        <v>No prior DNA history</v>
      </c>
      <c r="T977" t="s">
        <v>22</v>
      </c>
      <c r="U977" t="str">
        <f t="shared" si="15"/>
        <v>1</v>
      </c>
      <c r="V977" t="str">
        <f>IF(Table1[appointment_status]="Attended","1","0")</f>
        <v>1</v>
      </c>
      <c r="W977" t="str">
        <f>IF(Table1[appointment_status]="Cancelled","1","0")</f>
        <v>0</v>
      </c>
    </row>
    <row r="978" spans="1:23">
      <c r="A978" t="s">
        <v>1757</v>
      </c>
      <c r="B978" t="s">
        <v>1758</v>
      </c>
      <c r="C978">
        <v>46</v>
      </c>
      <c r="D978" t="str" cm="1">
        <f t="array" ref="D978">_xlfn.IFS(Table1[[#This Row],[age]]&lt;=17,"0-17",C978&lt;=29,"18-29",C978&lt;=44,"30-44",C978&lt;=59,"45-59",C978&lt;=74,"60-74",TRUE,"75+")</f>
        <v>45-59</v>
      </c>
      <c r="E978" t="s">
        <v>29</v>
      </c>
      <c r="F978">
        <v>8</v>
      </c>
      <c r="G978" t="str" cm="1">
        <f t="array" ref="G978">_xlfn.IFS(_xlfn.SINGLE(Table1[imd_decile])&lt;=3,"Most Deprived",F978&lt;=7,"Moderately Deprived",F978&lt;=10,"Least Deprived")</f>
        <v>Least Deprived</v>
      </c>
      <c r="H978">
        <v>11.7</v>
      </c>
      <c r="I978" t="s">
        <v>45</v>
      </c>
      <c r="J978" t="s">
        <v>26</v>
      </c>
      <c r="K978" s="1">
        <v>45807</v>
      </c>
      <c r="L978" s="1">
        <v>45812</v>
      </c>
      <c r="M978" s="1" t="str">
        <f>TEXT(Table1[[#This Row],[appointment_date]],"MM/YYYY")</f>
        <v>06/2025</v>
      </c>
      <c r="N978">
        <v>5</v>
      </c>
      <c r="O978" t="str" cm="1">
        <f t="array" ref="O978">_xlfn.IFS(Table1[[#This Row],[lead_time_days]]&lt;=7,"0-7 days",N978&lt;=14,"8-14 days",N978&lt;=30,"15-30 days",N978&lt;=60,"31-60 days",TRUE,"61+ days")</f>
        <v>0-7 days</v>
      </c>
      <c r="P978" t="s">
        <v>80</v>
      </c>
      <c r="Q978" t="s">
        <v>21</v>
      </c>
      <c r="R978">
        <v>0</v>
      </c>
      <c r="S978" t="str">
        <f>IF(Table1[prior_dna_count]&gt;=1,"Has prior DNA history","No prior DNA history")</f>
        <v>No prior DNA history</v>
      </c>
      <c r="T978" t="s">
        <v>22</v>
      </c>
      <c r="U978" t="str">
        <f t="shared" si="15"/>
        <v>1</v>
      </c>
      <c r="V978" t="str">
        <f>IF(Table1[appointment_status]="Attended","1","0")</f>
        <v>1</v>
      </c>
      <c r="W978" t="str">
        <f>IF(Table1[appointment_status]="Cancelled","1","0")</f>
        <v>0</v>
      </c>
    </row>
    <row r="979" spans="1:23">
      <c r="A979" t="s">
        <v>1759</v>
      </c>
      <c r="B979" t="s">
        <v>1227</v>
      </c>
      <c r="C979">
        <v>61</v>
      </c>
      <c r="D979" t="str" cm="1">
        <f t="array" ref="D979">_xlfn.IFS(Table1[[#This Row],[age]]&lt;=17,"0-17",C979&lt;=29,"18-29",C979&lt;=44,"30-44",C979&lt;=59,"45-59",C979&lt;=74,"60-74",TRUE,"75+")</f>
        <v>60-74</v>
      </c>
      <c r="E979" t="s">
        <v>29</v>
      </c>
      <c r="F979">
        <v>6</v>
      </c>
      <c r="G979" t="str" cm="1">
        <f t="array" ref="G979">_xlfn.IFS(_xlfn.SINGLE(Table1[imd_decile])&lt;=3,"Most Deprived",F979&lt;=7,"Moderately Deprived",F979&lt;=10,"Least Deprived")</f>
        <v>Moderately Deprived</v>
      </c>
      <c r="H979">
        <v>6.8</v>
      </c>
      <c r="I979" t="s">
        <v>42</v>
      </c>
      <c r="J979" t="s">
        <v>26</v>
      </c>
      <c r="K979" s="1">
        <v>45771</v>
      </c>
      <c r="L979" s="1">
        <v>45812</v>
      </c>
      <c r="M979" s="1" t="str">
        <f>TEXT(Table1[[#This Row],[appointment_date]],"MM/YYYY")</f>
        <v>06/2025</v>
      </c>
      <c r="N979">
        <v>41</v>
      </c>
      <c r="O979" t="str" cm="1">
        <f t="array" ref="O979">_xlfn.IFS(Table1[[#This Row],[lead_time_days]]&lt;=7,"0-7 days",N979&lt;=14,"8-14 days",N979&lt;=30,"15-30 days",N979&lt;=60,"31-60 days",TRUE,"61+ days")</f>
        <v>31-60 days</v>
      </c>
      <c r="P979" t="s">
        <v>80</v>
      </c>
      <c r="Q979" t="s">
        <v>21</v>
      </c>
      <c r="R979">
        <v>0</v>
      </c>
      <c r="S979" t="str">
        <f>IF(Table1[prior_dna_count]&gt;=1,"Has prior DNA history","No prior DNA history")</f>
        <v>No prior DNA history</v>
      </c>
      <c r="T979" t="s">
        <v>22</v>
      </c>
      <c r="U979" t="str">
        <f t="shared" si="15"/>
        <v>1</v>
      </c>
      <c r="V979" t="str">
        <f>IF(Table1[appointment_status]="Attended","1","0")</f>
        <v>1</v>
      </c>
      <c r="W979" t="str">
        <f>IF(Table1[appointment_status]="Cancelled","1","0")</f>
        <v>0</v>
      </c>
    </row>
    <row r="980" spans="1:23">
      <c r="A980" t="s">
        <v>1760</v>
      </c>
      <c r="B980" t="s">
        <v>1207</v>
      </c>
      <c r="C980">
        <v>43</v>
      </c>
      <c r="D980" t="str" cm="1">
        <f t="array" ref="D980">_xlfn.IFS(Table1[[#This Row],[age]]&lt;=17,"0-17",C980&lt;=29,"18-29",C980&lt;=44,"30-44",C980&lt;=59,"45-59",C980&lt;=74,"60-74",TRUE,"75+")</f>
        <v>30-44</v>
      </c>
      <c r="E980" t="s">
        <v>17</v>
      </c>
      <c r="F980">
        <v>3</v>
      </c>
      <c r="G980" t="str" cm="1">
        <f t="array" ref="G980">_xlfn.IFS(_xlfn.SINGLE(Table1[imd_decile])&lt;=3,"Most Deprived",F980&lt;=7,"Moderately Deprived",F980&lt;=10,"Least Deprived")</f>
        <v>Most Deprived</v>
      </c>
      <c r="H980">
        <v>9.6</v>
      </c>
      <c r="I980" t="s">
        <v>38</v>
      </c>
      <c r="J980" t="s">
        <v>19</v>
      </c>
      <c r="K980" s="1">
        <v>45771</v>
      </c>
      <c r="L980" s="1">
        <v>45812</v>
      </c>
      <c r="M980" s="1" t="str">
        <f>TEXT(Table1[[#This Row],[appointment_date]],"MM/YYYY")</f>
        <v>06/2025</v>
      </c>
      <c r="N980">
        <v>41</v>
      </c>
      <c r="O980" t="str" cm="1">
        <f t="array" ref="O980">_xlfn.IFS(Table1[[#This Row],[lead_time_days]]&lt;=7,"0-7 days",N980&lt;=14,"8-14 days",N980&lt;=30,"15-30 days",N980&lt;=60,"31-60 days",TRUE,"61+ days")</f>
        <v>31-60 days</v>
      </c>
      <c r="P980" t="s">
        <v>80</v>
      </c>
      <c r="Q980" t="s">
        <v>21</v>
      </c>
      <c r="R980">
        <v>0</v>
      </c>
      <c r="S980" t="str">
        <f>IF(Table1[prior_dna_count]&gt;=1,"Has prior DNA history","No prior DNA history")</f>
        <v>No prior DNA history</v>
      </c>
      <c r="T980" t="s">
        <v>22</v>
      </c>
      <c r="U980" t="str">
        <f t="shared" si="15"/>
        <v>1</v>
      </c>
      <c r="V980" t="str">
        <f>IF(Table1[appointment_status]="Attended","1","0")</f>
        <v>1</v>
      </c>
      <c r="W980" t="str">
        <f>IF(Table1[appointment_status]="Cancelled","1","0")</f>
        <v>0</v>
      </c>
    </row>
    <row r="981" spans="1:23">
      <c r="A981" t="s">
        <v>1761</v>
      </c>
      <c r="B981" t="s">
        <v>468</v>
      </c>
      <c r="C981">
        <v>35</v>
      </c>
      <c r="D981" t="str" cm="1">
        <f t="array" ref="D981">_xlfn.IFS(Table1[[#This Row],[age]]&lt;=17,"0-17",C981&lt;=29,"18-29",C981&lt;=44,"30-44",C981&lt;=59,"45-59",C981&lt;=74,"60-74",TRUE,"75+")</f>
        <v>30-44</v>
      </c>
      <c r="E981" t="s">
        <v>17</v>
      </c>
      <c r="F981">
        <v>3</v>
      </c>
      <c r="G981" t="str" cm="1">
        <f t="array" ref="G981">_xlfn.IFS(_xlfn.SINGLE(Table1[imd_decile])&lt;=3,"Most Deprived",F981&lt;=7,"Moderately Deprived",F981&lt;=10,"Least Deprived")</f>
        <v>Most Deprived</v>
      </c>
      <c r="H981">
        <v>11.7</v>
      </c>
      <c r="I981" t="s">
        <v>91</v>
      </c>
      <c r="J981" t="s">
        <v>19</v>
      </c>
      <c r="K981" s="1">
        <v>45774</v>
      </c>
      <c r="L981" s="1">
        <v>45812</v>
      </c>
      <c r="M981" s="1" t="str">
        <f>TEXT(Table1[[#This Row],[appointment_date]],"MM/YYYY")</f>
        <v>06/2025</v>
      </c>
      <c r="N981">
        <v>38</v>
      </c>
      <c r="O981" t="str" cm="1">
        <f t="array" ref="O981">_xlfn.IFS(Table1[[#This Row],[lead_time_days]]&lt;=7,"0-7 days",N981&lt;=14,"8-14 days",N981&lt;=30,"15-30 days",N981&lt;=60,"31-60 days",TRUE,"61+ days")</f>
        <v>31-60 days</v>
      </c>
      <c r="P981" t="s">
        <v>80</v>
      </c>
      <c r="Q981" t="s">
        <v>21</v>
      </c>
      <c r="R981">
        <v>0</v>
      </c>
      <c r="S981" t="str">
        <f>IF(Table1[prior_dna_count]&gt;=1,"Has prior DNA history","No prior DNA history")</f>
        <v>No prior DNA history</v>
      </c>
      <c r="T981" t="s">
        <v>22</v>
      </c>
      <c r="U981" t="str">
        <f t="shared" si="15"/>
        <v>1</v>
      </c>
      <c r="V981" t="str">
        <f>IF(Table1[appointment_status]="Attended","1","0")</f>
        <v>1</v>
      </c>
      <c r="W981" t="str">
        <f>IF(Table1[appointment_status]="Cancelled","1","0")</f>
        <v>0</v>
      </c>
    </row>
    <row r="982" spans="1:23">
      <c r="A982" t="s">
        <v>1762</v>
      </c>
      <c r="B982" t="s">
        <v>1763</v>
      </c>
      <c r="C982">
        <v>55</v>
      </c>
      <c r="D982" t="str" cm="1">
        <f t="array" ref="D982">_xlfn.IFS(Table1[[#This Row],[age]]&lt;=17,"0-17",C982&lt;=29,"18-29",C982&lt;=44,"30-44",C982&lt;=59,"45-59",C982&lt;=74,"60-74",TRUE,"75+")</f>
        <v>45-59</v>
      </c>
      <c r="E982" t="s">
        <v>29</v>
      </c>
      <c r="F982">
        <v>5</v>
      </c>
      <c r="G982" t="str" cm="1">
        <f t="array" ref="G982">_xlfn.IFS(_xlfn.SINGLE(Table1[imd_decile])&lt;=3,"Most Deprived",F982&lt;=7,"Moderately Deprived",F982&lt;=10,"Least Deprived")</f>
        <v>Moderately Deprived</v>
      </c>
      <c r="H982">
        <v>14.3</v>
      </c>
      <c r="I982" t="s">
        <v>18</v>
      </c>
      <c r="J982" t="s">
        <v>19</v>
      </c>
      <c r="K982" s="1">
        <v>45777</v>
      </c>
      <c r="L982" s="1">
        <v>45812</v>
      </c>
      <c r="M982" s="1" t="str">
        <f>TEXT(Table1[[#This Row],[appointment_date]],"MM/YYYY")</f>
        <v>06/2025</v>
      </c>
      <c r="N982">
        <v>35</v>
      </c>
      <c r="O982" t="str" cm="1">
        <f t="array" ref="O982">_xlfn.IFS(Table1[[#This Row],[lead_time_days]]&lt;=7,"0-7 days",N982&lt;=14,"8-14 days",N982&lt;=30,"15-30 days",N982&lt;=60,"31-60 days",TRUE,"61+ days")</f>
        <v>31-60 days</v>
      </c>
      <c r="P982" t="s">
        <v>80</v>
      </c>
      <c r="Q982" t="s">
        <v>32</v>
      </c>
      <c r="R982">
        <v>0</v>
      </c>
      <c r="S982" t="str">
        <f>IF(Table1[prior_dna_count]&gt;=1,"Has prior DNA history","No prior DNA history")</f>
        <v>No prior DNA history</v>
      </c>
      <c r="T982" t="s">
        <v>39</v>
      </c>
      <c r="U982" t="str">
        <f t="shared" si="15"/>
        <v>1</v>
      </c>
      <c r="V982" t="str">
        <f>IF(Table1[appointment_status]="Attended","1","0")</f>
        <v>0</v>
      </c>
      <c r="W982" t="str">
        <f>IF(Table1[appointment_status]="Cancelled","1","0")</f>
        <v>0</v>
      </c>
    </row>
    <row r="983" spans="1:23">
      <c r="A983" t="s">
        <v>1764</v>
      </c>
      <c r="B983" t="s">
        <v>1765</v>
      </c>
      <c r="C983">
        <v>30</v>
      </c>
      <c r="D983" t="str" cm="1">
        <f t="array" ref="D983">_xlfn.IFS(Table1[[#This Row],[age]]&lt;=17,"0-17",C983&lt;=29,"18-29",C983&lt;=44,"30-44",C983&lt;=59,"45-59",C983&lt;=74,"60-74",TRUE,"75+")</f>
        <v>30-44</v>
      </c>
      <c r="E983" t="s">
        <v>17</v>
      </c>
      <c r="F983">
        <v>8</v>
      </c>
      <c r="G983" t="str" cm="1">
        <f t="array" ref="G983">_xlfn.IFS(_xlfn.SINGLE(Table1[imd_decile])&lt;=3,"Most Deprived",F983&lt;=7,"Moderately Deprived",F983&lt;=10,"Least Deprived")</f>
        <v>Least Deprived</v>
      </c>
      <c r="H983">
        <v>17.2</v>
      </c>
      <c r="I983" t="s">
        <v>91</v>
      </c>
      <c r="J983" t="s">
        <v>19</v>
      </c>
      <c r="K983" s="1">
        <v>45760</v>
      </c>
      <c r="L983" s="1">
        <v>45812</v>
      </c>
      <c r="M983" s="1" t="str">
        <f>TEXT(Table1[[#This Row],[appointment_date]],"MM/YYYY")</f>
        <v>06/2025</v>
      </c>
      <c r="N983">
        <v>52</v>
      </c>
      <c r="O983" t="str" cm="1">
        <f t="array" ref="O983">_xlfn.IFS(Table1[[#This Row],[lead_time_days]]&lt;=7,"0-7 days",N983&lt;=14,"8-14 days",N983&lt;=30,"15-30 days",N983&lt;=60,"31-60 days",TRUE,"61+ days")</f>
        <v>31-60 days</v>
      </c>
      <c r="P983" t="s">
        <v>80</v>
      </c>
      <c r="Q983" t="s">
        <v>21</v>
      </c>
      <c r="R983">
        <v>0</v>
      </c>
      <c r="S983" t="str">
        <f>IF(Table1[prior_dna_count]&gt;=1,"Has prior DNA history","No prior DNA history")</f>
        <v>No prior DNA history</v>
      </c>
      <c r="T983" t="s">
        <v>22</v>
      </c>
      <c r="U983" t="str">
        <f t="shared" si="15"/>
        <v>0</v>
      </c>
      <c r="V983" t="str">
        <f>IF(Table1[appointment_status]="Attended","1","0")</f>
        <v>1</v>
      </c>
      <c r="W983" t="str">
        <f>IF(Table1[appointment_status]="Cancelled","1","0")</f>
        <v>0</v>
      </c>
    </row>
    <row r="984" spans="1:23">
      <c r="A984" t="s">
        <v>1766</v>
      </c>
      <c r="B984" t="s">
        <v>1767</v>
      </c>
      <c r="C984">
        <v>16</v>
      </c>
      <c r="D984" t="str" cm="1">
        <f t="array" ref="D984">_xlfn.IFS(Table1[[#This Row],[age]]&lt;=17,"0-17",C984&lt;=29,"18-29",C984&lt;=44,"30-44",C984&lt;=59,"45-59",C984&lt;=74,"60-74",TRUE,"75+")</f>
        <v>0-17</v>
      </c>
      <c r="E984" t="s">
        <v>29</v>
      </c>
      <c r="F984">
        <v>10</v>
      </c>
      <c r="G984" t="str" cm="1">
        <f t="array" ref="G984">_xlfn.IFS(_xlfn.SINGLE(Table1[imd_decile])&lt;=3,"Most Deprived",F984&lt;=7,"Moderately Deprived",F984&lt;=10,"Least Deprived")</f>
        <v>Least Deprived</v>
      </c>
      <c r="H984">
        <v>3.3</v>
      </c>
      <c r="I984" t="s">
        <v>18</v>
      </c>
      <c r="J984" t="s">
        <v>19</v>
      </c>
      <c r="K984" s="1">
        <v>45778</v>
      </c>
      <c r="L984" s="1">
        <v>45812</v>
      </c>
      <c r="M984" s="1" t="str">
        <f>TEXT(Table1[[#This Row],[appointment_date]],"MM/YYYY")</f>
        <v>06/2025</v>
      </c>
      <c r="N984">
        <v>34</v>
      </c>
      <c r="O984" t="str" cm="1">
        <f t="array" ref="O984">_xlfn.IFS(Table1[[#This Row],[lead_time_days]]&lt;=7,"0-7 days",N984&lt;=14,"8-14 days",N984&lt;=30,"15-30 days",N984&lt;=60,"31-60 days",TRUE,"61+ days")</f>
        <v>31-60 days</v>
      </c>
      <c r="P984" t="s">
        <v>80</v>
      </c>
      <c r="Q984" t="s">
        <v>32</v>
      </c>
      <c r="R984">
        <v>0</v>
      </c>
      <c r="S984" t="str">
        <f>IF(Table1[prior_dna_count]&gt;=1,"Has prior DNA history","No prior DNA history")</f>
        <v>No prior DNA history</v>
      </c>
      <c r="T984" t="s">
        <v>22</v>
      </c>
      <c r="U984" t="str">
        <f t="shared" si="15"/>
        <v>1</v>
      </c>
      <c r="V984" t="str">
        <f>IF(Table1[appointment_status]="Attended","1","0")</f>
        <v>1</v>
      </c>
      <c r="W984" t="str">
        <f>IF(Table1[appointment_status]="Cancelled","1","0")</f>
        <v>0</v>
      </c>
    </row>
    <row r="985" spans="1:23">
      <c r="A985" t="s">
        <v>1768</v>
      </c>
      <c r="B985" t="s">
        <v>985</v>
      </c>
      <c r="C985">
        <v>34</v>
      </c>
      <c r="D985" t="str" cm="1">
        <f t="array" ref="D985">_xlfn.IFS(Table1[[#This Row],[age]]&lt;=17,"0-17",C985&lt;=29,"18-29",C985&lt;=44,"30-44",C985&lt;=59,"45-59",C985&lt;=74,"60-74",TRUE,"75+")</f>
        <v>30-44</v>
      </c>
      <c r="E985" t="s">
        <v>29</v>
      </c>
      <c r="F985">
        <v>4</v>
      </c>
      <c r="G985" t="str" cm="1">
        <f t="array" ref="G985">_xlfn.IFS(_xlfn.SINGLE(Table1[imd_decile])&lt;=3,"Most Deprived",F985&lt;=7,"Moderately Deprived",F985&lt;=10,"Least Deprived")</f>
        <v>Moderately Deprived</v>
      </c>
      <c r="H985">
        <v>13.2</v>
      </c>
      <c r="I985" t="s">
        <v>58</v>
      </c>
      <c r="J985" t="s">
        <v>19</v>
      </c>
      <c r="K985" s="1">
        <v>45759</v>
      </c>
      <c r="L985" s="1">
        <v>45813</v>
      </c>
      <c r="M985" s="1" t="str">
        <f>TEXT(Table1[[#This Row],[appointment_date]],"MM/YYYY")</f>
        <v>06/2025</v>
      </c>
      <c r="N985">
        <v>54</v>
      </c>
      <c r="O985" t="str" cm="1">
        <f t="array" ref="O985">_xlfn.IFS(Table1[[#This Row],[lead_time_days]]&lt;=7,"0-7 days",N985&lt;=14,"8-14 days",N985&lt;=30,"15-30 days",N985&lt;=60,"31-60 days",TRUE,"61+ days")</f>
        <v>31-60 days</v>
      </c>
      <c r="P985" t="s">
        <v>20</v>
      </c>
      <c r="Q985" t="s">
        <v>21</v>
      </c>
      <c r="R985">
        <v>0</v>
      </c>
      <c r="S985" t="str">
        <f>IF(Table1[prior_dna_count]&gt;=1,"Has prior DNA history","No prior DNA history")</f>
        <v>No prior DNA history</v>
      </c>
      <c r="T985" t="s">
        <v>22</v>
      </c>
      <c r="U985" t="str">
        <f t="shared" si="15"/>
        <v>1</v>
      </c>
      <c r="V985" t="str">
        <f>IF(Table1[appointment_status]="Attended","1","0")</f>
        <v>1</v>
      </c>
      <c r="W985" t="str">
        <f>IF(Table1[appointment_status]="Cancelled","1","0")</f>
        <v>0</v>
      </c>
    </row>
    <row r="986" spans="1:23">
      <c r="A986" t="s">
        <v>1769</v>
      </c>
      <c r="B986" t="s">
        <v>1770</v>
      </c>
      <c r="C986">
        <v>41</v>
      </c>
      <c r="D986" t="str" cm="1">
        <f t="array" ref="D986">_xlfn.IFS(Table1[[#This Row],[age]]&lt;=17,"0-17",C986&lt;=29,"18-29",C986&lt;=44,"30-44",C986&lt;=59,"45-59",C986&lt;=74,"60-74",TRUE,"75+")</f>
        <v>30-44</v>
      </c>
      <c r="E986" t="s">
        <v>29</v>
      </c>
      <c r="F986">
        <v>6</v>
      </c>
      <c r="G986" t="str" cm="1">
        <f t="array" ref="G986">_xlfn.IFS(_xlfn.SINGLE(Table1[imd_decile])&lt;=3,"Most Deprived",F986&lt;=7,"Moderately Deprived",F986&lt;=10,"Least Deprived")</f>
        <v>Moderately Deprived</v>
      </c>
      <c r="H986">
        <v>8.6999999999999993</v>
      </c>
      <c r="I986" t="s">
        <v>18</v>
      </c>
      <c r="J986" t="s">
        <v>19</v>
      </c>
      <c r="K986" s="1">
        <v>45755</v>
      </c>
      <c r="L986" s="1">
        <v>45813</v>
      </c>
      <c r="M986" s="1" t="str">
        <f>TEXT(Table1[[#This Row],[appointment_date]],"MM/YYYY")</f>
        <v>06/2025</v>
      </c>
      <c r="N986">
        <v>58</v>
      </c>
      <c r="O986" t="str" cm="1">
        <f t="array" ref="O986">_xlfn.IFS(Table1[[#This Row],[lead_time_days]]&lt;=7,"0-7 days",N986&lt;=14,"8-14 days",N986&lt;=30,"15-30 days",N986&lt;=60,"31-60 days",TRUE,"61+ days")</f>
        <v>31-60 days</v>
      </c>
      <c r="P986" t="s">
        <v>20</v>
      </c>
      <c r="Q986" t="s">
        <v>21</v>
      </c>
      <c r="R986">
        <v>0</v>
      </c>
      <c r="S986" t="str">
        <f>IF(Table1[prior_dna_count]&gt;=1,"Has prior DNA history","No prior DNA history")</f>
        <v>No prior DNA history</v>
      </c>
      <c r="T986" t="s">
        <v>22</v>
      </c>
      <c r="U986" t="str">
        <f t="shared" si="15"/>
        <v>1</v>
      </c>
      <c r="V986" t="str">
        <f>IF(Table1[appointment_status]="Attended","1","0")</f>
        <v>1</v>
      </c>
      <c r="W986" t="str">
        <f>IF(Table1[appointment_status]="Cancelled","1","0")</f>
        <v>0</v>
      </c>
    </row>
    <row r="987" spans="1:23">
      <c r="A987" t="s">
        <v>1771</v>
      </c>
      <c r="B987" t="s">
        <v>1460</v>
      </c>
      <c r="C987">
        <v>1</v>
      </c>
      <c r="D987" t="str" cm="1">
        <f t="array" ref="D987">_xlfn.IFS(Table1[[#This Row],[age]]&lt;=17,"0-17",C987&lt;=29,"18-29",C987&lt;=44,"30-44",C987&lt;=59,"45-59",C987&lt;=74,"60-74",TRUE,"75+")</f>
        <v>0-17</v>
      </c>
      <c r="E987" t="s">
        <v>17</v>
      </c>
      <c r="F987">
        <v>8</v>
      </c>
      <c r="G987" t="str" cm="1">
        <f t="array" ref="G987">_xlfn.IFS(_xlfn.SINGLE(Table1[imd_decile])&lt;=3,"Most Deprived",F987&lt;=7,"Moderately Deprived",F987&lt;=10,"Least Deprived")</f>
        <v>Least Deprived</v>
      </c>
      <c r="H987">
        <v>0.9</v>
      </c>
      <c r="I987" t="s">
        <v>30</v>
      </c>
      <c r="J987" t="s">
        <v>19</v>
      </c>
      <c r="K987" s="1">
        <v>45769</v>
      </c>
      <c r="L987" s="1">
        <v>45813</v>
      </c>
      <c r="M987" s="1" t="str">
        <f>TEXT(Table1[[#This Row],[appointment_date]],"MM/YYYY")</f>
        <v>06/2025</v>
      </c>
      <c r="N987">
        <v>44</v>
      </c>
      <c r="O987" t="str" cm="1">
        <f t="array" ref="O987">_xlfn.IFS(Table1[[#This Row],[lead_time_days]]&lt;=7,"0-7 days",N987&lt;=14,"8-14 days",N987&lt;=30,"15-30 days",N987&lt;=60,"31-60 days",TRUE,"61+ days")</f>
        <v>31-60 days</v>
      </c>
      <c r="P987" t="s">
        <v>20</v>
      </c>
      <c r="Q987" t="s">
        <v>21</v>
      </c>
      <c r="R987">
        <v>1</v>
      </c>
      <c r="S987" t="str">
        <f>IF(Table1[prior_dna_count]&gt;=1,"Has prior DNA history","No prior DNA history")</f>
        <v>Has prior DNA history</v>
      </c>
      <c r="T987" t="s">
        <v>39</v>
      </c>
      <c r="U987" t="str">
        <f t="shared" si="15"/>
        <v>1</v>
      </c>
      <c r="V987" t="str">
        <f>IF(Table1[appointment_status]="Attended","1","0")</f>
        <v>0</v>
      </c>
      <c r="W987" t="str">
        <f>IF(Table1[appointment_status]="Cancelled","1","0")</f>
        <v>0</v>
      </c>
    </row>
    <row r="988" spans="1:23">
      <c r="A988" t="s">
        <v>1772</v>
      </c>
      <c r="B988" t="s">
        <v>1773</v>
      </c>
      <c r="C988">
        <v>57</v>
      </c>
      <c r="D988" t="str" cm="1">
        <f t="array" ref="D988">_xlfn.IFS(Table1[[#This Row],[age]]&lt;=17,"0-17",C988&lt;=29,"18-29",C988&lt;=44,"30-44",C988&lt;=59,"45-59",C988&lt;=74,"60-74",TRUE,"75+")</f>
        <v>45-59</v>
      </c>
      <c r="E988" t="s">
        <v>29</v>
      </c>
      <c r="F988">
        <v>3</v>
      </c>
      <c r="G988" t="str" cm="1">
        <f t="array" ref="G988">_xlfn.IFS(_xlfn.SINGLE(Table1[imd_decile])&lt;=3,"Most Deprived",F988&lt;=7,"Moderately Deprived",F988&lt;=10,"Least Deprived")</f>
        <v>Most Deprived</v>
      </c>
      <c r="H988">
        <v>7.9</v>
      </c>
      <c r="I988" t="s">
        <v>49</v>
      </c>
      <c r="J988" t="s">
        <v>26</v>
      </c>
      <c r="K988" s="1">
        <v>45792</v>
      </c>
      <c r="L988" s="1">
        <v>45813</v>
      </c>
      <c r="M988" s="1" t="str">
        <f>TEXT(Table1[[#This Row],[appointment_date]],"MM/YYYY")</f>
        <v>06/2025</v>
      </c>
      <c r="N988">
        <v>21</v>
      </c>
      <c r="O988" t="str" cm="1">
        <f t="array" ref="O988">_xlfn.IFS(Table1[[#This Row],[lead_time_days]]&lt;=7,"0-7 days",N988&lt;=14,"8-14 days",N988&lt;=30,"15-30 days",N988&lt;=60,"31-60 days",TRUE,"61+ days")</f>
        <v>15-30 days</v>
      </c>
      <c r="P988" t="s">
        <v>20</v>
      </c>
      <c r="Q988" t="s">
        <v>21</v>
      </c>
      <c r="R988">
        <v>0</v>
      </c>
      <c r="S988" t="str">
        <f>IF(Table1[prior_dna_count]&gt;=1,"Has prior DNA history","No prior DNA history")</f>
        <v>No prior DNA history</v>
      </c>
      <c r="T988" t="s">
        <v>22</v>
      </c>
      <c r="U988" t="str">
        <f t="shared" si="15"/>
        <v>0</v>
      </c>
      <c r="V988" t="str">
        <f>IF(Table1[appointment_status]="Attended","1","0")</f>
        <v>1</v>
      </c>
      <c r="W988" t="str">
        <f>IF(Table1[appointment_status]="Cancelled","1","0")</f>
        <v>0</v>
      </c>
    </row>
    <row r="989" spans="1:23">
      <c r="A989" t="s">
        <v>1774</v>
      </c>
      <c r="B989" t="s">
        <v>1775</v>
      </c>
      <c r="C989">
        <v>65</v>
      </c>
      <c r="D989" t="str" cm="1">
        <f t="array" ref="D989">_xlfn.IFS(Table1[[#This Row],[age]]&lt;=17,"0-17",C989&lt;=29,"18-29",C989&lt;=44,"30-44",C989&lt;=59,"45-59",C989&lt;=74,"60-74",TRUE,"75+")</f>
        <v>60-74</v>
      </c>
      <c r="E989" t="s">
        <v>17</v>
      </c>
      <c r="F989">
        <v>4</v>
      </c>
      <c r="G989" t="str" cm="1">
        <f t="array" ref="G989">_xlfn.IFS(_xlfn.SINGLE(Table1[imd_decile])&lt;=3,"Most Deprived",F989&lt;=7,"Moderately Deprived",F989&lt;=10,"Least Deprived")</f>
        <v>Moderately Deprived</v>
      </c>
      <c r="H989">
        <v>6.6</v>
      </c>
      <c r="I989" t="s">
        <v>91</v>
      </c>
      <c r="J989" t="s">
        <v>26</v>
      </c>
      <c r="K989" s="1">
        <v>45805</v>
      </c>
      <c r="L989" s="1">
        <v>45813</v>
      </c>
      <c r="M989" s="1" t="str">
        <f>TEXT(Table1[[#This Row],[appointment_date]],"MM/YYYY")</f>
        <v>06/2025</v>
      </c>
      <c r="N989">
        <v>8</v>
      </c>
      <c r="O989" t="str" cm="1">
        <f t="array" ref="O989">_xlfn.IFS(Table1[[#This Row],[lead_time_days]]&lt;=7,"0-7 days",N989&lt;=14,"8-14 days",N989&lt;=30,"15-30 days",N989&lt;=60,"31-60 days",TRUE,"61+ days")</f>
        <v>8-14 days</v>
      </c>
      <c r="P989" t="s">
        <v>20</v>
      </c>
      <c r="Q989" t="s">
        <v>32</v>
      </c>
      <c r="R989">
        <v>0</v>
      </c>
      <c r="S989" t="str">
        <f>IF(Table1[prior_dna_count]&gt;=1,"Has prior DNA history","No prior DNA history")</f>
        <v>No prior DNA history</v>
      </c>
      <c r="T989" t="s">
        <v>22</v>
      </c>
      <c r="U989" t="str">
        <f t="shared" si="15"/>
        <v>1</v>
      </c>
      <c r="V989" t="str">
        <f>IF(Table1[appointment_status]="Attended","1","0")</f>
        <v>1</v>
      </c>
      <c r="W989" t="str">
        <f>IF(Table1[appointment_status]="Cancelled","1","0")</f>
        <v>0</v>
      </c>
    </row>
    <row r="990" spans="1:23">
      <c r="A990" t="s">
        <v>1776</v>
      </c>
      <c r="B990" t="s">
        <v>983</v>
      </c>
      <c r="C990">
        <v>33</v>
      </c>
      <c r="D990" t="str" cm="1">
        <f t="array" ref="D990">_xlfn.IFS(Table1[[#This Row],[age]]&lt;=17,"0-17",C990&lt;=29,"18-29",C990&lt;=44,"30-44",C990&lt;=59,"45-59",C990&lt;=74,"60-74",TRUE,"75+")</f>
        <v>30-44</v>
      </c>
      <c r="E990" t="s">
        <v>17</v>
      </c>
      <c r="F990">
        <v>3</v>
      </c>
      <c r="G990" t="str" cm="1">
        <f t="array" ref="G990">_xlfn.IFS(_xlfn.SINGLE(Table1[imd_decile])&lt;=3,"Most Deprived",F990&lt;=7,"Moderately Deprived",F990&lt;=10,"Least Deprived")</f>
        <v>Most Deprived</v>
      </c>
      <c r="H990">
        <v>6.9</v>
      </c>
      <c r="I990" t="s">
        <v>38</v>
      </c>
      <c r="J990" t="s">
        <v>19</v>
      </c>
      <c r="K990" s="1">
        <v>45764</v>
      </c>
      <c r="L990" s="1">
        <v>45813</v>
      </c>
      <c r="M990" s="1" t="str">
        <f>TEXT(Table1[[#This Row],[appointment_date]],"MM/YYYY")</f>
        <v>06/2025</v>
      </c>
      <c r="N990">
        <v>49</v>
      </c>
      <c r="O990" t="str" cm="1">
        <f t="array" ref="O990">_xlfn.IFS(Table1[[#This Row],[lead_time_days]]&lt;=7,"0-7 days",N990&lt;=14,"8-14 days",N990&lt;=30,"15-30 days",N990&lt;=60,"31-60 days",TRUE,"61+ days")</f>
        <v>31-60 days</v>
      </c>
      <c r="P990" t="s">
        <v>20</v>
      </c>
      <c r="Q990" t="s">
        <v>32</v>
      </c>
      <c r="R990">
        <v>0</v>
      </c>
      <c r="S990" t="str">
        <f>IF(Table1[prior_dna_count]&gt;=1,"Has prior DNA history","No prior DNA history")</f>
        <v>No prior DNA history</v>
      </c>
      <c r="T990" t="s">
        <v>22</v>
      </c>
      <c r="U990" t="str">
        <f t="shared" si="15"/>
        <v>1</v>
      </c>
      <c r="V990" t="str">
        <f>IF(Table1[appointment_status]="Attended","1","0")</f>
        <v>1</v>
      </c>
      <c r="W990" t="str">
        <f>IF(Table1[appointment_status]="Cancelled","1","0")</f>
        <v>0</v>
      </c>
    </row>
    <row r="991" spans="1:23">
      <c r="A991" t="s">
        <v>1777</v>
      </c>
      <c r="B991" t="s">
        <v>1778</v>
      </c>
      <c r="C991">
        <v>71</v>
      </c>
      <c r="D991" t="str" cm="1">
        <f t="array" ref="D991">_xlfn.IFS(Table1[[#This Row],[age]]&lt;=17,"0-17",C991&lt;=29,"18-29",C991&lt;=44,"30-44",C991&lt;=59,"45-59",C991&lt;=74,"60-74",TRUE,"75+")</f>
        <v>60-74</v>
      </c>
      <c r="E991" t="s">
        <v>29</v>
      </c>
      <c r="F991">
        <v>3</v>
      </c>
      <c r="G991" t="str" cm="1">
        <f t="array" ref="G991">_xlfn.IFS(_xlfn.SINGLE(Table1[imd_decile])&lt;=3,"Most Deprived",F991&lt;=7,"Moderately Deprived",F991&lt;=10,"Least Deprived")</f>
        <v>Most Deprived</v>
      </c>
      <c r="H991">
        <v>20.6</v>
      </c>
      <c r="I991" t="s">
        <v>91</v>
      </c>
      <c r="J991" t="s">
        <v>19</v>
      </c>
      <c r="K991" s="1">
        <v>45779</v>
      </c>
      <c r="L991" s="1">
        <v>45813</v>
      </c>
      <c r="M991" s="1" t="str">
        <f>TEXT(Table1[[#This Row],[appointment_date]],"MM/YYYY")</f>
        <v>06/2025</v>
      </c>
      <c r="N991">
        <v>34</v>
      </c>
      <c r="O991" t="str" cm="1">
        <f t="array" ref="O991">_xlfn.IFS(Table1[[#This Row],[lead_time_days]]&lt;=7,"0-7 days",N991&lt;=14,"8-14 days",N991&lt;=30,"15-30 days",N991&lt;=60,"31-60 days",TRUE,"61+ days")</f>
        <v>31-60 days</v>
      </c>
      <c r="P991" t="s">
        <v>20</v>
      </c>
      <c r="Q991" t="s">
        <v>21</v>
      </c>
      <c r="R991">
        <v>0</v>
      </c>
      <c r="S991" t="str">
        <f>IF(Table1[prior_dna_count]&gt;=1,"Has prior DNA history","No prior DNA history")</f>
        <v>No prior DNA history</v>
      </c>
      <c r="T991" t="s">
        <v>22</v>
      </c>
      <c r="U991" t="str">
        <f t="shared" si="15"/>
        <v>1</v>
      </c>
      <c r="V991" t="str">
        <f>IF(Table1[appointment_status]="Attended","1","0")</f>
        <v>1</v>
      </c>
      <c r="W991" t="str">
        <f>IF(Table1[appointment_status]="Cancelled","1","0")</f>
        <v>0</v>
      </c>
    </row>
    <row r="992" spans="1:23">
      <c r="A992" t="s">
        <v>1779</v>
      </c>
      <c r="B992" t="s">
        <v>1780</v>
      </c>
      <c r="C992">
        <v>24</v>
      </c>
      <c r="D992" t="str" cm="1">
        <f t="array" ref="D992">_xlfn.IFS(Table1[[#This Row],[age]]&lt;=17,"0-17",C992&lt;=29,"18-29",C992&lt;=44,"30-44",C992&lt;=59,"45-59",C992&lt;=74,"60-74",TRUE,"75+")</f>
        <v>18-29</v>
      </c>
      <c r="E992" t="s">
        <v>29</v>
      </c>
      <c r="F992">
        <v>1</v>
      </c>
      <c r="G992" t="str" cm="1">
        <f t="array" ref="G992">_xlfn.IFS(_xlfn.SINGLE(Table1[imd_decile])&lt;=3,"Most Deprived",F992&lt;=7,"Moderately Deprived",F992&lt;=10,"Least Deprived")</f>
        <v>Most Deprived</v>
      </c>
      <c r="H992">
        <v>7.4</v>
      </c>
      <c r="I992" t="s">
        <v>49</v>
      </c>
      <c r="J992" t="s">
        <v>26</v>
      </c>
      <c r="K992" s="1">
        <v>45758</v>
      </c>
      <c r="L992" s="1">
        <v>45814</v>
      </c>
      <c r="M992" s="1" t="str">
        <f>TEXT(Table1[[#This Row],[appointment_date]],"MM/YYYY")</f>
        <v>06/2025</v>
      </c>
      <c r="N992">
        <v>56</v>
      </c>
      <c r="O992" t="str" cm="1">
        <f t="array" ref="O992">_xlfn.IFS(Table1[[#This Row],[lead_time_days]]&lt;=7,"0-7 days",N992&lt;=14,"8-14 days",N992&lt;=30,"15-30 days",N992&lt;=60,"31-60 days",TRUE,"61+ days")</f>
        <v>31-60 days</v>
      </c>
      <c r="P992" t="s">
        <v>52</v>
      </c>
      <c r="Q992" t="s">
        <v>21</v>
      </c>
      <c r="R992">
        <v>0</v>
      </c>
      <c r="S992" t="str">
        <f>IF(Table1[prior_dna_count]&gt;=1,"Has prior DNA history","No prior DNA history")</f>
        <v>No prior DNA history</v>
      </c>
      <c r="T992" t="s">
        <v>22</v>
      </c>
      <c r="U992" t="str">
        <f t="shared" si="15"/>
        <v>1</v>
      </c>
      <c r="V992" t="str">
        <f>IF(Table1[appointment_status]="Attended","1","0")</f>
        <v>1</v>
      </c>
      <c r="W992" t="str">
        <f>IF(Table1[appointment_status]="Cancelled","1","0")</f>
        <v>0</v>
      </c>
    </row>
    <row r="993" spans="1:23">
      <c r="A993" t="s">
        <v>1781</v>
      </c>
      <c r="B993" t="s">
        <v>969</v>
      </c>
      <c r="C993">
        <v>54</v>
      </c>
      <c r="D993" t="str" cm="1">
        <f t="array" ref="D993">_xlfn.IFS(Table1[[#This Row],[age]]&lt;=17,"0-17",C993&lt;=29,"18-29",C993&lt;=44,"30-44",C993&lt;=59,"45-59",C993&lt;=74,"60-74",TRUE,"75+")</f>
        <v>45-59</v>
      </c>
      <c r="E993" t="s">
        <v>17</v>
      </c>
      <c r="F993">
        <v>5</v>
      </c>
      <c r="G993" t="str" cm="1">
        <f t="array" ref="G993">_xlfn.IFS(_xlfn.SINGLE(Table1[imd_decile])&lt;=3,"Most Deprived",F993&lt;=7,"Moderately Deprived",F993&lt;=10,"Least Deprived")</f>
        <v>Moderately Deprived</v>
      </c>
      <c r="H993">
        <v>7.9</v>
      </c>
      <c r="I993" t="s">
        <v>25</v>
      </c>
      <c r="J993" t="s">
        <v>19</v>
      </c>
      <c r="K993" s="1">
        <v>45763</v>
      </c>
      <c r="L993" s="1">
        <v>45814</v>
      </c>
      <c r="M993" s="1" t="str">
        <f>TEXT(Table1[[#This Row],[appointment_date]],"MM/YYYY")</f>
        <v>06/2025</v>
      </c>
      <c r="N993">
        <v>51</v>
      </c>
      <c r="O993" t="str" cm="1">
        <f t="array" ref="O993">_xlfn.IFS(Table1[[#This Row],[lead_time_days]]&lt;=7,"0-7 days",N993&lt;=14,"8-14 days",N993&lt;=30,"15-30 days",N993&lt;=60,"31-60 days",TRUE,"61+ days")</f>
        <v>31-60 days</v>
      </c>
      <c r="P993" t="s">
        <v>52</v>
      </c>
      <c r="Q993" t="s">
        <v>21</v>
      </c>
      <c r="R993">
        <v>0</v>
      </c>
      <c r="S993" t="str">
        <f>IF(Table1[prior_dna_count]&gt;=1,"Has prior DNA history","No prior DNA history")</f>
        <v>No prior DNA history</v>
      </c>
      <c r="T993" t="s">
        <v>22</v>
      </c>
      <c r="U993" t="str">
        <f t="shared" si="15"/>
        <v>1</v>
      </c>
      <c r="V993" t="str">
        <f>IF(Table1[appointment_status]="Attended","1","0")</f>
        <v>1</v>
      </c>
      <c r="W993" t="str">
        <f>IF(Table1[appointment_status]="Cancelled","1","0")</f>
        <v>0</v>
      </c>
    </row>
    <row r="994" spans="1:23">
      <c r="A994" t="s">
        <v>1782</v>
      </c>
      <c r="B994" t="s">
        <v>1783</v>
      </c>
      <c r="C994">
        <v>38</v>
      </c>
      <c r="D994" t="str" cm="1">
        <f t="array" ref="D994">_xlfn.IFS(Table1[[#This Row],[age]]&lt;=17,"0-17",C994&lt;=29,"18-29",C994&lt;=44,"30-44",C994&lt;=59,"45-59",C994&lt;=74,"60-74",TRUE,"75+")</f>
        <v>30-44</v>
      </c>
      <c r="E994" t="s">
        <v>29</v>
      </c>
      <c r="F994">
        <v>9</v>
      </c>
      <c r="G994" t="str" cm="1">
        <f t="array" ref="G994">_xlfn.IFS(_xlfn.SINGLE(Table1[imd_decile])&lt;=3,"Most Deprived",F994&lt;=7,"Moderately Deprived",F994&lt;=10,"Least Deprived")</f>
        <v>Least Deprived</v>
      </c>
      <c r="H994">
        <v>5.3</v>
      </c>
      <c r="I994" t="s">
        <v>155</v>
      </c>
      <c r="J994" t="s">
        <v>19</v>
      </c>
      <c r="K994" s="1">
        <v>45790</v>
      </c>
      <c r="L994" s="1">
        <v>45814</v>
      </c>
      <c r="M994" s="1" t="str">
        <f>TEXT(Table1[[#This Row],[appointment_date]],"MM/YYYY")</f>
        <v>06/2025</v>
      </c>
      <c r="N994">
        <v>24</v>
      </c>
      <c r="O994" t="str" cm="1">
        <f t="array" ref="O994">_xlfn.IFS(Table1[[#This Row],[lead_time_days]]&lt;=7,"0-7 days",N994&lt;=14,"8-14 days",N994&lt;=30,"15-30 days",N994&lt;=60,"31-60 days",TRUE,"61+ days")</f>
        <v>15-30 days</v>
      </c>
      <c r="P994" t="s">
        <v>52</v>
      </c>
      <c r="Q994" t="s">
        <v>21</v>
      </c>
      <c r="R994">
        <v>0</v>
      </c>
      <c r="S994" t="str">
        <f>IF(Table1[prior_dna_count]&gt;=1,"Has prior DNA history","No prior DNA history")</f>
        <v>No prior DNA history</v>
      </c>
      <c r="T994" t="s">
        <v>22</v>
      </c>
      <c r="U994" t="str">
        <f t="shared" si="15"/>
        <v>1</v>
      </c>
      <c r="V994" t="str">
        <f>IF(Table1[appointment_status]="Attended","1","0")</f>
        <v>1</v>
      </c>
      <c r="W994" t="str">
        <f>IF(Table1[appointment_status]="Cancelled","1","0")</f>
        <v>0</v>
      </c>
    </row>
    <row r="995" spans="1:23">
      <c r="A995" t="s">
        <v>1784</v>
      </c>
      <c r="B995" t="s">
        <v>1462</v>
      </c>
      <c r="C995">
        <v>41</v>
      </c>
      <c r="D995" t="str" cm="1">
        <f t="array" ref="D995">_xlfn.IFS(Table1[[#This Row],[age]]&lt;=17,"0-17",C995&lt;=29,"18-29",C995&lt;=44,"30-44",C995&lt;=59,"45-59",C995&lt;=74,"60-74",TRUE,"75+")</f>
        <v>30-44</v>
      </c>
      <c r="E995" t="s">
        <v>17</v>
      </c>
      <c r="F995">
        <v>6</v>
      </c>
      <c r="G995" t="str" cm="1">
        <f t="array" ref="G995">_xlfn.IFS(_xlfn.SINGLE(Table1[imd_decile])&lt;=3,"Most Deprived",F995&lt;=7,"Moderately Deprived",F995&lt;=10,"Least Deprived")</f>
        <v>Moderately Deprived</v>
      </c>
      <c r="H995">
        <v>7.3</v>
      </c>
      <c r="I995" t="s">
        <v>42</v>
      </c>
      <c r="J995" t="s">
        <v>19</v>
      </c>
      <c r="K995" s="1">
        <v>45803</v>
      </c>
      <c r="L995" s="1">
        <v>45814</v>
      </c>
      <c r="M995" s="1" t="str">
        <f>TEXT(Table1[[#This Row],[appointment_date]],"MM/YYYY")</f>
        <v>06/2025</v>
      </c>
      <c r="N995">
        <v>11</v>
      </c>
      <c r="O995" t="str" cm="1">
        <f t="array" ref="O995">_xlfn.IFS(Table1[[#This Row],[lead_time_days]]&lt;=7,"0-7 days",N995&lt;=14,"8-14 days",N995&lt;=30,"15-30 days",N995&lt;=60,"31-60 days",TRUE,"61+ days")</f>
        <v>8-14 days</v>
      </c>
      <c r="P995" t="s">
        <v>52</v>
      </c>
      <c r="Q995" t="s">
        <v>21</v>
      </c>
      <c r="R995">
        <v>0</v>
      </c>
      <c r="S995" t="str">
        <f>IF(Table1[prior_dna_count]&gt;=1,"Has prior DNA history","No prior DNA history")</f>
        <v>No prior DNA history</v>
      </c>
      <c r="T995" t="s">
        <v>22</v>
      </c>
      <c r="U995" t="str">
        <f t="shared" si="15"/>
        <v>1</v>
      </c>
      <c r="V995" t="str">
        <f>IF(Table1[appointment_status]="Attended","1","0")</f>
        <v>1</v>
      </c>
      <c r="W995" t="str">
        <f>IF(Table1[appointment_status]="Cancelled","1","0")</f>
        <v>0</v>
      </c>
    </row>
    <row r="996" spans="1:23">
      <c r="A996" t="s">
        <v>1785</v>
      </c>
      <c r="B996" t="s">
        <v>1786</v>
      </c>
      <c r="C996">
        <v>65</v>
      </c>
      <c r="D996" t="str" cm="1">
        <f t="array" ref="D996">_xlfn.IFS(Table1[[#This Row],[age]]&lt;=17,"0-17",C996&lt;=29,"18-29",C996&lt;=44,"30-44",C996&lt;=59,"45-59",C996&lt;=74,"60-74",TRUE,"75+")</f>
        <v>60-74</v>
      </c>
      <c r="E996" t="s">
        <v>17</v>
      </c>
      <c r="F996">
        <v>7</v>
      </c>
      <c r="G996" t="str" cm="1">
        <f t="array" ref="G996">_xlfn.IFS(_xlfn.SINGLE(Table1[imd_decile])&lt;=3,"Most Deprived",F996&lt;=7,"Moderately Deprived",F996&lt;=10,"Least Deprived")</f>
        <v>Moderately Deprived</v>
      </c>
      <c r="H996">
        <v>17.3</v>
      </c>
      <c r="I996" t="s">
        <v>25</v>
      </c>
      <c r="J996" t="s">
        <v>19</v>
      </c>
      <c r="K996" s="1">
        <v>45782</v>
      </c>
      <c r="L996" s="1">
        <v>45814</v>
      </c>
      <c r="M996" s="1" t="str">
        <f>TEXT(Table1[[#This Row],[appointment_date]],"MM/YYYY")</f>
        <v>06/2025</v>
      </c>
      <c r="N996">
        <v>32</v>
      </c>
      <c r="O996" t="str" cm="1">
        <f t="array" ref="O996">_xlfn.IFS(Table1[[#This Row],[lead_time_days]]&lt;=7,"0-7 days",N996&lt;=14,"8-14 days",N996&lt;=30,"15-30 days",N996&lt;=60,"31-60 days",TRUE,"61+ days")</f>
        <v>31-60 days</v>
      </c>
      <c r="P996" t="s">
        <v>52</v>
      </c>
      <c r="Q996" t="s">
        <v>32</v>
      </c>
      <c r="R996">
        <v>0</v>
      </c>
      <c r="S996" t="str">
        <f>IF(Table1[prior_dna_count]&gt;=1,"Has prior DNA history","No prior DNA history")</f>
        <v>No prior DNA history</v>
      </c>
      <c r="T996" t="s">
        <v>22</v>
      </c>
      <c r="U996" t="str">
        <f t="shared" si="15"/>
        <v>1</v>
      </c>
      <c r="V996" t="str">
        <f>IF(Table1[appointment_status]="Attended","1","0")</f>
        <v>1</v>
      </c>
      <c r="W996" t="str">
        <f>IF(Table1[appointment_status]="Cancelled","1","0")</f>
        <v>0</v>
      </c>
    </row>
    <row r="997" spans="1:23">
      <c r="A997" t="s">
        <v>1787</v>
      </c>
      <c r="B997" t="s">
        <v>1788</v>
      </c>
      <c r="C997">
        <v>58</v>
      </c>
      <c r="D997" t="str" cm="1">
        <f t="array" ref="D997">_xlfn.IFS(Table1[[#This Row],[age]]&lt;=17,"0-17",C997&lt;=29,"18-29",C997&lt;=44,"30-44",C997&lt;=59,"45-59",C997&lt;=74,"60-74",TRUE,"75+")</f>
        <v>45-59</v>
      </c>
      <c r="E997" t="s">
        <v>29</v>
      </c>
      <c r="F997">
        <v>10</v>
      </c>
      <c r="G997" t="str" cm="1">
        <f t="array" ref="G997">_xlfn.IFS(_xlfn.SINGLE(Table1[imd_decile])&lt;=3,"Most Deprived",F997&lt;=7,"Moderately Deprived",F997&lt;=10,"Least Deprived")</f>
        <v>Least Deprived</v>
      </c>
      <c r="H997">
        <v>3.8</v>
      </c>
      <c r="I997" t="s">
        <v>49</v>
      </c>
      <c r="J997" t="s">
        <v>19</v>
      </c>
      <c r="K997" s="1">
        <v>45783</v>
      </c>
      <c r="L997" s="1">
        <v>45814</v>
      </c>
      <c r="M997" s="1" t="str">
        <f>TEXT(Table1[[#This Row],[appointment_date]],"MM/YYYY")</f>
        <v>06/2025</v>
      </c>
      <c r="N997">
        <v>31</v>
      </c>
      <c r="O997" t="str" cm="1">
        <f t="array" ref="O997">_xlfn.IFS(Table1[[#This Row],[lead_time_days]]&lt;=7,"0-7 days",N997&lt;=14,"8-14 days",N997&lt;=30,"15-30 days",N997&lt;=60,"31-60 days",TRUE,"61+ days")</f>
        <v>31-60 days</v>
      </c>
      <c r="P997" t="s">
        <v>52</v>
      </c>
      <c r="Q997" t="s">
        <v>21</v>
      </c>
      <c r="R997">
        <v>0</v>
      </c>
      <c r="S997" t="str">
        <f>IF(Table1[prior_dna_count]&gt;=1,"Has prior DNA history","No prior DNA history")</f>
        <v>No prior DNA history</v>
      </c>
      <c r="T997" t="s">
        <v>22</v>
      </c>
      <c r="U997" t="str">
        <f t="shared" si="15"/>
        <v>1</v>
      </c>
      <c r="V997" t="str">
        <f>IF(Table1[appointment_status]="Attended","1","0")</f>
        <v>1</v>
      </c>
      <c r="W997" t="str">
        <f>IF(Table1[appointment_status]="Cancelled","1","0")</f>
        <v>0</v>
      </c>
    </row>
    <row r="998" spans="1:23">
      <c r="A998" t="s">
        <v>1789</v>
      </c>
      <c r="B998" t="s">
        <v>1790</v>
      </c>
      <c r="C998">
        <v>78</v>
      </c>
      <c r="D998" t="str" cm="1">
        <f t="array" ref="D998">_xlfn.IFS(Table1[[#This Row],[age]]&lt;=17,"0-17",C998&lt;=29,"18-29",C998&lt;=44,"30-44",C998&lt;=59,"45-59",C998&lt;=74,"60-74",TRUE,"75+")</f>
        <v>75+</v>
      </c>
      <c r="E998" t="s">
        <v>17</v>
      </c>
      <c r="F998">
        <v>7</v>
      </c>
      <c r="G998" t="str" cm="1">
        <f t="array" ref="G998">_xlfn.IFS(_xlfn.SINGLE(Table1[imd_decile])&lt;=3,"Most Deprived",F998&lt;=7,"Moderately Deprived",F998&lt;=10,"Least Deprived")</f>
        <v>Moderately Deprived</v>
      </c>
      <c r="H998">
        <v>9.3000000000000007</v>
      </c>
      <c r="I998" t="s">
        <v>91</v>
      </c>
      <c r="J998" t="s">
        <v>19</v>
      </c>
      <c r="K998" s="1">
        <v>45795</v>
      </c>
      <c r="L998" s="1">
        <v>45814</v>
      </c>
      <c r="M998" s="1" t="str">
        <f>TEXT(Table1[[#This Row],[appointment_date]],"MM/YYYY")</f>
        <v>06/2025</v>
      </c>
      <c r="N998">
        <v>19</v>
      </c>
      <c r="O998" t="str" cm="1">
        <f t="array" ref="O998">_xlfn.IFS(Table1[[#This Row],[lead_time_days]]&lt;=7,"0-7 days",N998&lt;=14,"8-14 days",N998&lt;=30,"15-30 days",N998&lt;=60,"31-60 days",TRUE,"61+ days")</f>
        <v>15-30 days</v>
      </c>
      <c r="P998" t="s">
        <v>52</v>
      </c>
      <c r="Q998" t="s">
        <v>21</v>
      </c>
      <c r="R998">
        <v>0</v>
      </c>
      <c r="S998" t="str">
        <f>IF(Table1[prior_dna_count]&gt;=1,"Has prior DNA history","No prior DNA history")</f>
        <v>No prior DNA history</v>
      </c>
      <c r="T998" t="s">
        <v>22</v>
      </c>
      <c r="U998" t="str">
        <f t="shared" si="15"/>
        <v>1</v>
      </c>
      <c r="V998" t="str">
        <f>IF(Table1[appointment_status]="Attended","1","0")</f>
        <v>1</v>
      </c>
      <c r="W998" t="str">
        <f>IF(Table1[appointment_status]="Cancelled","1","0")</f>
        <v>0</v>
      </c>
    </row>
    <row r="999" spans="1:23">
      <c r="A999" t="s">
        <v>1791</v>
      </c>
      <c r="B999" t="s">
        <v>899</v>
      </c>
      <c r="C999">
        <v>54</v>
      </c>
      <c r="D999" t="str" cm="1">
        <f t="array" ref="D999">_xlfn.IFS(Table1[[#This Row],[age]]&lt;=17,"0-17",C999&lt;=29,"18-29",C999&lt;=44,"30-44",C999&lt;=59,"45-59",C999&lt;=74,"60-74",TRUE,"75+")</f>
        <v>45-59</v>
      </c>
      <c r="E999" t="s">
        <v>17</v>
      </c>
      <c r="F999">
        <v>8</v>
      </c>
      <c r="G999" t="str" cm="1">
        <f t="array" ref="G999">_xlfn.IFS(_xlfn.SINGLE(Table1[imd_decile])&lt;=3,"Most Deprived",F999&lt;=7,"Moderately Deprived",F999&lt;=10,"Least Deprived")</f>
        <v>Least Deprived</v>
      </c>
      <c r="H999">
        <v>3.5</v>
      </c>
      <c r="I999" t="s">
        <v>42</v>
      </c>
      <c r="J999" t="s">
        <v>26</v>
      </c>
      <c r="K999" s="1">
        <v>45810</v>
      </c>
      <c r="L999" s="1">
        <v>45814</v>
      </c>
      <c r="M999" s="1" t="str">
        <f>TEXT(Table1[[#This Row],[appointment_date]],"MM/YYYY")</f>
        <v>06/2025</v>
      </c>
      <c r="N999">
        <v>4</v>
      </c>
      <c r="O999" t="str" cm="1">
        <f t="array" ref="O999">_xlfn.IFS(Table1[[#This Row],[lead_time_days]]&lt;=7,"0-7 days",N999&lt;=14,"8-14 days",N999&lt;=30,"15-30 days",N999&lt;=60,"31-60 days",TRUE,"61+ days")</f>
        <v>0-7 days</v>
      </c>
      <c r="P999" t="s">
        <v>52</v>
      </c>
      <c r="Q999" t="s">
        <v>32</v>
      </c>
      <c r="R999">
        <v>0</v>
      </c>
      <c r="S999" t="str">
        <f>IF(Table1[prior_dna_count]&gt;=1,"Has prior DNA history","No prior DNA history")</f>
        <v>No prior DNA history</v>
      </c>
      <c r="T999" t="s">
        <v>46</v>
      </c>
      <c r="U999" t="str">
        <f t="shared" si="15"/>
        <v>1</v>
      </c>
      <c r="V999" t="str">
        <f>IF(Table1[appointment_status]="Attended","1","0")</f>
        <v>0</v>
      </c>
      <c r="W999" t="str">
        <f>IF(Table1[appointment_status]="Cancelled","1","0")</f>
        <v>1</v>
      </c>
    </row>
    <row r="1000" spans="1:23">
      <c r="A1000" t="s">
        <v>1792</v>
      </c>
      <c r="B1000" t="s">
        <v>1088</v>
      </c>
      <c r="C1000">
        <v>35</v>
      </c>
      <c r="D1000" t="str" cm="1">
        <f t="array" ref="D1000">_xlfn.IFS(Table1[[#This Row],[age]]&lt;=17,"0-17",C1000&lt;=29,"18-29",C1000&lt;=44,"30-44",C1000&lt;=59,"45-59",C1000&lt;=74,"60-74",TRUE,"75+")</f>
        <v>30-44</v>
      </c>
      <c r="E1000" t="s">
        <v>17</v>
      </c>
      <c r="F1000">
        <v>6</v>
      </c>
      <c r="G1000" t="str" cm="1">
        <f t="array" ref="G1000">_xlfn.IFS(_xlfn.SINGLE(Table1[imd_decile])&lt;=3,"Most Deprived",F1000&lt;=7,"Moderately Deprived",F1000&lt;=10,"Least Deprived")</f>
        <v>Moderately Deprived</v>
      </c>
      <c r="H1000">
        <v>12.8</v>
      </c>
      <c r="I1000" t="s">
        <v>58</v>
      </c>
      <c r="J1000" t="s">
        <v>26</v>
      </c>
      <c r="K1000" s="1">
        <v>45805</v>
      </c>
      <c r="L1000" s="1">
        <v>45814</v>
      </c>
      <c r="M1000" s="1" t="str">
        <f>TEXT(Table1[[#This Row],[appointment_date]],"MM/YYYY")</f>
        <v>06/2025</v>
      </c>
      <c r="N1000">
        <v>9</v>
      </c>
      <c r="O1000" t="str" cm="1">
        <f t="array" ref="O1000">_xlfn.IFS(Table1[[#This Row],[lead_time_days]]&lt;=7,"0-7 days",N1000&lt;=14,"8-14 days",N1000&lt;=30,"15-30 days",N1000&lt;=60,"31-60 days",TRUE,"61+ days")</f>
        <v>8-14 days</v>
      </c>
      <c r="P1000" t="s">
        <v>52</v>
      </c>
      <c r="Q1000" t="s">
        <v>21</v>
      </c>
      <c r="R1000">
        <v>0</v>
      </c>
      <c r="S1000" t="str">
        <f>IF(Table1[prior_dna_count]&gt;=1,"Has prior DNA history","No prior DNA history")</f>
        <v>No prior DNA history</v>
      </c>
      <c r="T1000" t="s">
        <v>22</v>
      </c>
      <c r="U1000" t="str">
        <f t="shared" si="15"/>
        <v>0</v>
      </c>
      <c r="V1000" t="str">
        <f>IF(Table1[appointment_status]="Attended","1","0")</f>
        <v>1</v>
      </c>
      <c r="W1000" t="str">
        <f>IF(Table1[appointment_status]="Cancelled","1","0")</f>
        <v>0</v>
      </c>
    </row>
    <row r="1001" spans="1:23">
      <c r="A1001" t="s">
        <v>1793</v>
      </c>
      <c r="B1001" t="s">
        <v>1794</v>
      </c>
      <c r="C1001">
        <v>66</v>
      </c>
      <c r="D1001" t="str" cm="1">
        <f t="array" ref="D1001">_xlfn.IFS(Table1[[#This Row],[age]]&lt;=17,"0-17",C1001&lt;=29,"18-29",C1001&lt;=44,"30-44",C1001&lt;=59,"45-59",C1001&lt;=74,"60-74",TRUE,"75+")</f>
        <v>60-74</v>
      </c>
      <c r="E1001" t="s">
        <v>29</v>
      </c>
      <c r="F1001">
        <v>7</v>
      </c>
      <c r="G1001" t="str" cm="1">
        <f t="array" ref="G1001">_xlfn.IFS(_xlfn.SINGLE(Table1[imd_decile])&lt;=3,"Most Deprived",F1001&lt;=7,"Moderately Deprived",F1001&lt;=10,"Least Deprived")</f>
        <v>Moderately Deprived</v>
      </c>
      <c r="H1001">
        <v>18.3</v>
      </c>
      <c r="I1001" t="s">
        <v>42</v>
      </c>
      <c r="J1001" t="s">
        <v>26</v>
      </c>
      <c r="K1001" s="1">
        <v>45806</v>
      </c>
      <c r="L1001" s="1">
        <v>45814</v>
      </c>
      <c r="M1001" s="1" t="str">
        <f>TEXT(Table1[[#This Row],[appointment_date]],"MM/YYYY")</f>
        <v>06/2025</v>
      </c>
      <c r="N1001">
        <v>8</v>
      </c>
      <c r="O1001" t="str" cm="1">
        <f t="array" ref="O1001">_xlfn.IFS(Table1[[#This Row],[lead_time_days]]&lt;=7,"0-7 days",N1001&lt;=14,"8-14 days",N1001&lt;=30,"15-30 days",N1001&lt;=60,"31-60 days",TRUE,"61+ days")</f>
        <v>8-14 days</v>
      </c>
      <c r="P1001" t="s">
        <v>52</v>
      </c>
      <c r="Q1001" t="s">
        <v>21</v>
      </c>
      <c r="R1001">
        <v>0</v>
      </c>
      <c r="S1001" t="str">
        <f>IF(Table1[prior_dna_count]&gt;=1,"Has prior DNA history","No prior DNA history")</f>
        <v>No prior DNA history</v>
      </c>
      <c r="T1001" t="s">
        <v>22</v>
      </c>
      <c r="U1001" t="str">
        <f t="shared" si="15"/>
        <v>1</v>
      </c>
      <c r="V1001" t="str">
        <f>IF(Table1[appointment_status]="Attended","1","0")</f>
        <v>1</v>
      </c>
      <c r="W1001" t="str">
        <f>IF(Table1[appointment_status]="Cancelled","1","0")</f>
        <v>0</v>
      </c>
    </row>
    <row r="1002" spans="1:23">
      <c r="A1002" t="s">
        <v>1795</v>
      </c>
      <c r="B1002" t="s">
        <v>1796</v>
      </c>
      <c r="C1002">
        <v>43</v>
      </c>
      <c r="D1002" t="str" cm="1">
        <f t="array" ref="D1002">_xlfn.IFS(Table1[[#This Row],[age]]&lt;=17,"0-17",C1002&lt;=29,"18-29",C1002&lt;=44,"30-44",C1002&lt;=59,"45-59",C1002&lt;=74,"60-74",TRUE,"75+")</f>
        <v>30-44</v>
      </c>
      <c r="E1002" t="s">
        <v>17</v>
      </c>
      <c r="F1002">
        <v>4</v>
      </c>
      <c r="G1002" t="str" cm="1">
        <f t="array" ref="G1002">_xlfn.IFS(_xlfn.SINGLE(Table1[imd_decile])&lt;=3,"Most Deprived",F1002&lt;=7,"Moderately Deprived",F1002&lt;=10,"Least Deprived")</f>
        <v>Moderately Deprived</v>
      </c>
      <c r="H1002">
        <v>6.7</v>
      </c>
      <c r="I1002" t="s">
        <v>45</v>
      </c>
      <c r="J1002" t="s">
        <v>19</v>
      </c>
      <c r="K1002" s="1">
        <v>45766</v>
      </c>
      <c r="L1002" s="1">
        <v>45814</v>
      </c>
      <c r="M1002" s="1" t="str">
        <f>TEXT(Table1[[#This Row],[appointment_date]],"MM/YYYY")</f>
        <v>06/2025</v>
      </c>
      <c r="N1002">
        <v>48</v>
      </c>
      <c r="O1002" t="str" cm="1">
        <f t="array" ref="O1002">_xlfn.IFS(Table1[[#This Row],[lead_time_days]]&lt;=7,"0-7 days",N1002&lt;=14,"8-14 days",N1002&lt;=30,"15-30 days",N1002&lt;=60,"31-60 days",TRUE,"61+ days")</f>
        <v>31-60 days</v>
      </c>
      <c r="P1002" t="s">
        <v>52</v>
      </c>
      <c r="Q1002" t="s">
        <v>21</v>
      </c>
      <c r="R1002">
        <v>0</v>
      </c>
      <c r="S1002" t="str">
        <f>IF(Table1[prior_dna_count]&gt;=1,"Has prior DNA history","No prior DNA history")</f>
        <v>No prior DNA history</v>
      </c>
      <c r="T1002" t="s">
        <v>22</v>
      </c>
      <c r="U1002" t="str">
        <f t="shared" si="15"/>
        <v>1</v>
      </c>
      <c r="V1002" t="str">
        <f>IF(Table1[appointment_status]="Attended","1","0")</f>
        <v>1</v>
      </c>
      <c r="W1002" t="str">
        <f>IF(Table1[appointment_status]="Cancelled","1","0")</f>
        <v>0</v>
      </c>
    </row>
    <row r="1003" spans="1:23">
      <c r="A1003" t="s">
        <v>1797</v>
      </c>
      <c r="B1003" t="s">
        <v>1798</v>
      </c>
      <c r="C1003">
        <v>54</v>
      </c>
      <c r="D1003" t="str" cm="1">
        <f t="array" ref="D1003">_xlfn.IFS(Table1[[#This Row],[age]]&lt;=17,"0-17",C1003&lt;=29,"18-29",C1003&lt;=44,"30-44",C1003&lt;=59,"45-59",C1003&lt;=74,"60-74",TRUE,"75+")</f>
        <v>45-59</v>
      </c>
      <c r="E1003" t="s">
        <v>29</v>
      </c>
      <c r="F1003">
        <v>1</v>
      </c>
      <c r="G1003" t="str" cm="1">
        <f t="array" ref="G1003">_xlfn.IFS(_xlfn.SINGLE(Table1[imd_decile])&lt;=3,"Most Deprived",F1003&lt;=7,"Moderately Deprived",F1003&lt;=10,"Least Deprived")</f>
        <v>Most Deprived</v>
      </c>
      <c r="H1003">
        <v>5.5</v>
      </c>
      <c r="I1003" t="s">
        <v>42</v>
      </c>
      <c r="J1003" t="s">
        <v>26</v>
      </c>
      <c r="K1003" s="1">
        <v>45785</v>
      </c>
      <c r="L1003" s="1">
        <v>45815</v>
      </c>
      <c r="M1003" s="1" t="str">
        <f>TEXT(Table1[[#This Row],[appointment_date]],"MM/YYYY")</f>
        <v>06/2025</v>
      </c>
      <c r="N1003">
        <v>30</v>
      </c>
      <c r="O1003" t="str" cm="1">
        <f t="array" ref="O1003">_xlfn.IFS(Table1[[#This Row],[lead_time_days]]&lt;=7,"0-7 days",N1003&lt;=14,"8-14 days",N1003&lt;=30,"15-30 days",N1003&lt;=60,"31-60 days",TRUE,"61+ days")</f>
        <v>15-30 days</v>
      </c>
      <c r="P1003" t="s">
        <v>55</v>
      </c>
      <c r="Q1003" t="s">
        <v>32</v>
      </c>
      <c r="R1003">
        <v>0</v>
      </c>
      <c r="S1003" t="str">
        <f>IF(Table1[prior_dna_count]&gt;=1,"Has prior DNA history","No prior DNA history")</f>
        <v>No prior DNA history</v>
      </c>
      <c r="T1003" t="s">
        <v>22</v>
      </c>
      <c r="U1003" t="str">
        <f t="shared" si="15"/>
        <v>1</v>
      </c>
      <c r="V1003" t="str">
        <f>IF(Table1[appointment_status]="Attended","1","0")</f>
        <v>1</v>
      </c>
      <c r="W1003" t="str">
        <f>IF(Table1[appointment_status]="Cancelled","1","0")</f>
        <v>0</v>
      </c>
    </row>
    <row r="1004" spans="1:23">
      <c r="A1004" t="s">
        <v>1799</v>
      </c>
      <c r="B1004" t="s">
        <v>1800</v>
      </c>
      <c r="C1004">
        <v>11</v>
      </c>
      <c r="D1004" t="str" cm="1">
        <f t="array" ref="D1004">_xlfn.IFS(Table1[[#This Row],[age]]&lt;=17,"0-17",C1004&lt;=29,"18-29",C1004&lt;=44,"30-44",C1004&lt;=59,"45-59",C1004&lt;=74,"60-74",TRUE,"75+")</f>
        <v>0-17</v>
      </c>
      <c r="E1004" t="s">
        <v>29</v>
      </c>
      <c r="F1004">
        <v>5</v>
      </c>
      <c r="G1004" t="str" cm="1">
        <f t="array" ref="G1004">_xlfn.IFS(_xlfn.SINGLE(Table1[imd_decile])&lt;=3,"Most Deprived",F1004&lt;=7,"Moderately Deprived",F1004&lt;=10,"Least Deprived")</f>
        <v>Moderately Deprived</v>
      </c>
      <c r="H1004">
        <v>5.6</v>
      </c>
      <c r="I1004" t="s">
        <v>45</v>
      </c>
      <c r="J1004" t="s">
        <v>19</v>
      </c>
      <c r="K1004" s="1">
        <v>45787</v>
      </c>
      <c r="L1004" s="1">
        <v>45815</v>
      </c>
      <c r="M1004" s="1" t="str">
        <f>TEXT(Table1[[#This Row],[appointment_date]],"MM/YYYY")</f>
        <v>06/2025</v>
      </c>
      <c r="N1004">
        <v>28</v>
      </c>
      <c r="O1004" t="str" cm="1">
        <f t="array" ref="O1004">_xlfn.IFS(Table1[[#This Row],[lead_time_days]]&lt;=7,"0-7 days",N1004&lt;=14,"8-14 days",N1004&lt;=30,"15-30 days",N1004&lt;=60,"31-60 days",TRUE,"61+ days")</f>
        <v>15-30 days</v>
      </c>
      <c r="P1004" t="s">
        <v>55</v>
      </c>
      <c r="Q1004" t="s">
        <v>21</v>
      </c>
      <c r="R1004">
        <v>0</v>
      </c>
      <c r="S1004" t="str">
        <f>IF(Table1[prior_dna_count]&gt;=1,"Has prior DNA history","No prior DNA history")</f>
        <v>No prior DNA history</v>
      </c>
      <c r="T1004" t="s">
        <v>22</v>
      </c>
      <c r="U1004" t="str">
        <f t="shared" si="15"/>
        <v>1</v>
      </c>
      <c r="V1004" t="str">
        <f>IF(Table1[appointment_status]="Attended","1","0")</f>
        <v>1</v>
      </c>
      <c r="W1004" t="str">
        <f>IF(Table1[appointment_status]="Cancelled","1","0")</f>
        <v>0</v>
      </c>
    </row>
    <row r="1005" spans="1:23">
      <c r="A1005" t="s">
        <v>1801</v>
      </c>
      <c r="B1005" t="s">
        <v>1802</v>
      </c>
      <c r="C1005">
        <v>24</v>
      </c>
      <c r="D1005" t="str" cm="1">
        <f t="array" ref="D1005">_xlfn.IFS(Table1[[#This Row],[age]]&lt;=17,"0-17",C1005&lt;=29,"18-29",C1005&lt;=44,"30-44",C1005&lt;=59,"45-59",C1005&lt;=74,"60-74",TRUE,"75+")</f>
        <v>18-29</v>
      </c>
      <c r="E1005" t="s">
        <v>29</v>
      </c>
      <c r="F1005">
        <v>3</v>
      </c>
      <c r="G1005" t="str" cm="1">
        <f t="array" ref="G1005">_xlfn.IFS(_xlfn.SINGLE(Table1[imd_decile])&lt;=3,"Most Deprived",F1005&lt;=7,"Moderately Deprived",F1005&lt;=10,"Least Deprived")</f>
        <v>Most Deprived</v>
      </c>
      <c r="H1005">
        <v>10.4</v>
      </c>
      <c r="I1005" t="s">
        <v>38</v>
      </c>
      <c r="J1005" t="s">
        <v>19</v>
      </c>
      <c r="K1005" s="1">
        <v>45784</v>
      </c>
      <c r="L1005" s="1">
        <v>45815</v>
      </c>
      <c r="M1005" s="1" t="str">
        <f>TEXT(Table1[[#This Row],[appointment_date]],"MM/YYYY")</f>
        <v>06/2025</v>
      </c>
      <c r="N1005">
        <v>31</v>
      </c>
      <c r="O1005" t="str" cm="1">
        <f t="array" ref="O1005">_xlfn.IFS(Table1[[#This Row],[lead_time_days]]&lt;=7,"0-7 days",N1005&lt;=14,"8-14 days",N1005&lt;=30,"15-30 days",N1005&lt;=60,"31-60 days",TRUE,"61+ days")</f>
        <v>31-60 days</v>
      </c>
      <c r="P1005" t="s">
        <v>55</v>
      </c>
      <c r="Q1005" t="s">
        <v>21</v>
      </c>
      <c r="R1005">
        <v>1</v>
      </c>
      <c r="S1005" t="str">
        <f>IF(Table1[prior_dna_count]&gt;=1,"Has prior DNA history","No prior DNA history")</f>
        <v>Has prior DNA history</v>
      </c>
      <c r="T1005" t="s">
        <v>22</v>
      </c>
      <c r="U1005" t="str">
        <f t="shared" si="15"/>
        <v>1</v>
      </c>
      <c r="V1005" t="str">
        <f>IF(Table1[appointment_status]="Attended","1","0")</f>
        <v>1</v>
      </c>
      <c r="W1005" t="str">
        <f>IF(Table1[appointment_status]="Cancelled","1","0")</f>
        <v>0</v>
      </c>
    </row>
    <row r="1006" spans="1:23">
      <c r="A1006" t="s">
        <v>1803</v>
      </c>
      <c r="B1006" t="s">
        <v>700</v>
      </c>
      <c r="C1006">
        <v>57</v>
      </c>
      <c r="D1006" t="str" cm="1">
        <f t="array" ref="D1006">_xlfn.IFS(Table1[[#This Row],[age]]&lt;=17,"0-17",C1006&lt;=29,"18-29",C1006&lt;=44,"30-44",C1006&lt;=59,"45-59",C1006&lt;=74,"60-74",TRUE,"75+")</f>
        <v>45-59</v>
      </c>
      <c r="E1006" t="s">
        <v>17</v>
      </c>
      <c r="F1006">
        <v>9</v>
      </c>
      <c r="G1006" t="str" cm="1">
        <f t="array" ref="G1006">_xlfn.IFS(_xlfn.SINGLE(Table1[imd_decile])&lt;=3,"Most Deprived",F1006&lt;=7,"Moderately Deprived",F1006&lt;=10,"Least Deprived")</f>
        <v>Least Deprived</v>
      </c>
      <c r="H1006">
        <v>11.1</v>
      </c>
      <c r="I1006" t="s">
        <v>18</v>
      </c>
      <c r="J1006" t="s">
        <v>19</v>
      </c>
      <c r="K1006" s="1">
        <v>45800</v>
      </c>
      <c r="L1006" s="1">
        <v>45815</v>
      </c>
      <c r="M1006" s="1" t="str">
        <f>TEXT(Table1[[#This Row],[appointment_date]],"MM/YYYY")</f>
        <v>06/2025</v>
      </c>
      <c r="N1006">
        <v>15</v>
      </c>
      <c r="O1006" t="str" cm="1">
        <f t="array" ref="O1006">_xlfn.IFS(Table1[[#This Row],[lead_time_days]]&lt;=7,"0-7 days",N1006&lt;=14,"8-14 days",N1006&lt;=30,"15-30 days",N1006&lt;=60,"31-60 days",TRUE,"61+ days")</f>
        <v>15-30 days</v>
      </c>
      <c r="P1006" t="s">
        <v>55</v>
      </c>
      <c r="Q1006" t="s">
        <v>21</v>
      </c>
      <c r="R1006">
        <v>1</v>
      </c>
      <c r="S1006" t="str">
        <f>IF(Table1[prior_dna_count]&gt;=1,"Has prior DNA history","No prior DNA history")</f>
        <v>Has prior DNA history</v>
      </c>
      <c r="T1006" t="s">
        <v>22</v>
      </c>
      <c r="U1006" t="str">
        <f t="shared" si="15"/>
        <v>1</v>
      </c>
      <c r="V1006" t="str">
        <f>IF(Table1[appointment_status]="Attended","1","0")</f>
        <v>1</v>
      </c>
      <c r="W1006" t="str">
        <f>IF(Table1[appointment_status]="Cancelled","1","0")</f>
        <v>0</v>
      </c>
    </row>
    <row r="1007" spans="1:23">
      <c r="A1007" t="s">
        <v>1804</v>
      </c>
      <c r="B1007" t="s">
        <v>1805</v>
      </c>
      <c r="C1007">
        <v>6</v>
      </c>
      <c r="D1007" t="str" cm="1">
        <f t="array" ref="D1007">_xlfn.IFS(Table1[[#This Row],[age]]&lt;=17,"0-17",C1007&lt;=29,"18-29",C1007&lt;=44,"30-44",C1007&lt;=59,"45-59",C1007&lt;=74,"60-74",TRUE,"75+")</f>
        <v>0-17</v>
      </c>
      <c r="E1007" t="s">
        <v>29</v>
      </c>
      <c r="F1007">
        <v>2</v>
      </c>
      <c r="G1007" t="str" cm="1">
        <f t="array" ref="G1007">_xlfn.IFS(_xlfn.SINGLE(Table1[imd_decile])&lt;=3,"Most Deprived",F1007&lt;=7,"Moderately Deprived",F1007&lt;=10,"Least Deprived")</f>
        <v>Most Deprived</v>
      </c>
      <c r="H1007">
        <v>0.5</v>
      </c>
      <c r="I1007" t="s">
        <v>42</v>
      </c>
      <c r="J1007" t="s">
        <v>19</v>
      </c>
      <c r="K1007" s="1">
        <v>45747</v>
      </c>
      <c r="L1007" s="1">
        <v>45815</v>
      </c>
      <c r="M1007" s="1" t="str">
        <f>TEXT(Table1[[#This Row],[appointment_date]],"MM/YYYY")</f>
        <v>06/2025</v>
      </c>
      <c r="N1007">
        <v>68</v>
      </c>
      <c r="O1007" t="str" cm="1">
        <f t="array" ref="O1007">_xlfn.IFS(Table1[[#This Row],[lead_time_days]]&lt;=7,"0-7 days",N1007&lt;=14,"8-14 days",N1007&lt;=30,"15-30 days",N1007&lt;=60,"31-60 days",TRUE,"61+ days")</f>
        <v>61+ days</v>
      </c>
      <c r="P1007" t="s">
        <v>55</v>
      </c>
      <c r="Q1007" t="s">
        <v>21</v>
      </c>
      <c r="R1007">
        <v>0</v>
      </c>
      <c r="S1007" t="str">
        <f>IF(Table1[prior_dna_count]&gt;=1,"Has prior DNA history","No prior DNA history")</f>
        <v>No prior DNA history</v>
      </c>
      <c r="T1007" t="s">
        <v>22</v>
      </c>
      <c r="U1007" t="str">
        <f t="shared" si="15"/>
        <v>1</v>
      </c>
      <c r="V1007" t="str">
        <f>IF(Table1[appointment_status]="Attended","1","0")</f>
        <v>1</v>
      </c>
      <c r="W1007" t="str">
        <f>IF(Table1[appointment_status]="Cancelled","1","0")</f>
        <v>0</v>
      </c>
    </row>
    <row r="1008" spans="1:23">
      <c r="A1008" t="s">
        <v>1806</v>
      </c>
      <c r="B1008" t="s">
        <v>426</v>
      </c>
      <c r="C1008">
        <v>76</v>
      </c>
      <c r="D1008" t="str" cm="1">
        <f t="array" ref="D1008">_xlfn.IFS(Table1[[#This Row],[age]]&lt;=17,"0-17",C1008&lt;=29,"18-29",C1008&lt;=44,"30-44",C1008&lt;=59,"45-59",C1008&lt;=74,"60-74",TRUE,"75+")</f>
        <v>75+</v>
      </c>
      <c r="E1008" t="s">
        <v>17</v>
      </c>
      <c r="F1008">
        <v>3</v>
      </c>
      <c r="G1008" t="str" cm="1">
        <f t="array" ref="G1008">_xlfn.IFS(_xlfn.SINGLE(Table1[imd_decile])&lt;=3,"Most Deprived",F1008&lt;=7,"Moderately Deprived",F1008&lt;=10,"Least Deprived")</f>
        <v>Most Deprived</v>
      </c>
      <c r="H1008">
        <v>1.4</v>
      </c>
      <c r="I1008" t="s">
        <v>38</v>
      </c>
      <c r="J1008" t="s">
        <v>19</v>
      </c>
      <c r="K1008" s="1">
        <v>45799</v>
      </c>
      <c r="L1008" s="1">
        <v>45815</v>
      </c>
      <c r="M1008" s="1" t="str">
        <f>TEXT(Table1[[#This Row],[appointment_date]],"MM/YYYY")</f>
        <v>06/2025</v>
      </c>
      <c r="N1008">
        <v>16</v>
      </c>
      <c r="O1008" t="str" cm="1">
        <f t="array" ref="O1008">_xlfn.IFS(Table1[[#This Row],[lead_time_days]]&lt;=7,"0-7 days",N1008&lt;=14,"8-14 days",N1008&lt;=30,"15-30 days",N1008&lt;=60,"31-60 days",TRUE,"61+ days")</f>
        <v>15-30 days</v>
      </c>
      <c r="P1008" t="s">
        <v>55</v>
      </c>
      <c r="Q1008" t="s">
        <v>32</v>
      </c>
      <c r="R1008">
        <v>1</v>
      </c>
      <c r="S1008" t="str">
        <f>IF(Table1[prior_dna_count]&gt;=1,"Has prior DNA history","No prior DNA history")</f>
        <v>Has prior DNA history</v>
      </c>
      <c r="T1008" t="s">
        <v>22</v>
      </c>
      <c r="U1008" t="str">
        <f t="shared" si="15"/>
        <v>1</v>
      </c>
      <c r="V1008" t="str">
        <f>IF(Table1[appointment_status]="Attended","1","0")</f>
        <v>1</v>
      </c>
      <c r="W1008" t="str">
        <f>IF(Table1[appointment_status]="Cancelled","1","0")</f>
        <v>0</v>
      </c>
    </row>
    <row r="1009" spans="1:23">
      <c r="A1009" t="s">
        <v>1807</v>
      </c>
      <c r="B1009" t="s">
        <v>125</v>
      </c>
      <c r="C1009">
        <v>27</v>
      </c>
      <c r="D1009" t="str" cm="1">
        <f t="array" ref="D1009">_xlfn.IFS(Table1[[#This Row],[age]]&lt;=17,"0-17",C1009&lt;=29,"18-29",C1009&lt;=44,"30-44",C1009&lt;=59,"45-59",C1009&lt;=74,"60-74",TRUE,"75+")</f>
        <v>18-29</v>
      </c>
      <c r="E1009" t="s">
        <v>17</v>
      </c>
      <c r="F1009">
        <v>8</v>
      </c>
      <c r="G1009" t="str" cm="1">
        <f t="array" ref="G1009">_xlfn.IFS(_xlfn.SINGLE(Table1[imd_decile])&lt;=3,"Most Deprived",F1009&lt;=7,"Moderately Deprived",F1009&lt;=10,"Least Deprived")</f>
        <v>Least Deprived</v>
      </c>
      <c r="H1009">
        <v>3.5</v>
      </c>
      <c r="I1009" t="s">
        <v>25</v>
      </c>
      <c r="J1009" t="s">
        <v>19</v>
      </c>
      <c r="K1009" s="1">
        <v>45790</v>
      </c>
      <c r="L1009" s="1">
        <v>45815</v>
      </c>
      <c r="M1009" s="1" t="str">
        <f>TEXT(Table1[[#This Row],[appointment_date]],"MM/YYYY")</f>
        <v>06/2025</v>
      </c>
      <c r="N1009">
        <v>25</v>
      </c>
      <c r="O1009" t="str" cm="1">
        <f t="array" ref="O1009">_xlfn.IFS(Table1[[#This Row],[lead_time_days]]&lt;=7,"0-7 days",N1009&lt;=14,"8-14 days",N1009&lt;=30,"15-30 days",N1009&lt;=60,"31-60 days",TRUE,"61+ days")</f>
        <v>15-30 days</v>
      </c>
      <c r="P1009" t="s">
        <v>55</v>
      </c>
      <c r="Q1009" t="s">
        <v>32</v>
      </c>
      <c r="R1009">
        <v>0</v>
      </c>
      <c r="S1009" t="str">
        <f>IF(Table1[prior_dna_count]&gt;=1,"Has prior DNA history","No prior DNA history")</f>
        <v>No prior DNA history</v>
      </c>
      <c r="T1009" t="s">
        <v>22</v>
      </c>
      <c r="U1009" t="str">
        <f t="shared" si="15"/>
        <v>1</v>
      </c>
      <c r="V1009" t="str">
        <f>IF(Table1[appointment_status]="Attended","1","0")</f>
        <v>1</v>
      </c>
      <c r="W1009" t="str">
        <f>IF(Table1[appointment_status]="Cancelled","1","0")</f>
        <v>0</v>
      </c>
    </row>
    <row r="1010" spans="1:23">
      <c r="A1010" t="s">
        <v>1808</v>
      </c>
      <c r="B1010" t="s">
        <v>337</v>
      </c>
      <c r="C1010">
        <v>67</v>
      </c>
      <c r="D1010" t="str" cm="1">
        <f t="array" ref="D1010">_xlfn.IFS(Table1[[#This Row],[age]]&lt;=17,"0-17",C1010&lt;=29,"18-29",C1010&lt;=44,"30-44",C1010&lt;=59,"45-59",C1010&lt;=74,"60-74",TRUE,"75+")</f>
        <v>60-74</v>
      </c>
      <c r="E1010" t="s">
        <v>17</v>
      </c>
      <c r="F1010">
        <v>5</v>
      </c>
      <c r="G1010" t="str" cm="1">
        <f t="array" ref="G1010">_xlfn.IFS(_xlfn.SINGLE(Table1[imd_decile])&lt;=3,"Most Deprived",F1010&lt;=7,"Moderately Deprived",F1010&lt;=10,"Least Deprived")</f>
        <v>Moderately Deprived</v>
      </c>
      <c r="H1010">
        <v>8</v>
      </c>
      <c r="I1010" t="s">
        <v>45</v>
      </c>
      <c r="J1010" t="s">
        <v>19</v>
      </c>
      <c r="K1010" s="1">
        <v>45743</v>
      </c>
      <c r="L1010" s="1">
        <v>45815</v>
      </c>
      <c r="M1010" s="1" t="str">
        <f>TEXT(Table1[[#This Row],[appointment_date]],"MM/YYYY")</f>
        <v>06/2025</v>
      </c>
      <c r="N1010">
        <v>72</v>
      </c>
      <c r="O1010" t="str" cm="1">
        <f t="array" ref="O1010">_xlfn.IFS(Table1[[#This Row],[lead_time_days]]&lt;=7,"0-7 days",N1010&lt;=14,"8-14 days",N1010&lt;=30,"15-30 days",N1010&lt;=60,"31-60 days",TRUE,"61+ days")</f>
        <v>61+ days</v>
      </c>
      <c r="P1010" t="s">
        <v>55</v>
      </c>
      <c r="Q1010" t="s">
        <v>21</v>
      </c>
      <c r="R1010">
        <v>0</v>
      </c>
      <c r="S1010" t="str">
        <f>IF(Table1[prior_dna_count]&gt;=1,"Has prior DNA history","No prior DNA history")</f>
        <v>No prior DNA history</v>
      </c>
      <c r="T1010" t="s">
        <v>22</v>
      </c>
      <c r="U1010" t="str">
        <f t="shared" si="15"/>
        <v>1</v>
      </c>
      <c r="V1010" t="str">
        <f>IF(Table1[appointment_status]="Attended","1","0")</f>
        <v>1</v>
      </c>
      <c r="W1010" t="str">
        <f>IF(Table1[appointment_status]="Cancelled","1","0")</f>
        <v>0</v>
      </c>
    </row>
    <row r="1011" spans="1:23">
      <c r="A1011" t="s">
        <v>1809</v>
      </c>
      <c r="B1011" t="s">
        <v>576</v>
      </c>
      <c r="C1011">
        <v>28</v>
      </c>
      <c r="D1011" t="str" cm="1">
        <f t="array" ref="D1011">_xlfn.IFS(Table1[[#This Row],[age]]&lt;=17,"0-17",C1011&lt;=29,"18-29",C1011&lt;=44,"30-44",C1011&lt;=59,"45-59",C1011&lt;=74,"60-74",TRUE,"75+")</f>
        <v>18-29</v>
      </c>
      <c r="E1011" t="s">
        <v>29</v>
      </c>
      <c r="F1011">
        <v>6</v>
      </c>
      <c r="G1011" t="str" cm="1">
        <f t="array" ref="G1011">_xlfn.IFS(_xlfn.SINGLE(Table1[imd_decile])&lt;=3,"Most Deprived",F1011&lt;=7,"Moderately Deprived",F1011&lt;=10,"Least Deprived")</f>
        <v>Moderately Deprived</v>
      </c>
      <c r="H1011">
        <v>6.7</v>
      </c>
      <c r="I1011" t="s">
        <v>49</v>
      </c>
      <c r="J1011" t="s">
        <v>19</v>
      </c>
      <c r="K1011" s="1">
        <v>45758</v>
      </c>
      <c r="L1011" s="1">
        <v>45815</v>
      </c>
      <c r="M1011" s="1" t="str">
        <f>TEXT(Table1[[#This Row],[appointment_date]],"MM/YYYY")</f>
        <v>06/2025</v>
      </c>
      <c r="N1011">
        <v>57</v>
      </c>
      <c r="O1011" t="str" cm="1">
        <f t="array" ref="O1011">_xlfn.IFS(Table1[[#This Row],[lead_time_days]]&lt;=7,"0-7 days",N1011&lt;=14,"8-14 days",N1011&lt;=30,"15-30 days",N1011&lt;=60,"31-60 days",TRUE,"61+ days")</f>
        <v>31-60 days</v>
      </c>
      <c r="P1011" t="s">
        <v>55</v>
      </c>
      <c r="Q1011" t="s">
        <v>21</v>
      </c>
      <c r="R1011">
        <v>0</v>
      </c>
      <c r="S1011" t="str">
        <f>IF(Table1[prior_dna_count]&gt;=1,"Has prior DNA history","No prior DNA history")</f>
        <v>No prior DNA history</v>
      </c>
      <c r="T1011" t="s">
        <v>22</v>
      </c>
      <c r="U1011" t="str">
        <f t="shared" si="15"/>
        <v>1</v>
      </c>
      <c r="V1011" t="str">
        <f>IF(Table1[appointment_status]="Attended","1","0")</f>
        <v>1</v>
      </c>
      <c r="W1011" t="str">
        <f>IF(Table1[appointment_status]="Cancelled","1","0")</f>
        <v>0</v>
      </c>
    </row>
    <row r="1012" spans="1:23">
      <c r="A1012" t="s">
        <v>1810</v>
      </c>
      <c r="B1012" t="s">
        <v>249</v>
      </c>
      <c r="C1012">
        <v>20</v>
      </c>
      <c r="D1012" t="str" cm="1">
        <f t="array" ref="D1012">_xlfn.IFS(Table1[[#This Row],[age]]&lt;=17,"0-17",C1012&lt;=29,"18-29",C1012&lt;=44,"30-44",C1012&lt;=59,"45-59",C1012&lt;=74,"60-74",TRUE,"75+")</f>
        <v>18-29</v>
      </c>
      <c r="E1012" t="s">
        <v>17</v>
      </c>
      <c r="F1012">
        <v>5</v>
      </c>
      <c r="G1012" t="str" cm="1">
        <f t="array" ref="G1012">_xlfn.IFS(_xlfn.SINGLE(Table1[imd_decile])&lt;=3,"Most Deprived",F1012&lt;=7,"Moderately Deprived",F1012&lt;=10,"Least Deprived")</f>
        <v>Moderately Deprived</v>
      </c>
      <c r="H1012">
        <v>3.9</v>
      </c>
      <c r="I1012" t="s">
        <v>45</v>
      </c>
      <c r="J1012" t="s">
        <v>19</v>
      </c>
      <c r="K1012" s="1">
        <v>45793</v>
      </c>
      <c r="L1012" s="1">
        <v>45815</v>
      </c>
      <c r="M1012" s="1" t="str">
        <f>TEXT(Table1[[#This Row],[appointment_date]],"MM/YYYY")</f>
        <v>06/2025</v>
      </c>
      <c r="N1012">
        <v>22</v>
      </c>
      <c r="O1012" t="str" cm="1">
        <f t="array" ref="O1012">_xlfn.IFS(Table1[[#This Row],[lead_time_days]]&lt;=7,"0-7 days",N1012&lt;=14,"8-14 days",N1012&lt;=30,"15-30 days",N1012&lt;=60,"31-60 days",TRUE,"61+ days")</f>
        <v>15-30 days</v>
      </c>
      <c r="P1012" t="s">
        <v>55</v>
      </c>
      <c r="Q1012" t="s">
        <v>32</v>
      </c>
      <c r="R1012">
        <v>0</v>
      </c>
      <c r="S1012" t="str">
        <f>IF(Table1[prior_dna_count]&gt;=1,"Has prior DNA history","No prior DNA history")</f>
        <v>No prior DNA history</v>
      </c>
      <c r="T1012" t="s">
        <v>22</v>
      </c>
      <c r="U1012" t="str">
        <f t="shared" si="15"/>
        <v>1</v>
      </c>
      <c r="V1012" t="str">
        <f>IF(Table1[appointment_status]="Attended","1","0")</f>
        <v>1</v>
      </c>
      <c r="W1012" t="str">
        <f>IF(Table1[appointment_status]="Cancelled","1","0")</f>
        <v>0</v>
      </c>
    </row>
    <row r="1013" spans="1:23">
      <c r="A1013" t="s">
        <v>1811</v>
      </c>
      <c r="B1013" t="s">
        <v>1719</v>
      </c>
      <c r="C1013">
        <v>93</v>
      </c>
      <c r="D1013" t="str" cm="1">
        <f t="array" ref="D1013">_xlfn.IFS(Table1[[#This Row],[age]]&lt;=17,"0-17",C1013&lt;=29,"18-29",C1013&lt;=44,"30-44",C1013&lt;=59,"45-59",C1013&lt;=74,"60-74",TRUE,"75+")</f>
        <v>75+</v>
      </c>
      <c r="E1013" t="s">
        <v>17</v>
      </c>
      <c r="F1013">
        <v>8</v>
      </c>
      <c r="G1013" t="str" cm="1">
        <f t="array" ref="G1013">_xlfn.IFS(_xlfn.SINGLE(Table1[imd_decile])&lt;=3,"Most Deprived",F1013&lt;=7,"Moderately Deprived",F1013&lt;=10,"Least Deprived")</f>
        <v>Least Deprived</v>
      </c>
      <c r="H1013">
        <v>8.3000000000000007</v>
      </c>
      <c r="I1013" t="s">
        <v>38</v>
      </c>
      <c r="J1013" t="s">
        <v>19</v>
      </c>
      <c r="K1013" s="1">
        <v>45798</v>
      </c>
      <c r="L1013" s="1">
        <v>45815</v>
      </c>
      <c r="M1013" s="1" t="str">
        <f>TEXT(Table1[[#This Row],[appointment_date]],"MM/YYYY")</f>
        <v>06/2025</v>
      </c>
      <c r="N1013">
        <v>17</v>
      </c>
      <c r="O1013" t="str" cm="1">
        <f t="array" ref="O1013">_xlfn.IFS(Table1[[#This Row],[lead_time_days]]&lt;=7,"0-7 days",N1013&lt;=14,"8-14 days",N1013&lt;=30,"15-30 days",N1013&lt;=60,"31-60 days",TRUE,"61+ days")</f>
        <v>15-30 days</v>
      </c>
      <c r="P1013" t="s">
        <v>55</v>
      </c>
      <c r="Q1013" t="s">
        <v>32</v>
      </c>
      <c r="R1013">
        <v>0</v>
      </c>
      <c r="S1013" t="str">
        <f>IF(Table1[prior_dna_count]&gt;=1,"Has prior DNA history","No prior DNA history")</f>
        <v>No prior DNA history</v>
      </c>
      <c r="T1013" t="s">
        <v>22</v>
      </c>
      <c r="U1013" t="str">
        <f t="shared" si="15"/>
        <v>1</v>
      </c>
      <c r="V1013" t="str">
        <f>IF(Table1[appointment_status]="Attended","1","0")</f>
        <v>1</v>
      </c>
      <c r="W1013" t="str">
        <f>IF(Table1[appointment_status]="Cancelled","1","0")</f>
        <v>0</v>
      </c>
    </row>
    <row r="1014" spans="1:23">
      <c r="A1014" t="s">
        <v>1812</v>
      </c>
      <c r="B1014" t="s">
        <v>1813</v>
      </c>
      <c r="C1014">
        <v>30</v>
      </c>
      <c r="D1014" t="str" cm="1">
        <f t="array" ref="D1014">_xlfn.IFS(Table1[[#This Row],[age]]&lt;=17,"0-17",C1014&lt;=29,"18-29",C1014&lt;=44,"30-44",C1014&lt;=59,"45-59",C1014&lt;=74,"60-74",TRUE,"75+")</f>
        <v>30-44</v>
      </c>
      <c r="E1014" t="s">
        <v>17</v>
      </c>
      <c r="F1014">
        <v>10</v>
      </c>
      <c r="G1014" t="str" cm="1">
        <f t="array" ref="G1014">_xlfn.IFS(_xlfn.SINGLE(Table1[imd_decile])&lt;=3,"Most Deprived",F1014&lt;=7,"Moderately Deprived",F1014&lt;=10,"Least Deprived")</f>
        <v>Least Deprived</v>
      </c>
      <c r="H1014">
        <v>24.1</v>
      </c>
      <c r="I1014" t="s">
        <v>91</v>
      </c>
      <c r="J1014" t="s">
        <v>26</v>
      </c>
      <c r="K1014" s="1">
        <v>45798</v>
      </c>
      <c r="L1014" s="1">
        <v>45815</v>
      </c>
      <c r="M1014" s="1" t="str">
        <f>TEXT(Table1[[#This Row],[appointment_date]],"MM/YYYY")</f>
        <v>06/2025</v>
      </c>
      <c r="N1014">
        <v>17</v>
      </c>
      <c r="O1014" t="str" cm="1">
        <f t="array" ref="O1014">_xlfn.IFS(Table1[[#This Row],[lead_time_days]]&lt;=7,"0-7 days",N1014&lt;=14,"8-14 days",N1014&lt;=30,"15-30 days",N1014&lt;=60,"31-60 days",TRUE,"61+ days")</f>
        <v>15-30 days</v>
      </c>
      <c r="P1014" t="s">
        <v>55</v>
      </c>
      <c r="Q1014" t="s">
        <v>21</v>
      </c>
      <c r="R1014">
        <v>0</v>
      </c>
      <c r="S1014" t="str">
        <f>IF(Table1[prior_dna_count]&gt;=1,"Has prior DNA history","No prior DNA history")</f>
        <v>No prior DNA history</v>
      </c>
      <c r="T1014" t="s">
        <v>22</v>
      </c>
      <c r="U1014" t="str">
        <f t="shared" si="15"/>
        <v>1</v>
      </c>
      <c r="V1014" t="str">
        <f>IF(Table1[appointment_status]="Attended","1","0")</f>
        <v>1</v>
      </c>
      <c r="W1014" t="str">
        <f>IF(Table1[appointment_status]="Cancelled","1","0")</f>
        <v>0</v>
      </c>
    </row>
    <row r="1015" spans="1:23">
      <c r="A1015" t="s">
        <v>1814</v>
      </c>
      <c r="B1015" t="s">
        <v>1815</v>
      </c>
      <c r="C1015">
        <v>24</v>
      </c>
      <c r="D1015" t="str" cm="1">
        <f t="array" ref="D1015">_xlfn.IFS(Table1[[#This Row],[age]]&lt;=17,"0-17",C1015&lt;=29,"18-29",C1015&lt;=44,"30-44",C1015&lt;=59,"45-59",C1015&lt;=74,"60-74",TRUE,"75+")</f>
        <v>18-29</v>
      </c>
      <c r="E1015" t="s">
        <v>17</v>
      </c>
      <c r="F1015">
        <v>9</v>
      </c>
      <c r="G1015" t="str" cm="1">
        <f t="array" ref="G1015">_xlfn.IFS(_xlfn.SINGLE(Table1[imd_decile])&lt;=3,"Most Deprived",F1015&lt;=7,"Moderately Deprived",F1015&lt;=10,"Least Deprived")</f>
        <v>Least Deprived</v>
      </c>
      <c r="H1015">
        <v>9.1</v>
      </c>
      <c r="I1015" t="s">
        <v>38</v>
      </c>
      <c r="J1015" t="s">
        <v>26</v>
      </c>
      <c r="K1015" s="1">
        <v>45797</v>
      </c>
      <c r="L1015" s="1">
        <v>45816</v>
      </c>
      <c r="M1015" s="1" t="str">
        <f>TEXT(Table1[[#This Row],[appointment_date]],"MM/YYYY")</f>
        <v>06/2025</v>
      </c>
      <c r="N1015">
        <v>19</v>
      </c>
      <c r="O1015" t="str" cm="1">
        <f t="array" ref="O1015">_xlfn.IFS(Table1[[#This Row],[lead_time_days]]&lt;=7,"0-7 days",N1015&lt;=14,"8-14 days",N1015&lt;=30,"15-30 days",N1015&lt;=60,"31-60 days",TRUE,"61+ days")</f>
        <v>15-30 days</v>
      </c>
      <c r="P1015" t="s">
        <v>31</v>
      </c>
      <c r="Q1015" t="s">
        <v>32</v>
      </c>
      <c r="R1015">
        <v>0</v>
      </c>
      <c r="S1015" t="str">
        <f>IF(Table1[prior_dna_count]&gt;=1,"Has prior DNA history","No prior DNA history")</f>
        <v>No prior DNA history</v>
      </c>
      <c r="T1015" t="s">
        <v>22</v>
      </c>
      <c r="U1015" t="str">
        <f t="shared" si="15"/>
        <v>1</v>
      </c>
      <c r="V1015" t="str">
        <f>IF(Table1[appointment_status]="Attended","1","0")</f>
        <v>1</v>
      </c>
      <c r="W1015" t="str">
        <f>IF(Table1[appointment_status]="Cancelled","1","0")</f>
        <v>0</v>
      </c>
    </row>
    <row r="1016" spans="1:23">
      <c r="A1016" t="s">
        <v>1816</v>
      </c>
      <c r="B1016" t="s">
        <v>592</v>
      </c>
      <c r="C1016">
        <v>59</v>
      </c>
      <c r="D1016" t="str" cm="1">
        <f t="array" ref="D1016">_xlfn.IFS(Table1[[#This Row],[age]]&lt;=17,"0-17",C1016&lt;=29,"18-29",C1016&lt;=44,"30-44",C1016&lt;=59,"45-59",C1016&lt;=74,"60-74",TRUE,"75+")</f>
        <v>45-59</v>
      </c>
      <c r="E1016" t="s">
        <v>29</v>
      </c>
      <c r="F1016">
        <v>3</v>
      </c>
      <c r="G1016" t="str" cm="1">
        <f t="array" ref="G1016">_xlfn.IFS(_xlfn.SINGLE(Table1[imd_decile])&lt;=3,"Most Deprived",F1016&lt;=7,"Moderately Deprived",F1016&lt;=10,"Least Deprived")</f>
        <v>Most Deprived</v>
      </c>
      <c r="H1016">
        <v>2.6</v>
      </c>
      <c r="I1016" t="s">
        <v>58</v>
      </c>
      <c r="J1016" t="s">
        <v>19</v>
      </c>
      <c r="K1016" s="1">
        <v>45798</v>
      </c>
      <c r="L1016" s="1">
        <v>45816</v>
      </c>
      <c r="M1016" s="1" t="str">
        <f>TEXT(Table1[[#This Row],[appointment_date]],"MM/YYYY")</f>
        <v>06/2025</v>
      </c>
      <c r="N1016">
        <v>18</v>
      </c>
      <c r="O1016" t="str" cm="1">
        <f t="array" ref="O1016">_xlfn.IFS(Table1[[#This Row],[lead_time_days]]&lt;=7,"0-7 days",N1016&lt;=14,"8-14 days",N1016&lt;=30,"15-30 days",N1016&lt;=60,"31-60 days",TRUE,"61+ days")</f>
        <v>15-30 days</v>
      </c>
      <c r="P1016" t="s">
        <v>31</v>
      </c>
      <c r="Q1016" t="s">
        <v>21</v>
      </c>
      <c r="R1016">
        <v>0</v>
      </c>
      <c r="S1016" t="str">
        <f>IF(Table1[prior_dna_count]&gt;=1,"Has prior DNA history","No prior DNA history")</f>
        <v>No prior DNA history</v>
      </c>
      <c r="T1016" t="s">
        <v>22</v>
      </c>
      <c r="U1016" t="str">
        <f t="shared" si="15"/>
        <v>1</v>
      </c>
      <c r="V1016" t="str">
        <f>IF(Table1[appointment_status]="Attended","1","0")</f>
        <v>1</v>
      </c>
      <c r="W1016" t="str">
        <f>IF(Table1[appointment_status]="Cancelled","1","0")</f>
        <v>0</v>
      </c>
    </row>
    <row r="1017" spans="1:23">
      <c r="A1017" t="s">
        <v>1817</v>
      </c>
      <c r="B1017" t="s">
        <v>776</v>
      </c>
      <c r="C1017">
        <v>31</v>
      </c>
      <c r="D1017" t="str" cm="1">
        <f t="array" ref="D1017">_xlfn.IFS(Table1[[#This Row],[age]]&lt;=17,"0-17",C1017&lt;=29,"18-29",C1017&lt;=44,"30-44",C1017&lt;=59,"45-59",C1017&lt;=74,"60-74",TRUE,"75+")</f>
        <v>30-44</v>
      </c>
      <c r="E1017" t="s">
        <v>29</v>
      </c>
      <c r="F1017">
        <v>7</v>
      </c>
      <c r="G1017" t="str" cm="1">
        <f t="array" ref="G1017">_xlfn.IFS(_xlfn.SINGLE(Table1[imd_decile])&lt;=3,"Most Deprived",F1017&lt;=7,"Moderately Deprived",F1017&lt;=10,"Least Deprived")</f>
        <v>Moderately Deprived</v>
      </c>
      <c r="H1017">
        <v>3.6</v>
      </c>
      <c r="I1017" t="s">
        <v>30</v>
      </c>
      <c r="J1017" t="s">
        <v>19</v>
      </c>
      <c r="K1017" s="1">
        <v>45786</v>
      </c>
      <c r="L1017" s="1">
        <v>45816</v>
      </c>
      <c r="M1017" s="1" t="str">
        <f>TEXT(Table1[[#This Row],[appointment_date]],"MM/YYYY")</f>
        <v>06/2025</v>
      </c>
      <c r="N1017">
        <v>30</v>
      </c>
      <c r="O1017" t="str" cm="1">
        <f t="array" ref="O1017">_xlfn.IFS(Table1[[#This Row],[lead_time_days]]&lt;=7,"0-7 days",N1017&lt;=14,"8-14 days",N1017&lt;=30,"15-30 days",N1017&lt;=60,"31-60 days",TRUE,"61+ days")</f>
        <v>15-30 days</v>
      </c>
      <c r="P1017" t="s">
        <v>31</v>
      </c>
      <c r="Q1017" t="s">
        <v>32</v>
      </c>
      <c r="R1017">
        <v>0</v>
      </c>
      <c r="S1017" t="str">
        <f>IF(Table1[prior_dna_count]&gt;=1,"Has prior DNA history","No prior DNA history")</f>
        <v>No prior DNA history</v>
      </c>
      <c r="T1017" t="s">
        <v>22</v>
      </c>
      <c r="U1017" t="str">
        <f t="shared" si="15"/>
        <v>1</v>
      </c>
      <c r="V1017" t="str">
        <f>IF(Table1[appointment_status]="Attended","1","0")</f>
        <v>1</v>
      </c>
      <c r="W1017" t="str">
        <f>IF(Table1[appointment_status]="Cancelled","1","0")</f>
        <v>0</v>
      </c>
    </row>
    <row r="1018" spans="1:23">
      <c r="A1018" t="s">
        <v>1818</v>
      </c>
      <c r="B1018" t="s">
        <v>1819</v>
      </c>
      <c r="C1018">
        <v>50</v>
      </c>
      <c r="D1018" t="str" cm="1">
        <f t="array" ref="D1018">_xlfn.IFS(Table1[[#This Row],[age]]&lt;=17,"0-17",C1018&lt;=29,"18-29",C1018&lt;=44,"30-44",C1018&lt;=59,"45-59",C1018&lt;=74,"60-74",TRUE,"75+")</f>
        <v>45-59</v>
      </c>
      <c r="E1018" t="s">
        <v>29</v>
      </c>
      <c r="F1018">
        <v>3</v>
      </c>
      <c r="G1018" t="str" cm="1">
        <f t="array" ref="G1018">_xlfn.IFS(_xlfn.SINGLE(Table1[imd_decile])&lt;=3,"Most Deprived",F1018&lt;=7,"Moderately Deprived",F1018&lt;=10,"Least Deprived")</f>
        <v>Most Deprived</v>
      </c>
      <c r="H1018">
        <v>18.3</v>
      </c>
      <c r="I1018" t="s">
        <v>30</v>
      </c>
      <c r="J1018" t="s">
        <v>19</v>
      </c>
      <c r="K1018" s="1">
        <v>45804</v>
      </c>
      <c r="L1018" s="1">
        <v>45816</v>
      </c>
      <c r="M1018" s="1" t="str">
        <f>TEXT(Table1[[#This Row],[appointment_date]],"MM/YYYY")</f>
        <v>06/2025</v>
      </c>
      <c r="N1018">
        <v>12</v>
      </c>
      <c r="O1018" t="str" cm="1">
        <f t="array" ref="O1018">_xlfn.IFS(Table1[[#This Row],[lead_time_days]]&lt;=7,"0-7 days",N1018&lt;=14,"8-14 days",N1018&lt;=30,"15-30 days",N1018&lt;=60,"31-60 days",TRUE,"61+ days")</f>
        <v>8-14 days</v>
      </c>
      <c r="P1018" t="s">
        <v>31</v>
      </c>
      <c r="Q1018" t="s">
        <v>21</v>
      </c>
      <c r="R1018">
        <v>0</v>
      </c>
      <c r="S1018" t="str">
        <f>IF(Table1[prior_dna_count]&gt;=1,"Has prior DNA history","No prior DNA history")</f>
        <v>No prior DNA history</v>
      </c>
      <c r="T1018" t="s">
        <v>22</v>
      </c>
      <c r="U1018" t="str">
        <f t="shared" si="15"/>
        <v>1</v>
      </c>
      <c r="V1018" t="str">
        <f>IF(Table1[appointment_status]="Attended","1","0")</f>
        <v>1</v>
      </c>
      <c r="W1018" t="str">
        <f>IF(Table1[appointment_status]="Cancelled","1","0")</f>
        <v>0</v>
      </c>
    </row>
    <row r="1019" spans="1:23">
      <c r="A1019" t="s">
        <v>1820</v>
      </c>
      <c r="B1019" t="s">
        <v>1821</v>
      </c>
      <c r="C1019">
        <v>80</v>
      </c>
      <c r="D1019" t="str" cm="1">
        <f t="array" ref="D1019">_xlfn.IFS(Table1[[#This Row],[age]]&lt;=17,"0-17",C1019&lt;=29,"18-29",C1019&lt;=44,"30-44",C1019&lt;=59,"45-59",C1019&lt;=74,"60-74",TRUE,"75+")</f>
        <v>75+</v>
      </c>
      <c r="E1019" t="s">
        <v>17</v>
      </c>
      <c r="F1019">
        <v>2</v>
      </c>
      <c r="G1019" t="str" cm="1">
        <f t="array" ref="G1019">_xlfn.IFS(_xlfn.SINGLE(Table1[imd_decile])&lt;=3,"Most Deprived",F1019&lt;=7,"Moderately Deprived",F1019&lt;=10,"Least Deprived")</f>
        <v>Most Deprived</v>
      </c>
      <c r="H1019">
        <v>1.5</v>
      </c>
      <c r="I1019" t="s">
        <v>91</v>
      </c>
      <c r="J1019" t="s">
        <v>26</v>
      </c>
      <c r="K1019" s="1">
        <v>45808</v>
      </c>
      <c r="L1019" s="1">
        <v>45816</v>
      </c>
      <c r="M1019" s="1" t="str">
        <f>TEXT(Table1[[#This Row],[appointment_date]],"MM/YYYY")</f>
        <v>06/2025</v>
      </c>
      <c r="N1019">
        <v>8</v>
      </c>
      <c r="O1019" t="str" cm="1">
        <f t="array" ref="O1019">_xlfn.IFS(Table1[[#This Row],[lead_time_days]]&lt;=7,"0-7 days",N1019&lt;=14,"8-14 days",N1019&lt;=30,"15-30 days",N1019&lt;=60,"31-60 days",TRUE,"61+ days")</f>
        <v>8-14 days</v>
      </c>
      <c r="P1019" t="s">
        <v>31</v>
      </c>
      <c r="Q1019" t="s">
        <v>32</v>
      </c>
      <c r="R1019">
        <v>0</v>
      </c>
      <c r="S1019" t="str">
        <f>IF(Table1[prior_dna_count]&gt;=1,"Has prior DNA history","No prior DNA history")</f>
        <v>No prior DNA history</v>
      </c>
      <c r="T1019" t="s">
        <v>22</v>
      </c>
      <c r="U1019" t="str">
        <f t="shared" si="15"/>
        <v>1</v>
      </c>
      <c r="V1019" t="str">
        <f>IF(Table1[appointment_status]="Attended","1","0")</f>
        <v>1</v>
      </c>
      <c r="W1019" t="str">
        <f>IF(Table1[appointment_status]="Cancelled","1","0")</f>
        <v>0</v>
      </c>
    </row>
    <row r="1020" spans="1:23">
      <c r="A1020" t="s">
        <v>1822</v>
      </c>
      <c r="B1020" t="s">
        <v>1823</v>
      </c>
      <c r="C1020">
        <v>19</v>
      </c>
      <c r="D1020" t="str" cm="1">
        <f t="array" ref="D1020">_xlfn.IFS(Table1[[#This Row],[age]]&lt;=17,"0-17",C1020&lt;=29,"18-29",C1020&lt;=44,"30-44",C1020&lt;=59,"45-59",C1020&lt;=74,"60-74",TRUE,"75+")</f>
        <v>18-29</v>
      </c>
      <c r="E1020" t="s">
        <v>29</v>
      </c>
      <c r="F1020">
        <v>7</v>
      </c>
      <c r="G1020" t="str" cm="1">
        <f t="array" ref="G1020">_xlfn.IFS(_xlfn.SINGLE(Table1[imd_decile])&lt;=3,"Most Deprived",F1020&lt;=7,"Moderately Deprived",F1020&lt;=10,"Least Deprived")</f>
        <v>Moderately Deprived</v>
      </c>
      <c r="H1020">
        <v>4.2</v>
      </c>
      <c r="I1020" t="s">
        <v>38</v>
      </c>
      <c r="J1020" t="s">
        <v>19</v>
      </c>
      <c r="K1020" s="1">
        <v>45781</v>
      </c>
      <c r="L1020" s="1">
        <v>45816</v>
      </c>
      <c r="M1020" s="1" t="str">
        <f>TEXT(Table1[[#This Row],[appointment_date]],"MM/YYYY")</f>
        <v>06/2025</v>
      </c>
      <c r="N1020">
        <v>35</v>
      </c>
      <c r="O1020" t="str" cm="1">
        <f t="array" ref="O1020">_xlfn.IFS(Table1[[#This Row],[lead_time_days]]&lt;=7,"0-7 days",N1020&lt;=14,"8-14 days",N1020&lt;=30,"15-30 days",N1020&lt;=60,"31-60 days",TRUE,"61+ days")</f>
        <v>31-60 days</v>
      </c>
      <c r="P1020" t="s">
        <v>31</v>
      </c>
      <c r="Q1020" t="s">
        <v>32</v>
      </c>
      <c r="R1020">
        <v>0</v>
      </c>
      <c r="S1020" t="str">
        <f>IF(Table1[prior_dna_count]&gt;=1,"Has prior DNA history","No prior DNA history")</f>
        <v>No prior DNA history</v>
      </c>
      <c r="T1020" t="s">
        <v>46</v>
      </c>
      <c r="U1020" t="str">
        <f t="shared" si="15"/>
        <v>1</v>
      </c>
      <c r="V1020" t="str">
        <f>IF(Table1[appointment_status]="Attended","1","0")</f>
        <v>0</v>
      </c>
      <c r="W1020" t="str">
        <f>IF(Table1[appointment_status]="Cancelled","1","0")</f>
        <v>1</v>
      </c>
    </row>
    <row r="1021" spans="1:23">
      <c r="A1021" t="s">
        <v>1824</v>
      </c>
      <c r="B1021" t="s">
        <v>1825</v>
      </c>
      <c r="C1021">
        <v>64</v>
      </c>
      <c r="D1021" t="str" cm="1">
        <f t="array" ref="D1021">_xlfn.IFS(Table1[[#This Row],[age]]&lt;=17,"0-17",C1021&lt;=29,"18-29",C1021&lt;=44,"30-44",C1021&lt;=59,"45-59",C1021&lt;=74,"60-74",TRUE,"75+")</f>
        <v>60-74</v>
      </c>
      <c r="E1021" t="s">
        <v>29</v>
      </c>
      <c r="F1021">
        <v>9</v>
      </c>
      <c r="G1021" t="str" cm="1">
        <f t="array" ref="G1021">_xlfn.IFS(_xlfn.SINGLE(Table1[imd_decile])&lt;=3,"Most Deprived",F1021&lt;=7,"Moderately Deprived",F1021&lt;=10,"Least Deprived")</f>
        <v>Least Deprived</v>
      </c>
      <c r="H1021">
        <v>15.6</v>
      </c>
      <c r="I1021" t="s">
        <v>30</v>
      </c>
      <c r="J1021" t="s">
        <v>26</v>
      </c>
      <c r="K1021" s="1">
        <v>45801</v>
      </c>
      <c r="L1021" s="1">
        <v>45816</v>
      </c>
      <c r="M1021" s="1" t="str">
        <f>TEXT(Table1[[#This Row],[appointment_date]],"MM/YYYY")</f>
        <v>06/2025</v>
      </c>
      <c r="N1021">
        <v>15</v>
      </c>
      <c r="O1021" t="str" cm="1">
        <f t="array" ref="O1021">_xlfn.IFS(Table1[[#This Row],[lead_time_days]]&lt;=7,"0-7 days",N1021&lt;=14,"8-14 days",N1021&lt;=30,"15-30 days",N1021&lt;=60,"31-60 days",TRUE,"61+ days")</f>
        <v>15-30 days</v>
      </c>
      <c r="P1021" t="s">
        <v>31</v>
      </c>
      <c r="Q1021" t="s">
        <v>21</v>
      </c>
      <c r="R1021">
        <v>0</v>
      </c>
      <c r="S1021" t="str">
        <f>IF(Table1[prior_dna_count]&gt;=1,"Has prior DNA history","No prior DNA history")</f>
        <v>No prior DNA history</v>
      </c>
      <c r="T1021" t="s">
        <v>22</v>
      </c>
      <c r="U1021" t="str">
        <f t="shared" si="15"/>
        <v>0</v>
      </c>
      <c r="V1021" t="str">
        <f>IF(Table1[appointment_status]="Attended","1","0")</f>
        <v>1</v>
      </c>
      <c r="W1021" t="str">
        <f>IF(Table1[appointment_status]="Cancelled","1","0")</f>
        <v>0</v>
      </c>
    </row>
    <row r="1022" spans="1:23">
      <c r="A1022" t="s">
        <v>1826</v>
      </c>
      <c r="B1022" t="s">
        <v>1827</v>
      </c>
      <c r="C1022">
        <v>52</v>
      </c>
      <c r="D1022" t="str" cm="1">
        <f t="array" ref="D1022">_xlfn.IFS(Table1[[#This Row],[age]]&lt;=17,"0-17",C1022&lt;=29,"18-29",C1022&lt;=44,"30-44",C1022&lt;=59,"45-59",C1022&lt;=74,"60-74",TRUE,"75+")</f>
        <v>45-59</v>
      </c>
      <c r="E1022" t="s">
        <v>29</v>
      </c>
      <c r="F1022">
        <v>6</v>
      </c>
      <c r="G1022" t="str" cm="1">
        <f t="array" ref="G1022">_xlfn.IFS(_xlfn.SINGLE(Table1[imd_decile])&lt;=3,"Most Deprived",F1022&lt;=7,"Moderately Deprived",F1022&lt;=10,"Least Deprived")</f>
        <v>Moderately Deprived</v>
      </c>
      <c r="H1022">
        <v>9.9</v>
      </c>
      <c r="I1022" t="s">
        <v>49</v>
      </c>
      <c r="J1022" t="s">
        <v>26</v>
      </c>
      <c r="K1022" s="1">
        <v>45805</v>
      </c>
      <c r="L1022" s="1">
        <v>45816</v>
      </c>
      <c r="M1022" s="1" t="str">
        <f>TEXT(Table1[[#This Row],[appointment_date]],"MM/YYYY")</f>
        <v>06/2025</v>
      </c>
      <c r="N1022">
        <v>11</v>
      </c>
      <c r="O1022" t="str" cm="1">
        <f t="array" ref="O1022">_xlfn.IFS(Table1[[#This Row],[lead_time_days]]&lt;=7,"0-7 days",N1022&lt;=14,"8-14 days",N1022&lt;=30,"15-30 days",N1022&lt;=60,"31-60 days",TRUE,"61+ days")</f>
        <v>8-14 days</v>
      </c>
      <c r="P1022" t="s">
        <v>31</v>
      </c>
      <c r="Q1022" t="s">
        <v>21</v>
      </c>
      <c r="R1022">
        <v>0</v>
      </c>
      <c r="S1022" t="str">
        <f>IF(Table1[prior_dna_count]&gt;=1,"Has prior DNA history","No prior DNA history")</f>
        <v>No prior DNA history</v>
      </c>
      <c r="T1022" t="s">
        <v>22</v>
      </c>
      <c r="U1022" t="str">
        <f t="shared" si="15"/>
        <v>1</v>
      </c>
      <c r="V1022" t="str">
        <f>IF(Table1[appointment_status]="Attended","1","0")</f>
        <v>1</v>
      </c>
      <c r="W1022" t="str">
        <f>IF(Table1[appointment_status]="Cancelled","1","0")</f>
        <v>0</v>
      </c>
    </row>
    <row r="1023" spans="1:23">
      <c r="A1023" t="s">
        <v>1828</v>
      </c>
      <c r="B1023" t="s">
        <v>1829</v>
      </c>
      <c r="C1023">
        <v>38</v>
      </c>
      <c r="D1023" t="str" cm="1">
        <f t="array" ref="D1023">_xlfn.IFS(Table1[[#This Row],[age]]&lt;=17,"0-17",C1023&lt;=29,"18-29",C1023&lt;=44,"30-44",C1023&lt;=59,"45-59",C1023&lt;=74,"60-74",TRUE,"75+")</f>
        <v>30-44</v>
      </c>
      <c r="E1023" t="s">
        <v>17</v>
      </c>
      <c r="F1023">
        <v>5</v>
      </c>
      <c r="G1023" t="str" cm="1">
        <f t="array" ref="G1023">_xlfn.IFS(_xlfn.SINGLE(Table1[imd_decile])&lt;=3,"Most Deprived",F1023&lt;=7,"Moderately Deprived",F1023&lt;=10,"Least Deprived")</f>
        <v>Moderately Deprived</v>
      </c>
      <c r="H1023">
        <v>7.8</v>
      </c>
      <c r="I1023" t="s">
        <v>42</v>
      </c>
      <c r="J1023" t="s">
        <v>19</v>
      </c>
      <c r="K1023" s="1">
        <v>45807</v>
      </c>
      <c r="L1023" s="1">
        <v>45816</v>
      </c>
      <c r="M1023" s="1" t="str">
        <f>TEXT(Table1[[#This Row],[appointment_date]],"MM/YYYY")</f>
        <v>06/2025</v>
      </c>
      <c r="N1023">
        <v>9</v>
      </c>
      <c r="O1023" t="str" cm="1">
        <f t="array" ref="O1023">_xlfn.IFS(Table1[[#This Row],[lead_time_days]]&lt;=7,"0-7 days",N1023&lt;=14,"8-14 days",N1023&lt;=30,"15-30 days",N1023&lt;=60,"31-60 days",TRUE,"61+ days")</f>
        <v>8-14 days</v>
      </c>
      <c r="P1023" t="s">
        <v>31</v>
      </c>
      <c r="Q1023" t="s">
        <v>21</v>
      </c>
      <c r="R1023">
        <v>0</v>
      </c>
      <c r="S1023" t="str">
        <f>IF(Table1[prior_dna_count]&gt;=1,"Has prior DNA history","No prior DNA history")</f>
        <v>No prior DNA history</v>
      </c>
      <c r="T1023" t="s">
        <v>22</v>
      </c>
      <c r="U1023" t="str">
        <f t="shared" si="15"/>
        <v>1</v>
      </c>
      <c r="V1023" t="str">
        <f>IF(Table1[appointment_status]="Attended","1","0")</f>
        <v>1</v>
      </c>
      <c r="W1023" t="str">
        <f>IF(Table1[appointment_status]="Cancelled","1","0")</f>
        <v>0</v>
      </c>
    </row>
    <row r="1024" spans="1:23">
      <c r="A1024" t="s">
        <v>1830</v>
      </c>
      <c r="B1024" t="s">
        <v>1831</v>
      </c>
      <c r="C1024">
        <v>32</v>
      </c>
      <c r="D1024" t="str" cm="1">
        <f t="array" ref="D1024">_xlfn.IFS(Table1[[#This Row],[age]]&lt;=17,"0-17",C1024&lt;=29,"18-29",C1024&lt;=44,"30-44",C1024&lt;=59,"45-59",C1024&lt;=74,"60-74",TRUE,"75+")</f>
        <v>30-44</v>
      </c>
      <c r="E1024" t="s">
        <v>17</v>
      </c>
      <c r="F1024">
        <v>2</v>
      </c>
      <c r="G1024" t="str" cm="1">
        <f t="array" ref="G1024">_xlfn.IFS(_xlfn.SINGLE(Table1[imd_decile])&lt;=3,"Most Deprived",F1024&lt;=7,"Moderately Deprived",F1024&lt;=10,"Least Deprived")</f>
        <v>Most Deprived</v>
      </c>
      <c r="H1024">
        <v>5.4</v>
      </c>
      <c r="I1024" t="s">
        <v>25</v>
      </c>
      <c r="J1024" t="s">
        <v>26</v>
      </c>
      <c r="K1024" s="1">
        <v>45806</v>
      </c>
      <c r="L1024" s="1">
        <v>45817</v>
      </c>
      <c r="M1024" s="1" t="str">
        <f>TEXT(Table1[[#This Row],[appointment_date]],"MM/YYYY")</f>
        <v>06/2025</v>
      </c>
      <c r="N1024">
        <v>11</v>
      </c>
      <c r="O1024" t="str" cm="1">
        <f t="array" ref="O1024">_xlfn.IFS(Table1[[#This Row],[lead_time_days]]&lt;=7,"0-7 days",N1024&lt;=14,"8-14 days",N1024&lt;=30,"15-30 days",N1024&lt;=60,"31-60 days",TRUE,"61+ days")</f>
        <v>8-14 days</v>
      </c>
      <c r="P1024" t="s">
        <v>35</v>
      </c>
      <c r="Q1024" t="s">
        <v>32</v>
      </c>
      <c r="R1024">
        <v>0</v>
      </c>
      <c r="S1024" t="str">
        <f>IF(Table1[prior_dna_count]&gt;=1,"Has prior DNA history","No prior DNA history")</f>
        <v>No prior DNA history</v>
      </c>
      <c r="T1024" t="s">
        <v>22</v>
      </c>
      <c r="U1024" t="str">
        <f t="shared" si="15"/>
        <v>1</v>
      </c>
      <c r="V1024" t="str">
        <f>IF(Table1[appointment_status]="Attended","1","0")</f>
        <v>1</v>
      </c>
      <c r="W1024" t="str">
        <f>IF(Table1[appointment_status]="Cancelled","1","0")</f>
        <v>0</v>
      </c>
    </row>
    <row r="1025" spans="1:23">
      <c r="A1025" t="s">
        <v>1832</v>
      </c>
      <c r="B1025" t="s">
        <v>1833</v>
      </c>
      <c r="C1025">
        <v>48</v>
      </c>
      <c r="D1025" t="str" cm="1">
        <f t="array" ref="D1025">_xlfn.IFS(Table1[[#This Row],[age]]&lt;=17,"0-17",C1025&lt;=29,"18-29",C1025&lt;=44,"30-44",C1025&lt;=59,"45-59",C1025&lt;=74,"60-74",TRUE,"75+")</f>
        <v>45-59</v>
      </c>
      <c r="E1025" t="s">
        <v>17</v>
      </c>
      <c r="F1025">
        <v>4</v>
      </c>
      <c r="G1025" t="str" cm="1">
        <f t="array" ref="G1025">_xlfn.IFS(_xlfn.SINGLE(Table1[imd_decile])&lt;=3,"Most Deprived",F1025&lt;=7,"Moderately Deprived",F1025&lt;=10,"Least Deprived")</f>
        <v>Moderately Deprived</v>
      </c>
      <c r="H1025">
        <v>10</v>
      </c>
      <c r="I1025" t="s">
        <v>38</v>
      </c>
      <c r="J1025" t="s">
        <v>26</v>
      </c>
      <c r="K1025" s="1">
        <v>45785</v>
      </c>
      <c r="L1025" s="1">
        <v>45817</v>
      </c>
      <c r="M1025" s="1" t="str">
        <f>TEXT(Table1[[#This Row],[appointment_date]],"MM/YYYY")</f>
        <v>06/2025</v>
      </c>
      <c r="N1025">
        <v>32</v>
      </c>
      <c r="O1025" t="str" cm="1">
        <f t="array" ref="O1025">_xlfn.IFS(Table1[[#This Row],[lead_time_days]]&lt;=7,"0-7 days",N1025&lt;=14,"8-14 days",N1025&lt;=30,"15-30 days",N1025&lt;=60,"31-60 days",TRUE,"61+ days")</f>
        <v>31-60 days</v>
      </c>
      <c r="P1025" t="s">
        <v>35</v>
      </c>
      <c r="Q1025" t="s">
        <v>21</v>
      </c>
      <c r="R1025">
        <v>0</v>
      </c>
      <c r="S1025" t="str">
        <f>IF(Table1[prior_dna_count]&gt;=1,"Has prior DNA history","No prior DNA history")</f>
        <v>No prior DNA history</v>
      </c>
      <c r="T1025" t="s">
        <v>22</v>
      </c>
      <c r="U1025" t="str">
        <f t="shared" si="15"/>
        <v>1</v>
      </c>
      <c r="V1025" t="str">
        <f>IF(Table1[appointment_status]="Attended","1","0")</f>
        <v>1</v>
      </c>
      <c r="W1025" t="str">
        <f>IF(Table1[appointment_status]="Cancelled","1","0")</f>
        <v>0</v>
      </c>
    </row>
    <row r="1026" spans="1:23">
      <c r="A1026" t="s">
        <v>1834</v>
      </c>
      <c r="B1026" t="s">
        <v>1151</v>
      </c>
      <c r="C1026">
        <v>40</v>
      </c>
      <c r="D1026" t="str" cm="1">
        <f t="array" ref="D1026">_xlfn.IFS(Table1[[#This Row],[age]]&lt;=17,"0-17",C1026&lt;=29,"18-29",C1026&lt;=44,"30-44",C1026&lt;=59,"45-59",C1026&lt;=74,"60-74",TRUE,"75+")</f>
        <v>30-44</v>
      </c>
      <c r="E1026" t="s">
        <v>29</v>
      </c>
      <c r="F1026">
        <v>5</v>
      </c>
      <c r="G1026" t="str" cm="1">
        <f t="array" ref="G1026">_xlfn.IFS(_xlfn.SINGLE(Table1[imd_decile])&lt;=3,"Most Deprived",F1026&lt;=7,"Moderately Deprived",F1026&lt;=10,"Least Deprived")</f>
        <v>Moderately Deprived</v>
      </c>
      <c r="H1026">
        <v>1.5</v>
      </c>
      <c r="I1026" t="s">
        <v>38</v>
      </c>
      <c r="J1026" t="s">
        <v>19</v>
      </c>
      <c r="K1026" s="1">
        <v>45811</v>
      </c>
      <c r="L1026" s="1">
        <v>45817</v>
      </c>
      <c r="M1026" s="1" t="str">
        <f>TEXT(Table1[[#This Row],[appointment_date]],"MM/YYYY")</f>
        <v>06/2025</v>
      </c>
      <c r="N1026">
        <v>6</v>
      </c>
      <c r="O1026" t="str" cm="1">
        <f t="array" ref="O1026">_xlfn.IFS(Table1[[#This Row],[lead_time_days]]&lt;=7,"0-7 days",N1026&lt;=14,"8-14 days",N1026&lt;=30,"15-30 days",N1026&lt;=60,"31-60 days",TRUE,"61+ days")</f>
        <v>0-7 days</v>
      </c>
      <c r="P1026" t="s">
        <v>35</v>
      </c>
      <c r="Q1026" t="s">
        <v>32</v>
      </c>
      <c r="R1026">
        <v>0</v>
      </c>
      <c r="S1026" t="str">
        <f>IF(Table1[prior_dna_count]&gt;=1,"Has prior DNA history","No prior DNA history")</f>
        <v>No prior DNA history</v>
      </c>
      <c r="T1026" t="s">
        <v>22</v>
      </c>
      <c r="U1026" t="str">
        <f t="shared" ref="U1026:U1089" si="16">V1025</f>
        <v>1</v>
      </c>
      <c r="V1026" t="str">
        <f>IF(Table1[appointment_status]="Attended","1","0")</f>
        <v>1</v>
      </c>
      <c r="W1026" t="str">
        <f>IF(Table1[appointment_status]="Cancelled","1","0")</f>
        <v>0</v>
      </c>
    </row>
    <row r="1027" spans="1:23">
      <c r="A1027" t="s">
        <v>1835</v>
      </c>
      <c r="B1027" t="s">
        <v>582</v>
      </c>
      <c r="C1027">
        <v>66</v>
      </c>
      <c r="D1027" t="str" cm="1">
        <f t="array" ref="D1027">_xlfn.IFS(Table1[[#This Row],[age]]&lt;=17,"0-17",C1027&lt;=29,"18-29",C1027&lt;=44,"30-44",C1027&lt;=59,"45-59",C1027&lt;=74,"60-74",TRUE,"75+")</f>
        <v>60-74</v>
      </c>
      <c r="E1027" t="s">
        <v>29</v>
      </c>
      <c r="F1027">
        <v>5</v>
      </c>
      <c r="G1027" t="str" cm="1">
        <f t="array" ref="G1027">_xlfn.IFS(_xlfn.SINGLE(Table1[imd_decile])&lt;=3,"Most Deprived",F1027&lt;=7,"Moderately Deprived",F1027&lt;=10,"Least Deprived")</f>
        <v>Moderately Deprived</v>
      </c>
      <c r="H1027">
        <v>8.4</v>
      </c>
      <c r="I1027" t="s">
        <v>42</v>
      </c>
      <c r="J1027" t="s">
        <v>26</v>
      </c>
      <c r="K1027" s="1">
        <v>45813</v>
      </c>
      <c r="L1027" s="1">
        <v>45817</v>
      </c>
      <c r="M1027" s="1" t="str">
        <f>TEXT(Table1[[#This Row],[appointment_date]],"MM/YYYY")</f>
        <v>06/2025</v>
      </c>
      <c r="N1027">
        <v>4</v>
      </c>
      <c r="O1027" t="str" cm="1">
        <f t="array" ref="O1027">_xlfn.IFS(Table1[[#This Row],[lead_time_days]]&lt;=7,"0-7 days",N1027&lt;=14,"8-14 days",N1027&lt;=30,"15-30 days",N1027&lt;=60,"31-60 days",TRUE,"61+ days")</f>
        <v>0-7 days</v>
      </c>
      <c r="P1027" t="s">
        <v>35</v>
      </c>
      <c r="Q1027" t="s">
        <v>32</v>
      </c>
      <c r="R1027">
        <v>0</v>
      </c>
      <c r="S1027" t="str">
        <f>IF(Table1[prior_dna_count]&gt;=1,"Has prior DNA history","No prior DNA history")</f>
        <v>No prior DNA history</v>
      </c>
      <c r="T1027" t="s">
        <v>22</v>
      </c>
      <c r="U1027" t="str">
        <f t="shared" si="16"/>
        <v>1</v>
      </c>
      <c r="V1027" t="str">
        <f>IF(Table1[appointment_status]="Attended","1","0")</f>
        <v>1</v>
      </c>
      <c r="W1027" t="str">
        <f>IF(Table1[appointment_status]="Cancelled","1","0")</f>
        <v>0</v>
      </c>
    </row>
    <row r="1028" spans="1:23">
      <c r="A1028" t="s">
        <v>1836</v>
      </c>
      <c r="B1028" t="s">
        <v>225</v>
      </c>
      <c r="C1028">
        <v>53</v>
      </c>
      <c r="D1028" t="str" cm="1">
        <f t="array" ref="D1028">_xlfn.IFS(Table1[[#This Row],[age]]&lt;=17,"0-17",C1028&lt;=29,"18-29",C1028&lt;=44,"30-44",C1028&lt;=59,"45-59",C1028&lt;=74,"60-74",TRUE,"75+")</f>
        <v>45-59</v>
      </c>
      <c r="E1028" t="s">
        <v>17</v>
      </c>
      <c r="F1028">
        <v>1</v>
      </c>
      <c r="G1028" t="str" cm="1">
        <f t="array" ref="G1028">_xlfn.IFS(_xlfn.SINGLE(Table1[imd_decile])&lt;=3,"Most Deprived",F1028&lt;=7,"Moderately Deprived",F1028&lt;=10,"Least Deprived")</f>
        <v>Most Deprived</v>
      </c>
      <c r="H1028">
        <v>5.0999999999999996</v>
      </c>
      <c r="I1028" t="s">
        <v>30</v>
      </c>
      <c r="J1028" t="s">
        <v>26</v>
      </c>
      <c r="K1028" s="1">
        <v>45793</v>
      </c>
      <c r="L1028" s="1">
        <v>45817</v>
      </c>
      <c r="M1028" s="1" t="str">
        <f>TEXT(Table1[[#This Row],[appointment_date]],"MM/YYYY")</f>
        <v>06/2025</v>
      </c>
      <c r="N1028">
        <v>24</v>
      </c>
      <c r="O1028" t="str" cm="1">
        <f t="array" ref="O1028">_xlfn.IFS(Table1[[#This Row],[lead_time_days]]&lt;=7,"0-7 days",N1028&lt;=14,"8-14 days",N1028&lt;=30,"15-30 days",N1028&lt;=60,"31-60 days",TRUE,"61+ days")</f>
        <v>15-30 days</v>
      </c>
      <c r="P1028" t="s">
        <v>35</v>
      </c>
      <c r="Q1028" t="s">
        <v>21</v>
      </c>
      <c r="R1028">
        <v>0</v>
      </c>
      <c r="S1028" t="str">
        <f>IF(Table1[prior_dna_count]&gt;=1,"Has prior DNA history","No prior DNA history")</f>
        <v>No prior DNA history</v>
      </c>
      <c r="T1028" t="s">
        <v>22</v>
      </c>
      <c r="U1028" t="str">
        <f t="shared" si="16"/>
        <v>1</v>
      </c>
      <c r="V1028" t="str">
        <f>IF(Table1[appointment_status]="Attended","1","0")</f>
        <v>1</v>
      </c>
      <c r="W1028" t="str">
        <f>IF(Table1[appointment_status]="Cancelled","1","0")</f>
        <v>0</v>
      </c>
    </row>
    <row r="1029" spans="1:23">
      <c r="A1029" t="s">
        <v>1837</v>
      </c>
      <c r="B1029" t="s">
        <v>1838</v>
      </c>
      <c r="C1029">
        <v>37</v>
      </c>
      <c r="D1029" t="str" cm="1">
        <f t="array" ref="D1029">_xlfn.IFS(Table1[[#This Row],[age]]&lt;=17,"0-17",C1029&lt;=29,"18-29",C1029&lt;=44,"30-44",C1029&lt;=59,"45-59",C1029&lt;=74,"60-74",TRUE,"75+")</f>
        <v>30-44</v>
      </c>
      <c r="E1029" t="s">
        <v>29</v>
      </c>
      <c r="F1029">
        <v>2</v>
      </c>
      <c r="G1029" t="str" cm="1">
        <f t="array" ref="G1029">_xlfn.IFS(_xlfn.SINGLE(Table1[imd_decile])&lt;=3,"Most Deprived",F1029&lt;=7,"Moderately Deprived",F1029&lt;=10,"Least Deprived")</f>
        <v>Most Deprived</v>
      </c>
      <c r="H1029">
        <v>7.5</v>
      </c>
      <c r="I1029" t="s">
        <v>18</v>
      </c>
      <c r="J1029" t="s">
        <v>19</v>
      </c>
      <c r="K1029" s="1">
        <v>45770</v>
      </c>
      <c r="L1029" s="1">
        <v>45817</v>
      </c>
      <c r="M1029" s="1" t="str">
        <f>TEXT(Table1[[#This Row],[appointment_date]],"MM/YYYY")</f>
        <v>06/2025</v>
      </c>
      <c r="N1029">
        <v>47</v>
      </c>
      <c r="O1029" t="str" cm="1">
        <f t="array" ref="O1029">_xlfn.IFS(Table1[[#This Row],[lead_time_days]]&lt;=7,"0-7 days",N1029&lt;=14,"8-14 days",N1029&lt;=30,"15-30 days",N1029&lt;=60,"31-60 days",TRUE,"61+ days")</f>
        <v>31-60 days</v>
      </c>
      <c r="P1029" t="s">
        <v>35</v>
      </c>
      <c r="Q1029" t="s">
        <v>21</v>
      </c>
      <c r="R1029">
        <v>0</v>
      </c>
      <c r="S1029" t="str">
        <f>IF(Table1[prior_dna_count]&gt;=1,"Has prior DNA history","No prior DNA history")</f>
        <v>No prior DNA history</v>
      </c>
      <c r="T1029" t="s">
        <v>22</v>
      </c>
      <c r="U1029" t="str">
        <f t="shared" si="16"/>
        <v>1</v>
      </c>
      <c r="V1029" t="str">
        <f>IF(Table1[appointment_status]="Attended","1","0")</f>
        <v>1</v>
      </c>
      <c r="W1029" t="str">
        <f>IF(Table1[appointment_status]="Cancelled","1","0")</f>
        <v>0</v>
      </c>
    </row>
    <row r="1030" spans="1:23">
      <c r="A1030" t="s">
        <v>1839</v>
      </c>
      <c r="B1030" t="s">
        <v>1840</v>
      </c>
      <c r="C1030">
        <v>28</v>
      </c>
      <c r="D1030" t="str" cm="1">
        <f t="array" ref="D1030">_xlfn.IFS(Table1[[#This Row],[age]]&lt;=17,"0-17",C1030&lt;=29,"18-29",C1030&lt;=44,"30-44",C1030&lt;=59,"45-59",C1030&lt;=74,"60-74",TRUE,"75+")</f>
        <v>18-29</v>
      </c>
      <c r="E1030" t="s">
        <v>17</v>
      </c>
      <c r="F1030">
        <v>5</v>
      </c>
      <c r="G1030" t="str" cm="1">
        <f t="array" ref="G1030">_xlfn.IFS(_xlfn.SINGLE(Table1[imd_decile])&lt;=3,"Most Deprived",F1030&lt;=7,"Moderately Deprived",F1030&lt;=10,"Least Deprived")</f>
        <v>Moderately Deprived</v>
      </c>
      <c r="H1030">
        <v>22</v>
      </c>
      <c r="I1030" t="s">
        <v>155</v>
      </c>
      <c r="J1030" t="s">
        <v>19</v>
      </c>
      <c r="K1030" s="1">
        <v>45771</v>
      </c>
      <c r="L1030" s="1">
        <v>45818</v>
      </c>
      <c r="M1030" s="1" t="str">
        <f>TEXT(Table1[[#This Row],[appointment_date]],"MM/YYYY")</f>
        <v>06/2025</v>
      </c>
      <c r="N1030">
        <v>47</v>
      </c>
      <c r="O1030" t="str" cm="1">
        <f t="array" ref="O1030">_xlfn.IFS(Table1[[#This Row],[lead_time_days]]&lt;=7,"0-7 days",N1030&lt;=14,"8-14 days",N1030&lt;=30,"15-30 days",N1030&lt;=60,"31-60 days",TRUE,"61+ days")</f>
        <v>31-60 days</v>
      </c>
      <c r="P1030" t="s">
        <v>71</v>
      </c>
      <c r="Q1030" t="s">
        <v>21</v>
      </c>
      <c r="R1030">
        <v>0</v>
      </c>
      <c r="S1030" t="str">
        <f>IF(Table1[prior_dna_count]&gt;=1,"Has prior DNA history","No prior DNA history")</f>
        <v>No prior DNA history</v>
      </c>
      <c r="T1030" t="s">
        <v>39</v>
      </c>
      <c r="U1030" t="str">
        <f t="shared" si="16"/>
        <v>1</v>
      </c>
      <c r="V1030" t="str">
        <f>IF(Table1[appointment_status]="Attended","1","0")</f>
        <v>0</v>
      </c>
      <c r="W1030" t="str">
        <f>IF(Table1[appointment_status]="Cancelled","1","0")</f>
        <v>0</v>
      </c>
    </row>
    <row r="1031" spans="1:23">
      <c r="A1031" t="s">
        <v>1841</v>
      </c>
      <c r="B1031" t="s">
        <v>147</v>
      </c>
      <c r="C1031">
        <v>41</v>
      </c>
      <c r="D1031" t="str" cm="1">
        <f t="array" ref="D1031">_xlfn.IFS(Table1[[#This Row],[age]]&lt;=17,"0-17",C1031&lt;=29,"18-29",C1031&lt;=44,"30-44",C1031&lt;=59,"45-59",C1031&lt;=74,"60-74",TRUE,"75+")</f>
        <v>30-44</v>
      </c>
      <c r="E1031" t="s">
        <v>29</v>
      </c>
      <c r="F1031">
        <v>4</v>
      </c>
      <c r="G1031" t="str" cm="1">
        <f t="array" ref="G1031">_xlfn.IFS(_xlfn.SINGLE(Table1[imd_decile])&lt;=3,"Most Deprived",F1031&lt;=7,"Moderately Deprived",F1031&lt;=10,"Least Deprived")</f>
        <v>Moderately Deprived</v>
      </c>
      <c r="H1031">
        <v>6.2</v>
      </c>
      <c r="I1031" t="s">
        <v>155</v>
      </c>
      <c r="J1031" t="s">
        <v>26</v>
      </c>
      <c r="K1031" s="1">
        <v>45797</v>
      </c>
      <c r="L1031" s="1">
        <v>45818</v>
      </c>
      <c r="M1031" s="1" t="str">
        <f>TEXT(Table1[[#This Row],[appointment_date]],"MM/YYYY")</f>
        <v>06/2025</v>
      </c>
      <c r="N1031">
        <v>21</v>
      </c>
      <c r="O1031" t="str" cm="1">
        <f t="array" ref="O1031">_xlfn.IFS(Table1[[#This Row],[lead_time_days]]&lt;=7,"0-7 days",N1031&lt;=14,"8-14 days",N1031&lt;=30,"15-30 days",N1031&lt;=60,"31-60 days",TRUE,"61+ days")</f>
        <v>15-30 days</v>
      </c>
      <c r="P1031" t="s">
        <v>71</v>
      </c>
      <c r="Q1031" t="s">
        <v>32</v>
      </c>
      <c r="R1031">
        <v>0</v>
      </c>
      <c r="S1031" t="str">
        <f>IF(Table1[prior_dna_count]&gt;=1,"Has prior DNA history","No prior DNA history")</f>
        <v>No prior DNA history</v>
      </c>
      <c r="T1031" t="s">
        <v>22</v>
      </c>
      <c r="U1031" t="str">
        <f t="shared" si="16"/>
        <v>0</v>
      </c>
      <c r="V1031" t="str">
        <f>IF(Table1[appointment_status]="Attended","1","0")</f>
        <v>1</v>
      </c>
      <c r="W1031" t="str">
        <f>IF(Table1[appointment_status]="Cancelled","1","0")</f>
        <v>0</v>
      </c>
    </row>
    <row r="1032" spans="1:23">
      <c r="A1032" t="s">
        <v>1842</v>
      </c>
      <c r="B1032" t="s">
        <v>1379</v>
      </c>
      <c r="C1032">
        <v>52</v>
      </c>
      <c r="D1032" t="str" cm="1">
        <f t="array" ref="D1032">_xlfn.IFS(Table1[[#This Row],[age]]&lt;=17,"0-17",C1032&lt;=29,"18-29",C1032&lt;=44,"30-44",C1032&lt;=59,"45-59",C1032&lt;=74,"60-74",TRUE,"75+")</f>
        <v>45-59</v>
      </c>
      <c r="E1032" t="s">
        <v>29</v>
      </c>
      <c r="F1032">
        <v>1</v>
      </c>
      <c r="G1032" t="str" cm="1">
        <f t="array" ref="G1032">_xlfn.IFS(_xlfn.SINGLE(Table1[imd_decile])&lt;=3,"Most Deprived",F1032&lt;=7,"Moderately Deprived",F1032&lt;=10,"Least Deprived")</f>
        <v>Most Deprived</v>
      </c>
      <c r="H1032">
        <v>2.5</v>
      </c>
      <c r="I1032" t="s">
        <v>155</v>
      </c>
      <c r="J1032" t="s">
        <v>19</v>
      </c>
      <c r="K1032" s="1">
        <v>45748</v>
      </c>
      <c r="L1032" s="1">
        <v>45818</v>
      </c>
      <c r="M1032" s="1" t="str">
        <f>TEXT(Table1[[#This Row],[appointment_date]],"MM/YYYY")</f>
        <v>06/2025</v>
      </c>
      <c r="N1032">
        <v>70</v>
      </c>
      <c r="O1032" t="str" cm="1">
        <f t="array" ref="O1032">_xlfn.IFS(Table1[[#This Row],[lead_time_days]]&lt;=7,"0-7 days",N1032&lt;=14,"8-14 days",N1032&lt;=30,"15-30 days",N1032&lt;=60,"31-60 days",TRUE,"61+ days")</f>
        <v>61+ days</v>
      </c>
      <c r="P1032" t="s">
        <v>71</v>
      </c>
      <c r="Q1032" t="s">
        <v>32</v>
      </c>
      <c r="R1032">
        <v>0</v>
      </c>
      <c r="S1032" t="str">
        <f>IF(Table1[prior_dna_count]&gt;=1,"Has prior DNA history","No prior DNA history")</f>
        <v>No prior DNA history</v>
      </c>
      <c r="T1032" t="s">
        <v>22</v>
      </c>
      <c r="U1032" t="str">
        <f t="shared" si="16"/>
        <v>1</v>
      </c>
      <c r="V1032" t="str">
        <f>IF(Table1[appointment_status]="Attended","1","0")</f>
        <v>1</v>
      </c>
      <c r="W1032" t="str">
        <f>IF(Table1[appointment_status]="Cancelled","1","0")</f>
        <v>0</v>
      </c>
    </row>
    <row r="1033" spans="1:23">
      <c r="A1033" t="s">
        <v>1843</v>
      </c>
      <c r="B1033" t="s">
        <v>107</v>
      </c>
      <c r="C1033">
        <v>48</v>
      </c>
      <c r="D1033" t="str" cm="1">
        <f t="array" ref="D1033">_xlfn.IFS(Table1[[#This Row],[age]]&lt;=17,"0-17",C1033&lt;=29,"18-29",C1033&lt;=44,"30-44",C1033&lt;=59,"45-59",C1033&lt;=74,"60-74",TRUE,"75+")</f>
        <v>45-59</v>
      </c>
      <c r="E1033" t="s">
        <v>29</v>
      </c>
      <c r="F1033">
        <v>2</v>
      </c>
      <c r="G1033" t="str" cm="1">
        <f t="array" ref="G1033">_xlfn.IFS(_xlfn.SINGLE(Table1[imd_decile])&lt;=3,"Most Deprived",F1033&lt;=7,"Moderately Deprived",F1033&lt;=10,"Least Deprived")</f>
        <v>Most Deprived</v>
      </c>
      <c r="H1033">
        <v>3.2</v>
      </c>
      <c r="I1033" t="s">
        <v>25</v>
      </c>
      <c r="J1033" t="s">
        <v>19</v>
      </c>
      <c r="K1033" s="1">
        <v>45750</v>
      </c>
      <c r="L1033" s="1">
        <v>45818</v>
      </c>
      <c r="M1033" s="1" t="str">
        <f>TEXT(Table1[[#This Row],[appointment_date]],"MM/YYYY")</f>
        <v>06/2025</v>
      </c>
      <c r="N1033">
        <v>68</v>
      </c>
      <c r="O1033" t="str" cm="1">
        <f t="array" ref="O1033">_xlfn.IFS(Table1[[#This Row],[lead_time_days]]&lt;=7,"0-7 days",N1033&lt;=14,"8-14 days",N1033&lt;=30,"15-30 days",N1033&lt;=60,"31-60 days",TRUE,"61+ days")</f>
        <v>61+ days</v>
      </c>
      <c r="P1033" t="s">
        <v>71</v>
      </c>
      <c r="Q1033" t="s">
        <v>32</v>
      </c>
      <c r="R1033">
        <v>0</v>
      </c>
      <c r="S1033" t="str">
        <f>IF(Table1[prior_dna_count]&gt;=1,"Has prior DNA history","No prior DNA history")</f>
        <v>No prior DNA history</v>
      </c>
      <c r="T1033" t="s">
        <v>39</v>
      </c>
      <c r="U1033" t="str">
        <f t="shared" si="16"/>
        <v>1</v>
      </c>
      <c r="V1033" t="str">
        <f>IF(Table1[appointment_status]="Attended","1","0")</f>
        <v>0</v>
      </c>
      <c r="W1033" t="str">
        <f>IF(Table1[appointment_status]="Cancelled","1","0")</f>
        <v>0</v>
      </c>
    </row>
    <row r="1034" spans="1:23">
      <c r="A1034" t="s">
        <v>1844</v>
      </c>
      <c r="B1034" t="s">
        <v>1845</v>
      </c>
      <c r="C1034">
        <v>40</v>
      </c>
      <c r="D1034" t="str" cm="1">
        <f t="array" ref="D1034">_xlfn.IFS(Table1[[#This Row],[age]]&lt;=17,"0-17",C1034&lt;=29,"18-29",C1034&lt;=44,"30-44",C1034&lt;=59,"45-59",C1034&lt;=74,"60-74",TRUE,"75+")</f>
        <v>30-44</v>
      </c>
      <c r="E1034" t="s">
        <v>29</v>
      </c>
      <c r="F1034">
        <v>6</v>
      </c>
      <c r="G1034" t="str" cm="1">
        <f t="array" ref="G1034">_xlfn.IFS(_xlfn.SINGLE(Table1[imd_decile])&lt;=3,"Most Deprived",F1034&lt;=7,"Moderately Deprived",F1034&lt;=10,"Least Deprived")</f>
        <v>Moderately Deprived</v>
      </c>
      <c r="H1034">
        <v>15.2</v>
      </c>
      <c r="I1034" t="s">
        <v>38</v>
      </c>
      <c r="J1034" t="s">
        <v>19</v>
      </c>
      <c r="K1034" s="1">
        <v>45780</v>
      </c>
      <c r="L1034" s="1">
        <v>45818</v>
      </c>
      <c r="M1034" s="1" t="str">
        <f>TEXT(Table1[[#This Row],[appointment_date]],"MM/YYYY")</f>
        <v>06/2025</v>
      </c>
      <c r="N1034">
        <v>38</v>
      </c>
      <c r="O1034" t="str" cm="1">
        <f t="array" ref="O1034">_xlfn.IFS(Table1[[#This Row],[lead_time_days]]&lt;=7,"0-7 days",N1034&lt;=14,"8-14 days",N1034&lt;=30,"15-30 days",N1034&lt;=60,"31-60 days",TRUE,"61+ days")</f>
        <v>31-60 days</v>
      </c>
      <c r="P1034" t="s">
        <v>71</v>
      </c>
      <c r="Q1034" t="s">
        <v>21</v>
      </c>
      <c r="R1034">
        <v>0</v>
      </c>
      <c r="S1034" t="str">
        <f>IF(Table1[prior_dna_count]&gt;=1,"Has prior DNA history","No prior DNA history")</f>
        <v>No prior DNA history</v>
      </c>
      <c r="T1034" t="s">
        <v>22</v>
      </c>
      <c r="U1034" t="str">
        <f t="shared" si="16"/>
        <v>0</v>
      </c>
      <c r="V1034" t="str">
        <f>IF(Table1[appointment_status]="Attended","1","0")</f>
        <v>1</v>
      </c>
      <c r="W1034" t="str">
        <f>IF(Table1[appointment_status]="Cancelled","1","0")</f>
        <v>0</v>
      </c>
    </row>
    <row r="1035" spans="1:23">
      <c r="A1035" t="s">
        <v>1846</v>
      </c>
      <c r="B1035" t="s">
        <v>1099</v>
      </c>
      <c r="C1035">
        <v>42</v>
      </c>
      <c r="D1035" t="str" cm="1">
        <f t="array" ref="D1035">_xlfn.IFS(Table1[[#This Row],[age]]&lt;=17,"0-17",C1035&lt;=29,"18-29",C1035&lt;=44,"30-44",C1035&lt;=59,"45-59",C1035&lt;=74,"60-74",TRUE,"75+")</f>
        <v>30-44</v>
      </c>
      <c r="E1035" t="s">
        <v>29</v>
      </c>
      <c r="F1035">
        <v>2</v>
      </c>
      <c r="G1035" t="str" cm="1">
        <f t="array" ref="G1035">_xlfn.IFS(_xlfn.SINGLE(Table1[imd_decile])&lt;=3,"Most Deprived",F1035&lt;=7,"Moderately Deprived",F1035&lt;=10,"Least Deprived")</f>
        <v>Most Deprived</v>
      </c>
      <c r="H1035">
        <v>5</v>
      </c>
      <c r="I1035" t="s">
        <v>18</v>
      </c>
      <c r="J1035" t="s">
        <v>26</v>
      </c>
      <c r="K1035" s="1">
        <v>45807</v>
      </c>
      <c r="L1035" s="1">
        <v>45818</v>
      </c>
      <c r="M1035" s="1" t="str">
        <f>TEXT(Table1[[#This Row],[appointment_date]],"MM/YYYY")</f>
        <v>06/2025</v>
      </c>
      <c r="N1035">
        <v>11</v>
      </c>
      <c r="O1035" t="str" cm="1">
        <f t="array" ref="O1035">_xlfn.IFS(Table1[[#This Row],[lead_time_days]]&lt;=7,"0-7 days",N1035&lt;=14,"8-14 days",N1035&lt;=30,"15-30 days",N1035&lt;=60,"31-60 days",TRUE,"61+ days")</f>
        <v>8-14 days</v>
      </c>
      <c r="P1035" t="s">
        <v>71</v>
      </c>
      <c r="Q1035" t="s">
        <v>21</v>
      </c>
      <c r="R1035">
        <v>0</v>
      </c>
      <c r="S1035" t="str">
        <f>IF(Table1[prior_dna_count]&gt;=1,"Has prior DNA history","No prior DNA history")</f>
        <v>No prior DNA history</v>
      </c>
      <c r="T1035" t="s">
        <v>22</v>
      </c>
      <c r="U1035" t="str">
        <f t="shared" si="16"/>
        <v>1</v>
      </c>
      <c r="V1035" t="str">
        <f>IF(Table1[appointment_status]="Attended","1","0")</f>
        <v>1</v>
      </c>
      <c r="W1035" t="str">
        <f>IF(Table1[appointment_status]="Cancelled","1","0")</f>
        <v>0</v>
      </c>
    </row>
    <row r="1036" spans="1:23">
      <c r="A1036" t="s">
        <v>1847</v>
      </c>
      <c r="B1036" t="s">
        <v>1848</v>
      </c>
      <c r="C1036">
        <v>58</v>
      </c>
      <c r="D1036" t="str" cm="1">
        <f t="array" ref="D1036">_xlfn.IFS(Table1[[#This Row],[age]]&lt;=17,"0-17",C1036&lt;=29,"18-29",C1036&lt;=44,"30-44",C1036&lt;=59,"45-59",C1036&lt;=74,"60-74",TRUE,"75+")</f>
        <v>45-59</v>
      </c>
      <c r="E1036" t="s">
        <v>17</v>
      </c>
      <c r="F1036">
        <v>5</v>
      </c>
      <c r="G1036" t="str" cm="1">
        <f t="array" ref="G1036">_xlfn.IFS(_xlfn.SINGLE(Table1[imd_decile])&lt;=3,"Most Deprived",F1036&lt;=7,"Moderately Deprived",F1036&lt;=10,"Least Deprived")</f>
        <v>Moderately Deprived</v>
      </c>
      <c r="H1036">
        <v>2</v>
      </c>
      <c r="I1036" t="s">
        <v>91</v>
      </c>
      <c r="J1036" t="s">
        <v>19</v>
      </c>
      <c r="K1036" s="1">
        <v>45769</v>
      </c>
      <c r="L1036" s="1">
        <v>45818</v>
      </c>
      <c r="M1036" s="1" t="str">
        <f>TEXT(Table1[[#This Row],[appointment_date]],"MM/YYYY")</f>
        <v>06/2025</v>
      </c>
      <c r="N1036">
        <v>49</v>
      </c>
      <c r="O1036" t="str" cm="1">
        <f t="array" ref="O1036">_xlfn.IFS(Table1[[#This Row],[lead_time_days]]&lt;=7,"0-7 days",N1036&lt;=14,"8-14 days",N1036&lt;=30,"15-30 days",N1036&lt;=60,"31-60 days",TRUE,"61+ days")</f>
        <v>31-60 days</v>
      </c>
      <c r="P1036" t="s">
        <v>71</v>
      </c>
      <c r="Q1036" t="s">
        <v>32</v>
      </c>
      <c r="R1036">
        <v>0</v>
      </c>
      <c r="S1036" t="str">
        <f>IF(Table1[prior_dna_count]&gt;=1,"Has prior DNA history","No prior DNA history")</f>
        <v>No prior DNA history</v>
      </c>
      <c r="T1036" t="s">
        <v>22</v>
      </c>
      <c r="U1036" t="str">
        <f t="shared" si="16"/>
        <v>1</v>
      </c>
      <c r="V1036" t="str">
        <f>IF(Table1[appointment_status]="Attended","1","0")</f>
        <v>1</v>
      </c>
      <c r="W1036" t="str">
        <f>IF(Table1[appointment_status]="Cancelled","1","0")</f>
        <v>0</v>
      </c>
    </row>
    <row r="1037" spans="1:23">
      <c r="A1037" t="s">
        <v>1849</v>
      </c>
      <c r="B1037" t="s">
        <v>1850</v>
      </c>
      <c r="C1037">
        <v>66</v>
      </c>
      <c r="D1037" t="str" cm="1">
        <f t="array" ref="D1037">_xlfn.IFS(Table1[[#This Row],[age]]&lt;=17,"0-17",C1037&lt;=29,"18-29",C1037&lt;=44,"30-44",C1037&lt;=59,"45-59",C1037&lt;=74,"60-74",TRUE,"75+")</f>
        <v>60-74</v>
      </c>
      <c r="E1037" t="s">
        <v>17</v>
      </c>
      <c r="F1037">
        <v>2</v>
      </c>
      <c r="G1037" t="str" cm="1">
        <f t="array" ref="G1037">_xlfn.IFS(_xlfn.SINGLE(Table1[imd_decile])&lt;=3,"Most Deprived",F1037&lt;=7,"Moderately Deprived",F1037&lt;=10,"Least Deprived")</f>
        <v>Most Deprived</v>
      </c>
      <c r="H1037">
        <v>4.9000000000000004</v>
      </c>
      <c r="I1037" t="s">
        <v>49</v>
      </c>
      <c r="J1037" t="s">
        <v>19</v>
      </c>
      <c r="K1037" s="1">
        <v>45791</v>
      </c>
      <c r="L1037" s="1">
        <v>45818</v>
      </c>
      <c r="M1037" s="1" t="str">
        <f>TEXT(Table1[[#This Row],[appointment_date]],"MM/YYYY")</f>
        <v>06/2025</v>
      </c>
      <c r="N1037">
        <v>27</v>
      </c>
      <c r="O1037" t="str" cm="1">
        <f t="array" ref="O1037">_xlfn.IFS(Table1[[#This Row],[lead_time_days]]&lt;=7,"0-7 days",N1037&lt;=14,"8-14 days",N1037&lt;=30,"15-30 days",N1037&lt;=60,"31-60 days",TRUE,"61+ days")</f>
        <v>15-30 days</v>
      </c>
      <c r="P1037" t="s">
        <v>71</v>
      </c>
      <c r="Q1037" t="s">
        <v>21</v>
      </c>
      <c r="R1037">
        <v>0</v>
      </c>
      <c r="S1037" t="str">
        <f>IF(Table1[prior_dna_count]&gt;=1,"Has prior DNA history","No prior DNA history")</f>
        <v>No prior DNA history</v>
      </c>
      <c r="T1037" t="s">
        <v>22</v>
      </c>
      <c r="U1037" t="str">
        <f t="shared" si="16"/>
        <v>1</v>
      </c>
      <c r="V1037" t="str">
        <f>IF(Table1[appointment_status]="Attended","1","0")</f>
        <v>1</v>
      </c>
      <c r="W1037" t="str">
        <f>IF(Table1[appointment_status]="Cancelled","1","0")</f>
        <v>0</v>
      </c>
    </row>
    <row r="1038" spans="1:23">
      <c r="A1038" t="s">
        <v>1851</v>
      </c>
      <c r="B1038" t="s">
        <v>191</v>
      </c>
      <c r="C1038">
        <v>9</v>
      </c>
      <c r="D1038" t="str" cm="1">
        <f t="array" ref="D1038">_xlfn.IFS(Table1[[#This Row],[age]]&lt;=17,"0-17",C1038&lt;=29,"18-29",C1038&lt;=44,"30-44",C1038&lt;=59,"45-59",C1038&lt;=74,"60-74",TRUE,"75+")</f>
        <v>0-17</v>
      </c>
      <c r="E1038" t="s">
        <v>17</v>
      </c>
      <c r="F1038">
        <v>6</v>
      </c>
      <c r="G1038" t="str" cm="1">
        <f t="array" ref="G1038">_xlfn.IFS(_xlfn.SINGLE(Table1[imd_decile])&lt;=3,"Most Deprived",F1038&lt;=7,"Moderately Deprived",F1038&lt;=10,"Least Deprived")</f>
        <v>Moderately Deprived</v>
      </c>
      <c r="H1038">
        <v>34.1</v>
      </c>
      <c r="I1038" t="s">
        <v>38</v>
      </c>
      <c r="J1038" t="s">
        <v>19</v>
      </c>
      <c r="K1038" s="1">
        <v>45762</v>
      </c>
      <c r="L1038" s="1">
        <v>45818</v>
      </c>
      <c r="M1038" s="1" t="str">
        <f>TEXT(Table1[[#This Row],[appointment_date]],"MM/YYYY")</f>
        <v>06/2025</v>
      </c>
      <c r="N1038">
        <v>56</v>
      </c>
      <c r="O1038" t="str" cm="1">
        <f t="array" ref="O1038">_xlfn.IFS(Table1[[#This Row],[lead_time_days]]&lt;=7,"0-7 days",N1038&lt;=14,"8-14 days",N1038&lt;=30,"15-30 days",N1038&lt;=60,"31-60 days",TRUE,"61+ days")</f>
        <v>31-60 days</v>
      </c>
      <c r="P1038" t="s">
        <v>71</v>
      </c>
      <c r="Q1038" t="s">
        <v>21</v>
      </c>
      <c r="R1038">
        <v>0</v>
      </c>
      <c r="S1038" t="str">
        <f>IF(Table1[prior_dna_count]&gt;=1,"Has prior DNA history","No prior DNA history")</f>
        <v>No prior DNA history</v>
      </c>
      <c r="T1038" t="s">
        <v>22</v>
      </c>
      <c r="U1038" t="str">
        <f t="shared" si="16"/>
        <v>1</v>
      </c>
      <c r="V1038" t="str">
        <f>IF(Table1[appointment_status]="Attended","1","0")</f>
        <v>1</v>
      </c>
      <c r="W1038" t="str">
        <f>IF(Table1[appointment_status]="Cancelled","1","0")</f>
        <v>0</v>
      </c>
    </row>
    <row r="1039" spans="1:23">
      <c r="A1039" t="s">
        <v>1852</v>
      </c>
      <c r="B1039" t="s">
        <v>744</v>
      </c>
      <c r="C1039">
        <v>36</v>
      </c>
      <c r="D1039" t="str" cm="1">
        <f t="array" ref="D1039">_xlfn.IFS(Table1[[#This Row],[age]]&lt;=17,"0-17",C1039&lt;=29,"18-29",C1039&lt;=44,"30-44",C1039&lt;=59,"45-59",C1039&lt;=74,"60-74",TRUE,"75+")</f>
        <v>30-44</v>
      </c>
      <c r="E1039" t="s">
        <v>17</v>
      </c>
      <c r="F1039">
        <v>6</v>
      </c>
      <c r="G1039" t="str" cm="1">
        <f t="array" ref="G1039">_xlfn.IFS(_xlfn.SINGLE(Table1[imd_decile])&lt;=3,"Most Deprived",F1039&lt;=7,"Moderately Deprived",F1039&lt;=10,"Least Deprived")</f>
        <v>Moderately Deprived</v>
      </c>
      <c r="H1039">
        <v>5.8</v>
      </c>
      <c r="I1039" t="s">
        <v>18</v>
      </c>
      <c r="J1039" t="s">
        <v>19</v>
      </c>
      <c r="K1039" s="1">
        <v>45802</v>
      </c>
      <c r="L1039" s="1">
        <v>45818</v>
      </c>
      <c r="M1039" s="1" t="str">
        <f>TEXT(Table1[[#This Row],[appointment_date]],"MM/YYYY")</f>
        <v>06/2025</v>
      </c>
      <c r="N1039">
        <v>16</v>
      </c>
      <c r="O1039" t="str" cm="1">
        <f t="array" ref="O1039">_xlfn.IFS(Table1[[#This Row],[lead_time_days]]&lt;=7,"0-7 days",N1039&lt;=14,"8-14 days",N1039&lt;=30,"15-30 days",N1039&lt;=60,"31-60 days",TRUE,"61+ days")</f>
        <v>15-30 days</v>
      </c>
      <c r="P1039" t="s">
        <v>71</v>
      </c>
      <c r="Q1039" t="s">
        <v>21</v>
      </c>
      <c r="R1039">
        <v>0</v>
      </c>
      <c r="S1039" t="str">
        <f>IF(Table1[prior_dna_count]&gt;=1,"Has prior DNA history","No prior DNA history")</f>
        <v>No prior DNA history</v>
      </c>
      <c r="T1039" t="s">
        <v>22</v>
      </c>
      <c r="U1039" t="str">
        <f t="shared" si="16"/>
        <v>1</v>
      </c>
      <c r="V1039" t="str">
        <f>IF(Table1[appointment_status]="Attended","1","0")</f>
        <v>1</v>
      </c>
      <c r="W1039" t="str">
        <f>IF(Table1[appointment_status]="Cancelled","1","0")</f>
        <v>0</v>
      </c>
    </row>
    <row r="1040" spans="1:23">
      <c r="A1040" t="s">
        <v>1853</v>
      </c>
      <c r="B1040" t="s">
        <v>1854</v>
      </c>
      <c r="C1040">
        <v>47</v>
      </c>
      <c r="D1040" t="str" cm="1">
        <f t="array" ref="D1040">_xlfn.IFS(Table1[[#This Row],[age]]&lt;=17,"0-17",C1040&lt;=29,"18-29",C1040&lt;=44,"30-44",C1040&lt;=59,"45-59",C1040&lt;=74,"60-74",TRUE,"75+")</f>
        <v>45-59</v>
      </c>
      <c r="E1040" t="s">
        <v>29</v>
      </c>
      <c r="F1040">
        <v>2</v>
      </c>
      <c r="G1040" t="str" cm="1">
        <f t="array" ref="G1040">_xlfn.IFS(_xlfn.SINGLE(Table1[imd_decile])&lt;=3,"Most Deprived",F1040&lt;=7,"Moderately Deprived",F1040&lt;=10,"Least Deprived")</f>
        <v>Most Deprived</v>
      </c>
      <c r="H1040">
        <v>9.6999999999999993</v>
      </c>
      <c r="I1040" t="s">
        <v>42</v>
      </c>
      <c r="J1040" t="s">
        <v>19</v>
      </c>
      <c r="K1040" s="1">
        <v>45793</v>
      </c>
      <c r="L1040" s="1">
        <v>45819</v>
      </c>
      <c r="M1040" s="1" t="str">
        <f>TEXT(Table1[[#This Row],[appointment_date]],"MM/YYYY")</f>
        <v>06/2025</v>
      </c>
      <c r="N1040">
        <v>26</v>
      </c>
      <c r="O1040" t="str" cm="1">
        <f t="array" ref="O1040">_xlfn.IFS(Table1[[#This Row],[lead_time_days]]&lt;=7,"0-7 days",N1040&lt;=14,"8-14 days",N1040&lt;=30,"15-30 days",N1040&lt;=60,"31-60 days",TRUE,"61+ days")</f>
        <v>15-30 days</v>
      </c>
      <c r="P1040" t="s">
        <v>80</v>
      </c>
      <c r="Q1040" t="s">
        <v>32</v>
      </c>
      <c r="R1040">
        <v>0</v>
      </c>
      <c r="S1040" t="str">
        <f>IF(Table1[prior_dna_count]&gt;=1,"Has prior DNA history","No prior DNA history")</f>
        <v>No prior DNA history</v>
      </c>
      <c r="T1040" t="s">
        <v>22</v>
      </c>
      <c r="U1040" t="str">
        <f t="shared" si="16"/>
        <v>1</v>
      </c>
      <c r="V1040" t="str">
        <f>IF(Table1[appointment_status]="Attended","1","0")</f>
        <v>1</v>
      </c>
      <c r="W1040" t="str">
        <f>IF(Table1[appointment_status]="Cancelled","1","0")</f>
        <v>0</v>
      </c>
    </row>
    <row r="1041" spans="1:23">
      <c r="A1041" t="s">
        <v>1855</v>
      </c>
      <c r="B1041" t="s">
        <v>1409</v>
      </c>
      <c r="C1041">
        <v>53</v>
      </c>
      <c r="D1041" t="str" cm="1">
        <f t="array" ref="D1041">_xlfn.IFS(Table1[[#This Row],[age]]&lt;=17,"0-17",C1041&lt;=29,"18-29",C1041&lt;=44,"30-44",C1041&lt;=59,"45-59",C1041&lt;=74,"60-74",TRUE,"75+")</f>
        <v>45-59</v>
      </c>
      <c r="E1041" t="s">
        <v>29</v>
      </c>
      <c r="F1041">
        <v>1</v>
      </c>
      <c r="G1041" t="str" cm="1">
        <f t="array" ref="G1041">_xlfn.IFS(_xlfn.SINGLE(Table1[imd_decile])&lt;=3,"Most Deprived",F1041&lt;=7,"Moderately Deprived",F1041&lt;=10,"Least Deprived")</f>
        <v>Most Deprived</v>
      </c>
      <c r="H1041">
        <v>5.8</v>
      </c>
      <c r="I1041" t="s">
        <v>42</v>
      </c>
      <c r="J1041" t="s">
        <v>19</v>
      </c>
      <c r="K1041" s="1">
        <v>45769</v>
      </c>
      <c r="L1041" s="1">
        <v>45819</v>
      </c>
      <c r="M1041" s="1" t="str">
        <f>TEXT(Table1[[#This Row],[appointment_date]],"MM/YYYY")</f>
        <v>06/2025</v>
      </c>
      <c r="N1041">
        <v>50</v>
      </c>
      <c r="O1041" t="str" cm="1">
        <f t="array" ref="O1041">_xlfn.IFS(Table1[[#This Row],[lead_time_days]]&lt;=7,"0-7 days",N1041&lt;=14,"8-14 days",N1041&lt;=30,"15-30 days",N1041&lt;=60,"31-60 days",TRUE,"61+ days")</f>
        <v>31-60 days</v>
      </c>
      <c r="P1041" t="s">
        <v>80</v>
      </c>
      <c r="Q1041" t="s">
        <v>21</v>
      </c>
      <c r="R1041">
        <v>0</v>
      </c>
      <c r="S1041" t="str">
        <f>IF(Table1[prior_dna_count]&gt;=1,"Has prior DNA history","No prior DNA history")</f>
        <v>No prior DNA history</v>
      </c>
      <c r="T1041" t="s">
        <v>22</v>
      </c>
      <c r="U1041" t="str">
        <f t="shared" si="16"/>
        <v>1</v>
      </c>
      <c r="V1041" t="str">
        <f>IF(Table1[appointment_status]="Attended","1","0")</f>
        <v>1</v>
      </c>
      <c r="W1041" t="str">
        <f>IF(Table1[appointment_status]="Cancelled","1","0")</f>
        <v>0</v>
      </c>
    </row>
    <row r="1042" spans="1:23">
      <c r="A1042" t="s">
        <v>1856</v>
      </c>
      <c r="B1042" t="s">
        <v>1857</v>
      </c>
      <c r="C1042">
        <v>41</v>
      </c>
      <c r="D1042" t="str" cm="1">
        <f t="array" ref="D1042">_xlfn.IFS(Table1[[#This Row],[age]]&lt;=17,"0-17",C1042&lt;=29,"18-29",C1042&lt;=44,"30-44",C1042&lt;=59,"45-59",C1042&lt;=74,"60-74",TRUE,"75+")</f>
        <v>30-44</v>
      </c>
      <c r="E1042" t="s">
        <v>29</v>
      </c>
      <c r="F1042">
        <v>3</v>
      </c>
      <c r="G1042" t="str" cm="1">
        <f t="array" ref="G1042">_xlfn.IFS(_xlfn.SINGLE(Table1[imd_decile])&lt;=3,"Most Deprived",F1042&lt;=7,"Moderately Deprived",F1042&lt;=10,"Least Deprived")</f>
        <v>Most Deprived</v>
      </c>
      <c r="H1042">
        <v>10.8</v>
      </c>
      <c r="I1042" t="s">
        <v>42</v>
      </c>
      <c r="J1042" t="s">
        <v>19</v>
      </c>
      <c r="K1042" s="1">
        <v>45780</v>
      </c>
      <c r="L1042" s="1">
        <v>45819</v>
      </c>
      <c r="M1042" s="1" t="str">
        <f>TEXT(Table1[[#This Row],[appointment_date]],"MM/YYYY")</f>
        <v>06/2025</v>
      </c>
      <c r="N1042">
        <v>39</v>
      </c>
      <c r="O1042" t="str" cm="1">
        <f t="array" ref="O1042">_xlfn.IFS(Table1[[#This Row],[lead_time_days]]&lt;=7,"0-7 days",N1042&lt;=14,"8-14 days",N1042&lt;=30,"15-30 days",N1042&lt;=60,"31-60 days",TRUE,"61+ days")</f>
        <v>31-60 days</v>
      </c>
      <c r="P1042" t="s">
        <v>80</v>
      </c>
      <c r="Q1042" t="s">
        <v>21</v>
      </c>
      <c r="R1042">
        <v>0</v>
      </c>
      <c r="S1042" t="str">
        <f>IF(Table1[prior_dna_count]&gt;=1,"Has prior DNA history","No prior DNA history")</f>
        <v>No prior DNA history</v>
      </c>
      <c r="T1042" t="s">
        <v>22</v>
      </c>
      <c r="U1042" t="str">
        <f t="shared" si="16"/>
        <v>1</v>
      </c>
      <c r="V1042" t="str">
        <f>IF(Table1[appointment_status]="Attended","1","0")</f>
        <v>1</v>
      </c>
      <c r="W1042" t="str">
        <f>IF(Table1[appointment_status]="Cancelled","1","0")</f>
        <v>0</v>
      </c>
    </row>
    <row r="1043" spans="1:23">
      <c r="A1043" t="s">
        <v>1858</v>
      </c>
      <c r="B1043" t="s">
        <v>1859</v>
      </c>
      <c r="C1043">
        <v>56</v>
      </c>
      <c r="D1043" t="str" cm="1">
        <f t="array" ref="D1043">_xlfn.IFS(Table1[[#This Row],[age]]&lt;=17,"0-17",C1043&lt;=29,"18-29",C1043&lt;=44,"30-44",C1043&lt;=59,"45-59",C1043&lt;=74,"60-74",TRUE,"75+")</f>
        <v>45-59</v>
      </c>
      <c r="E1043" t="s">
        <v>17</v>
      </c>
      <c r="F1043">
        <v>8</v>
      </c>
      <c r="G1043" t="str" cm="1">
        <f t="array" ref="G1043">_xlfn.IFS(_xlfn.SINGLE(Table1[imd_decile])&lt;=3,"Most Deprived",F1043&lt;=7,"Moderately Deprived",F1043&lt;=10,"Least Deprived")</f>
        <v>Least Deprived</v>
      </c>
      <c r="H1043">
        <v>7</v>
      </c>
      <c r="I1043" t="s">
        <v>42</v>
      </c>
      <c r="J1043" t="s">
        <v>19</v>
      </c>
      <c r="K1043" s="1">
        <v>45782</v>
      </c>
      <c r="L1043" s="1">
        <v>45819</v>
      </c>
      <c r="M1043" s="1" t="str">
        <f>TEXT(Table1[[#This Row],[appointment_date]],"MM/YYYY")</f>
        <v>06/2025</v>
      </c>
      <c r="N1043">
        <v>37</v>
      </c>
      <c r="O1043" t="str" cm="1">
        <f t="array" ref="O1043">_xlfn.IFS(Table1[[#This Row],[lead_time_days]]&lt;=7,"0-7 days",N1043&lt;=14,"8-14 days",N1043&lt;=30,"15-30 days",N1043&lt;=60,"31-60 days",TRUE,"61+ days")</f>
        <v>31-60 days</v>
      </c>
      <c r="P1043" t="s">
        <v>80</v>
      </c>
      <c r="Q1043" t="s">
        <v>32</v>
      </c>
      <c r="R1043">
        <v>0</v>
      </c>
      <c r="S1043" t="str">
        <f>IF(Table1[prior_dna_count]&gt;=1,"Has prior DNA history","No prior DNA history")</f>
        <v>No prior DNA history</v>
      </c>
      <c r="T1043" t="s">
        <v>22</v>
      </c>
      <c r="U1043" t="str">
        <f t="shared" si="16"/>
        <v>1</v>
      </c>
      <c r="V1043" t="str">
        <f>IF(Table1[appointment_status]="Attended","1","0")</f>
        <v>1</v>
      </c>
      <c r="W1043" t="str">
        <f>IF(Table1[appointment_status]="Cancelled","1","0")</f>
        <v>0</v>
      </c>
    </row>
    <row r="1044" spans="1:23">
      <c r="A1044" t="s">
        <v>1860</v>
      </c>
      <c r="B1044" t="s">
        <v>840</v>
      </c>
      <c r="C1044">
        <v>35</v>
      </c>
      <c r="D1044" t="str" cm="1">
        <f t="array" ref="D1044">_xlfn.IFS(Table1[[#This Row],[age]]&lt;=17,"0-17",C1044&lt;=29,"18-29",C1044&lt;=44,"30-44",C1044&lt;=59,"45-59",C1044&lt;=74,"60-74",TRUE,"75+")</f>
        <v>30-44</v>
      </c>
      <c r="E1044" t="s">
        <v>29</v>
      </c>
      <c r="F1044">
        <v>5</v>
      </c>
      <c r="G1044" t="str" cm="1">
        <f t="array" ref="G1044">_xlfn.IFS(_xlfn.SINGLE(Table1[imd_decile])&lt;=3,"Most Deprived",F1044&lt;=7,"Moderately Deprived",F1044&lt;=10,"Least Deprived")</f>
        <v>Moderately Deprived</v>
      </c>
      <c r="H1044">
        <v>7.1</v>
      </c>
      <c r="I1044" t="s">
        <v>18</v>
      </c>
      <c r="J1044" t="s">
        <v>19</v>
      </c>
      <c r="K1044" s="1">
        <v>45776</v>
      </c>
      <c r="L1044" s="1">
        <v>45820</v>
      </c>
      <c r="M1044" s="1" t="str">
        <f>TEXT(Table1[[#This Row],[appointment_date]],"MM/YYYY")</f>
        <v>06/2025</v>
      </c>
      <c r="N1044">
        <v>44</v>
      </c>
      <c r="O1044" t="str" cm="1">
        <f t="array" ref="O1044">_xlfn.IFS(Table1[[#This Row],[lead_time_days]]&lt;=7,"0-7 days",N1044&lt;=14,"8-14 days",N1044&lt;=30,"15-30 days",N1044&lt;=60,"31-60 days",TRUE,"61+ days")</f>
        <v>31-60 days</v>
      </c>
      <c r="P1044" t="s">
        <v>20</v>
      </c>
      <c r="Q1044" t="s">
        <v>21</v>
      </c>
      <c r="R1044">
        <v>0</v>
      </c>
      <c r="S1044" t="str">
        <f>IF(Table1[prior_dna_count]&gt;=1,"Has prior DNA history","No prior DNA history")</f>
        <v>No prior DNA history</v>
      </c>
      <c r="T1044" t="s">
        <v>22</v>
      </c>
      <c r="U1044" t="str">
        <f t="shared" si="16"/>
        <v>1</v>
      </c>
      <c r="V1044" t="str">
        <f>IF(Table1[appointment_status]="Attended","1","0")</f>
        <v>1</v>
      </c>
      <c r="W1044" t="str">
        <f>IF(Table1[appointment_status]="Cancelled","1","0")</f>
        <v>0</v>
      </c>
    </row>
    <row r="1045" spans="1:23">
      <c r="A1045" t="s">
        <v>1861</v>
      </c>
      <c r="B1045" t="s">
        <v>259</v>
      </c>
      <c r="C1045">
        <v>53</v>
      </c>
      <c r="D1045" t="str" cm="1">
        <f t="array" ref="D1045">_xlfn.IFS(Table1[[#This Row],[age]]&lt;=17,"0-17",C1045&lt;=29,"18-29",C1045&lt;=44,"30-44",C1045&lt;=59,"45-59",C1045&lt;=74,"60-74",TRUE,"75+")</f>
        <v>45-59</v>
      </c>
      <c r="E1045" t="s">
        <v>29</v>
      </c>
      <c r="F1045">
        <v>3</v>
      </c>
      <c r="G1045" t="str" cm="1">
        <f t="array" ref="G1045">_xlfn.IFS(_xlfn.SINGLE(Table1[imd_decile])&lt;=3,"Most Deprived",F1045&lt;=7,"Moderately Deprived",F1045&lt;=10,"Least Deprived")</f>
        <v>Most Deprived</v>
      </c>
      <c r="H1045">
        <v>4.5999999999999996</v>
      </c>
      <c r="I1045" t="s">
        <v>42</v>
      </c>
      <c r="J1045" t="s">
        <v>19</v>
      </c>
      <c r="K1045" s="1">
        <v>45783</v>
      </c>
      <c r="L1045" s="1">
        <v>45820</v>
      </c>
      <c r="M1045" s="1" t="str">
        <f>TEXT(Table1[[#This Row],[appointment_date]],"MM/YYYY")</f>
        <v>06/2025</v>
      </c>
      <c r="N1045">
        <v>37</v>
      </c>
      <c r="O1045" t="str" cm="1">
        <f t="array" ref="O1045">_xlfn.IFS(Table1[[#This Row],[lead_time_days]]&lt;=7,"0-7 days",N1045&lt;=14,"8-14 days",N1045&lt;=30,"15-30 days",N1045&lt;=60,"31-60 days",TRUE,"61+ days")</f>
        <v>31-60 days</v>
      </c>
      <c r="P1045" t="s">
        <v>20</v>
      </c>
      <c r="Q1045" t="s">
        <v>21</v>
      </c>
      <c r="R1045">
        <v>0</v>
      </c>
      <c r="S1045" t="str">
        <f>IF(Table1[prior_dna_count]&gt;=1,"Has prior DNA history","No prior DNA history")</f>
        <v>No prior DNA history</v>
      </c>
      <c r="T1045" t="s">
        <v>22</v>
      </c>
      <c r="U1045" t="str">
        <f t="shared" si="16"/>
        <v>1</v>
      </c>
      <c r="V1045" t="str">
        <f>IF(Table1[appointment_status]="Attended","1","0")</f>
        <v>1</v>
      </c>
      <c r="W1045" t="str">
        <f>IF(Table1[appointment_status]="Cancelled","1","0")</f>
        <v>0</v>
      </c>
    </row>
    <row r="1046" spans="1:23">
      <c r="A1046" t="s">
        <v>1862</v>
      </c>
      <c r="B1046" t="s">
        <v>426</v>
      </c>
      <c r="C1046">
        <v>76</v>
      </c>
      <c r="D1046" t="str" cm="1">
        <f t="array" ref="D1046">_xlfn.IFS(Table1[[#This Row],[age]]&lt;=17,"0-17",C1046&lt;=29,"18-29",C1046&lt;=44,"30-44",C1046&lt;=59,"45-59",C1046&lt;=74,"60-74",TRUE,"75+")</f>
        <v>75+</v>
      </c>
      <c r="E1046" t="s">
        <v>17</v>
      </c>
      <c r="F1046">
        <v>3</v>
      </c>
      <c r="G1046" t="str" cm="1">
        <f t="array" ref="G1046">_xlfn.IFS(_xlfn.SINGLE(Table1[imd_decile])&lt;=3,"Most Deprived",F1046&lt;=7,"Moderately Deprived",F1046&lt;=10,"Least Deprived")</f>
        <v>Most Deprived</v>
      </c>
      <c r="H1046">
        <v>1.4</v>
      </c>
      <c r="I1046" t="s">
        <v>91</v>
      </c>
      <c r="J1046" t="s">
        <v>19</v>
      </c>
      <c r="K1046" s="1">
        <v>45789</v>
      </c>
      <c r="L1046" s="1">
        <v>45820</v>
      </c>
      <c r="M1046" s="1" t="str">
        <f>TEXT(Table1[[#This Row],[appointment_date]],"MM/YYYY")</f>
        <v>06/2025</v>
      </c>
      <c r="N1046">
        <v>31</v>
      </c>
      <c r="O1046" t="str" cm="1">
        <f t="array" ref="O1046">_xlfn.IFS(Table1[[#This Row],[lead_time_days]]&lt;=7,"0-7 days",N1046&lt;=14,"8-14 days",N1046&lt;=30,"15-30 days",N1046&lt;=60,"31-60 days",TRUE,"61+ days")</f>
        <v>31-60 days</v>
      </c>
      <c r="P1046" t="s">
        <v>20</v>
      </c>
      <c r="Q1046" t="s">
        <v>32</v>
      </c>
      <c r="R1046">
        <v>1</v>
      </c>
      <c r="S1046" t="str">
        <f>IF(Table1[prior_dna_count]&gt;=1,"Has prior DNA history","No prior DNA history")</f>
        <v>Has prior DNA history</v>
      </c>
      <c r="T1046" t="s">
        <v>22</v>
      </c>
      <c r="U1046" t="str">
        <f t="shared" si="16"/>
        <v>1</v>
      </c>
      <c r="V1046" t="str">
        <f>IF(Table1[appointment_status]="Attended","1","0")</f>
        <v>1</v>
      </c>
      <c r="W1046" t="str">
        <f>IF(Table1[appointment_status]="Cancelled","1","0")</f>
        <v>0</v>
      </c>
    </row>
    <row r="1047" spans="1:23">
      <c r="A1047" t="s">
        <v>1863</v>
      </c>
      <c r="B1047" t="s">
        <v>993</v>
      </c>
      <c r="C1047">
        <v>66</v>
      </c>
      <c r="D1047" t="str" cm="1">
        <f t="array" ref="D1047">_xlfn.IFS(Table1[[#This Row],[age]]&lt;=17,"0-17",C1047&lt;=29,"18-29",C1047&lt;=44,"30-44",C1047&lt;=59,"45-59",C1047&lt;=74,"60-74",TRUE,"75+")</f>
        <v>60-74</v>
      </c>
      <c r="E1047" t="s">
        <v>29</v>
      </c>
      <c r="F1047">
        <v>1</v>
      </c>
      <c r="G1047" t="str" cm="1">
        <f t="array" ref="G1047">_xlfn.IFS(_xlfn.SINGLE(Table1[imd_decile])&lt;=3,"Most Deprived",F1047&lt;=7,"Moderately Deprived",F1047&lt;=10,"Least Deprived")</f>
        <v>Most Deprived</v>
      </c>
      <c r="H1047">
        <v>5.0999999999999996</v>
      </c>
      <c r="I1047" t="s">
        <v>58</v>
      </c>
      <c r="J1047" t="s">
        <v>19</v>
      </c>
      <c r="K1047" s="1">
        <v>45790</v>
      </c>
      <c r="L1047" s="1">
        <v>45820</v>
      </c>
      <c r="M1047" s="1" t="str">
        <f>TEXT(Table1[[#This Row],[appointment_date]],"MM/YYYY")</f>
        <v>06/2025</v>
      </c>
      <c r="N1047">
        <v>30</v>
      </c>
      <c r="O1047" t="str" cm="1">
        <f t="array" ref="O1047">_xlfn.IFS(Table1[[#This Row],[lead_time_days]]&lt;=7,"0-7 days",N1047&lt;=14,"8-14 days",N1047&lt;=30,"15-30 days",N1047&lt;=60,"31-60 days",TRUE,"61+ days")</f>
        <v>15-30 days</v>
      </c>
      <c r="P1047" t="s">
        <v>20</v>
      </c>
      <c r="Q1047" t="s">
        <v>21</v>
      </c>
      <c r="R1047">
        <v>0</v>
      </c>
      <c r="S1047" t="str">
        <f>IF(Table1[prior_dna_count]&gt;=1,"Has prior DNA history","No prior DNA history")</f>
        <v>No prior DNA history</v>
      </c>
      <c r="T1047" t="s">
        <v>22</v>
      </c>
      <c r="U1047" t="str">
        <f t="shared" si="16"/>
        <v>1</v>
      </c>
      <c r="V1047" t="str">
        <f>IF(Table1[appointment_status]="Attended","1","0")</f>
        <v>1</v>
      </c>
      <c r="W1047" t="str">
        <f>IF(Table1[appointment_status]="Cancelled","1","0")</f>
        <v>0</v>
      </c>
    </row>
    <row r="1048" spans="1:23">
      <c r="A1048" t="s">
        <v>1864</v>
      </c>
      <c r="B1048" t="s">
        <v>436</v>
      </c>
      <c r="C1048">
        <v>5</v>
      </c>
      <c r="D1048" t="str" cm="1">
        <f t="array" ref="D1048">_xlfn.IFS(Table1[[#This Row],[age]]&lt;=17,"0-17",C1048&lt;=29,"18-29",C1048&lt;=44,"30-44",C1048&lt;=59,"45-59",C1048&lt;=74,"60-74",TRUE,"75+")</f>
        <v>0-17</v>
      </c>
      <c r="E1048" t="s">
        <v>17</v>
      </c>
      <c r="F1048">
        <v>7</v>
      </c>
      <c r="G1048" t="str" cm="1">
        <f t="array" ref="G1048">_xlfn.IFS(_xlfn.SINGLE(Table1[imd_decile])&lt;=3,"Most Deprived",F1048&lt;=7,"Moderately Deprived",F1048&lt;=10,"Least Deprived")</f>
        <v>Moderately Deprived</v>
      </c>
      <c r="H1048">
        <v>1.9</v>
      </c>
      <c r="I1048" t="s">
        <v>45</v>
      </c>
      <c r="J1048" t="s">
        <v>26</v>
      </c>
      <c r="K1048" s="1">
        <v>45811</v>
      </c>
      <c r="L1048" s="1">
        <v>45820</v>
      </c>
      <c r="M1048" s="1" t="str">
        <f>TEXT(Table1[[#This Row],[appointment_date]],"MM/YYYY")</f>
        <v>06/2025</v>
      </c>
      <c r="N1048">
        <v>9</v>
      </c>
      <c r="O1048" t="str" cm="1">
        <f t="array" ref="O1048">_xlfn.IFS(Table1[[#This Row],[lead_time_days]]&lt;=7,"0-7 days",N1048&lt;=14,"8-14 days",N1048&lt;=30,"15-30 days",N1048&lt;=60,"31-60 days",TRUE,"61+ days")</f>
        <v>8-14 days</v>
      </c>
      <c r="P1048" t="s">
        <v>20</v>
      </c>
      <c r="Q1048" t="s">
        <v>32</v>
      </c>
      <c r="R1048">
        <v>0</v>
      </c>
      <c r="S1048" t="str">
        <f>IF(Table1[prior_dna_count]&gt;=1,"Has prior DNA history","No prior DNA history")</f>
        <v>No prior DNA history</v>
      </c>
      <c r="T1048" t="s">
        <v>22</v>
      </c>
      <c r="U1048" t="str">
        <f t="shared" si="16"/>
        <v>1</v>
      </c>
      <c r="V1048" t="str">
        <f>IF(Table1[appointment_status]="Attended","1","0")</f>
        <v>1</v>
      </c>
      <c r="W1048" t="str">
        <f>IF(Table1[appointment_status]="Cancelled","1","0")</f>
        <v>0</v>
      </c>
    </row>
    <row r="1049" spans="1:23">
      <c r="A1049" t="s">
        <v>1865</v>
      </c>
      <c r="B1049" t="s">
        <v>239</v>
      </c>
      <c r="C1049">
        <v>69</v>
      </c>
      <c r="D1049" t="str" cm="1">
        <f t="array" ref="D1049">_xlfn.IFS(Table1[[#This Row],[age]]&lt;=17,"0-17",C1049&lt;=29,"18-29",C1049&lt;=44,"30-44",C1049&lt;=59,"45-59",C1049&lt;=74,"60-74",TRUE,"75+")</f>
        <v>60-74</v>
      </c>
      <c r="E1049" t="s">
        <v>29</v>
      </c>
      <c r="F1049">
        <v>1</v>
      </c>
      <c r="G1049" t="str" cm="1">
        <f t="array" ref="G1049">_xlfn.IFS(_xlfn.SINGLE(Table1[imd_decile])&lt;=3,"Most Deprived",F1049&lt;=7,"Moderately Deprived",F1049&lt;=10,"Least Deprived")</f>
        <v>Most Deprived</v>
      </c>
      <c r="H1049">
        <v>28.5</v>
      </c>
      <c r="I1049" t="s">
        <v>49</v>
      </c>
      <c r="J1049" t="s">
        <v>26</v>
      </c>
      <c r="K1049" s="1">
        <v>45787</v>
      </c>
      <c r="L1049" s="1">
        <v>45820</v>
      </c>
      <c r="M1049" s="1" t="str">
        <f>TEXT(Table1[[#This Row],[appointment_date]],"MM/YYYY")</f>
        <v>06/2025</v>
      </c>
      <c r="N1049">
        <v>33</v>
      </c>
      <c r="O1049" t="str" cm="1">
        <f t="array" ref="O1049">_xlfn.IFS(Table1[[#This Row],[lead_time_days]]&lt;=7,"0-7 days",N1049&lt;=14,"8-14 days",N1049&lt;=30,"15-30 days",N1049&lt;=60,"31-60 days",TRUE,"61+ days")</f>
        <v>31-60 days</v>
      </c>
      <c r="P1049" t="s">
        <v>20</v>
      </c>
      <c r="Q1049" t="s">
        <v>21</v>
      </c>
      <c r="R1049">
        <v>0</v>
      </c>
      <c r="S1049" t="str">
        <f>IF(Table1[prior_dna_count]&gt;=1,"Has prior DNA history","No prior DNA history")</f>
        <v>No prior DNA history</v>
      </c>
      <c r="T1049" t="s">
        <v>22</v>
      </c>
      <c r="U1049" t="str">
        <f t="shared" si="16"/>
        <v>1</v>
      </c>
      <c r="V1049" t="str">
        <f>IF(Table1[appointment_status]="Attended","1","0")</f>
        <v>1</v>
      </c>
      <c r="W1049" t="str">
        <f>IF(Table1[appointment_status]="Cancelled","1","0")</f>
        <v>0</v>
      </c>
    </row>
    <row r="1050" spans="1:23">
      <c r="A1050" t="s">
        <v>1866</v>
      </c>
      <c r="B1050" t="s">
        <v>1867</v>
      </c>
      <c r="C1050">
        <v>55</v>
      </c>
      <c r="D1050" t="str" cm="1">
        <f t="array" ref="D1050">_xlfn.IFS(Table1[[#This Row],[age]]&lt;=17,"0-17",C1050&lt;=29,"18-29",C1050&lt;=44,"30-44",C1050&lt;=59,"45-59",C1050&lt;=74,"60-74",TRUE,"75+")</f>
        <v>45-59</v>
      </c>
      <c r="E1050" t="s">
        <v>29</v>
      </c>
      <c r="F1050">
        <v>7</v>
      </c>
      <c r="G1050" t="str" cm="1">
        <f t="array" ref="G1050">_xlfn.IFS(_xlfn.SINGLE(Table1[imd_decile])&lt;=3,"Most Deprived",F1050&lt;=7,"Moderately Deprived",F1050&lt;=10,"Least Deprived")</f>
        <v>Moderately Deprived</v>
      </c>
      <c r="H1050">
        <v>0.6</v>
      </c>
      <c r="I1050" t="s">
        <v>18</v>
      </c>
      <c r="J1050" t="s">
        <v>19</v>
      </c>
      <c r="K1050" s="1">
        <v>45800</v>
      </c>
      <c r="L1050" s="1">
        <v>45820</v>
      </c>
      <c r="M1050" s="1" t="str">
        <f>TEXT(Table1[[#This Row],[appointment_date]],"MM/YYYY")</f>
        <v>06/2025</v>
      </c>
      <c r="N1050">
        <v>20</v>
      </c>
      <c r="O1050" t="str" cm="1">
        <f t="array" ref="O1050">_xlfn.IFS(Table1[[#This Row],[lead_time_days]]&lt;=7,"0-7 days",N1050&lt;=14,"8-14 days",N1050&lt;=30,"15-30 days",N1050&lt;=60,"31-60 days",TRUE,"61+ days")</f>
        <v>15-30 days</v>
      </c>
      <c r="P1050" t="s">
        <v>20</v>
      </c>
      <c r="Q1050" t="s">
        <v>32</v>
      </c>
      <c r="R1050">
        <v>0</v>
      </c>
      <c r="S1050" t="str">
        <f>IF(Table1[prior_dna_count]&gt;=1,"Has prior DNA history","No prior DNA history")</f>
        <v>No prior DNA history</v>
      </c>
      <c r="T1050" t="s">
        <v>22</v>
      </c>
      <c r="U1050" t="str">
        <f t="shared" si="16"/>
        <v>1</v>
      </c>
      <c r="V1050" t="str">
        <f>IF(Table1[appointment_status]="Attended","1","0")</f>
        <v>1</v>
      </c>
      <c r="W1050" t="str">
        <f>IF(Table1[appointment_status]="Cancelled","1","0")</f>
        <v>0</v>
      </c>
    </row>
    <row r="1051" spans="1:23">
      <c r="A1051" t="s">
        <v>1868</v>
      </c>
      <c r="B1051" t="s">
        <v>1869</v>
      </c>
      <c r="C1051">
        <v>35</v>
      </c>
      <c r="D1051" t="str" cm="1">
        <f t="array" ref="D1051">_xlfn.IFS(Table1[[#This Row],[age]]&lt;=17,"0-17",C1051&lt;=29,"18-29",C1051&lt;=44,"30-44",C1051&lt;=59,"45-59",C1051&lt;=74,"60-74",TRUE,"75+")</f>
        <v>30-44</v>
      </c>
      <c r="E1051" t="s">
        <v>17</v>
      </c>
      <c r="F1051">
        <v>1</v>
      </c>
      <c r="G1051" t="str" cm="1">
        <f t="array" ref="G1051">_xlfn.IFS(_xlfn.SINGLE(Table1[imd_decile])&lt;=3,"Most Deprived",F1051&lt;=7,"Moderately Deprived",F1051&lt;=10,"Least Deprived")</f>
        <v>Most Deprived</v>
      </c>
      <c r="H1051">
        <v>7.6</v>
      </c>
      <c r="I1051" t="s">
        <v>25</v>
      </c>
      <c r="J1051" t="s">
        <v>19</v>
      </c>
      <c r="K1051" s="1">
        <v>45792</v>
      </c>
      <c r="L1051" s="1">
        <v>45820</v>
      </c>
      <c r="M1051" s="1" t="str">
        <f>TEXT(Table1[[#This Row],[appointment_date]],"MM/YYYY")</f>
        <v>06/2025</v>
      </c>
      <c r="N1051">
        <v>28</v>
      </c>
      <c r="O1051" t="str" cm="1">
        <f t="array" ref="O1051">_xlfn.IFS(Table1[[#This Row],[lead_time_days]]&lt;=7,"0-7 days",N1051&lt;=14,"8-14 days",N1051&lt;=30,"15-30 days",N1051&lt;=60,"31-60 days",TRUE,"61+ days")</f>
        <v>15-30 days</v>
      </c>
      <c r="P1051" t="s">
        <v>20</v>
      </c>
      <c r="Q1051" t="s">
        <v>32</v>
      </c>
      <c r="R1051">
        <v>0</v>
      </c>
      <c r="S1051" t="str">
        <f>IF(Table1[prior_dna_count]&gt;=1,"Has prior DNA history","No prior DNA history")</f>
        <v>No prior DNA history</v>
      </c>
      <c r="T1051" t="s">
        <v>22</v>
      </c>
      <c r="U1051" t="str">
        <f t="shared" si="16"/>
        <v>1</v>
      </c>
      <c r="V1051" t="str">
        <f>IF(Table1[appointment_status]="Attended","1","0")</f>
        <v>1</v>
      </c>
      <c r="W1051" t="str">
        <f>IF(Table1[appointment_status]="Cancelled","1","0")</f>
        <v>0</v>
      </c>
    </row>
    <row r="1052" spans="1:23">
      <c r="A1052" t="s">
        <v>1870</v>
      </c>
      <c r="B1052" t="s">
        <v>1871</v>
      </c>
      <c r="C1052">
        <v>65</v>
      </c>
      <c r="D1052" t="str" cm="1">
        <f t="array" ref="D1052">_xlfn.IFS(Table1[[#This Row],[age]]&lt;=17,"0-17",C1052&lt;=29,"18-29",C1052&lt;=44,"30-44",C1052&lt;=59,"45-59",C1052&lt;=74,"60-74",TRUE,"75+")</f>
        <v>60-74</v>
      </c>
      <c r="E1052" t="s">
        <v>29</v>
      </c>
      <c r="F1052">
        <v>3</v>
      </c>
      <c r="G1052" t="str" cm="1">
        <f t="array" ref="G1052">_xlfn.IFS(_xlfn.SINGLE(Table1[imd_decile])&lt;=3,"Most Deprived",F1052&lt;=7,"Moderately Deprived",F1052&lt;=10,"Least Deprived")</f>
        <v>Most Deprived</v>
      </c>
      <c r="H1052">
        <v>3.6</v>
      </c>
      <c r="I1052" t="s">
        <v>58</v>
      </c>
      <c r="J1052" t="s">
        <v>19</v>
      </c>
      <c r="K1052" s="1">
        <v>45811</v>
      </c>
      <c r="L1052" s="1">
        <v>45820</v>
      </c>
      <c r="M1052" s="1" t="str">
        <f>TEXT(Table1[[#This Row],[appointment_date]],"MM/YYYY")</f>
        <v>06/2025</v>
      </c>
      <c r="N1052">
        <v>9</v>
      </c>
      <c r="O1052" t="str" cm="1">
        <f t="array" ref="O1052">_xlfn.IFS(Table1[[#This Row],[lead_time_days]]&lt;=7,"0-7 days",N1052&lt;=14,"8-14 days",N1052&lt;=30,"15-30 days",N1052&lt;=60,"31-60 days",TRUE,"61+ days")</f>
        <v>8-14 days</v>
      </c>
      <c r="P1052" t="s">
        <v>20</v>
      </c>
      <c r="Q1052" t="s">
        <v>21</v>
      </c>
      <c r="R1052">
        <v>1</v>
      </c>
      <c r="S1052" t="str">
        <f>IF(Table1[prior_dna_count]&gt;=1,"Has prior DNA history","No prior DNA history")</f>
        <v>Has prior DNA history</v>
      </c>
      <c r="T1052" t="s">
        <v>22</v>
      </c>
      <c r="U1052" t="str">
        <f t="shared" si="16"/>
        <v>1</v>
      </c>
      <c r="V1052" t="str">
        <f>IF(Table1[appointment_status]="Attended","1","0")</f>
        <v>1</v>
      </c>
      <c r="W1052" t="str">
        <f>IF(Table1[appointment_status]="Cancelled","1","0")</f>
        <v>0</v>
      </c>
    </row>
    <row r="1053" spans="1:23">
      <c r="A1053" t="s">
        <v>1872</v>
      </c>
      <c r="B1053" t="s">
        <v>1873</v>
      </c>
      <c r="C1053">
        <v>81</v>
      </c>
      <c r="D1053" t="str" cm="1">
        <f t="array" ref="D1053">_xlfn.IFS(Table1[[#This Row],[age]]&lt;=17,"0-17",C1053&lt;=29,"18-29",C1053&lt;=44,"30-44",C1053&lt;=59,"45-59",C1053&lt;=74,"60-74",TRUE,"75+")</f>
        <v>75+</v>
      </c>
      <c r="E1053" t="s">
        <v>29</v>
      </c>
      <c r="F1053">
        <v>7</v>
      </c>
      <c r="G1053" t="str" cm="1">
        <f t="array" ref="G1053">_xlfn.IFS(_xlfn.SINGLE(Table1[imd_decile])&lt;=3,"Most Deprived",F1053&lt;=7,"Moderately Deprived",F1053&lt;=10,"Least Deprived")</f>
        <v>Moderately Deprived</v>
      </c>
      <c r="H1053">
        <v>6.6</v>
      </c>
      <c r="I1053" t="s">
        <v>45</v>
      </c>
      <c r="J1053" t="s">
        <v>19</v>
      </c>
      <c r="K1053" s="1">
        <v>45756</v>
      </c>
      <c r="L1053" s="1">
        <v>45820</v>
      </c>
      <c r="M1053" s="1" t="str">
        <f>TEXT(Table1[[#This Row],[appointment_date]],"MM/YYYY")</f>
        <v>06/2025</v>
      </c>
      <c r="N1053">
        <v>64</v>
      </c>
      <c r="O1053" t="str" cm="1">
        <f t="array" ref="O1053">_xlfn.IFS(Table1[[#This Row],[lead_time_days]]&lt;=7,"0-7 days",N1053&lt;=14,"8-14 days",N1053&lt;=30,"15-30 days",N1053&lt;=60,"31-60 days",TRUE,"61+ days")</f>
        <v>61+ days</v>
      </c>
      <c r="P1053" t="s">
        <v>20</v>
      </c>
      <c r="Q1053" t="s">
        <v>21</v>
      </c>
      <c r="R1053">
        <v>0</v>
      </c>
      <c r="S1053" t="str">
        <f>IF(Table1[prior_dna_count]&gt;=1,"Has prior DNA history","No prior DNA history")</f>
        <v>No prior DNA history</v>
      </c>
      <c r="T1053" t="s">
        <v>39</v>
      </c>
      <c r="U1053" t="str">
        <f t="shared" si="16"/>
        <v>1</v>
      </c>
      <c r="V1053" t="str">
        <f>IF(Table1[appointment_status]="Attended","1","0")</f>
        <v>0</v>
      </c>
      <c r="W1053" t="str">
        <f>IF(Table1[appointment_status]="Cancelled","1","0")</f>
        <v>0</v>
      </c>
    </row>
    <row r="1054" spans="1:23">
      <c r="A1054" t="s">
        <v>1874</v>
      </c>
      <c r="B1054" t="s">
        <v>995</v>
      </c>
      <c r="C1054">
        <v>36</v>
      </c>
      <c r="D1054" t="str" cm="1">
        <f t="array" ref="D1054">_xlfn.IFS(Table1[[#This Row],[age]]&lt;=17,"0-17",C1054&lt;=29,"18-29",C1054&lt;=44,"30-44",C1054&lt;=59,"45-59",C1054&lt;=74,"60-74",TRUE,"75+")</f>
        <v>30-44</v>
      </c>
      <c r="E1054" t="s">
        <v>29</v>
      </c>
      <c r="F1054">
        <v>7</v>
      </c>
      <c r="G1054" t="str" cm="1">
        <f t="array" ref="G1054">_xlfn.IFS(_xlfn.SINGLE(Table1[imd_decile])&lt;=3,"Most Deprived",F1054&lt;=7,"Moderately Deprived",F1054&lt;=10,"Least Deprived")</f>
        <v>Moderately Deprived</v>
      </c>
      <c r="H1054">
        <v>1</v>
      </c>
      <c r="I1054" t="s">
        <v>91</v>
      </c>
      <c r="J1054" t="s">
        <v>26</v>
      </c>
      <c r="K1054" s="1">
        <v>45816</v>
      </c>
      <c r="L1054" s="1">
        <v>45821</v>
      </c>
      <c r="M1054" s="1" t="str">
        <f>TEXT(Table1[[#This Row],[appointment_date]],"MM/YYYY")</f>
        <v>06/2025</v>
      </c>
      <c r="N1054">
        <v>5</v>
      </c>
      <c r="O1054" t="str" cm="1">
        <f t="array" ref="O1054">_xlfn.IFS(Table1[[#This Row],[lead_time_days]]&lt;=7,"0-7 days",N1054&lt;=14,"8-14 days",N1054&lt;=30,"15-30 days",N1054&lt;=60,"31-60 days",TRUE,"61+ days")</f>
        <v>0-7 days</v>
      </c>
      <c r="P1054" t="s">
        <v>52</v>
      </c>
      <c r="Q1054" t="s">
        <v>21</v>
      </c>
      <c r="R1054">
        <v>0</v>
      </c>
      <c r="S1054" t="str">
        <f>IF(Table1[prior_dna_count]&gt;=1,"Has prior DNA history","No prior DNA history")</f>
        <v>No prior DNA history</v>
      </c>
      <c r="T1054" t="s">
        <v>22</v>
      </c>
      <c r="U1054" t="str">
        <f t="shared" si="16"/>
        <v>0</v>
      </c>
      <c r="V1054" t="str">
        <f>IF(Table1[appointment_status]="Attended","1","0")</f>
        <v>1</v>
      </c>
      <c r="W1054" t="str">
        <f>IF(Table1[appointment_status]="Cancelled","1","0")</f>
        <v>0</v>
      </c>
    </row>
    <row r="1055" spans="1:23">
      <c r="A1055" t="s">
        <v>1875</v>
      </c>
      <c r="B1055" t="s">
        <v>1876</v>
      </c>
      <c r="C1055">
        <v>61</v>
      </c>
      <c r="D1055" t="str" cm="1">
        <f t="array" ref="D1055">_xlfn.IFS(Table1[[#This Row],[age]]&lt;=17,"0-17",C1055&lt;=29,"18-29",C1055&lt;=44,"30-44",C1055&lt;=59,"45-59",C1055&lt;=74,"60-74",TRUE,"75+")</f>
        <v>60-74</v>
      </c>
      <c r="E1055" t="s">
        <v>17</v>
      </c>
      <c r="F1055">
        <v>5</v>
      </c>
      <c r="G1055" t="str" cm="1">
        <f t="array" ref="G1055">_xlfn.IFS(_xlfn.SINGLE(Table1[imd_decile])&lt;=3,"Most Deprived",F1055&lt;=7,"Moderately Deprived",F1055&lt;=10,"Least Deprived")</f>
        <v>Moderately Deprived</v>
      </c>
      <c r="H1055">
        <v>0.5</v>
      </c>
      <c r="I1055" t="s">
        <v>49</v>
      </c>
      <c r="J1055" t="s">
        <v>19</v>
      </c>
      <c r="K1055" s="1">
        <v>45771</v>
      </c>
      <c r="L1055" s="1">
        <v>45821</v>
      </c>
      <c r="M1055" s="1" t="str">
        <f>TEXT(Table1[[#This Row],[appointment_date]],"MM/YYYY")</f>
        <v>06/2025</v>
      </c>
      <c r="N1055">
        <v>50</v>
      </c>
      <c r="O1055" t="str" cm="1">
        <f t="array" ref="O1055">_xlfn.IFS(Table1[[#This Row],[lead_time_days]]&lt;=7,"0-7 days",N1055&lt;=14,"8-14 days",N1055&lt;=30,"15-30 days",N1055&lt;=60,"31-60 days",TRUE,"61+ days")</f>
        <v>31-60 days</v>
      </c>
      <c r="P1055" t="s">
        <v>52</v>
      </c>
      <c r="Q1055" t="s">
        <v>21</v>
      </c>
      <c r="R1055">
        <v>0</v>
      </c>
      <c r="S1055" t="str">
        <f>IF(Table1[prior_dna_count]&gt;=1,"Has prior DNA history","No prior DNA history")</f>
        <v>No prior DNA history</v>
      </c>
      <c r="T1055" t="s">
        <v>22</v>
      </c>
      <c r="U1055" t="str">
        <f t="shared" si="16"/>
        <v>1</v>
      </c>
      <c r="V1055" t="str">
        <f>IF(Table1[appointment_status]="Attended","1","0")</f>
        <v>1</v>
      </c>
      <c r="W1055" t="str">
        <f>IF(Table1[appointment_status]="Cancelled","1","0")</f>
        <v>0</v>
      </c>
    </row>
    <row r="1056" spans="1:23">
      <c r="A1056" t="s">
        <v>1877</v>
      </c>
      <c r="B1056" t="s">
        <v>617</v>
      </c>
      <c r="C1056">
        <v>32</v>
      </c>
      <c r="D1056" t="str" cm="1">
        <f t="array" ref="D1056">_xlfn.IFS(Table1[[#This Row],[age]]&lt;=17,"0-17",C1056&lt;=29,"18-29",C1056&lt;=44,"30-44",C1056&lt;=59,"45-59",C1056&lt;=74,"60-74",TRUE,"75+")</f>
        <v>30-44</v>
      </c>
      <c r="E1056" t="s">
        <v>17</v>
      </c>
      <c r="F1056">
        <v>2</v>
      </c>
      <c r="G1056" t="str" cm="1">
        <f t="array" ref="G1056">_xlfn.IFS(_xlfn.SINGLE(Table1[imd_decile])&lt;=3,"Most Deprived",F1056&lt;=7,"Moderately Deprived",F1056&lt;=10,"Least Deprived")</f>
        <v>Most Deprived</v>
      </c>
      <c r="H1056">
        <v>10.9</v>
      </c>
      <c r="I1056" t="s">
        <v>58</v>
      </c>
      <c r="J1056" t="s">
        <v>19</v>
      </c>
      <c r="K1056" s="1">
        <v>45766</v>
      </c>
      <c r="L1056" s="1">
        <v>45821</v>
      </c>
      <c r="M1056" s="1" t="str">
        <f>TEXT(Table1[[#This Row],[appointment_date]],"MM/YYYY")</f>
        <v>06/2025</v>
      </c>
      <c r="N1056">
        <v>55</v>
      </c>
      <c r="O1056" t="str" cm="1">
        <f t="array" ref="O1056">_xlfn.IFS(Table1[[#This Row],[lead_time_days]]&lt;=7,"0-7 days",N1056&lt;=14,"8-14 days",N1056&lt;=30,"15-30 days",N1056&lt;=60,"31-60 days",TRUE,"61+ days")</f>
        <v>31-60 days</v>
      </c>
      <c r="P1056" t="s">
        <v>52</v>
      </c>
      <c r="Q1056" t="s">
        <v>21</v>
      </c>
      <c r="R1056">
        <v>1</v>
      </c>
      <c r="S1056" t="str">
        <f>IF(Table1[prior_dna_count]&gt;=1,"Has prior DNA history","No prior DNA history")</f>
        <v>Has prior DNA history</v>
      </c>
      <c r="T1056" t="s">
        <v>22</v>
      </c>
      <c r="U1056" t="str">
        <f t="shared" si="16"/>
        <v>1</v>
      </c>
      <c r="V1056" t="str">
        <f>IF(Table1[appointment_status]="Attended","1","0")</f>
        <v>1</v>
      </c>
      <c r="W1056" t="str">
        <f>IF(Table1[appointment_status]="Cancelled","1","0")</f>
        <v>0</v>
      </c>
    </row>
    <row r="1057" spans="1:23">
      <c r="A1057" t="s">
        <v>1878</v>
      </c>
      <c r="B1057" t="s">
        <v>1879</v>
      </c>
      <c r="C1057">
        <v>56</v>
      </c>
      <c r="D1057" t="str" cm="1">
        <f t="array" ref="D1057">_xlfn.IFS(Table1[[#This Row],[age]]&lt;=17,"0-17",C1057&lt;=29,"18-29",C1057&lt;=44,"30-44",C1057&lt;=59,"45-59",C1057&lt;=74,"60-74",TRUE,"75+")</f>
        <v>45-59</v>
      </c>
      <c r="E1057" t="s">
        <v>29</v>
      </c>
      <c r="F1057">
        <v>6</v>
      </c>
      <c r="G1057" t="str" cm="1">
        <f t="array" ref="G1057">_xlfn.IFS(_xlfn.SINGLE(Table1[imd_decile])&lt;=3,"Most Deprived",F1057&lt;=7,"Moderately Deprived",F1057&lt;=10,"Least Deprived")</f>
        <v>Moderately Deprived</v>
      </c>
      <c r="H1057">
        <v>12.5</v>
      </c>
      <c r="I1057" t="s">
        <v>30</v>
      </c>
      <c r="J1057" t="s">
        <v>19</v>
      </c>
      <c r="K1057" s="1">
        <v>45805</v>
      </c>
      <c r="L1057" s="1">
        <v>45821</v>
      </c>
      <c r="M1057" s="1" t="str">
        <f>TEXT(Table1[[#This Row],[appointment_date]],"MM/YYYY")</f>
        <v>06/2025</v>
      </c>
      <c r="N1057">
        <v>16</v>
      </c>
      <c r="O1057" t="str" cm="1">
        <f t="array" ref="O1057">_xlfn.IFS(Table1[[#This Row],[lead_time_days]]&lt;=7,"0-7 days",N1057&lt;=14,"8-14 days",N1057&lt;=30,"15-30 days",N1057&lt;=60,"31-60 days",TRUE,"61+ days")</f>
        <v>15-30 days</v>
      </c>
      <c r="P1057" t="s">
        <v>52</v>
      </c>
      <c r="Q1057" t="s">
        <v>21</v>
      </c>
      <c r="R1057">
        <v>0</v>
      </c>
      <c r="S1057" t="str">
        <f>IF(Table1[prior_dna_count]&gt;=1,"Has prior DNA history","No prior DNA history")</f>
        <v>No prior DNA history</v>
      </c>
      <c r="T1057" t="s">
        <v>46</v>
      </c>
      <c r="U1057" t="str">
        <f t="shared" si="16"/>
        <v>1</v>
      </c>
      <c r="V1057" t="str">
        <f>IF(Table1[appointment_status]="Attended","1","0")</f>
        <v>0</v>
      </c>
      <c r="W1057" t="str">
        <f>IF(Table1[appointment_status]="Cancelled","1","0")</f>
        <v>1</v>
      </c>
    </row>
    <row r="1058" spans="1:23">
      <c r="A1058" t="s">
        <v>1880</v>
      </c>
      <c r="B1058" t="s">
        <v>1881</v>
      </c>
      <c r="C1058">
        <v>44</v>
      </c>
      <c r="D1058" t="str" cm="1">
        <f t="array" ref="D1058">_xlfn.IFS(Table1[[#This Row],[age]]&lt;=17,"0-17",C1058&lt;=29,"18-29",C1058&lt;=44,"30-44",C1058&lt;=59,"45-59",C1058&lt;=74,"60-74",TRUE,"75+")</f>
        <v>30-44</v>
      </c>
      <c r="E1058" t="s">
        <v>29</v>
      </c>
      <c r="F1058">
        <v>7</v>
      </c>
      <c r="G1058" t="str" cm="1">
        <f t="array" ref="G1058">_xlfn.IFS(_xlfn.SINGLE(Table1[imd_decile])&lt;=3,"Most Deprived",F1058&lt;=7,"Moderately Deprived",F1058&lt;=10,"Least Deprived")</f>
        <v>Moderately Deprived</v>
      </c>
      <c r="H1058">
        <v>11.1</v>
      </c>
      <c r="I1058" t="s">
        <v>155</v>
      </c>
      <c r="J1058" t="s">
        <v>19</v>
      </c>
      <c r="K1058" s="1">
        <v>45794</v>
      </c>
      <c r="L1058" s="1">
        <v>45821</v>
      </c>
      <c r="M1058" s="1" t="str">
        <f>TEXT(Table1[[#This Row],[appointment_date]],"MM/YYYY")</f>
        <v>06/2025</v>
      </c>
      <c r="N1058">
        <v>27</v>
      </c>
      <c r="O1058" t="str" cm="1">
        <f t="array" ref="O1058">_xlfn.IFS(Table1[[#This Row],[lead_time_days]]&lt;=7,"0-7 days",N1058&lt;=14,"8-14 days",N1058&lt;=30,"15-30 days",N1058&lt;=60,"31-60 days",TRUE,"61+ days")</f>
        <v>15-30 days</v>
      </c>
      <c r="P1058" t="s">
        <v>52</v>
      </c>
      <c r="Q1058" t="s">
        <v>21</v>
      </c>
      <c r="R1058">
        <v>0</v>
      </c>
      <c r="S1058" t="str">
        <f>IF(Table1[prior_dna_count]&gt;=1,"Has prior DNA history","No prior DNA history")</f>
        <v>No prior DNA history</v>
      </c>
      <c r="T1058" t="s">
        <v>22</v>
      </c>
      <c r="U1058" t="str">
        <f t="shared" si="16"/>
        <v>0</v>
      </c>
      <c r="V1058" t="str">
        <f>IF(Table1[appointment_status]="Attended","1","0")</f>
        <v>1</v>
      </c>
      <c r="W1058" t="str">
        <f>IF(Table1[appointment_status]="Cancelled","1","0")</f>
        <v>0</v>
      </c>
    </row>
    <row r="1059" spans="1:23">
      <c r="A1059" t="s">
        <v>1882</v>
      </c>
      <c r="B1059" t="s">
        <v>987</v>
      </c>
      <c r="C1059">
        <v>75</v>
      </c>
      <c r="D1059" t="str" cm="1">
        <f t="array" ref="D1059">_xlfn.IFS(Table1[[#This Row],[age]]&lt;=17,"0-17",C1059&lt;=29,"18-29",C1059&lt;=44,"30-44",C1059&lt;=59,"45-59",C1059&lt;=74,"60-74",TRUE,"75+")</f>
        <v>75+</v>
      </c>
      <c r="E1059" t="s">
        <v>29</v>
      </c>
      <c r="F1059">
        <v>7</v>
      </c>
      <c r="G1059" t="str" cm="1">
        <f t="array" ref="G1059">_xlfn.IFS(_xlfn.SINGLE(Table1[imd_decile])&lt;=3,"Most Deprived",F1059&lt;=7,"Moderately Deprived",F1059&lt;=10,"Least Deprived")</f>
        <v>Moderately Deprived</v>
      </c>
      <c r="H1059">
        <v>8.9</v>
      </c>
      <c r="I1059" t="s">
        <v>38</v>
      </c>
      <c r="J1059" t="s">
        <v>26</v>
      </c>
      <c r="K1059" s="1">
        <v>45784</v>
      </c>
      <c r="L1059" s="1">
        <v>45821</v>
      </c>
      <c r="M1059" s="1" t="str">
        <f>TEXT(Table1[[#This Row],[appointment_date]],"MM/YYYY")</f>
        <v>06/2025</v>
      </c>
      <c r="N1059">
        <v>37</v>
      </c>
      <c r="O1059" t="str" cm="1">
        <f t="array" ref="O1059">_xlfn.IFS(Table1[[#This Row],[lead_time_days]]&lt;=7,"0-7 days",N1059&lt;=14,"8-14 days",N1059&lt;=30,"15-30 days",N1059&lt;=60,"31-60 days",TRUE,"61+ days")</f>
        <v>31-60 days</v>
      </c>
      <c r="P1059" t="s">
        <v>52</v>
      </c>
      <c r="Q1059" t="s">
        <v>21</v>
      </c>
      <c r="R1059">
        <v>1</v>
      </c>
      <c r="S1059" t="str">
        <f>IF(Table1[prior_dna_count]&gt;=1,"Has prior DNA history","No prior DNA history")</f>
        <v>Has prior DNA history</v>
      </c>
      <c r="T1059" t="s">
        <v>22</v>
      </c>
      <c r="U1059" t="str">
        <f t="shared" si="16"/>
        <v>1</v>
      </c>
      <c r="V1059" t="str">
        <f>IF(Table1[appointment_status]="Attended","1","0")</f>
        <v>1</v>
      </c>
      <c r="W1059" t="str">
        <f>IF(Table1[appointment_status]="Cancelled","1","0")</f>
        <v>0</v>
      </c>
    </row>
    <row r="1060" spans="1:23">
      <c r="A1060" t="s">
        <v>1883</v>
      </c>
      <c r="B1060" t="s">
        <v>1884</v>
      </c>
      <c r="C1060">
        <v>53</v>
      </c>
      <c r="D1060" t="str" cm="1">
        <f t="array" ref="D1060">_xlfn.IFS(Table1[[#This Row],[age]]&lt;=17,"0-17",C1060&lt;=29,"18-29",C1060&lt;=44,"30-44",C1060&lt;=59,"45-59",C1060&lt;=74,"60-74",TRUE,"75+")</f>
        <v>45-59</v>
      </c>
      <c r="E1060" t="s">
        <v>17</v>
      </c>
      <c r="F1060">
        <v>10</v>
      </c>
      <c r="G1060" t="str" cm="1">
        <f t="array" ref="G1060">_xlfn.IFS(_xlfn.SINGLE(Table1[imd_decile])&lt;=3,"Most Deprived",F1060&lt;=7,"Moderately Deprived",F1060&lt;=10,"Least Deprived")</f>
        <v>Least Deprived</v>
      </c>
      <c r="H1060">
        <v>14.7</v>
      </c>
      <c r="I1060" t="s">
        <v>18</v>
      </c>
      <c r="J1060" t="s">
        <v>26</v>
      </c>
      <c r="K1060" s="1">
        <v>45816</v>
      </c>
      <c r="L1060" s="1">
        <v>45822</v>
      </c>
      <c r="M1060" s="1" t="str">
        <f>TEXT(Table1[[#This Row],[appointment_date]],"MM/YYYY")</f>
        <v>06/2025</v>
      </c>
      <c r="N1060">
        <v>6</v>
      </c>
      <c r="O1060" t="str" cm="1">
        <f t="array" ref="O1060">_xlfn.IFS(Table1[[#This Row],[lead_time_days]]&lt;=7,"0-7 days",N1060&lt;=14,"8-14 days",N1060&lt;=30,"15-30 days",N1060&lt;=60,"31-60 days",TRUE,"61+ days")</f>
        <v>0-7 days</v>
      </c>
      <c r="P1060" t="s">
        <v>55</v>
      </c>
      <c r="Q1060" t="s">
        <v>21</v>
      </c>
      <c r="R1060">
        <v>0</v>
      </c>
      <c r="S1060" t="str">
        <f>IF(Table1[prior_dna_count]&gt;=1,"Has prior DNA history","No prior DNA history")</f>
        <v>No prior DNA history</v>
      </c>
      <c r="T1060" t="s">
        <v>46</v>
      </c>
      <c r="U1060" t="str">
        <f t="shared" si="16"/>
        <v>1</v>
      </c>
      <c r="V1060" t="str">
        <f>IF(Table1[appointment_status]="Attended","1","0")</f>
        <v>0</v>
      </c>
      <c r="W1060" t="str">
        <f>IF(Table1[appointment_status]="Cancelled","1","0")</f>
        <v>1</v>
      </c>
    </row>
    <row r="1061" spans="1:23">
      <c r="A1061" t="s">
        <v>1885</v>
      </c>
      <c r="B1061" t="s">
        <v>1886</v>
      </c>
      <c r="C1061">
        <v>42</v>
      </c>
      <c r="D1061" t="str" cm="1">
        <f t="array" ref="D1061">_xlfn.IFS(Table1[[#This Row],[age]]&lt;=17,"0-17",C1061&lt;=29,"18-29",C1061&lt;=44,"30-44",C1061&lt;=59,"45-59",C1061&lt;=74,"60-74",TRUE,"75+")</f>
        <v>30-44</v>
      </c>
      <c r="E1061" t="s">
        <v>17</v>
      </c>
      <c r="F1061">
        <v>4</v>
      </c>
      <c r="G1061" t="str" cm="1">
        <f t="array" ref="G1061">_xlfn.IFS(_xlfn.SINGLE(Table1[imd_decile])&lt;=3,"Most Deprived",F1061&lt;=7,"Moderately Deprived",F1061&lt;=10,"Least Deprived")</f>
        <v>Moderately Deprived</v>
      </c>
      <c r="H1061">
        <v>10.199999999999999</v>
      </c>
      <c r="I1061" t="s">
        <v>25</v>
      </c>
      <c r="J1061" t="s">
        <v>26</v>
      </c>
      <c r="K1061" s="1">
        <v>45820</v>
      </c>
      <c r="L1061" s="1">
        <v>45822</v>
      </c>
      <c r="M1061" s="1" t="str">
        <f>TEXT(Table1[[#This Row],[appointment_date]],"MM/YYYY")</f>
        <v>06/2025</v>
      </c>
      <c r="N1061">
        <v>2</v>
      </c>
      <c r="O1061" t="str" cm="1">
        <f t="array" ref="O1061">_xlfn.IFS(Table1[[#This Row],[lead_time_days]]&lt;=7,"0-7 days",N1061&lt;=14,"8-14 days",N1061&lt;=30,"15-30 days",N1061&lt;=60,"31-60 days",TRUE,"61+ days")</f>
        <v>0-7 days</v>
      </c>
      <c r="P1061" t="s">
        <v>55</v>
      </c>
      <c r="Q1061" t="s">
        <v>21</v>
      </c>
      <c r="R1061">
        <v>0</v>
      </c>
      <c r="S1061" t="str">
        <f>IF(Table1[prior_dna_count]&gt;=1,"Has prior DNA history","No prior DNA history")</f>
        <v>No prior DNA history</v>
      </c>
      <c r="T1061" t="s">
        <v>22</v>
      </c>
      <c r="U1061" t="str">
        <f t="shared" si="16"/>
        <v>0</v>
      </c>
      <c r="V1061" t="str">
        <f>IF(Table1[appointment_status]="Attended","1","0")</f>
        <v>1</v>
      </c>
      <c r="W1061" t="str">
        <f>IF(Table1[appointment_status]="Cancelled","1","0")</f>
        <v>0</v>
      </c>
    </row>
    <row r="1062" spans="1:23">
      <c r="A1062" t="s">
        <v>1887</v>
      </c>
      <c r="B1062" t="s">
        <v>537</v>
      </c>
      <c r="C1062">
        <v>25</v>
      </c>
      <c r="D1062" t="str" cm="1">
        <f t="array" ref="D1062">_xlfn.IFS(Table1[[#This Row],[age]]&lt;=17,"0-17",C1062&lt;=29,"18-29",C1062&lt;=44,"30-44",C1062&lt;=59,"45-59",C1062&lt;=74,"60-74",TRUE,"75+")</f>
        <v>18-29</v>
      </c>
      <c r="E1062" t="s">
        <v>29</v>
      </c>
      <c r="F1062">
        <v>1</v>
      </c>
      <c r="G1062" t="str" cm="1">
        <f t="array" ref="G1062">_xlfn.IFS(_xlfn.SINGLE(Table1[imd_decile])&lt;=3,"Most Deprived",F1062&lt;=7,"Moderately Deprived",F1062&lt;=10,"Least Deprived")</f>
        <v>Most Deprived</v>
      </c>
      <c r="H1062">
        <v>18.3</v>
      </c>
      <c r="I1062" t="s">
        <v>58</v>
      </c>
      <c r="J1062" t="s">
        <v>19</v>
      </c>
      <c r="K1062" s="1">
        <v>45812</v>
      </c>
      <c r="L1062" s="1">
        <v>45822</v>
      </c>
      <c r="M1062" s="1" t="str">
        <f>TEXT(Table1[[#This Row],[appointment_date]],"MM/YYYY")</f>
        <v>06/2025</v>
      </c>
      <c r="N1062">
        <v>10</v>
      </c>
      <c r="O1062" t="str" cm="1">
        <f t="array" ref="O1062">_xlfn.IFS(Table1[[#This Row],[lead_time_days]]&lt;=7,"0-7 days",N1062&lt;=14,"8-14 days",N1062&lt;=30,"15-30 days",N1062&lt;=60,"31-60 days",TRUE,"61+ days")</f>
        <v>8-14 days</v>
      </c>
      <c r="P1062" t="s">
        <v>55</v>
      </c>
      <c r="Q1062" t="s">
        <v>21</v>
      </c>
      <c r="R1062">
        <v>0</v>
      </c>
      <c r="S1062" t="str">
        <f>IF(Table1[prior_dna_count]&gt;=1,"Has prior DNA history","No prior DNA history")</f>
        <v>No prior DNA history</v>
      </c>
      <c r="T1062" t="s">
        <v>22</v>
      </c>
      <c r="U1062" t="str">
        <f t="shared" si="16"/>
        <v>1</v>
      </c>
      <c r="V1062" t="str">
        <f>IF(Table1[appointment_status]="Attended","1","0")</f>
        <v>1</v>
      </c>
      <c r="W1062" t="str">
        <f>IF(Table1[appointment_status]="Cancelled","1","0")</f>
        <v>0</v>
      </c>
    </row>
    <row r="1063" spans="1:23">
      <c r="A1063" t="s">
        <v>1888</v>
      </c>
      <c r="B1063" t="s">
        <v>1622</v>
      </c>
      <c r="C1063">
        <v>53</v>
      </c>
      <c r="D1063" t="str" cm="1">
        <f t="array" ref="D1063">_xlfn.IFS(Table1[[#This Row],[age]]&lt;=17,"0-17",C1063&lt;=29,"18-29",C1063&lt;=44,"30-44",C1063&lt;=59,"45-59",C1063&lt;=74,"60-74",TRUE,"75+")</f>
        <v>45-59</v>
      </c>
      <c r="E1063" t="s">
        <v>29</v>
      </c>
      <c r="F1063">
        <v>8</v>
      </c>
      <c r="G1063" t="str" cm="1">
        <f t="array" ref="G1063">_xlfn.IFS(_xlfn.SINGLE(Table1[imd_decile])&lt;=3,"Most Deprived",F1063&lt;=7,"Moderately Deprived",F1063&lt;=10,"Least Deprived")</f>
        <v>Least Deprived</v>
      </c>
      <c r="H1063">
        <v>3.3</v>
      </c>
      <c r="I1063" t="s">
        <v>42</v>
      </c>
      <c r="J1063" t="s">
        <v>19</v>
      </c>
      <c r="K1063" s="1">
        <v>45789</v>
      </c>
      <c r="L1063" s="1">
        <v>45822</v>
      </c>
      <c r="M1063" s="1" t="str">
        <f>TEXT(Table1[[#This Row],[appointment_date]],"MM/YYYY")</f>
        <v>06/2025</v>
      </c>
      <c r="N1063">
        <v>33</v>
      </c>
      <c r="O1063" t="str" cm="1">
        <f t="array" ref="O1063">_xlfn.IFS(Table1[[#This Row],[lead_time_days]]&lt;=7,"0-7 days",N1063&lt;=14,"8-14 days",N1063&lt;=30,"15-30 days",N1063&lt;=60,"31-60 days",TRUE,"61+ days")</f>
        <v>31-60 days</v>
      </c>
      <c r="P1063" t="s">
        <v>55</v>
      </c>
      <c r="Q1063" t="s">
        <v>21</v>
      </c>
      <c r="R1063">
        <v>0</v>
      </c>
      <c r="S1063" t="str">
        <f>IF(Table1[prior_dna_count]&gt;=1,"Has prior DNA history","No prior DNA history")</f>
        <v>No prior DNA history</v>
      </c>
      <c r="T1063" t="s">
        <v>22</v>
      </c>
      <c r="U1063" t="str">
        <f t="shared" si="16"/>
        <v>1</v>
      </c>
      <c r="V1063" t="str">
        <f>IF(Table1[appointment_status]="Attended","1","0")</f>
        <v>1</v>
      </c>
      <c r="W1063" t="str">
        <f>IF(Table1[appointment_status]="Cancelled","1","0")</f>
        <v>0</v>
      </c>
    </row>
    <row r="1064" spans="1:23">
      <c r="A1064" t="s">
        <v>1889</v>
      </c>
      <c r="B1064" t="s">
        <v>1890</v>
      </c>
      <c r="C1064">
        <v>27</v>
      </c>
      <c r="D1064" t="str" cm="1">
        <f t="array" ref="D1064">_xlfn.IFS(Table1[[#This Row],[age]]&lt;=17,"0-17",C1064&lt;=29,"18-29",C1064&lt;=44,"30-44",C1064&lt;=59,"45-59",C1064&lt;=74,"60-74",TRUE,"75+")</f>
        <v>18-29</v>
      </c>
      <c r="E1064" t="s">
        <v>17</v>
      </c>
      <c r="F1064">
        <v>10</v>
      </c>
      <c r="G1064" t="str" cm="1">
        <f t="array" ref="G1064">_xlfn.IFS(_xlfn.SINGLE(Table1[imd_decile])&lt;=3,"Most Deprived",F1064&lt;=7,"Moderately Deprived",F1064&lt;=10,"Least Deprived")</f>
        <v>Least Deprived</v>
      </c>
      <c r="H1064">
        <v>6.8</v>
      </c>
      <c r="I1064" t="s">
        <v>18</v>
      </c>
      <c r="J1064" t="s">
        <v>19</v>
      </c>
      <c r="K1064" s="1">
        <v>45780</v>
      </c>
      <c r="L1064" s="1">
        <v>45822</v>
      </c>
      <c r="M1064" s="1" t="str">
        <f>TEXT(Table1[[#This Row],[appointment_date]],"MM/YYYY")</f>
        <v>06/2025</v>
      </c>
      <c r="N1064">
        <v>42</v>
      </c>
      <c r="O1064" t="str" cm="1">
        <f t="array" ref="O1064">_xlfn.IFS(Table1[[#This Row],[lead_time_days]]&lt;=7,"0-7 days",N1064&lt;=14,"8-14 days",N1064&lt;=30,"15-30 days",N1064&lt;=60,"31-60 days",TRUE,"61+ days")</f>
        <v>31-60 days</v>
      </c>
      <c r="P1064" t="s">
        <v>55</v>
      </c>
      <c r="Q1064" t="s">
        <v>32</v>
      </c>
      <c r="R1064">
        <v>0</v>
      </c>
      <c r="S1064" t="str">
        <f>IF(Table1[prior_dna_count]&gt;=1,"Has prior DNA history","No prior DNA history")</f>
        <v>No prior DNA history</v>
      </c>
      <c r="T1064" t="s">
        <v>22</v>
      </c>
      <c r="U1064" t="str">
        <f t="shared" si="16"/>
        <v>1</v>
      </c>
      <c r="V1064" t="str">
        <f>IF(Table1[appointment_status]="Attended","1","0")</f>
        <v>1</v>
      </c>
      <c r="W1064" t="str">
        <f>IF(Table1[appointment_status]="Cancelled","1","0")</f>
        <v>0</v>
      </c>
    </row>
    <row r="1065" spans="1:23">
      <c r="A1065" t="s">
        <v>1891</v>
      </c>
      <c r="B1065" t="s">
        <v>1892</v>
      </c>
      <c r="C1065">
        <v>57</v>
      </c>
      <c r="D1065" t="str" cm="1">
        <f t="array" ref="D1065">_xlfn.IFS(Table1[[#This Row],[age]]&lt;=17,"0-17",C1065&lt;=29,"18-29",C1065&lt;=44,"30-44",C1065&lt;=59,"45-59",C1065&lt;=74,"60-74",TRUE,"75+")</f>
        <v>45-59</v>
      </c>
      <c r="E1065" t="s">
        <v>29</v>
      </c>
      <c r="F1065">
        <v>1</v>
      </c>
      <c r="G1065" t="str" cm="1">
        <f t="array" ref="G1065">_xlfn.IFS(_xlfn.SINGLE(Table1[imd_decile])&lt;=3,"Most Deprived",F1065&lt;=7,"Moderately Deprived",F1065&lt;=10,"Least Deprived")</f>
        <v>Most Deprived</v>
      </c>
      <c r="H1065">
        <v>5.4</v>
      </c>
      <c r="I1065" t="s">
        <v>58</v>
      </c>
      <c r="J1065" t="s">
        <v>26</v>
      </c>
      <c r="K1065" s="1">
        <v>45821</v>
      </c>
      <c r="L1065" s="1">
        <v>45822</v>
      </c>
      <c r="M1065" s="1" t="str">
        <f>TEXT(Table1[[#This Row],[appointment_date]],"MM/YYYY")</f>
        <v>06/2025</v>
      </c>
      <c r="N1065">
        <v>1</v>
      </c>
      <c r="O1065" t="str" cm="1">
        <f t="array" ref="O1065">_xlfn.IFS(Table1[[#This Row],[lead_time_days]]&lt;=7,"0-7 days",N1065&lt;=14,"8-14 days",N1065&lt;=30,"15-30 days",N1065&lt;=60,"31-60 days",TRUE,"61+ days")</f>
        <v>0-7 days</v>
      </c>
      <c r="P1065" t="s">
        <v>55</v>
      </c>
      <c r="Q1065" t="s">
        <v>21</v>
      </c>
      <c r="R1065">
        <v>0</v>
      </c>
      <c r="S1065" t="str">
        <f>IF(Table1[prior_dna_count]&gt;=1,"Has prior DNA history","No prior DNA history")</f>
        <v>No prior DNA history</v>
      </c>
      <c r="T1065" t="s">
        <v>22</v>
      </c>
      <c r="U1065" t="str">
        <f t="shared" si="16"/>
        <v>1</v>
      </c>
      <c r="V1065" t="str">
        <f>IF(Table1[appointment_status]="Attended","1","0")</f>
        <v>1</v>
      </c>
      <c r="W1065" t="str">
        <f>IF(Table1[appointment_status]="Cancelled","1","0")</f>
        <v>0</v>
      </c>
    </row>
    <row r="1066" spans="1:23">
      <c r="A1066" t="s">
        <v>1893</v>
      </c>
      <c r="B1066" t="s">
        <v>1894</v>
      </c>
      <c r="C1066">
        <v>52</v>
      </c>
      <c r="D1066" t="str" cm="1">
        <f t="array" ref="D1066">_xlfn.IFS(Table1[[#This Row],[age]]&lt;=17,"0-17",C1066&lt;=29,"18-29",C1066&lt;=44,"30-44",C1066&lt;=59,"45-59",C1066&lt;=74,"60-74",TRUE,"75+")</f>
        <v>45-59</v>
      </c>
      <c r="E1066" t="s">
        <v>17</v>
      </c>
      <c r="F1066">
        <v>8</v>
      </c>
      <c r="G1066" t="str" cm="1">
        <f t="array" ref="G1066">_xlfn.IFS(_xlfn.SINGLE(Table1[imd_decile])&lt;=3,"Most Deprived",F1066&lt;=7,"Moderately Deprived",F1066&lt;=10,"Least Deprived")</f>
        <v>Least Deprived</v>
      </c>
      <c r="H1066">
        <v>3.9</v>
      </c>
      <c r="I1066" t="s">
        <v>25</v>
      </c>
      <c r="J1066" t="s">
        <v>19</v>
      </c>
      <c r="K1066" s="1">
        <v>45781</v>
      </c>
      <c r="L1066" s="1">
        <v>45822</v>
      </c>
      <c r="M1066" s="1" t="str">
        <f>TEXT(Table1[[#This Row],[appointment_date]],"MM/YYYY")</f>
        <v>06/2025</v>
      </c>
      <c r="N1066">
        <v>41</v>
      </c>
      <c r="O1066" t="str" cm="1">
        <f t="array" ref="O1066">_xlfn.IFS(Table1[[#This Row],[lead_time_days]]&lt;=7,"0-7 days",N1066&lt;=14,"8-14 days",N1066&lt;=30,"15-30 days",N1066&lt;=60,"31-60 days",TRUE,"61+ days")</f>
        <v>31-60 days</v>
      </c>
      <c r="P1066" t="s">
        <v>55</v>
      </c>
      <c r="Q1066" t="s">
        <v>21</v>
      </c>
      <c r="R1066">
        <v>0</v>
      </c>
      <c r="S1066" t="str">
        <f>IF(Table1[prior_dna_count]&gt;=1,"Has prior DNA history","No prior DNA history")</f>
        <v>No prior DNA history</v>
      </c>
      <c r="T1066" t="s">
        <v>22</v>
      </c>
      <c r="U1066" t="str">
        <f t="shared" si="16"/>
        <v>1</v>
      </c>
      <c r="V1066" t="str">
        <f>IF(Table1[appointment_status]="Attended","1","0")</f>
        <v>1</v>
      </c>
      <c r="W1066" t="str">
        <f>IF(Table1[appointment_status]="Cancelled","1","0")</f>
        <v>0</v>
      </c>
    </row>
    <row r="1067" spans="1:23">
      <c r="A1067" t="s">
        <v>1895</v>
      </c>
      <c r="B1067" t="s">
        <v>1896</v>
      </c>
      <c r="C1067">
        <v>49</v>
      </c>
      <c r="D1067" t="str" cm="1">
        <f t="array" ref="D1067">_xlfn.IFS(Table1[[#This Row],[age]]&lt;=17,"0-17",C1067&lt;=29,"18-29",C1067&lt;=44,"30-44",C1067&lt;=59,"45-59",C1067&lt;=74,"60-74",TRUE,"75+")</f>
        <v>45-59</v>
      </c>
      <c r="E1067" t="s">
        <v>29</v>
      </c>
      <c r="F1067">
        <v>4</v>
      </c>
      <c r="G1067" t="str" cm="1">
        <f t="array" ref="G1067">_xlfn.IFS(_xlfn.SINGLE(Table1[imd_decile])&lt;=3,"Most Deprived",F1067&lt;=7,"Moderately Deprived",F1067&lt;=10,"Least Deprived")</f>
        <v>Moderately Deprived</v>
      </c>
      <c r="H1067">
        <v>5.9</v>
      </c>
      <c r="I1067" t="s">
        <v>155</v>
      </c>
      <c r="J1067" t="s">
        <v>19</v>
      </c>
      <c r="K1067" s="1">
        <v>45800</v>
      </c>
      <c r="L1067" s="1">
        <v>45823</v>
      </c>
      <c r="M1067" s="1" t="str">
        <f>TEXT(Table1[[#This Row],[appointment_date]],"MM/YYYY")</f>
        <v>06/2025</v>
      </c>
      <c r="N1067">
        <v>23</v>
      </c>
      <c r="O1067" t="str" cm="1">
        <f t="array" ref="O1067">_xlfn.IFS(Table1[[#This Row],[lead_time_days]]&lt;=7,"0-7 days",N1067&lt;=14,"8-14 days",N1067&lt;=30,"15-30 days",N1067&lt;=60,"31-60 days",TRUE,"61+ days")</f>
        <v>15-30 days</v>
      </c>
      <c r="P1067" t="s">
        <v>31</v>
      </c>
      <c r="Q1067" t="s">
        <v>21</v>
      </c>
      <c r="R1067">
        <v>0</v>
      </c>
      <c r="S1067" t="str">
        <f>IF(Table1[prior_dna_count]&gt;=1,"Has prior DNA history","No prior DNA history")</f>
        <v>No prior DNA history</v>
      </c>
      <c r="T1067" t="s">
        <v>22</v>
      </c>
      <c r="U1067" t="str">
        <f t="shared" si="16"/>
        <v>1</v>
      </c>
      <c r="V1067" t="str">
        <f>IF(Table1[appointment_status]="Attended","1","0")</f>
        <v>1</v>
      </c>
      <c r="W1067" t="str">
        <f>IF(Table1[appointment_status]="Cancelled","1","0")</f>
        <v>0</v>
      </c>
    </row>
    <row r="1068" spans="1:23">
      <c r="A1068" t="s">
        <v>1897</v>
      </c>
      <c r="B1068" t="s">
        <v>1898</v>
      </c>
      <c r="C1068">
        <v>41</v>
      </c>
      <c r="D1068" t="str" cm="1">
        <f t="array" ref="D1068">_xlfn.IFS(Table1[[#This Row],[age]]&lt;=17,"0-17",C1068&lt;=29,"18-29",C1068&lt;=44,"30-44",C1068&lt;=59,"45-59",C1068&lt;=74,"60-74",TRUE,"75+")</f>
        <v>30-44</v>
      </c>
      <c r="E1068" t="s">
        <v>29</v>
      </c>
      <c r="F1068">
        <v>10</v>
      </c>
      <c r="G1068" t="str" cm="1">
        <f t="array" ref="G1068">_xlfn.IFS(_xlfn.SINGLE(Table1[imd_decile])&lt;=3,"Most Deprived",F1068&lt;=7,"Moderately Deprived",F1068&lt;=10,"Least Deprived")</f>
        <v>Least Deprived</v>
      </c>
      <c r="H1068">
        <v>4.5999999999999996</v>
      </c>
      <c r="I1068" t="s">
        <v>58</v>
      </c>
      <c r="J1068" t="s">
        <v>19</v>
      </c>
      <c r="K1068" s="1">
        <v>45791</v>
      </c>
      <c r="L1068" s="1">
        <v>45823</v>
      </c>
      <c r="M1068" s="1" t="str">
        <f>TEXT(Table1[[#This Row],[appointment_date]],"MM/YYYY")</f>
        <v>06/2025</v>
      </c>
      <c r="N1068">
        <v>32</v>
      </c>
      <c r="O1068" t="str" cm="1">
        <f t="array" ref="O1068">_xlfn.IFS(Table1[[#This Row],[lead_time_days]]&lt;=7,"0-7 days",N1068&lt;=14,"8-14 days",N1068&lt;=30,"15-30 days",N1068&lt;=60,"31-60 days",TRUE,"61+ days")</f>
        <v>31-60 days</v>
      </c>
      <c r="P1068" t="s">
        <v>31</v>
      </c>
      <c r="Q1068" t="s">
        <v>21</v>
      </c>
      <c r="R1068">
        <v>0</v>
      </c>
      <c r="S1068" t="str">
        <f>IF(Table1[prior_dna_count]&gt;=1,"Has prior DNA history","No prior DNA history")</f>
        <v>No prior DNA history</v>
      </c>
      <c r="T1068" t="s">
        <v>22</v>
      </c>
      <c r="U1068" t="str">
        <f t="shared" si="16"/>
        <v>1</v>
      </c>
      <c r="V1068" t="str">
        <f>IF(Table1[appointment_status]="Attended","1","0")</f>
        <v>1</v>
      </c>
      <c r="W1068" t="str">
        <f>IF(Table1[appointment_status]="Cancelled","1","0")</f>
        <v>0</v>
      </c>
    </row>
    <row r="1069" spans="1:23">
      <c r="A1069" t="s">
        <v>1899</v>
      </c>
      <c r="B1069" t="s">
        <v>1900</v>
      </c>
      <c r="C1069">
        <v>51</v>
      </c>
      <c r="D1069" t="str" cm="1">
        <f t="array" ref="D1069">_xlfn.IFS(Table1[[#This Row],[age]]&lt;=17,"0-17",C1069&lt;=29,"18-29",C1069&lt;=44,"30-44",C1069&lt;=59,"45-59",C1069&lt;=74,"60-74",TRUE,"75+")</f>
        <v>45-59</v>
      </c>
      <c r="E1069" t="s">
        <v>17</v>
      </c>
      <c r="F1069">
        <v>4</v>
      </c>
      <c r="G1069" t="str" cm="1">
        <f t="array" ref="G1069">_xlfn.IFS(_xlfn.SINGLE(Table1[imd_decile])&lt;=3,"Most Deprived",F1069&lt;=7,"Moderately Deprived",F1069&lt;=10,"Least Deprived")</f>
        <v>Moderately Deprived</v>
      </c>
      <c r="H1069">
        <v>5.6</v>
      </c>
      <c r="I1069" t="s">
        <v>25</v>
      </c>
      <c r="J1069" t="s">
        <v>26</v>
      </c>
      <c r="K1069" s="1">
        <v>45816</v>
      </c>
      <c r="L1069" s="1">
        <v>45823</v>
      </c>
      <c r="M1069" s="1" t="str">
        <f>TEXT(Table1[[#This Row],[appointment_date]],"MM/YYYY")</f>
        <v>06/2025</v>
      </c>
      <c r="N1069">
        <v>7</v>
      </c>
      <c r="O1069" t="str" cm="1">
        <f t="array" ref="O1069">_xlfn.IFS(Table1[[#This Row],[lead_time_days]]&lt;=7,"0-7 days",N1069&lt;=14,"8-14 days",N1069&lt;=30,"15-30 days",N1069&lt;=60,"31-60 days",TRUE,"61+ days")</f>
        <v>0-7 days</v>
      </c>
      <c r="P1069" t="s">
        <v>31</v>
      </c>
      <c r="Q1069" t="s">
        <v>21</v>
      </c>
      <c r="R1069">
        <v>0</v>
      </c>
      <c r="S1069" t="str">
        <f>IF(Table1[prior_dna_count]&gt;=1,"Has prior DNA history","No prior DNA history")</f>
        <v>No prior DNA history</v>
      </c>
      <c r="T1069" t="s">
        <v>46</v>
      </c>
      <c r="U1069" t="str">
        <f t="shared" si="16"/>
        <v>1</v>
      </c>
      <c r="V1069" t="str">
        <f>IF(Table1[appointment_status]="Attended","1","0")</f>
        <v>0</v>
      </c>
      <c r="W1069" t="str">
        <f>IF(Table1[appointment_status]="Cancelled","1","0")</f>
        <v>1</v>
      </c>
    </row>
    <row r="1070" spans="1:23">
      <c r="A1070" t="s">
        <v>1901</v>
      </c>
      <c r="B1070" t="s">
        <v>1902</v>
      </c>
      <c r="C1070">
        <v>30</v>
      </c>
      <c r="D1070" t="str" cm="1">
        <f t="array" ref="D1070">_xlfn.IFS(Table1[[#This Row],[age]]&lt;=17,"0-17",C1070&lt;=29,"18-29",C1070&lt;=44,"30-44",C1070&lt;=59,"45-59",C1070&lt;=74,"60-74",TRUE,"75+")</f>
        <v>30-44</v>
      </c>
      <c r="E1070" t="s">
        <v>29</v>
      </c>
      <c r="F1070">
        <v>8</v>
      </c>
      <c r="G1070" t="str" cm="1">
        <f t="array" ref="G1070">_xlfn.IFS(_xlfn.SINGLE(Table1[imd_decile])&lt;=3,"Most Deprived",F1070&lt;=7,"Moderately Deprived",F1070&lt;=10,"Least Deprived")</f>
        <v>Least Deprived</v>
      </c>
      <c r="H1070">
        <v>8.9</v>
      </c>
      <c r="I1070" t="s">
        <v>38</v>
      </c>
      <c r="J1070" t="s">
        <v>26</v>
      </c>
      <c r="K1070" s="1">
        <v>45818</v>
      </c>
      <c r="L1070" s="1">
        <v>45823</v>
      </c>
      <c r="M1070" s="1" t="str">
        <f>TEXT(Table1[[#This Row],[appointment_date]],"MM/YYYY")</f>
        <v>06/2025</v>
      </c>
      <c r="N1070">
        <v>5</v>
      </c>
      <c r="O1070" t="str" cm="1">
        <f t="array" ref="O1070">_xlfn.IFS(Table1[[#This Row],[lead_time_days]]&lt;=7,"0-7 days",N1070&lt;=14,"8-14 days",N1070&lt;=30,"15-30 days",N1070&lt;=60,"31-60 days",TRUE,"61+ days")</f>
        <v>0-7 days</v>
      </c>
      <c r="P1070" t="s">
        <v>31</v>
      </c>
      <c r="Q1070" t="s">
        <v>21</v>
      </c>
      <c r="R1070">
        <v>0</v>
      </c>
      <c r="S1070" t="str">
        <f>IF(Table1[prior_dna_count]&gt;=1,"Has prior DNA history","No prior DNA history")</f>
        <v>No prior DNA history</v>
      </c>
      <c r="T1070" t="s">
        <v>22</v>
      </c>
      <c r="U1070" t="str">
        <f t="shared" si="16"/>
        <v>0</v>
      </c>
      <c r="V1070" t="str">
        <f>IF(Table1[appointment_status]="Attended","1","0")</f>
        <v>1</v>
      </c>
      <c r="W1070" t="str">
        <f>IF(Table1[appointment_status]="Cancelled","1","0")</f>
        <v>0</v>
      </c>
    </row>
    <row r="1071" spans="1:23">
      <c r="A1071" t="s">
        <v>1903</v>
      </c>
      <c r="B1071" t="s">
        <v>1904</v>
      </c>
      <c r="C1071">
        <v>47</v>
      </c>
      <c r="D1071" t="str" cm="1">
        <f t="array" ref="D1071">_xlfn.IFS(Table1[[#This Row],[age]]&lt;=17,"0-17",C1071&lt;=29,"18-29",C1071&lt;=44,"30-44",C1071&lt;=59,"45-59",C1071&lt;=74,"60-74",TRUE,"75+")</f>
        <v>45-59</v>
      </c>
      <c r="E1071" t="s">
        <v>29</v>
      </c>
      <c r="F1071">
        <v>5</v>
      </c>
      <c r="G1071" t="str" cm="1">
        <f t="array" ref="G1071">_xlfn.IFS(_xlfn.SINGLE(Table1[imd_decile])&lt;=3,"Most Deprived",F1071&lt;=7,"Moderately Deprived",F1071&lt;=10,"Least Deprived")</f>
        <v>Moderately Deprived</v>
      </c>
      <c r="H1071">
        <v>9</v>
      </c>
      <c r="I1071" t="s">
        <v>58</v>
      </c>
      <c r="J1071" t="s">
        <v>26</v>
      </c>
      <c r="K1071" s="1">
        <v>45784</v>
      </c>
      <c r="L1071" s="1">
        <v>45823</v>
      </c>
      <c r="M1071" s="1" t="str">
        <f>TEXT(Table1[[#This Row],[appointment_date]],"MM/YYYY")</f>
        <v>06/2025</v>
      </c>
      <c r="N1071">
        <v>39</v>
      </c>
      <c r="O1071" t="str" cm="1">
        <f t="array" ref="O1071">_xlfn.IFS(Table1[[#This Row],[lead_time_days]]&lt;=7,"0-7 days",N1071&lt;=14,"8-14 days",N1071&lt;=30,"15-30 days",N1071&lt;=60,"31-60 days",TRUE,"61+ days")</f>
        <v>31-60 days</v>
      </c>
      <c r="P1071" t="s">
        <v>31</v>
      </c>
      <c r="Q1071" t="s">
        <v>21</v>
      </c>
      <c r="R1071">
        <v>0</v>
      </c>
      <c r="S1071" t="str">
        <f>IF(Table1[prior_dna_count]&gt;=1,"Has prior DNA history","No prior DNA history")</f>
        <v>No prior DNA history</v>
      </c>
      <c r="T1071" t="s">
        <v>22</v>
      </c>
      <c r="U1071" t="str">
        <f t="shared" si="16"/>
        <v>1</v>
      </c>
      <c r="V1071" t="str">
        <f>IF(Table1[appointment_status]="Attended","1","0")</f>
        <v>1</v>
      </c>
      <c r="W1071" t="str">
        <f>IF(Table1[appointment_status]="Cancelled","1","0")</f>
        <v>0</v>
      </c>
    </row>
    <row r="1072" spans="1:23">
      <c r="A1072" t="s">
        <v>1905</v>
      </c>
      <c r="B1072" t="s">
        <v>1906</v>
      </c>
      <c r="C1072">
        <v>81</v>
      </c>
      <c r="D1072" t="str" cm="1">
        <f t="array" ref="D1072">_xlfn.IFS(Table1[[#This Row],[age]]&lt;=17,"0-17",C1072&lt;=29,"18-29",C1072&lt;=44,"30-44",C1072&lt;=59,"45-59",C1072&lt;=74,"60-74",TRUE,"75+")</f>
        <v>75+</v>
      </c>
      <c r="E1072" t="s">
        <v>29</v>
      </c>
      <c r="F1072">
        <v>9</v>
      </c>
      <c r="G1072" t="str" cm="1">
        <f t="array" ref="G1072">_xlfn.IFS(_xlfn.SINGLE(Table1[imd_decile])&lt;=3,"Most Deprived",F1072&lt;=7,"Moderately Deprived",F1072&lt;=10,"Least Deprived")</f>
        <v>Least Deprived</v>
      </c>
      <c r="H1072">
        <v>8.5</v>
      </c>
      <c r="I1072" t="s">
        <v>42</v>
      </c>
      <c r="J1072" t="s">
        <v>19</v>
      </c>
      <c r="K1072" s="1">
        <v>45810</v>
      </c>
      <c r="L1072" s="1">
        <v>45824</v>
      </c>
      <c r="M1072" s="1" t="str">
        <f>TEXT(Table1[[#This Row],[appointment_date]],"MM/YYYY")</f>
        <v>06/2025</v>
      </c>
      <c r="N1072">
        <v>14</v>
      </c>
      <c r="O1072" t="str" cm="1">
        <f t="array" ref="O1072">_xlfn.IFS(Table1[[#This Row],[lead_time_days]]&lt;=7,"0-7 days",N1072&lt;=14,"8-14 days",N1072&lt;=30,"15-30 days",N1072&lt;=60,"31-60 days",TRUE,"61+ days")</f>
        <v>8-14 days</v>
      </c>
      <c r="P1072" t="s">
        <v>35</v>
      </c>
      <c r="Q1072" t="s">
        <v>32</v>
      </c>
      <c r="R1072">
        <v>0</v>
      </c>
      <c r="S1072" t="str">
        <f>IF(Table1[prior_dna_count]&gt;=1,"Has prior DNA history","No prior DNA history")</f>
        <v>No prior DNA history</v>
      </c>
      <c r="T1072" t="s">
        <v>22</v>
      </c>
      <c r="U1072" t="str">
        <f t="shared" si="16"/>
        <v>1</v>
      </c>
      <c r="V1072" t="str">
        <f>IF(Table1[appointment_status]="Attended","1","0")</f>
        <v>1</v>
      </c>
      <c r="W1072" t="str">
        <f>IF(Table1[appointment_status]="Cancelled","1","0")</f>
        <v>0</v>
      </c>
    </row>
    <row r="1073" spans="1:23">
      <c r="A1073" t="s">
        <v>1907</v>
      </c>
      <c r="B1073" t="s">
        <v>1908</v>
      </c>
      <c r="C1073">
        <v>49</v>
      </c>
      <c r="D1073" t="str" cm="1">
        <f t="array" ref="D1073">_xlfn.IFS(Table1[[#This Row],[age]]&lt;=17,"0-17",C1073&lt;=29,"18-29",C1073&lt;=44,"30-44",C1073&lt;=59,"45-59",C1073&lt;=74,"60-74",TRUE,"75+")</f>
        <v>45-59</v>
      </c>
      <c r="E1073" t="s">
        <v>17</v>
      </c>
      <c r="F1073">
        <v>9</v>
      </c>
      <c r="G1073" t="str" cm="1">
        <f t="array" ref="G1073">_xlfn.IFS(_xlfn.SINGLE(Table1[imd_decile])&lt;=3,"Most Deprived",F1073&lt;=7,"Moderately Deprived",F1073&lt;=10,"Least Deprived")</f>
        <v>Least Deprived</v>
      </c>
      <c r="H1073">
        <v>1.8</v>
      </c>
      <c r="I1073" t="s">
        <v>18</v>
      </c>
      <c r="J1073" t="s">
        <v>19</v>
      </c>
      <c r="K1073" s="1">
        <v>45818</v>
      </c>
      <c r="L1073" s="1">
        <v>45824</v>
      </c>
      <c r="M1073" s="1" t="str">
        <f>TEXT(Table1[[#This Row],[appointment_date]],"MM/YYYY")</f>
        <v>06/2025</v>
      </c>
      <c r="N1073">
        <v>6</v>
      </c>
      <c r="O1073" t="str" cm="1">
        <f t="array" ref="O1073">_xlfn.IFS(Table1[[#This Row],[lead_time_days]]&lt;=7,"0-7 days",N1073&lt;=14,"8-14 days",N1073&lt;=30,"15-30 days",N1073&lt;=60,"31-60 days",TRUE,"61+ days")</f>
        <v>0-7 days</v>
      </c>
      <c r="P1073" t="s">
        <v>35</v>
      </c>
      <c r="Q1073" t="s">
        <v>21</v>
      </c>
      <c r="R1073">
        <v>0</v>
      </c>
      <c r="S1073" t="str">
        <f>IF(Table1[prior_dna_count]&gt;=1,"Has prior DNA history","No prior DNA history")</f>
        <v>No prior DNA history</v>
      </c>
      <c r="T1073" t="s">
        <v>46</v>
      </c>
      <c r="U1073" t="str">
        <f t="shared" si="16"/>
        <v>1</v>
      </c>
      <c r="V1073" t="str">
        <f>IF(Table1[appointment_status]="Attended","1","0")</f>
        <v>0</v>
      </c>
      <c r="W1073" t="str">
        <f>IF(Table1[appointment_status]="Cancelled","1","0")</f>
        <v>1</v>
      </c>
    </row>
    <row r="1074" spans="1:23">
      <c r="A1074" t="s">
        <v>1909</v>
      </c>
      <c r="B1074" t="s">
        <v>780</v>
      </c>
      <c r="C1074">
        <v>59</v>
      </c>
      <c r="D1074" t="str" cm="1">
        <f t="array" ref="D1074">_xlfn.IFS(Table1[[#This Row],[age]]&lt;=17,"0-17",C1074&lt;=29,"18-29",C1074&lt;=44,"30-44",C1074&lt;=59,"45-59",C1074&lt;=74,"60-74",TRUE,"75+")</f>
        <v>45-59</v>
      </c>
      <c r="E1074" t="s">
        <v>29</v>
      </c>
      <c r="F1074">
        <v>1</v>
      </c>
      <c r="G1074" t="str" cm="1">
        <f t="array" ref="G1074">_xlfn.IFS(_xlfn.SINGLE(Table1[imd_decile])&lt;=3,"Most Deprived",F1074&lt;=7,"Moderately Deprived",F1074&lt;=10,"Least Deprived")</f>
        <v>Most Deprived</v>
      </c>
      <c r="H1074">
        <v>11.6</v>
      </c>
      <c r="I1074" t="s">
        <v>25</v>
      </c>
      <c r="J1074" t="s">
        <v>26</v>
      </c>
      <c r="K1074" s="1">
        <v>45789</v>
      </c>
      <c r="L1074" s="1">
        <v>45824</v>
      </c>
      <c r="M1074" s="1" t="str">
        <f>TEXT(Table1[[#This Row],[appointment_date]],"MM/YYYY")</f>
        <v>06/2025</v>
      </c>
      <c r="N1074">
        <v>35</v>
      </c>
      <c r="O1074" t="str" cm="1">
        <f t="array" ref="O1074">_xlfn.IFS(Table1[[#This Row],[lead_time_days]]&lt;=7,"0-7 days",N1074&lt;=14,"8-14 days",N1074&lt;=30,"15-30 days",N1074&lt;=60,"31-60 days",TRUE,"61+ days")</f>
        <v>31-60 days</v>
      </c>
      <c r="P1074" t="s">
        <v>35</v>
      </c>
      <c r="Q1074" t="s">
        <v>32</v>
      </c>
      <c r="R1074">
        <v>0</v>
      </c>
      <c r="S1074" t="str">
        <f>IF(Table1[prior_dna_count]&gt;=1,"Has prior DNA history","No prior DNA history")</f>
        <v>No prior DNA history</v>
      </c>
      <c r="T1074" t="s">
        <v>39</v>
      </c>
      <c r="U1074" t="str">
        <f t="shared" si="16"/>
        <v>0</v>
      </c>
      <c r="V1074" t="str">
        <f>IF(Table1[appointment_status]="Attended","1","0")</f>
        <v>0</v>
      </c>
      <c r="W1074" t="str">
        <f>IF(Table1[appointment_status]="Cancelled","1","0")</f>
        <v>0</v>
      </c>
    </row>
    <row r="1075" spans="1:23">
      <c r="A1075" t="s">
        <v>1910</v>
      </c>
      <c r="B1075" t="s">
        <v>1911</v>
      </c>
      <c r="C1075">
        <v>44</v>
      </c>
      <c r="D1075" t="str" cm="1">
        <f t="array" ref="D1075">_xlfn.IFS(Table1[[#This Row],[age]]&lt;=17,"0-17",C1075&lt;=29,"18-29",C1075&lt;=44,"30-44",C1075&lt;=59,"45-59",C1075&lt;=74,"60-74",TRUE,"75+")</f>
        <v>30-44</v>
      </c>
      <c r="E1075" t="s">
        <v>17</v>
      </c>
      <c r="F1075">
        <v>7</v>
      </c>
      <c r="G1075" t="str" cm="1">
        <f t="array" ref="G1075">_xlfn.IFS(_xlfn.SINGLE(Table1[imd_decile])&lt;=3,"Most Deprived",F1075&lt;=7,"Moderately Deprived",F1075&lt;=10,"Least Deprived")</f>
        <v>Moderately Deprived</v>
      </c>
      <c r="H1075">
        <v>3.8</v>
      </c>
      <c r="I1075" t="s">
        <v>91</v>
      </c>
      <c r="J1075" t="s">
        <v>19</v>
      </c>
      <c r="K1075" s="1">
        <v>45757</v>
      </c>
      <c r="L1075" s="1">
        <v>45824</v>
      </c>
      <c r="M1075" s="1" t="str">
        <f>TEXT(Table1[[#This Row],[appointment_date]],"MM/YYYY")</f>
        <v>06/2025</v>
      </c>
      <c r="N1075">
        <v>67</v>
      </c>
      <c r="O1075" t="str" cm="1">
        <f t="array" ref="O1075">_xlfn.IFS(Table1[[#This Row],[lead_time_days]]&lt;=7,"0-7 days",N1075&lt;=14,"8-14 days",N1075&lt;=30,"15-30 days",N1075&lt;=60,"31-60 days",TRUE,"61+ days")</f>
        <v>61+ days</v>
      </c>
      <c r="P1075" t="s">
        <v>35</v>
      </c>
      <c r="Q1075" t="s">
        <v>21</v>
      </c>
      <c r="R1075">
        <v>0</v>
      </c>
      <c r="S1075" t="str">
        <f>IF(Table1[prior_dna_count]&gt;=1,"Has prior DNA history","No prior DNA history")</f>
        <v>No prior DNA history</v>
      </c>
      <c r="T1075" t="s">
        <v>22</v>
      </c>
      <c r="U1075" t="str">
        <f t="shared" si="16"/>
        <v>0</v>
      </c>
      <c r="V1075" t="str">
        <f>IF(Table1[appointment_status]="Attended","1","0")</f>
        <v>1</v>
      </c>
      <c r="W1075" t="str">
        <f>IF(Table1[appointment_status]="Cancelled","1","0")</f>
        <v>0</v>
      </c>
    </row>
    <row r="1076" spans="1:23">
      <c r="A1076" t="s">
        <v>1912</v>
      </c>
      <c r="B1076" t="s">
        <v>211</v>
      </c>
      <c r="C1076">
        <v>51</v>
      </c>
      <c r="D1076" t="str" cm="1">
        <f t="array" ref="D1076">_xlfn.IFS(Table1[[#This Row],[age]]&lt;=17,"0-17",C1076&lt;=29,"18-29",C1076&lt;=44,"30-44",C1076&lt;=59,"45-59",C1076&lt;=74,"60-74",TRUE,"75+")</f>
        <v>45-59</v>
      </c>
      <c r="E1076" t="s">
        <v>29</v>
      </c>
      <c r="F1076">
        <v>3</v>
      </c>
      <c r="G1076" t="str" cm="1">
        <f t="array" ref="G1076">_xlfn.IFS(_xlfn.SINGLE(Table1[imd_decile])&lt;=3,"Most Deprived",F1076&lt;=7,"Moderately Deprived",F1076&lt;=10,"Least Deprived")</f>
        <v>Most Deprived</v>
      </c>
      <c r="H1076">
        <v>4.9000000000000004</v>
      </c>
      <c r="I1076" t="s">
        <v>49</v>
      </c>
      <c r="J1076" t="s">
        <v>19</v>
      </c>
      <c r="K1076" s="1">
        <v>45806</v>
      </c>
      <c r="L1076" s="1">
        <v>45824</v>
      </c>
      <c r="M1076" s="1" t="str">
        <f>TEXT(Table1[[#This Row],[appointment_date]],"MM/YYYY")</f>
        <v>06/2025</v>
      </c>
      <c r="N1076">
        <v>18</v>
      </c>
      <c r="O1076" t="str" cm="1">
        <f t="array" ref="O1076">_xlfn.IFS(Table1[[#This Row],[lead_time_days]]&lt;=7,"0-7 days",N1076&lt;=14,"8-14 days",N1076&lt;=30,"15-30 days",N1076&lt;=60,"31-60 days",TRUE,"61+ days")</f>
        <v>15-30 days</v>
      </c>
      <c r="P1076" t="s">
        <v>35</v>
      </c>
      <c r="Q1076" t="s">
        <v>21</v>
      </c>
      <c r="R1076">
        <v>0</v>
      </c>
      <c r="S1076" t="str">
        <f>IF(Table1[prior_dna_count]&gt;=1,"Has prior DNA history","No prior DNA history")</f>
        <v>No prior DNA history</v>
      </c>
      <c r="T1076" t="s">
        <v>39</v>
      </c>
      <c r="U1076" t="str">
        <f t="shared" si="16"/>
        <v>1</v>
      </c>
      <c r="V1076" t="str">
        <f>IF(Table1[appointment_status]="Attended","1","0")</f>
        <v>0</v>
      </c>
      <c r="W1076" t="str">
        <f>IF(Table1[appointment_status]="Cancelled","1","0")</f>
        <v>0</v>
      </c>
    </row>
    <row r="1077" spans="1:23">
      <c r="A1077" t="s">
        <v>1913</v>
      </c>
      <c r="B1077" t="s">
        <v>272</v>
      </c>
      <c r="C1077">
        <v>34</v>
      </c>
      <c r="D1077" t="str" cm="1">
        <f t="array" ref="D1077">_xlfn.IFS(Table1[[#This Row],[age]]&lt;=17,"0-17",C1077&lt;=29,"18-29",C1077&lt;=44,"30-44",C1077&lt;=59,"45-59",C1077&lt;=74,"60-74",TRUE,"75+")</f>
        <v>30-44</v>
      </c>
      <c r="E1077" t="s">
        <v>17</v>
      </c>
      <c r="F1077">
        <v>4</v>
      </c>
      <c r="G1077" t="str" cm="1">
        <f t="array" ref="G1077">_xlfn.IFS(_xlfn.SINGLE(Table1[imd_decile])&lt;=3,"Most Deprived",F1077&lt;=7,"Moderately Deprived",F1077&lt;=10,"Least Deprived")</f>
        <v>Moderately Deprived</v>
      </c>
      <c r="H1077">
        <v>22.6</v>
      </c>
      <c r="I1077" t="s">
        <v>49</v>
      </c>
      <c r="J1077" t="s">
        <v>19</v>
      </c>
      <c r="K1077" s="1">
        <v>45804</v>
      </c>
      <c r="L1077" s="1">
        <v>45825</v>
      </c>
      <c r="M1077" s="1" t="str">
        <f>TEXT(Table1[[#This Row],[appointment_date]],"MM/YYYY")</f>
        <v>06/2025</v>
      </c>
      <c r="N1077">
        <v>21</v>
      </c>
      <c r="O1077" t="str" cm="1">
        <f t="array" ref="O1077">_xlfn.IFS(Table1[[#This Row],[lead_time_days]]&lt;=7,"0-7 days",N1077&lt;=14,"8-14 days",N1077&lt;=30,"15-30 days",N1077&lt;=60,"31-60 days",TRUE,"61+ days")</f>
        <v>15-30 days</v>
      </c>
      <c r="P1077" t="s">
        <v>71</v>
      </c>
      <c r="Q1077" t="s">
        <v>21</v>
      </c>
      <c r="R1077">
        <v>0</v>
      </c>
      <c r="S1077" t="str">
        <f>IF(Table1[prior_dna_count]&gt;=1,"Has prior DNA history","No prior DNA history")</f>
        <v>No prior DNA history</v>
      </c>
      <c r="T1077" t="s">
        <v>46</v>
      </c>
      <c r="U1077" t="str">
        <f t="shared" si="16"/>
        <v>0</v>
      </c>
      <c r="V1077" t="str">
        <f>IF(Table1[appointment_status]="Attended","1","0")</f>
        <v>0</v>
      </c>
      <c r="W1077" t="str">
        <f>IF(Table1[appointment_status]="Cancelled","1","0")</f>
        <v>1</v>
      </c>
    </row>
    <row r="1078" spans="1:23">
      <c r="A1078" t="s">
        <v>1914</v>
      </c>
      <c r="B1078" t="s">
        <v>1594</v>
      </c>
      <c r="C1078">
        <v>42</v>
      </c>
      <c r="D1078" t="str" cm="1">
        <f t="array" ref="D1078">_xlfn.IFS(Table1[[#This Row],[age]]&lt;=17,"0-17",C1078&lt;=29,"18-29",C1078&lt;=44,"30-44",C1078&lt;=59,"45-59",C1078&lt;=74,"60-74",TRUE,"75+")</f>
        <v>30-44</v>
      </c>
      <c r="E1078" t="s">
        <v>29</v>
      </c>
      <c r="F1078">
        <v>7</v>
      </c>
      <c r="G1078" t="str" cm="1">
        <f t="array" ref="G1078">_xlfn.IFS(_xlfn.SINGLE(Table1[imd_decile])&lt;=3,"Most Deprived",F1078&lt;=7,"Moderately Deprived",F1078&lt;=10,"Least Deprived")</f>
        <v>Moderately Deprived</v>
      </c>
      <c r="H1078">
        <v>2.5</v>
      </c>
      <c r="I1078" t="s">
        <v>18</v>
      </c>
      <c r="J1078" t="s">
        <v>19</v>
      </c>
      <c r="K1078" s="1">
        <v>45741</v>
      </c>
      <c r="L1078" s="1">
        <v>45825</v>
      </c>
      <c r="M1078" s="1" t="str">
        <f>TEXT(Table1[[#This Row],[appointment_date]],"MM/YYYY")</f>
        <v>06/2025</v>
      </c>
      <c r="N1078">
        <v>84</v>
      </c>
      <c r="O1078" t="str" cm="1">
        <f t="array" ref="O1078">_xlfn.IFS(Table1[[#This Row],[lead_time_days]]&lt;=7,"0-7 days",N1078&lt;=14,"8-14 days",N1078&lt;=30,"15-30 days",N1078&lt;=60,"31-60 days",TRUE,"61+ days")</f>
        <v>61+ days</v>
      </c>
      <c r="P1078" t="s">
        <v>71</v>
      </c>
      <c r="Q1078" t="s">
        <v>32</v>
      </c>
      <c r="R1078">
        <v>0</v>
      </c>
      <c r="S1078" t="str">
        <f>IF(Table1[prior_dna_count]&gt;=1,"Has prior DNA history","No prior DNA history")</f>
        <v>No prior DNA history</v>
      </c>
      <c r="T1078" t="s">
        <v>22</v>
      </c>
      <c r="U1078" t="str">
        <f t="shared" si="16"/>
        <v>0</v>
      </c>
      <c r="V1078" t="str">
        <f>IF(Table1[appointment_status]="Attended","1","0")</f>
        <v>1</v>
      </c>
      <c r="W1078" t="str">
        <f>IF(Table1[appointment_status]="Cancelled","1","0")</f>
        <v>0</v>
      </c>
    </row>
    <row r="1079" spans="1:23">
      <c r="A1079" t="s">
        <v>1915</v>
      </c>
      <c r="B1079" t="s">
        <v>149</v>
      </c>
      <c r="C1079">
        <v>24</v>
      </c>
      <c r="D1079" t="str" cm="1">
        <f t="array" ref="D1079">_xlfn.IFS(Table1[[#This Row],[age]]&lt;=17,"0-17",C1079&lt;=29,"18-29",C1079&lt;=44,"30-44",C1079&lt;=59,"45-59",C1079&lt;=74,"60-74",TRUE,"75+")</f>
        <v>18-29</v>
      </c>
      <c r="E1079" t="s">
        <v>29</v>
      </c>
      <c r="F1079">
        <v>7</v>
      </c>
      <c r="G1079" t="str" cm="1">
        <f t="array" ref="G1079">_xlfn.IFS(_xlfn.SINGLE(Table1[imd_decile])&lt;=3,"Most Deprived",F1079&lt;=7,"Moderately Deprived",F1079&lt;=10,"Least Deprived")</f>
        <v>Moderately Deprived</v>
      </c>
      <c r="H1079">
        <v>15.3</v>
      </c>
      <c r="I1079" t="s">
        <v>49</v>
      </c>
      <c r="J1079" t="s">
        <v>26</v>
      </c>
      <c r="K1079" s="1">
        <v>45817</v>
      </c>
      <c r="L1079" s="1">
        <v>45825</v>
      </c>
      <c r="M1079" s="1" t="str">
        <f>TEXT(Table1[[#This Row],[appointment_date]],"MM/YYYY")</f>
        <v>06/2025</v>
      </c>
      <c r="N1079">
        <v>8</v>
      </c>
      <c r="O1079" t="str" cm="1">
        <f t="array" ref="O1079">_xlfn.IFS(Table1[[#This Row],[lead_time_days]]&lt;=7,"0-7 days",N1079&lt;=14,"8-14 days",N1079&lt;=30,"15-30 days",N1079&lt;=60,"31-60 days",TRUE,"61+ days")</f>
        <v>8-14 days</v>
      </c>
      <c r="P1079" t="s">
        <v>71</v>
      </c>
      <c r="Q1079" t="s">
        <v>21</v>
      </c>
      <c r="R1079">
        <v>0</v>
      </c>
      <c r="S1079" t="str">
        <f>IF(Table1[prior_dna_count]&gt;=1,"Has prior DNA history","No prior DNA history")</f>
        <v>No prior DNA history</v>
      </c>
      <c r="T1079" t="s">
        <v>22</v>
      </c>
      <c r="U1079" t="str">
        <f t="shared" si="16"/>
        <v>1</v>
      </c>
      <c r="V1079" t="str">
        <f>IF(Table1[appointment_status]="Attended","1","0")</f>
        <v>1</v>
      </c>
      <c r="W1079" t="str">
        <f>IF(Table1[appointment_status]="Cancelled","1","0")</f>
        <v>0</v>
      </c>
    </row>
    <row r="1080" spans="1:23">
      <c r="A1080" t="s">
        <v>1916</v>
      </c>
      <c r="B1080" t="s">
        <v>1917</v>
      </c>
      <c r="C1080">
        <v>32</v>
      </c>
      <c r="D1080" t="str" cm="1">
        <f t="array" ref="D1080">_xlfn.IFS(Table1[[#This Row],[age]]&lt;=17,"0-17",C1080&lt;=29,"18-29",C1080&lt;=44,"30-44",C1080&lt;=59,"45-59",C1080&lt;=74,"60-74",TRUE,"75+")</f>
        <v>30-44</v>
      </c>
      <c r="E1080" t="s">
        <v>17</v>
      </c>
      <c r="F1080">
        <v>5</v>
      </c>
      <c r="G1080" t="str" cm="1">
        <f t="array" ref="G1080">_xlfn.IFS(_xlfn.SINGLE(Table1[imd_decile])&lt;=3,"Most Deprived",F1080&lt;=7,"Moderately Deprived",F1080&lt;=10,"Least Deprived")</f>
        <v>Moderately Deprived</v>
      </c>
      <c r="H1080">
        <v>13.1</v>
      </c>
      <c r="I1080" t="s">
        <v>45</v>
      </c>
      <c r="J1080" t="s">
        <v>19</v>
      </c>
      <c r="K1080" s="1">
        <v>45790</v>
      </c>
      <c r="L1080" s="1">
        <v>45825</v>
      </c>
      <c r="M1080" s="1" t="str">
        <f>TEXT(Table1[[#This Row],[appointment_date]],"MM/YYYY")</f>
        <v>06/2025</v>
      </c>
      <c r="N1080">
        <v>35</v>
      </c>
      <c r="O1080" t="str" cm="1">
        <f t="array" ref="O1080">_xlfn.IFS(Table1[[#This Row],[lead_time_days]]&lt;=7,"0-7 days",N1080&lt;=14,"8-14 days",N1080&lt;=30,"15-30 days",N1080&lt;=60,"31-60 days",TRUE,"61+ days")</f>
        <v>31-60 days</v>
      </c>
      <c r="P1080" t="s">
        <v>71</v>
      </c>
      <c r="Q1080" t="s">
        <v>21</v>
      </c>
      <c r="R1080">
        <v>0</v>
      </c>
      <c r="S1080" t="str">
        <f>IF(Table1[prior_dna_count]&gt;=1,"Has prior DNA history","No prior DNA history")</f>
        <v>No prior DNA history</v>
      </c>
      <c r="T1080" t="s">
        <v>22</v>
      </c>
      <c r="U1080" t="str">
        <f t="shared" si="16"/>
        <v>1</v>
      </c>
      <c r="V1080" t="str">
        <f>IF(Table1[appointment_status]="Attended","1","0")</f>
        <v>1</v>
      </c>
      <c r="W1080" t="str">
        <f>IF(Table1[appointment_status]="Cancelled","1","0")</f>
        <v>0</v>
      </c>
    </row>
    <row r="1081" spans="1:23">
      <c r="A1081" t="s">
        <v>1918</v>
      </c>
      <c r="B1081" t="s">
        <v>1919</v>
      </c>
      <c r="C1081">
        <v>18</v>
      </c>
      <c r="D1081" t="str" cm="1">
        <f t="array" ref="D1081">_xlfn.IFS(Table1[[#This Row],[age]]&lt;=17,"0-17",C1081&lt;=29,"18-29",C1081&lt;=44,"30-44",C1081&lt;=59,"45-59",C1081&lt;=74,"60-74",TRUE,"75+")</f>
        <v>18-29</v>
      </c>
      <c r="E1081" t="s">
        <v>17</v>
      </c>
      <c r="F1081">
        <v>3</v>
      </c>
      <c r="G1081" t="str" cm="1">
        <f t="array" ref="G1081">_xlfn.IFS(_xlfn.SINGLE(Table1[imd_decile])&lt;=3,"Most Deprived",F1081&lt;=7,"Moderately Deprived",F1081&lt;=10,"Least Deprived")</f>
        <v>Most Deprived</v>
      </c>
      <c r="H1081">
        <v>23.5</v>
      </c>
      <c r="I1081" t="s">
        <v>18</v>
      </c>
      <c r="J1081" t="s">
        <v>19</v>
      </c>
      <c r="K1081" s="1">
        <v>45762</v>
      </c>
      <c r="L1081" s="1">
        <v>45826</v>
      </c>
      <c r="M1081" s="1" t="str">
        <f>TEXT(Table1[[#This Row],[appointment_date]],"MM/YYYY")</f>
        <v>06/2025</v>
      </c>
      <c r="N1081">
        <v>64</v>
      </c>
      <c r="O1081" t="str" cm="1">
        <f t="array" ref="O1081">_xlfn.IFS(Table1[[#This Row],[lead_time_days]]&lt;=7,"0-7 days",N1081&lt;=14,"8-14 days",N1081&lt;=30,"15-30 days",N1081&lt;=60,"31-60 days",TRUE,"61+ days")</f>
        <v>61+ days</v>
      </c>
      <c r="P1081" t="s">
        <v>80</v>
      </c>
      <c r="Q1081" t="s">
        <v>21</v>
      </c>
      <c r="R1081">
        <v>0</v>
      </c>
      <c r="S1081" t="str">
        <f>IF(Table1[prior_dna_count]&gt;=1,"Has prior DNA history","No prior DNA history")</f>
        <v>No prior DNA history</v>
      </c>
      <c r="T1081" t="s">
        <v>22</v>
      </c>
      <c r="U1081" t="str">
        <f t="shared" si="16"/>
        <v>1</v>
      </c>
      <c r="V1081" t="str">
        <f>IF(Table1[appointment_status]="Attended","1","0")</f>
        <v>1</v>
      </c>
      <c r="W1081" t="str">
        <f>IF(Table1[appointment_status]="Cancelled","1","0")</f>
        <v>0</v>
      </c>
    </row>
    <row r="1082" spans="1:23">
      <c r="A1082" t="s">
        <v>1920</v>
      </c>
      <c r="B1082" t="s">
        <v>363</v>
      </c>
      <c r="C1082">
        <v>54</v>
      </c>
      <c r="D1082" t="str" cm="1">
        <f t="array" ref="D1082">_xlfn.IFS(Table1[[#This Row],[age]]&lt;=17,"0-17",C1082&lt;=29,"18-29",C1082&lt;=44,"30-44",C1082&lt;=59,"45-59",C1082&lt;=74,"60-74",TRUE,"75+")</f>
        <v>45-59</v>
      </c>
      <c r="E1082" t="s">
        <v>29</v>
      </c>
      <c r="F1082">
        <v>8</v>
      </c>
      <c r="G1082" t="str" cm="1">
        <f t="array" ref="G1082">_xlfn.IFS(_xlfn.SINGLE(Table1[imd_decile])&lt;=3,"Most Deprived",F1082&lt;=7,"Moderately Deprived",F1082&lt;=10,"Least Deprived")</f>
        <v>Least Deprived</v>
      </c>
      <c r="H1082">
        <v>1.1000000000000001</v>
      </c>
      <c r="I1082" t="s">
        <v>38</v>
      </c>
      <c r="J1082" t="s">
        <v>19</v>
      </c>
      <c r="K1082" s="1">
        <v>45788</v>
      </c>
      <c r="L1082" s="1">
        <v>45826</v>
      </c>
      <c r="M1082" s="1" t="str">
        <f>TEXT(Table1[[#This Row],[appointment_date]],"MM/YYYY")</f>
        <v>06/2025</v>
      </c>
      <c r="N1082">
        <v>38</v>
      </c>
      <c r="O1082" t="str" cm="1">
        <f t="array" ref="O1082">_xlfn.IFS(Table1[[#This Row],[lead_time_days]]&lt;=7,"0-7 days",N1082&lt;=14,"8-14 days",N1082&lt;=30,"15-30 days",N1082&lt;=60,"31-60 days",TRUE,"61+ days")</f>
        <v>31-60 days</v>
      </c>
      <c r="P1082" t="s">
        <v>80</v>
      </c>
      <c r="Q1082" t="s">
        <v>21</v>
      </c>
      <c r="R1082">
        <v>0</v>
      </c>
      <c r="S1082" t="str">
        <f>IF(Table1[prior_dna_count]&gt;=1,"Has prior DNA history","No prior DNA history")</f>
        <v>No prior DNA history</v>
      </c>
      <c r="T1082" t="s">
        <v>22</v>
      </c>
      <c r="U1082" t="str">
        <f t="shared" si="16"/>
        <v>1</v>
      </c>
      <c r="V1082" t="str">
        <f>IF(Table1[appointment_status]="Attended","1","0")</f>
        <v>1</v>
      </c>
      <c r="W1082" t="str">
        <f>IF(Table1[appointment_status]="Cancelled","1","0")</f>
        <v>0</v>
      </c>
    </row>
    <row r="1083" spans="1:23">
      <c r="A1083" t="s">
        <v>1921</v>
      </c>
      <c r="B1083" t="s">
        <v>1922</v>
      </c>
      <c r="C1083">
        <v>73</v>
      </c>
      <c r="D1083" t="str" cm="1">
        <f t="array" ref="D1083">_xlfn.IFS(Table1[[#This Row],[age]]&lt;=17,"0-17",C1083&lt;=29,"18-29",C1083&lt;=44,"30-44",C1083&lt;=59,"45-59",C1083&lt;=74,"60-74",TRUE,"75+")</f>
        <v>60-74</v>
      </c>
      <c r="E1083" t="s">
        <v>17</v>
      </c>
      <c r="F1083">
        <v>10</v>
      </c>
      <c r="G1083" t="str" cm="1">
        <f t="array" ref="G1083">_xlfn.IFS(_xlfn.SINGLE(Table1[imd_decile])&lt;=3,"Most Deprived",F1083&lt;=7,"Moderately Deprived",F1083&lt;=10,"Least Deprived")</f>
        <v>Least Deprived</v>
      </c>
      <c r="H1083">
        <v>14.3</v>
      </c>
      <c r="I1083" t="s">
        <v>25</v>
      </c>
      <c r="J1083" t="s">
        <v>26</v>
      </c>
      <c r="K1083" s="1">
        <v>45777</v>
      </c>
      <c r="L1083" s="1">
        <v>45826</v>
      </c>
      <c r="M1083" s="1" t="str">
        <f>TEXT(Table1[[#This Row],[appointment_date]],"MM/YYYY")</f>
        <v>06/2025</v>
      </c>
      <c r="N1083">
        <v>49</v>
      </c>
      <c r="O1083" t="str" cm="1">
        <f t="array" ref="O1083">_xlfn.IFS(Table1[[#This Row],[lead_time_days]]&lt;=7,"0-7 days",N1083&lt;=14,"8-14 days",N1083&lt;=30,"15-30 days",N1083&lt;=60,"31-60 days",TRUE,"61+ days")</f>
        <v>31-60 days</v>
      </c>
      <c r="P1083" t="s">
        <v>80</v>
      </c>
      <c r="Q1083" t="s">
        <v>32</v>
      </c>
      <c r="R1083">
        <v>0</v>
      </c>
      <c r="S1083" t="str">
        <f>IF(Table1[prior_dna_count]&gt;=1,"Has prior DNA history","No prior DNA history")</f>
        <v>No prior DNA history</v>
      </c>
      <c r="T1083" t="s">
        <v>22</v>
      </c>
      <c r="U1083" t="str">
        <f t="shared" si="16"/>
        <v>1</v>
      </c>
      <c r="V1083" t="str">
        <f>IF(Table1[appointment_status]="Attended","1","0")</f>
        <v>1</v>
      </c>
      <c r="W1083" t="str">
        <f>IF(Table1[appointment_status]="Cancelled","1","0")</f>
        <v>0</v>
      </c>
    </row>
    <row r="1084" spans="1:23">
      <c r="A1084" t="s">
        <v>1923</v>
      </c>
      <c r="B1084" t="s">
        <v>611</v>
      </c>
      <c r="C1084">
        <v>20</v>
      </c>
      <c r="D1084" t="str" cm="1">
        <f t="array" ref="D1084">_xlfn.IFS(Table1[[#This Row],[age]]&lt;=17,"0-17",C1084&lt;=29,"18-29",C1084&lt;=44,"30-44",C1084&lt;=59,"45-59",C1084&lt;=74,"60-74",TRUE,"75+")</f>
        <v>18-29</v>
      </c>
      <c r="E1084" t="s">
        <v>17</v>
      </c>
      <c r="F1084">
        <v>3</v>
      </c>
      <c r="G1084" t="str" cm="1">
        <f t="array" ref="G1084">_xlfn.IFS(_xlfn.SINGLE(Table1[imd_decile])&lt;=3,"Most Deprived",F1084&lt;=7,"Moderately Deprived",F1084&lt;=10,"Least Deprived")</f>
        <v>Most Deprived</v>
      </c>
      <c r="H1084">
        <v>3.7</v>
      </c>
      <c r="I1084" t="s">
        <v>49</v>
      </c>
      <c r="J1084" t="s">
        <v>26</v>
      </c>
      <c r="K1084" s="1">
        <v>45796</v>
      </c>
      <c r="L1084" s="1">
        <v>45826</v>
      </c>
      <c r="M1084" s="1" t="str">
        <f>TEXT(Table1[[#This Row],[appointment_date]],"MM/YYYY")</f>
        <v>06/2025</v>
      </c>
      <c r="N1084">
        <v>30</v>
      </c>
      <c r="O1084" t="str" cm="1">
        <f t="array" ref="O1084">_xlfn.IFS(Table1[[#This Row],[lead_time_days]]&lt;=7,"0-7 days",N1084&lt;=14,"8-14 days",N1084&lt;=30,"15-30 days",N1084&lt;=60,"31-60 days",TRUE,"61+ days")</f>
        <v>15-30 days</v>
      </c>
      <c r="P1084" t="s">
        <v>80</v>
      </c>
      <c r="Q1084" t="s">
        <v>32</v>
      </c>
      <c r="R1084">
        <v>0</v>
      </c>
      <c r="S1084" t="str">
        <f>IF(Table1[prior_dna_count]&gt;=1,"Has prior DNA history","No prior DNA history")</f>
        <v>No prior DNA history</v>
      </c>
      <c r="T1084" t="s">
        <v>22</v>
      </c>
      <c r="U1084" t="str">
        <f t="shared" si="16"/>
        <v>1</v>
      </c>
      <c r="V1084" t="str">
        <f>IF(Table1[appointment_status]="Attended","1","0")</f>
        <v>1</v>
      </c>
      <c r="W1084" t="str">
        <f>IF(Table1[appointment_status]="Cancelled","1","0")</f>
        <v>0</v>
      </c>
    </row>
    <row r="1085" spans="1:23">
      <c r="A1085" t="s">
        <v>1924</v>
      </c>
      <c r="B1085" t="s">
        <v>1848</v>
      </c>
      <c r="C1085">
        <v>58</v>
      </c>
      <c r="D1085" t="str" cm="1">
        <f t="array" ref="D1085">_xlfn.IFS(Table1[[#This Row],[age]]&lt;=17,"0-17",C1085&lt;=29,"18-29",C1085&lt;=44,"30-44",C1085&lt;=59,"45-59",C1085&lt;=74,"60-74",TRUE,"75+")</f>
        <v>45-59</v>
      </c>
      <c r="E1085" t="s">
        <v>17</v>
      </c>
      <c r="F1085">
        <v>5</v>
      </c>
      <c r="G1085" t="str" cm="1">
        <f t="array" ref="G1085">_xlfn.IFS(_xlfn.SINGLE(Table1[imd_decile])&lt;=3,"Most Deprived",F1085&lt;=7,"Moderately Deprived",F1085&lt;=10,"Least Deprived")</f>
        <v>Moderately Deprived</v>
      </c>
      <c r="H1085">
        <v>2</v>
      </c>
      <c r="I1085" t="s">
        <v>38</v>
      </c>
      <c r="J1085" t="s">
        <v>19</v>
      </c>
      <c r="K1085" s="1">
        <v>45752</v>
      </c>
      <c r="L1085" s="1">
        <v>45826</v>
      </c>
      <c r="M1085" s="1" t="str">
        <f>TEXT(Table1[[#This Row],[appointment_date]],"MM/YYYY")</f>
        <v>06/2025</v>
      </c>
      <c r="N1085">
        <v>74</v>
      </c>
      <c r="O1085" t="str" cm="1">
        <f t="array" ref="O1085">_xlfn.IFS(Table1[[#This Row],[lead_time_days]]&lt;=7,"0-7 days",N1085&lt;=14,"8-14 days",N1085&lt;=30,"15-30 days",N1085&lt;=60,"31-60 days",TRUE,"61+ days")</f>
        <v>61+ days</v>
      </c>
      <c r="P1085" t="s">
        <v>80</v>
      </c>
      <c r="Q1085" t="s">
        <v>32</v>
      </c>
      <c r="R1085">
        <v>0</v>
      </c>
      <c r="S1085" t="str">
        <f>IF(Table1[prior_dna_count]&gt;=1,"Has prior DNA history","No prior DNA history")</f>
        <v>No prior DNA history</v>
      </c>
      <c r="T1085" t="s">
        <v>22</v>
      </c>
      <c r="U1085" t="str">
        <f t="shared" si="16"/>
        <v>1</v>
      </c>
      <c r="V1085" t="str">
        <f>IF(Table1[appointment_status]="Attended","1","0")</f>
        <v>1</v>
      </c>
      <c r="W1085" t="str">
        <f>IF(Table1[appointment_status]="Cancelled","1","0")</f>
        <v>0</v>
      </c>
    </row>
    <row r="1086" spans="1:23">
      <c r="A1086" t="s">
        <v>1925</v>
      </c>
      <c r="B1086" t="s">
        <v>891</v>
      </c>
      <c r="C1086">
        <v>33</v>
      </c>
      <c r="D1086" t="str" cm="1">
        <f t="array" ref="D1086">_xlfn.IFS(Table1[[#This Row],[age]]&lt;=17,"0-17",C1086&lt;=29,"18-29",C1086&lt;=44,"30-44",C1086&lt;=59,"45-59",C1086&lt;=74,"60-74",TRUE,"75+")</f>
        <v>30-44</v>
      </c>
      <c r="E1086" t="s">
        <v>17</v>
      </c>
      <c r="F1086">
        <v>9</v>
      </c>
      <c r="G1086" t="str" cm="1">
        <f t="array" ref="G1086">_xlfn.IFS(_xlfn.SINGLE(Table1[imd_decile])&lt;=3,"Most Deprived",F1086&lt;=7,"Moderately Deprived",F1086&lt;=10,"Least Deprived")</f>
        <v>Least Deprived</v>
      </c>
      <c r="H1086">
        <v>2.6</v>
      </c>
      <c r="I1086" t="s">
        <v>49</v>
      </c>
      <c r="J1086" t="s">
        <v>19</v>
      </c>
      <c r="K1086" s="1">
        <v>45811</v>
      </c>
      <c r="L1086" s="1">
        <v>45827</v>
      </c>
      <c r="M1086" s="1" t="str">
        <f>TEXT(Table1[[#This Row],[appointment_date]],"MM/YYYY")</f>
        <v>06/2025</v>
      </c>
      <c r="N1086">
        <v>16</v>
      </c>
      <c r="O1086" t="str" cm="1">
        <f t="array" ref="O1086">_xlfn.IFS(Table1[[#This Row],[lead_time_days]]&lt;=7,"0-7 days",N1086&lt;=14,"8-14 days",N1086&lt;=30,"15-30 days",N1086&lt;=60,"31-60 days",TRUE,"61+ days")</f>
        <v>15-30 days</v>
      </c>
      <c r="P1086" t="s">
        <v>20</v>
      </c>
      <c r="Q1086" t="s">
        <v>21</v>
      </c>
      <c r="R1086">
        <v>0</v>
      </c>
      <c r="S1086" t="str">
        <f>IF(Table1[prior_dna_count]&gt;=1,"Has prior DNA history","No prior DNA history")</f>
        <v>No prior DNA history</v>
      </c>
      <c r="T1086" t="s">
        <v>22</v>
      </c>
      <c r="U1086" t="str">
        <f t="shared" si="16"/>
        <v>1</v>
      </c>
      <c r="V1086" t="str">
        <f>IF(Table1[appointment_status]="Attended","1","0")</f>
        <v>1</v>
      </c>
      <c r="W1086" t="str">
        <f>IF(Table1[appointment_status]="Cancelled","1","0")</f>
        <v>0</v>
      </c>
    </row>
    <row r="1087" spans="1:23">
      <c r="A1087" t="s">
        <v>1926</v>
      </c>
      <c r="B1087" t="s">
        <v>1425</v>
      </c>
      <c r="C1087">
        <v>49</v>
      </c>
      <c r="D1087" t="str" cm="1">
        <f t="array" ref="D1087">_xlfn.IFS(Table1[[#This Row],[age]]&lt;=17,"0-17",C1087&lt;=29,"18-29",C1087&lt;=44,"30-44",C1087&lt;=59,"45-59",C1087&lt;=74,"60-74",TRUE,"75+")</f>
        <v>45-59</v>
      </c>
      <c r="E1087" t="s">
        <v>17</v>
      </c>
      <c r="F1087">
        <v>1</v>
      </c>
      <c r="G1087" t="str" cm="1">
        <f t="array" ref="G1087">_xlfn.IFS(_xlfn.SINGLE(Table1[imd_decile])&lt;=3,"Most Deprived",F1087&lt;=7,"Moderately Deprived",F1087&lt;=10,"Least Deprived")</f>
        <v>Most Deprived</v>
      </c>
      <c r="H1087">
        <v>16.5</v>
      </c>
      <c r="I1087" t="s">
        <v>58</v>
      </c>
      <c r="J1087" t="s">
        <v>19</v>
      </c>
      <c r="K1087" s="1">
        <v>45794</v>
      </c>
      <c r="L1087" s="1">
        <v>45827</v>
      </c>
      <c r="M1087" s="1" t="str">
        <f>TEXT(Table1[[#This Row],[appointment_date]],"MM/YYYY")</f>
        <v>06/2025</v>
      </c>
      <c r="N1087">
        <v>33</v>
      </c>
      <c r="O1087" t="str" cm="1">
        <f t="array" ref="O1087">_xlfn.IFS(Table1[[#This Row],[lead_time_days]]&lt;=7,"0-7 days",N1087&lt;=14,"8-14 days",N1087&lt;=30,"15-30 days",N1087&lt;=60,"31-60 days",TRUE,"61+ days")</f>
        <v>31-60 days</v>
      </c>
      <c r="P1087" t="s">
        <v>20</v>
      </c>
      <c r="Q1087" t="s">
        <v>21</v>
      </c>
      <c r="R1087">
        <v>0</v>
      </c>
      <c r="S1087" t="str">
        <f>IF(Table1[prior_dna_count]&gt;=1,"Has prior DNA history","No prior DNA history")</f>
        <v>No prior DNA history</v>
      </c>
      <c r="T1087" t="s">
        <v>22</v>
      </c>
      <c r="U1087" t="str">
        <f t="shared" si="16"/>
        <v>1</v>
      </c>
      <c r="V1087" t="str">
        <f>IF(Table1[appointment_status]="Attended","1","0")</f>
        <v>1</v>
      </c>
      <c r="W1087" t="str">
        <f>IF(Table1[appointment_status]="Cancelled","1","0")</f>
        <v>0</v>
      </c>
    </row>
    <row r="1088" spans="1:23">
      <c r="A1088" t="s">
        <v>1927</v>
      </c>
      <c r="B1088" t="s">
        <v>57</v>
      </c>
      <c r="C1088">
        <v>37</v>
      </c>
      <c r="D1088" t="str" cm="1">
        <f t="array" ref="D1088">_xlfn.IFS(Table1[[#This Row],[age]]&lt;=17,"0-17",C1088&lt;=29,"18-29",C1088&lt;=44,"30-44",C1088&lt;=59,"45-59",C1088&lt;=74,"60-74",TRUE,"75+")</f>
        <v>30-44</v>
      </c>
      <c r="E1088" t="s">
        <v>17</v>
      </c>
      <c r="F1088">
        <v>1</v>
      </c>
      <c r="G1088" t="str" cm="1">
        <f t="array" ref="G1088">_xlfn.IFS(_xlfn.SINGLE(Table1[imd_decile])&lt;=3,"Most Deprived",F1088&lt;=7,"Moderately Deprived",F1088&lt;=10,"Least Deprived")</f>
        <v>Most Deprived</v>
      </c>
      <c r="H1088">
        <v>5.2</v>
      </c>
      <c r="I1088" t="s">
        <v>45</v>
      </c>
      <c r="J1088" t="s">
        <v>19</v>
      </c>
      <c r="K1088" s="1">
        <v>45785</v>
      </c>
      <c r="L1088" s="1">
        <v>45827</v>
      </c>
      <c r="M1088" s="1" t="str">
        <f>TEXT(Table1[[#This Row],[appointment_date]],"MM/YYYY")</f>
        <v>06/2025</v>
      </c>
      <c r="N1088">
        <v>42</v>
      </c>
      <c r="O1088" t="str" cm="1">
        <f t="array" ref="O1088">_xlfn.IFS(Table1[[#This Row],[lead_time_days]]&lt;=7,"0-7 days",N1088&lt;=14,"8-14 days",N1088&lt;=30,"15-30 days",N1088&lt;=60,"31-60 days",TRUE,"61+ days")</f>
        <v>31-60 days</v>
      </c>
      <c r="P1088" t="s">
        <v>20</v>
      </c>
      <c r="Q1088" t="s">
        <v>21</v>
      </c>
      <c r="R1088">
        <v>0</v>
      </c>
      <c r="S1088" t="str">
        <f>IF(Table1[prior_dna_count]&gt;=1,"Has prior DNA history","No prior DNA history")</f>
        <v>No prior DNA history</v>
      </c>
      <c r="T1088" t="s">
        <v>22</v>
      </c>
      <c r="U1088" t="str">
        <f t="shared" si="16"/>
        <v>1</v>
      </c>
      <c r="V1088" t="str">
        <f>IF(Table1[appointment_status]="Attended","1","0")</f>
        <v>1</v>
      </c>
      <c r="W1088" t="str">
        <f>IF(Table1[appointment_status]="Cancelled","1","0")</f>
        <v>0</v>
      </c>
    </row>
    <row r="1089" spans="1:23">
      <c r="A1089" t="s">
        <v>1928</v>
      </c>
      <c r="B1089" t="s">
        <v>1929</v>
      </c>
      <c r="C1089">
        <v>37</v>
      </c>
      <c r="D1089" t="str" cm="1">
        <f t="array" ref="D1089">_xlfn.IFS(Table1[[#This Row],[age]]&lt;=17,"0-17",C1089&lt;=29,"18-29",C1089&lt;=44,"30-44",C1089&lt;=59,"45-59",C1089&lt;=74,"60-74",TRUE,"75+")</f>
        <v>30-44</v>
      </c>
      <c r="E1089" t="s">
        <v>29</v>
      </c>
      <c r="F1089">
        <v>3</v>
      </c>
      <c r="G1089" t="str" cm="1">
        <f t="array" ref="G1089">_xlfn.IFS(_xlfn.SINGLE(Table1[imd_decile])&lt;=3,"Most Deprived",F1089&lt;=7,"Moderately Deprived",F1089&lt;=10,"Least Deprived")</f>
        <v>Most Deprived</v>
      </c>
      <c r="H1089">
        <v>12.2</v>
      </c>
      <c r="I1089" t="s">
        <v>38</v>
      </c>
      <c r="J1089" t="s">
        <v>19</v>
      </c>
      <c r="K1089" s="1">
        <v>45764</v>
      </c>
      <c r="L1089" s="1">
        <v>45827</v>
      </c>
      <c r="M1089" s="1" t="str">
        <f>TEXT(Table1[[#This Row],[appointment_date]],"MM/YYYY")</f>
        <v>06/2025</v>
      </c>
      <c r="N1089">
        <v>63</v>
      </c>
      <c r="O1089" t="str" cm="1">
        <f t="array" ref="O1089">_xlfn.IFS(Table1[[#This Row],[lead_time_days]]&lt;=7,"0-7 days",N1089&lt;=14,"8-14 days",N1089&lt;=30,"15-30 days",N1089&lt;=60,"31-60 days",TRUE,"61+ days")</f>
        <v>61+ days</v>
      </c>
      <c r="P1089" t="s">
        <v>20</v>
      </c>
      <c r="Q1089" t="s">
        <v>21</v>
      </c>
      <c r="R1089">
        <v>0</v>
      </c>
      <c r="S1089" t="str">
        <f>IF(Table1[prior_dna_count]&gt;=1,"Has prior DNA history","No prior DNA history")</f>
        <v>No prior DNA history</v>
      </c>
      <c r="T1089" t="s">
        <v>22</v>
      </c>
      <c r="U1089" t="str">
        <f t="shared" si="16"/>
        <v>1</v>
      </c>
      <c r="V1089" t="str">
        <f>IF(Table1[appointment_status]="Attended","1","0")</f>
        <v>1</v>
      </c>
      <c r="W1089" t="str">
        <f>IF(Table1[appointment_status]="Cancelled","1","0")</f>
        <v>0</v>
      </c>
    </row>
    <row r="1090" spans="1:23">
      <c r="A1090" t="s">
        <v>1930</v>
      </c>
      <c r="B1090" t="s">
        <v>1886</v>
      </c>
      <c r="C1090">
        <v>42</v>
      </c>
      <c r="D1090" t="str" cm="1">
        <f t="array" ref="D1090">_xlfn.IFS(Table1[[#This Row],[age]]&lt;=17,"0-17",C1090&lt;=29,"18-29",C1090&lt;=44,"30-44",C1090&lt;=59,"45-59",C1090&lt;=74,"60-74",TRUE,"75+")</f>
        <v>30-44</v>
      </c>
      <c r="E1090" t="s">
        <v>17</v>
      </c>
      <c r="F1090">
        <v>4</v>
      </c>
      <c r="G1090" t="str" cm="1">
        <f t="array" ref="G1090">_xlfn.IFS(_xlfn.SINGLE(Table1[imd_decile])&lt;=3,"Most Deprived",F1090&lt;=7,"Moderately Deprived",F1090&lt;=10,"Least Deprived")</f>
        <v>Moderately Deprived</v>
      </c>
      <c r="H1090">
        <v>10.199999999999999</v>
      </c>
      <c r="I1090" t="s">
        <v>25</v>
      </c>
      <c r="J1090" t="s">
        <v>19</v>
      </c>
      <c r="K1090" s="1">
        <v>45788</v>
      </c>
      <c r="L1090" s="1">
        <v>45827</v>
      </c>
      <c r="M1090" s="1" t="str">
        <f>TEXT(Table1[[#This Row],[appointment_date]],"MM/YYYY")</f>
        <v>06/2025</v>
      </c>
      <c r="N1090">
        <v>39</v>
      </c>
      <c r="O1090" t="str" cm="1">
        <f t="array" ref="O1090">_xlfn.IFS(Table1[[#This Row],[lead_time_days]]&lt;=7,"0-7 days",N1090&lt;=14,"8-14 days",N1090&lt;=30,"15-30 days",N1090&lt;=60,"31-60 days",TRUE,"61+ days")</f>
        <v>31-60 days</v>
      </c>
      <c r="P1090" t="s">
        <v>20</v>
      </c>
      <c r="Q1090" t="s">
        <v>32</v>
      </c>
      <c r="R1090">
        <v>0</v>
      </c>
      <c r="S1090" t="str">
        <f>IF(Table1[prior_dna_count]&gt;=1,"Has prior DNA history","No prior DNA history")</f>
        <v>No prior DNA history</v>
      </c>
      <c r="T1090" t="s">
        <v>22</v>
      </c>
      <c r="U1090" t="str">
        <f t="shared" ref="U1090:U1153" si="17">V1089</f>
        <v>1</v>
      </c>
      <c r="V1090" t="str">
        <f>IF(Table1[appointment_status]="Attended","1","0")</f>
        <v>1</v>
      </c>
      <c r="W1090" t="str">
        <f>IF(Table1[appointment_status]="Cancelled","1","0")</f>
        <v>0</v>
      </c>
    </row>
    <row r="1091" spans="1:23">
      <c r="A1091" t="s">
        <v>1931</v>
      </c>
      <c r="B1091" t="s">
        <v>278</v>
      </c>
      <c r="C1091">
        <v>77</v>
      </c>
      <c r="D1091" t="str" cm="1">
        <f t="array" ref="D1091">_xlfn.IFS(Table1[[#This Row],[age]]&lt;=17,"0-17",C1091&lt;=29,"18-29",C1091&lt;=44,"30-44",C1091&lt;=59,"45-59",C1091&lt;=74,"60-74",TRUE,"75+")</f>
        <v>75+</v>
      </c>
      <c r="E1091" t="s">
        <v>17</v>
      </c>
      <c r="F1091">
        <v>1</v>
      </c>
      <c r="G1091" t="str" cm="1">
        <f t="array" ref="G1091">_xlfn.IFS(_xlfn.SINGLE(Table1[imd_decile])&lt;=3,"Most Deprived",F1091&lt;=7,"Moderately Deprived",F1091&lt;=10,"Least Deprived")</f>
        <v>Most Deprived</v>
      </c>
      <c r="H1091">
        <v>6.9</v>
      </c>
      <c r="I1091" t="s">
        <v>45</v>
      </c>
      <c r="J1091" t="s">
        <v>19</v>
      </c>
      <c r="K1091" s="1">
        <v>45750</v>
      </c>
      <c r="L1091" s="1">
        <v>45827</v>
      </c>
      <c r="M1091" s="1" t="str">
        <f>TEXT(Table1[[#This Row],[appointment_date]],"MM/YYYY")</f>
        <v>06/2025</v>
      </c>
      <c r="N1091">
        <v>77</v>
      </c>
      <c r="O1091" t="str" cm="1">
        <f t="array" ref="O1091">_xlfn.IFS(Table1[[#This Row],[lead_time_days]]&lt;=7,"0-7 days",N1091&lt;=14,"8-14 days",N1091&lt;=30,"15-30 days",N1091&lt;=60,"31-60 days",TRUE,"61+ days")</f>
        <v>61+ days</v>
      </c>
      <c r="P1091" t="s">
        <v>20</v>
      </c>
      <c r="Q1091" t="s">
        <v>21</v>
      </c>
      <c r="R1091">
        <v>0</v>
      </c>
      <c r="S1091" t="str">
        <f>IF(Table1[prior_dna_count]&gt;=1,"Has prior DNA history","No prior DNA history")</f>
        <v>No prior DNA history</v>
      </c>
      <c r="T1091" t="s">
        <v>22</v>
      </c>
      <c r="U1091" t="str">
        <f t="shared" si="17"/>
        <v>1</v>
      </c>
      <c r="V1091" t="str">
        <f>IF(Table1[appointment_status]="Attended","1","0")</f>
        <v>1</v>
      </c>
      <c r="W1091" t="str">
        <f>IF(Table1[appointment_status]="Cancelled","1","0")</f>
        <v>0</v>
      </c>
    </row>
    <row r="1092" spans="1:23">
      <c r="A1092" t="s">
        <v>1932</v>
      </c>
      <c r="B1092" t="s">
        <v>1933</v>
      </c>
      <c r="C1092">
        <v>49</v>
      </c>
      <c r="D1092" t="str" cm="1">
        <f t="array" ref="D1092">_xlfn.IFS(Table1[[#This Row],[age]]&lt;=17,"0-17",C1092&lt;=29,"18-29",C1092&lt;=44,"30-44",C1092&lt;=59,"45-59",C1092&lt;=74,"60-74",TRUE,"75+")</f>
        <v>45-59</v>
      </c>
      <c r="E1092" t="s">
        <v>29</v>
      </c>
      <c r="F1092">
        <v>6</v>
      </c>
      <c r="G1092" t="str" cm="1">
        <f t="array" ref="G1092">_xlfn.IFS(_xlfn.SINGLE(Table1[imd_decile])&lt;=3,"Most Deprived",F1092&lt;=7,"Moderately Deprived",F1092&lt;=10,"Least Deprived")</f>
        <v>Moderately Deprived</v>
      </c>
      <c r="H1092">
        <v>5.5</v>
      </c>
      <c r="I1092" t="s">
        <v>58</v>
      </c>
      <c r="J1092" t="s">
        <v>19</v>
      </c>
      <c r="K1092" s="1">
        <v>45780</v>
      </c>
      <c r="L1092" s="1">
        <v>45827</v>
      </c>
      <c r="M1092" s="1" t="str">
        <f>TEXT(Table1[[#This Row],[appointment_date]],"MM/YYYY")</f>
        <v>06/2025</v>
      </c>
      <c r="N1092">
        <v>47</v>
      </c>
      <c r="O1092" t="str" cm="1">
        <f t="array" ref="O1092">_xlfn.IFS(Table1[[#This Row],[lead_time_days]]&lt;=7,"0-7 days",N1092&lt;=14,"8-14 days",N1092&lt;=30,"15-30 days",N1092&lt;=60,"31-60 days",TRUE,"61+ days")</f>
        <v>31-60 days</v>
      </c>
      <c r="P1092" t="s">
        <v>20</v>
      </c>
      <c r="Q1092" t="s">
        <v>32</v>
      </c>
      <c r="R1092">
        <v>0</v>
      </c>
      <c r="S1092" t="str">
        <f>IF(Table1[prior_dna_count]&gt;=1,"Has prior DNA history","No prior DNA history")</f>
        <v>No prior DNA history</v>
      </c>
      <c r="T1092" t="s">
        <v>22</v>
      </c>
      <c r="U1092" t="str">
        <f t="shared" si="17"/>
        <v>1</v>
      </c>
      <c r="V1092" t="str">
        <f>IF(Table1[appointment_status]="Attended","1","0")</f>
        <v>1</v>
      </c>
      <c r="W1092" t="str">
        <f>IF(Table1[appointment_status]="Cancelled","1","0")</f>
        <v>0</v>
      </c>
    </row>
    <row r="1093" spans="1:23">
      <c r="A1093" t="s">
        <v>1934</v>
      </c>
      <c r="B1093" t="s">
        <v>1935</v>
      </c>
      <c r="C1093">
        <v>46</v>
      </c>
      <c r="D1093" t="str" cm="1">
        <f t="array" ref="D1093">_xlfn.IFS(Table1[[#This Row],[age]]&lt;=17,"0-17",C1093&lt;=29,"18-29",C1093&lt;=44,"30-44",C1093&lt;=59,"45-59",C1093&lt;=74,"60-74",TRUE,"75+")</f>
        <v>45-59</v>
      </c>
      <c r="E1093" t="s">
        <v>29</v>
      </c>
      <c r="F1093">
        <v>9</v>
      </c>
      <c r="G1093" t="str" cm="1">
        <f t="array" ref="G1093">_xlfn.IFS(_xlfn.SINGLE(Table1[imd_decile])&lt;=3,"Most Deprived",F1093&lt;=7,"Moderately Deprived",F1093&lt;=10,"Least Deprived")</f>
        <v>Least Deprived</v>
      </c>
      <c r="H1093">
        <v>1</v>
      </c>
      <c r="I1093" t="s">
        <v>25</v>
      </c>
      <c r="J1093" t="s">
        <v>26</v>
      </c>
      <c r="K1093" s="1">
        <v>45799</v>
      </c>
      <c r="L1093" s="1">
        <v>45828</v>
      </c>
      <c r="M1093" s="1" t="str">
        <f>TEXT(Table1[[#This Row],[appointment_date]],"MM/YYYY")</f>
        <v>06/2025</v>
      </c>
      <c r="N1093">
        <v>29</v>
      </c>
      <c r="O1093" t="str" cm="1">
        <f t="array" ref="O1093">_xlfn.IFS(Table1[[#This Row],[lead_time_days]]&lt;=7,"0-7 days",N1093&lt;=14,"8-14 days",N1093&lt;=30,"15-30 days",N1093&lt;=60,"31-60 days",TRUE,"61+ days")</f>
        <v>15-30 days</v>
      </c>
      <c r="P1093" t="s">
        <v>52</v>
      </c>
      <c r="Q1093" t="s">
        <v>21</v>
      </c>
      <c r="R1093">
        <v>0</v>
      </c>
      <c r="S1093" t="str">
        <f>IF(Table1[prior_dna_count]&gt;=1,"Has prior DNA history","No prior DNA history")</f>
        <v>No prior DNA history</v>
      </c>
      <c r="T1093" t="s">
        <v>22</v>
      </c>
      <c r="U1093" t="str">
        <f t="shared" si="17"/>
        <v>1</v>
      </c>
      <c r="V1093" t="str">
        <f>IF(Table1[appointment_status]="Attended","1","0")</f>
        <v>1</v>
      </c>
      <c r="W1093" t="str">
        <f>IF(Table1[appointment_status]="Cancelled","1","0")</f>
        <v>0</v>
      </c>
    </row>
    <row r="1094" spans="1:23">
      <c r="A1094" t="s">
        <v>1936</v>
      </c>
      <c r="B1094" t="s">
        <v>219</v>
      </c>
      <c r="C1094">
        <v>53</v>
      </c>
      <c r="D1094" t="str" cm="1">
        <f t="array" ref="D1094">_xlfn.IFS(Table1[[#This Row],[age]]&lt;=17,"0-17",C1094&lt;=29,"18-29",C1094&lt;=44,"30-44",C1094&lt;=59,"45-59",C1094&lt;=74,"60-74",TRUE,"75+")</f>
        <v>45-59</v>
      </c>
      <c r="E1094" t="s">
        <v>29</v>
      </c>
      <c r="F1094">
        <v>6</v>
      </c>
      <c r="G1094" t="str" cm="1">
        <f t="array" ref="G1094">_xlfn.IFS(_xlfn.SINGLE(Table1[imd_decile])&lt;=3,"Most Deprived",F1094&lt;=7,"Moderately Deprived",F1094&lt;=10,"Least Deprived")</f>
        <v>Moderately Deprived</v>
      </c>
      <c r="H1094">
        <v>4.3</v>
      </c>
      <c r="I1094" t="s">
        <v>91</v>
      </c>
      <c r="J1094" t="s">
        <v>19</v>
      </c>
      <c r="K1094" s="1">
        <v>45815</v>
      </c>
      <c r="L1094" s="1">
        <v>45828</v>
      </c>
      <c r="M1094" s="1" t="str">
        <f>TEXT(Table1[[#This Row],[appointment_date]],"MM/YYYY")</f>
        <v>06/2025</v>
      </c>
      <c r="N1094">
        <v>13</v>
      </c>
      <c r="O1094" t="str" cm="1">
        <f t="array" ref="O1094">_xlfn.IFS(Table1[[#This Row],[lead_time_days]]&lt;=7,"0-7 days",N1094&lt;=14,"8-14 days",N1094&lt;=30,"15-30 days",N1094&lt;=60,"31-60 days",TRUE,"61+ days")</f>
        <v>8-14 days</v>
      </c>
      <c r="P1094" t="s">
        <v>52</v>
      </c>
      <c r="Q1094" t="s">
        <v>32</v>
      </c>
      <c r="R1094">
        <v>0</v>
      </c>
      <c r="S1094" t="str">
        <f>IF(Table1[prior_dna_count]&gt;=1,"Has prior DNA history","No prior DNA history")</f>
        <v>No prior DNA history</v>
      </c>
      <c r="T1094" t="s">
        <v>22</v>
      </c>
      <c r="U1094" t="str">
        <f t="shared" si="17"/>
        <v>1</v>
      </c>
      <c r="V1094" t="str">
        <f>IF(Table1[appointment_status]="Attended","1","0")</f>
        <v>1</v>
      </c>
      <c r="W1094" t="str">
        <f>IF(Table1[appointment_status]="Cancelled","1","0")</f>
        <v>0</v>
      </c>
    </row>
    <row r="1095" spans="1:23">
      <c r="A1095" t="s">
        <v>1937</v>
      </c>
      <c r="B1095" t="s">
        <v>1938</v>
      </c>
      <c r="C1095">
        <v>33</v>
      </c>
      <c r="D1095" t="str" cm="1">
        <f t="array" ref="D1095">_xlfn.IFS(Table1[[#This Row],[age]]&lt;=17,"0-17",C1095&lt;=29,"18-29",C1095&lt;=44,"30-44",C1095&lt;=59,"45-59",C1095&lt;=74,"60-74",TRUE,"75+")</f>
        <v>30-44</v>
      </c>
      <c r="E1095" t="s">
        <v>29</v>
      </c>
      <c r="F1095">
        <v>3</v>
      </c>
      <c r="G1095" t="str" cm="1">
        <f t="array" ref="G1095">_xlfn.IFS(_xlfn.SINGLE(Table1[imd_decile])&lt;=3,"Most Deprived",F1095&lt;=7,"Moderately Deprived",F1095&lt;=10,"Least Deprived")</f>
        <v>Most Deprived</v>
      </c>
      <c r="H1095">
        <v>1.7</v>
      </c>
      <c r="I1095" t="s">
        <v>38</v>
      </c>
      <c r="J1095" t="s">
        <v>19</v>
      </c>
      <c r="K1095" s="1">
        <v>45767</v>
      </c>
      <c r="L1095" s="1">
        <v>45828</v>
      </c>
      <c r="M1095" s="1" t="str">
        <f>TEXT(Table1[[#This Row],[appointment_date]],"MM/YYYY")</f>
        <v>06/2025</v>
      </c>
      <c r="N1095">
        <v>61</v>
      </c>
      <c r="O1095" t="str" cm="1">
        <f t="array" ref="O1095">_xlfn.IFS(Table1[[#This Row],[lead_time_days]]&lt;=7,"0-7 days",N1095&lt;=14,"8-14 days",N1095&lt;=30,"15-30 days",N1095&lt;=60,"31-60 days",TRUE,"61+ days")</f>
        <v>61+ days</v>
      </c>
      <c r="P1095" t="s">
        <v>52</v>
      </c>
      <c r="Q1095" t="s">
        <v>21</v>
      </c>
      <c r="R1095">
        <v>2</v>
      </c>
      <c r="S1095" t="str">
        <f>IF(Table1[prior_dna_count]&gt;=1,"Has prior DNA history","No prior DNA history")</f>
        <v>Has prior DNA history</v>
      </c>
      <c r="T1095" t="s">
        <v>22</v>
      </c>
      <c r="U1095" t="str">
        <f t="shared" si="17"/>
        <v>1</v>
      </c>
      <c r="V1095" t="str">
        <f>IF(Table1[appointment_status]="Attended","1","0")</f>
        <v>1</v>
      </c>
      <c r="W1095" t="str">
        <f>IF(Table1[appointment_status]="Cancelled","1","0")</f>
        <v>0</v>
      </c>
    </row>
    <row r="1096" spans="1:23">
      <c r="A1096" t="s">
        <v>1939</v>
      </c>
      <c r="B1096" t="s">
        <v>1940</v>
      </c>
      <c r="C1096">
        <v>43</v>
      </c>
      <c r="D1096" t="str" cm="1">
        <f t="array" ref="D1096">_xlfn.IFS(Table1[[#This Row],[age]]&lt;=17,"0-17",C1096&lt;=29,"18-29",C1096&lt;=44,"30-44",C1096&lt;=59,"45-59",C1096&lt;=74,"60-74",TRUE,"75+")</f>
        <v>30-44</v>
      </c>
      <c r="E1096" t="s">
        <v>17</v>
      </c>
      <c r="F1096">
        <v>5</v>
      </c>
      <c r="G1096" t="str" cm="1">
        <f t="array" ref="G1096">_xlfn.IFS(_xlfn.SINGLE(Table1[imd_decile])&lt;=3,"Most Deprived",F1096&lt;=7,"Moderately Deprived",F1096&lt;=10,"Least Deprived")</f>
        <v>Moderately Deprived</v>
      </c>
      <c r="H1096">
        <v>23.9</v>
      </c>
      <c r="I1096" t="s">
        <v>155</v>
      </c>
      <c r="J1096" t="s">
        <v>26</v>
      </c>
      <c r="K1096" s="1">
        <v>45806</v>
      </c>
      <c r="L1096" s="1">
        <v>45828</v>
      </c>
      <c r="M1096" s="1" t="str">
        <f>TEXT(Table1[[#This Row],[appointment_date]],"MM/YYYY")</f>
        <v>06/2025</v>
      </c>
      <c r="N1096">
        <v>22</v>
      </c>
      <c r="O1096" t="str" cm="1">
        <f t="array" ref="O1096">_xlfn.IFS(Table1[[#This Row],[lead_time_days]]&lt;=7,"0-7 days",N1096&lt;=14,"8-14 days",N1096&lt;=30,"15-30 days",N1096&lt;=60,"31-60 days",TRUE,"61+ days")</f>
        <v>15-30 days</v>
      </c>
      <c r="P1096" t="s">
        <v>52</v>
      </c>
      <c r="Q1096" t="s">
        <v>21</v>
      </c>
      <c r="R1096">
        <v>0</v>
      </c>
      <c r="S1096" t="str">
        <f>IF(Table1[prior_dna_count]&gt;=1,"Has prior DNA history","No prior DNA history")</f>
        <v>No prior DNA history</v>
      </c>
      <c r="T1096" t="s">
        <v>46</v>
      </c>
      <c r="U1096" t="str">
        <f t="shared" si="17"/>
        <v>1</v>
      </c>
      <c r="V1096" t="str">
        <f>IF(Table1[appointment_status]="Attended","1","0")</f>
        <v>0</v>
      </c>
      <c r="W1096" t="str">
        <f>IF(Table1[appointment_status]="Cancelled","1","0")</f>
        <v>1</v>
      </c>
    </row>
    <row r="1097" spans="1:23">
      <c r="A1097" t="s">
        <v>1941</v>
      </c>
      <c r="B1097" t="s">
        <v>1942</v>
      </c>
      <c r="C1097">
        <v>27</v>
      </c>
      <c r="D1097" t="str" cm="1">
        <f t="array" ref="D1097">_xlfn.IFS(Table1[[#This Row],[age]]&lt;=17,"0-17",C1097&lt;=29,"18-29",C1097&lt;=44,"30-44",C1097&lt;=59,"45-59",C1097&lt;=74,"60-74",TRUE,"75+")</f>
        <v>18-29</v>
      </c>
      <c r="E1097" t="s">
        <v>29</v>
      </c>
      <c r="F1097">
        <v>5</v>
      </c>
      <c r="G1097" t="str" cm="1">
        <f t="array" ref="G1097">_xlfn.IFS(_xlfn.SINGLE(Table1[imd_decile])&lt;=3,"Most Deprived",F1097&lt;=7,"Moderately Deprived",F1097&lt;=10,"Least Deprived")</f>
        <v>Moderately Deprived</v>
      </c>
      <c r="H1097">
        <v>1.7</v>
      </c>
      <c r="I1097" t="s">
        <v>18</v>
      </c>
      <c r="J1097" t="s">
        <v>19</v>
      </c>
      <c r="K1097" s="1">
        <v>45804</v>
      </c>
      <c r="L1097" s="1">
        <v>45828</v>
      </c>
      <c r="M1097" s="1" t="str">
        <f>TEXT(Table1[[#This Row],[appointment_date]],"MM/YYYY")</f>
        <v>06/2025</v>
      </c>
      <c r="N1097">
        <v>24</v>
      </c>
      <c r="O1097" t="str" cm="1">
        <f t="array" ref="O1097">_xlfn.IFS(Table1[[#This Row],[lead_time_days]]&lt;=7,"0-7 days",N1097&lt;=14,"8-14 days",N1097&lt;=30,"15-30 days",N1097&lt;=60,"31-60 days",TRUE,"61+ days")</f>
        <v>15-30 days</v>
      </c>
      <c r="P1097" t="s">
        <v>52</v>
      </c>
      <c r="Q1097" t="s">
        <v>32</v>
      </c>
      <c r="R1097">
        <v>0</v>
      </c>
      <c r="S1097" t="str">
        <f>IF(Table1[prior_dna_count]&gt;=1,"Has prior DNA history","No prior DNA history")</f>
        <v>No prior DNA history</v>
      </c>
      <c r="T1097" t="s">
        <v>22</v>
      </c>
      <c r="U1097" t="str">
        <f t="shared" si="17"/>
        <v>0</v>
      </c>
      <c r="V1097" t="str">
        <f>IF(Table1[appointment_status]="Attended","1","0")</f>
        <v>1</v>
      </c>
      <c r="W1097" t="str">
        <f>IF(Table1[appointment_status]="Cancelled","1","0")</f>
        <v>0</v>
      </c>
    </row>
    <row r="1098" spans="1:23">
      <c r="A1098" t="s">
        <v>1943</v>
      </c>
      <c r="B1098" t="s">
        <v>1944</v>
      </c>
      <c r="C1098">
        <v>29</v>
      </c>
      <c r="D1098" t="str" cm="1">
        <f t="array" ref="D1098">_xlfn.IFS(Table1[[#This Row],[age]]&lt;=17,"0-17",C1098&lt;=29,"18-29",C1098&lt;=44,"30-44",C1098&lt;=59,"45-59",C1098&lt;=74,"60-74",TRUE,"75+")</f>
        <v>18-29</v>
      </c>
      <c r="E1098" t="s">
        <v>17</v>
      </c>
      <c r="F1098">
        <v>3</v>
      </c>
      <c r="G1098" t="str" cm="1">
        <f t="array" ref="G1098">_xlfn.IFS(_xlfn.SINGLE(Table1[imd_decile])&lt;=3,"Most Deprived",F1098&lt;=7,"Moderately Deprived",F1098&lt;=10,"Least Deprived")</f>
        <v>Most Deprived</v>
      </c>
      <c r="H1098">
        <v>10</v>
      </c>
      <c r="I1098" t="s">
        <v>58</v>
      </c>
      <c r="J1098" t="s">
        <v>19</v>
      </c>
      <c r="K1098" s="1">
        <v>45813</v>
      </c>
      <c r="L1098" s="1">
        <v>45828</v>
      </c>
      <c r="M1098" s="1" t="str">
        <f>TEXT(Table1[[#This Row],[appointment_date]],"MM/YYYY")</f>
        <v>06/2025</v>
      </c>
      <c r="N1098">
        <v>15</v>
      </c>
      <c r="O1098" t="str" cm="1">
        <f t="array" ref="O1098">_xlfn.IFS(Table1[[#This Row],[lead_time_days]]&lt;=7,"0-7 days",N1098&lt;=14,"8-14 days",N1098&lt;=30,"15-30 days",N1098&lt;=60,"31-60 days",TRUE,"61+ days")</f>
        <v>15-30 days</v>
      </c>
      <c r="P1098" t="s">
        <v>52</v>
      </c>
      <c r="Q1098" t="s">
        <v>21</v>
      </c>
      <c r="R1098">
        <v>0</v>
      </c>
      <c r="S1098" t="str">
        <f>IF(Table1[prior_dna_count]&gt;=1,"Has prior DNA history","No prior DNA history")</f>
        <v>No prior DNA history</v>
      </c>
      <c r="T1098" t="s">
        <v>22</v>
      </c>
      <c r="U1098" t="str">
        <f t="shared" si="17"/>
        <v>1</v>
      </c>
      <c r="V1098" t="str">
        <f>IF(Table1[appointment_status]="Attended","1","0")</f>
        <v>1</v>
      </c>
      <c r="W1098" t="str">
        <f>IF(Table1[appointment_status]="Cancelled","1","0")</f>
        <v>0</v>
      </c>
    </row>
    <row r="1099" spans="1:23">
      <c r="A1099" t="s">
        <v>1945</v>
      </c>
      <c r="B1099" t="s">
        <v>1946</v>
      </c>
      <c r="C1099">
        <v>41</v>
      </c>
      <c r="D1099" t="str" cm="1">
        <f t="array" ref="D1099">_xlfn.IFS(Table1[[#This Row],[age]]&lt;=17,"0-17",C1099&lt;=29,"18-29",C1099&lt;=44,"30-44",C1099&lt;=59,"45-59",C1099&lt;=74,"60-74",TRUE,"75+")</f>
        <v>30-44</v>
      </c>
      <c r="E1099" t="s">
        <v>17</v>
      </c>
      <c r="F1099">
        <v>8</v>
      </c>
      <c r="G1099" t="str" cm="1">
        <f t="array" ref="G1099">_xlfn.IFS(_xlfn.SINGLE(Table1[imd_decile])&lt;=3,"Most Deprived",F1099&lt;=7,"Moderately Deprived",F1099&lt;=10,"Least Deprived")</f>
        <v>Least Deprived</v>
      </c>
      <c r="H1099">
        <v>9.8000000000000007</v>
      </c>
      <c r="I1099" t="s">
        <v>155</v>
      </c>
      <c r="J1099" t="s">
        <v>19</v>
      </c>
      <c r="K1099" s="1">
        <v>45807</v>
      </c>
      <c r="L1099" s="1">
        <v>45828</v>
      </c>
      <c r="M1099" s="1" t="str">
        <f>TEXT(Table1[[#This Row],[appointment_date]],"MM/YYYY")</f>
        <v>06/2025</v>
      </c>
      <c r="N1099">
        <v>21</v>
      </c>
      <c r="O1099" t="str" cm="1">
        <f t="array" ref="O1099">_xlfn.IFS(Table1[[#This Row],[lead_time_days]]&lt;=7,"0-7 days",N1099&lt;=14,"8-14 days",N1099&lt;=30,"15-30 days",N1099&lt;=60,"31-60 days",TRUE,"61+ days")</f>
        <v>15-30 days</v>
      </c>
      <c r="P1099" t="s">
        <v>52</v>
      </c>
      <c r="Q1099" t="s">
        <v>21</v>
      </c>
      <c r="R1099">
        <v>0</v>
      </c>
      <c r="S1099" t="str">
        <f>IF(Table1[prior_dna_count]&gt;=1,"Has prior DNA history","No prior DNA history")</f>
        <v>No prior DNA history</v>
      </c>
      <c r="T1099" t="s">
        <v>22</v>
      </c>
      <c r="U1099" t="str">
        <f t="shared" si="17"/>
        <v>1</v>
      </c>
      <c r="V1099" t="str">
        <f>IF(Table1[appointment_status]="Attended","1","0")</f>
        <v>1</v>
      </c>
      <c r="W1099" t="str">
        <f>IF(Table1[appointment_status]="Cancelled","1","0")</f>
        <v>0</v>
      </c>
    </row>
    <row r="1100" spans="1:23">
      <c r="A1100" t="s">
        <v>1947</v>
      </c>
      <c r="B1100" t="s">
        <v>1754</v>
      </c>
      <c r="C1100">
        <v>40</v>
      </c>
      <c r="D1100" t="str" cm="1">
        <f t="array" ref="D1100">_xlfn.IFS(Table1[[#This Row],[age]]&lt;=17,"0-17",C1100&lt;=29,"18-29",C1100&lt;=44,"30-44",C1100&lt;=59,"45-59",C1100&lt;=74,"60-74",TRUE,"75+")</f>
        <v>30-44</v>
      </c>
      <c r="E1100" t="s">
        <v>29</v>
      </c>
      <c r="F1100">
        <v>10</v>
      </c>
      <c r="G1100" t="str" cm="1">
        <f t="array" ref="G1100">_xlfn.IFS(_xlfn.SINGLE(Table1[imd_decile])&lt;=3,"Most Deprived",F1100&lt;=7,"Moderately Deprived",F1100&lt;=10,"Least Deprived")</f>
        <v>Least Deprived</v>
      </c>
      <c r="H1100">
        <v>2.2999999999999998</v>
      </c>
      <c r="I1100" t="s">
        <v>155</v>
      </c>
      <c r="J1100" t="s">
        <v>19</v>
      </c>
      <c r="K1100" s="1">
        <v>45790</v>
      </c>
      <c r="L1100" s="1">
        <v>45829</v>
      </c>
      <c r="M1100" s="1" t="str">
        <f>TEXT(Table1[[#This Row],[appointment_date]],"MM/YYYY")</f>
        <v>06/2025</v>
      </c>
      <c r="N1100">
        <v>39</v>
      </c>
      <c r="O1100" t="str" cm="1">
        <f t="array" ref="O1100">_xlfn.IFS(Table1[[#This Row],[lead_time_days]]&lt;=7,"0-7 days",N1100&lt;=14,"8-14 days",N1100&lt;=30,"15-30 days",N1100&lt;=60,"31-60 days",TRUE,"61+ days")</f>
        <v>31-60 days</v>
      </c>
      <c r="P1100" t="s">
        <v>55</v>
      </c>
      <c r="Q1100" t="s">
        <v>21</v>
      </c>
      <c r="R1100">
        <v>0</v>
      </c>
      <c r="S1100" t="str">
        <f>IF(Table1[prior_dna_count]&gt;=1,"Has prior DNA history","No prior DNA history")</f>
        <v>No prior DNA history</v>
      </c>
      <c r="T1100" t="s">
        <v>22</v>
      </c>
      <c r="U1100" t="str">
        <f t="shared" si="17"/>
        <v>1</v>
      </c>
      <c r="V1100" t="str">
        <f>IF(Table1[appointment_status]="Attended","1","0")</f>
        <v>1</v>
      </c>
      <c r="W1100" t="str">
        <f>IF(Table1[appointment_status]="Cancelled","1","0")</f>
        <v>0</v>
      </c>
    </row>
    <row r="1101" spans="1:23">
      <c r="A1101" t="s">
        <v>1948</v>
      </c>
      <c r="B1101" t="s">
        <v>1949</v>
      </c>
      <c r="C1101">
        <v>34</v>
      </c>
      <c r="D1101" t="str" cm="1">
        <f t="array" ref="D1101">_xlfn.IFS(Table1[[#This Row],[age]]&lt;=17,"0-17",C1101&lt;=29,"18-29",C1101&lt;=44,"30-44",C1101&lt;=59,"45-59",C1101&lt;=74,"60-74",TRUE,"75+")</f>
        <v>30-44</v>
      </c>
      <c r="E1101" t="s">
        <v>17</v>
      </c>
      <c r="F1101">
        <v>2</v>
      </c>
      <c r="G1101" t="str" cm="1">
        <f t="array" ref="G1101">_xlfn.IFS(_xlfn.SINGLE(Table1[imd_decile])&lt;=3,"Most Deprived",F1101&lt;=7,"Moderately Deprived",F1101&lt;=10,"Least Deprived")</f>
        <v>Most Deprived</v>
      </c>
      <c r="H1101">
        <v>7.3</v>
      </c>
      <c r="I1101" t="s">
        <v>58</v>
      </c>
      <c r="J1101" t="s">
        <v>19</v>
      </c>
      <c r="K1101" s="1">
        <v>45789</v>
      </c>
      <c r="L1101" s="1">
        <v>45829</v>
      </c>
      <c r="M1101" s="1" t="str">
        <f>TEXT(Table1[[#This Row],[appointment_date]],"MM/YYYY")</f>
        <v>06/2025</v>
      </c>
      <c r="N1101">
        <v>40</v>
      </c>
      <c r="O1101" t="str" cm="1">
        <f t="array" ref="O1101">_xlfn.IFS(Table1[[#This Row],[lead_time_days]]&lt;=7,"0-7 days",N1101&lt;=14,"8-14 days",N1101&lt;=30,"15-30 days",N1101&lt;=60,"31-60 days",TRUE,"61+ days")</f>
        <v>31-60 days</v>
      </c>
      <c r="P1101" t="s">
        <v>55</v>
      </c>
      <c r="Q1101" t="s">
        <v>21</v>
      </c>
      <c r="R1101">
        <v>1</v>
      </c>
      <c r="S1101" t="str">
        <f>IF(Table1[prior_dna_count]&gt;=1,"Has prior DNA history","No prior DNA history")</f>
        <v>Has prior DNA history</v>
      </c>
      <c r="T1101" t="s">
        <v>22</v>
      </c>
      <c r="U1101" t="str">
        <f t="shared" si="17"/>
        <v>1</v>
      </c>
      <c r="V1101" t="str">
        <f>IF(Table1[appointment_status]="Attended","1","0")</f>
        <v>1</v>
      </c>
      <c r="W1101" t="str">
        <f>IF(Table1[appointment_status]="Cancelled","1","0")</f>
        <v>0</v>
      </c>
    </row>
    <row r="1102" spans="1:23">
      <c r="A1102" t="s">
        <v>1950</v>
      </c>
      <c r="B1102" t="s">
        <v>1079</v>
      </c>
      <c r="C1102">
        <v>71</v>
      </c>
      <c r="D1102" t="str" cm="1">
        <f t="array" ref="D1102">_xlfn.IFS(Table1[[#This Row],[age]]&lt;=17,"0-17",C1102&lt;=29,"18-29",C1102&lt;=44,"30-44",C1102&lt;=59,"45-59",C1102&lt;=74,"60-74",TRUE,"75+")</f>
        <v>60-74</v>
      </c>
      <c r="E1102" t="s">
        <v>29</v>
      </c>
      <c r="F1102">
        <v>8</v>
      </c>
      <c r="G1102" t="str" cm="1">
        <f t="array" ref="G1102">_xlfn.IFS(_xlfn.SINGLE(Table1[imd_decile])&lt;=3,"Most Deprived",F1102&lt;=7,"Moderately Deprived",F1102&lt;=10,"Least Deprived")</f>
        <v>Least Deprived</v>
      </c>
      <c r="H1102">
        <v>10.3</v>
      </c>
      <c r="I1102" t="s">
        <v>30</v>
      </c>
      <c r="J1102" t="s">
        <v>19</v>
      </c>
      <c r="K1102" s="1">
        <v>45820</v>
      </c>
      <c r="L1102" s="1">
        <v>45829</v>
      </c>
      <c r="M1102" s="1" t="str">
        <f>TEXT(Table1[[#This Row],[appointment_date]],"MM/YYYY")</f>
        <v>06/2025</v>
      </c>
      <c r="N1102">
        <v>9</v>
      </c>
      <c r="O1102" t="str" cm="1">
        <f t="array" ref="O1102">_xlfn.IFS(Table1[[#This Row],[lead_time_days]]&lt;=7,"0-7 days",N1102&lt;=14,"8-14 days",N1102&lt;=30,"15-30 days",N1102&lt;=60,"31-60 days",TRUE,"61+ days")</f>
        <v>8-14 days</v>
      </c>
      <c r="P1102" t="s">
        <v>55</v>
      </c>
      <c r="Q1102" t="s">
        <v>32</v>
      </c>
      <c r="R1102">
        <v>0</v>
      </c>
      <c r="S1102" t="str">
        <f>IF(Table1[prior_dna_count]&gt;=1,"Has prior DNA history","No prior DNA history")</f>
        <v>No prior DNA history</v>
      </c>
      <c r="T1102" t="s">
        <v>22</v>
      </c>
      <c r="U1102" t="str">
        <f t="shared" si="17"/>
        <v>1</v>
      </c>
      <c r="V1102" t="str">
        <f>IF(Table1[appointment_status]="Attended","1","0")</f>
        <v>1</v>
      </c>
      <c r="W1102" t="str">
        <f>IF(Table1[appointment_status]="Cancelled","1","0")</f>
        <v>0</v>
      </c>
    </row>
    <row r="1103" spans="1:23">
      <c r="A1103" t="s">
        <v>1951</v>
      </c>
      <c r="B1103" t="s">
        <v>389</v>
      </c>
      <c r="C1103">
        <v>66</v>
      </c>
      <c r="D1103" t="str" cm="1">
        <f t="array" ref="D1103">_xlfn.IFS(Table1[[#This Row],[age]]&lt;=17,"0-17",C1103&lt;=29,"18-29",C1103&lt;=44,"30-44",C1103&lt;=59,"45-59",C1103&lt;=74,"60-74",TRUE,"75+")</f>
        <v>60-74</v>
      </c>
      <c r="E1103" t="s">
        <v>29</v>
      </c>
      <c r="F1103">
        <v>2</v>
      </c>
      <c r="G1103" t="str" cm="1">
        <f t="array" ref="G1103">_xlfn.IFS(_xlfn.SINGLE(Table1[imd_decile])&lt;=3,"Most Deprived",F1103&lt;=7,"Moderately Deprived",F1103&lt;=10,"Least Deprived")</f>
        <v>Most Deprived</v>
      </c>
      <c r="H1103">
        <v>7.6</v>
      </c>
      <c r="I1103" t="s">
        <v>30</v>
      </c>
      <c r="J1103" t="s">
        <v>19</v>
      </c>
      <c r="K1103" s="1">
        <v>45806</v>
      </c>
      <c r="L1103" s="1">
        <v>45829</v>
      </c>
      <c r="M1103" s="1" t="str">
        <f>TEXT(Table1[[#This Row],[appointment_date]],"MM/YYYY")</f>
        <v>06/2025</v>
      </c>
      <c r="N1103">
        <v>23</v>
      </c>
      <c r="O1103" t="str" cm="1">
        <f t="array" ref="O1103">_xlfn.IFS(Table1[[#This Row],[lead_time_days]]&lt;=7,"0-7 days",N1103&lt;=14,"8-14 days",N1103&lt;=30,"15-30 days",N1103&lt;=60,"31-60 days",TRUE,"61+ days")</f>
        <v>15-30 days</v>
      </c>
      <c r="P1103" t="s">
        <v>55</v>
      </c>
      <c r="Q1103" t="s">
        <v>32</v>
      </c>
      <c r="R1103">
        <v>0</v>
      </c>
      <c r="S1103" t="str">
        <f>IF(Table1[prior_dna_count]&gt;=1,"Has prior DNA history","No prior DNA history")</f>
        <v>No prior DNA history</v>
      </c>
      <c r="T1103" t="s">
        <v>46</v>
      </c>
      <c r="U1103" t="str">
        <f t="shared" si="17"/>
        <v>1</v>
      </c>
      <c r="V1103" t="str">
        <f>IF(Table1[appointment_status]="Attended","1","0")</f>
        <v>0</v>
      </c>
      <c r="W1103" t="str">
        <f>IF(Table1[appointment_status]="Cancelled","1","0")</f>
        <v>1</v>
      </c>
    </row>
    <row r="1104" spans="1:23">
      <c r="A1104" t="s">
        <v>1952</v>
      </c>
      <c r="B1104" t="s">
        <v>1953</v>
      </c>
      <c r="C1104">
        <v>52</v>
      </c>
      <c r="D1104" t="str" cm="1">
        <f t="array" ref="D1104">_xlfn.IFS(Table1[[#This Row],[age]]&lt;=17,"0-17",C1104&lt;=29,"18-29",C1104&lt;=44,"30-44",C1104&lt;=59,"45-59",C1104&lt;=74,"60-74",TRUE,"75+")</f>
        <v>45-59</v>
      </c>
      <c r="E1104" t="s">
        <v>29</v>
      </c>
      <c r="F1104">
        <v>2</v>
      </c>
      <c r="G1104" t="str" cm="1">
        <f t="array" ref="G1104">_xlfn.IFS(_xlfn.SINGLE(Table1[imd_decile])&lt;=3,"Most Deprived",F1104&lt;=7,"Moderately Deprived",F1104&lt;=10,"Least Deprived")</f>
        <v>Most Deprived</v>
      </c>
      <c r="H1104">
        <v>8.6</v>
      </c>
      <c r="I1104" t="s">
        <v>42</v>
      </c>
      <c r="J1104" t="s">
        <v>19</v>
      </c>
      <c r="K1104" s="1">
        <v>45822</v>
      </c>
      <c r="L1104" s="1">
        <v>45829</v>
      </c>
      <c r="M1104" s="1" t="str">
        <f>TEXT(Table1[[#This Row],[appointment_date]],"MM/YYYY")</f>
        <v>06/2025</v>
      </c>
      <c r="N1104">
        <v>7</v>
      </c>
      <c r="O1104" t="str" cm="1">
        <f t="array" ref="O1104">_xlfn.IFS(Table1[[#This Row],[lead_time_days]]&lt;=7,"0-7 days",N1104&lt;=14,"8-14 days",N1104&lt;=30,"15-30 days",N1104&lt;=60,"31-60 days",TRUE,"61+ days")</f>
        <v>0-7 days</v>
      </c>
      <c r="P1104" t="s">
        <v>55</v>
      </c>
      <c r="Q1104" t="s">
        <v>21</v>
      </c>
      <c r="R1104">
        <v>0</v>
      </c>
      <c r="S1104" t="str">
        <f>IF(Table1[prior_dna_count]&gt;=1,"Has prior DNA history","No prior DNA history")</f>
        <v>No prior DNA history</v>
      </c>
      <c r="T1104" t="s">
        <v>22</v>
      </c>
      <c r="U1104" t="str">
        <f t="shared" si="17"/>
        <v>0</v>
      </c>
      <c r="V1104" t="str">
        <f>IF(Table1[appointment_status]="Attended","1","0")</f>
        <v>1</v>
      </c>
      <c r="W1104" t="str">
        <f>IF(Table1[appointment_status]="Cancelled","1","0")</f>
        <v>0</v>
      </c>
    </row>
    <row r="1105" spans="1:23">
      <c r="A1105" t="s">
        <v>1954</v>
      </c>
      <c r="B1105" t="s">
        <v>1955</v>
      </c>
      <c r="C1105">
        <v>58</v>
      </c>
      <c r="D1105" t="str" cm="1">
        <f t="array" ref="D1105">_xlfn.IFS(Table1[[#This Row],[age]]&lt;=17,"0-17",C1105&lt;=29,"18-29",C1105&lt;=44,"30-44",C1105&lt;=59,"45-59",C1105&lt;=74,"60-74",TRUE,"75+")</f>
        <v>45-59</v>
      </c>
      <c r="E1105" t="s">
        <v>29</v>
      </c>
      <c r="F1105">
        <v>2</v>
      </c>
      <c r="G1105" t="str" cm="1">
        <f t="array" ref="G1105">_xlfn.IFS(_xlfn.SINGLE(Table1[imd_decile])&lt;=3,"Most Deprived",F1105&lt;=7,"Moderately Deprived",F1105&lt;=10,"Least Deprived")</f>
        <v>Most Deprived</v>
      </c>
      <c r="H1105">
        <v>10</v>
      </c>
      <c r="I1105" t="s">
        <v>42</v>
      </c>
      <c r="J1105" t="s">
        <v>26</v>
      </c>
      <c r="K1105" s="1">
        <v>45814</v>
      </c>
      <c r="L1105" s="1">
        <v>45829</v>
      </c>
      <c r="M1105" s="1" t="str">
        <f>TEXT(Table1[[#This Row],[appointment_date]],"MM/YYYY")</f>
        <v>06/2025</v>
      </c>
      <c r="N1105">
        <v>15</v>
      </c>
      <c r="O1105" t="str" cm="1">
        <f t="array" ref="O1105">_xlfn.IFS(Table1[[#This Row],[lead_time_days]]&lt;=7,"0-7 days",N1105&lt;=14,"8-14 days",N1105&lt;=30,"15-30 days",N1105&lt;=60,"31-60 days",TRUE,"61+ days")</f>
        <v>15-30 days</v>
      </c>
      <c r="P1105" t="s">
        <v>55</v>
      </c>
      <c r="Q1105" t="s">
        <v>21</v>
      </c>
      <c r="R1105">
        <v>0</v>
      </c>
      <c r="S1105" t="str">
        <f>IF(Table1[prior_dna_count]&gt;=1,"Has prior DNA history","No prior DNA history")</f>
        <v>No prior DNA history</v>
      </c>
      <c r="T1105" t="s">
        <v>22</v>
      </c>
      <c r="U1105" t="str">
        <f t="shared" si="17"/>
        <v>1</v>
      </c>
      <c r="V1105" t="str">
        <f>IF(Table1[appointment_status]="Attended","1","0")</f>
        <v>1</v>
      </c>
      <c r="W1105" t="str">
        <f>IF(Table1[appointment_status]="Cancelled","1","0")</f>
        <v>0</v>
      </c>
    </row>
    <row r="1106" spans="1:23">
      <c r="A1106" t="s">
        <v>1956</v>
      </c>
      <c r="B1106" t="s">
        <v>1957</v>
      </c>
      <c r="C1106">
        <v>75</v>
      </c>
      <c r="D1106" t="str" cm="1">
        <f t="array" ref="D1106">_xlfn.IFS(Table1[[#This Row],[age]]&lt;=17,"0-17",C1106&lt;=29,"18-29",C1106&lt;=44,"30-44",C1106&lt;=59,"45-59",C1106&lt;=74,"60-74",TRUE,"75+")</f>
        <v>75+</v>
      </c>
      <c r="E1106" t="s">
        <v>17</v>
      </c>
      <c r="F1106">
        <v>5</v>
      </c>
      <c r="G1106" t="str" cm="1">
        <f t="array" ref="G1106">_xlfn.IFS(_xlfn.SINGLE(Table1[imd_decile])&lt;=3,"Most Deprived",F1106&lt;=7,"Moderately Deprived",F1106&lt;=10,"Least Deprived")</f>
        <v>Moderately Deprived</v>
      </c>
      <c r="H1106">
        <v>2.5</v>
      </c>
      <c r="I1106" t="s">
        <v>25</v>
      </c>
      <c r="J1106" t="s">
        <v>19</v>
      </c>
      <c r="K1106" s="1">
        <v>45793</v>
      </c>
      <c r="L1106" s="1">
        <v>45829</v>
      </c>
      <c r="M1106" s="1" t="str">
        <f>TEXT(Table1[[#This Row],[appointment_date]],"MM/YYYY")</f>
        <v>06/2025</v>
      </c>
      <c r="N1106">
        <v>36</v>
      </c>
      <c r="O1106" t="str" cm="1">
        <f t="array" ref="O1106">_xlfn.IFS(Table1[[#This Row],[lead_time_days]]&lt;=7,"0-7 days",N1106&lt;=14,"8-14 days",N1106&lt;=30,"15-30 days",N1106&lt;=60,"31-60 days",TRUE,"61+ days")</f>
        <v>31-60 days</v>
      </c>
      <c r="P1106" t="s">
        <v>55</v>
      </c>
      <c r="Q1106" t="s">
        <v>21</v>
      </c>
      <c r="R1106">
        <v>0</v>
      </c>
      <c r="S1106" t="str">
        <f>IF(Table1[prior_dna_count]&gt;=1,"Has prior DNA history","No prior DNA history")</f>
        <v>No prior DNA history</v>
      </c>
      <c r="T1106" t="s">
        <v>22</v>
      </c>
      <c r="U1106" t="str">
        <f t="shared" si="17"/>
        <v>1</v>
      </c>
      <c r="V1106" t="str">
        <f>IF(Table1[appointment_status]="Attended","1","0")</f>
        <v>1</v>
      </c>
      <c r="W1106" t="str">
        <f>IF(Table1[appointment_status]="Cancelled","1","0")</f>
        <v>0</v>
      </c>
    </row>
    <row r="1107" spans="1:23">
      <c r="A1107" t="s">
        <v>1958</v>
      </c>
      <c r="B1107" t="s">
        <v>1959</v>
      </c>
      <c r="C1107">
        <v>69</v>
      </c>
      <c r="D1107" t="str" cm="1">
        <f t="array" ref="D1107">_xlfn.IFS(Table1[[#This Row],[age]]&lt;=17,"0-17",C1107&lt;=29,"18-29",C1107&lt;=44,"30-44",C1107&lt;=59,"45-59",C1107&lt;=74,"60-74",TRUE,"75+")</f>
        <v>60-74</v>
      </c>
      <c r="E1107" t="s">
        <v>29</v>
      </c>
      <c r="F1107">
        <v>2</v>
      </c>
      <c r="G1107" t="str" cm="1">
        <f t="array" ref="G1107">_xlfn.IFS(_xlfn.SINGLE(Table1[imd_decile])&lt;=3,"Most Deprived",F1107&lt;=7,"Moderately Deprived",F1107&lt;=10,"Least Deprived")</f>
        <v>Most Deprived</v>
      </c>
      <c r="H1107">
        <v>6.6</v>
      </c>
      <c r="I1107" t="s">
        <v>45</v>
      </c>
      <c r="J1107" t="s">
        <v>19</v>
      </c>
      <c r="K1107" s="1">
        <v>45744</v>
      </c>
      <c r="L1107" s="1">
        <v>45830</v>
      </c>
      <c r="M1107" s="1" t="str">
        <f>TEXT(Table1[[#This Row],[appointment_date]],"MM/YYYY")</f>
        <v>06/2025</v>
      </c>
      <c r="N1107">
        <v>86</v>
      </c>
      <c r="O1107" t="str" cm="1">
        <f t="array" ref="O1107">_xlfn.IFS(Table1[[#This Row],[lead_time_days]]&lt;=7,"0-7 days",N1107&lt;=14,"8-14 days",N1107&lt;=30,"15-30 days",N1107&lt;=60,"31-60 days",TRUE,"61+ days")</f>
        <v>61+ days</v>
      </c>
      <c r="P1107" t="s">
        <v>31</v>
      </c>
      <c r="Q1107" t="s">
        <v>32</v>
      </c>
      <c r="R1107">
        <v>0</v>
      </c>
      <c r="S1107" t="str">
        <f>IF(Table1[prior_dna_count]&gt;=1,"Has prior DNA history","No prior DNA history")</f>
        <v>No prior DNA history</v>
      </c>
      <c r="T1107" t="s">
        <v>22</v>
      </c>
      <c r="U1107" t="str">
        <f t="shared" si="17"/>
        <v>1</v>
      </c>
      <c r="V1107" t="str">
        <f>IF(Table1[appointment_status]="Attended","1","0")</f>
        <v>1</v>
      </c>
      <c r="W1107" t="str">
        <f>IF(Table1[appointment_status]="Cancelled","1","0")</f>
        <v>0</v>
      </c>
    </row>
    <row r="1108" spans="1:23">
      <c r="A1108" t="s">
        <v>1960</v>
      </c>
      <c r="B1108" t="s">
        <v>1476</v>
      </c>
      <c r="C1108">
        <v>67</v>
      </c>
      <c r="D1108" t="str" cm="1">
        <f t="array" ref="D1108">_xlfn.IFS(Table1[[#This Row],[age]]&lt;=17,"0-17",C1108&lt;=29,"18-29",C1108&lt;=44,"30-44",C1108&lt;=59,"45-59",C1108&lt;=74,"60-74",TRUE,"75+")</f>
        <v>60-74</v>
      </c>
      <c r="E1108" t="s">
        <v>29</v>
      </c>
      <c r="F1108">
        <v>10</v>
      </c>
      <c r="G1108" t="str" cm="1">
        <f t="array" ref="G1108">_xlfn.IFS(_xlfn.SINGLE(Table1[imd_decile])&lt;=3,"Most Deprived",F1108&lt;=7,"Moderately Deprived",F1108&lt;=10,"Least Deprived")</f>
        <v>Least Deprived</v>
      </c>
      <c r="H1108">
        <v>7.5</v>
      </c>
      <c r="I1108" t="s">
        <v>91</v>
      </c>
      <c r="J1108" t="s">
        <v>19</v>
      </c>
      <c r="K1108" s="1">
        <v>45758</v>
      </c>
      <c r="L1108" s="1">
        <v>45830</v>
      </c>
      <c r="M1108" s="1" t="str">
        <f>TEXT(Table1[[#This Row],[appointment_date]],"MM/YYYY")</f>
        <v>06/2025</v>
      </c>
      <c r="N1108">
        <v>72</v>
      </c>
      <c r="O1108" t="str" cm="1">
        <f t="array" ref="O1108">_xlfn.IFS(Table1[[#This Row],[lead_time_days]]&lt;=7,"0-7 days",N1108&lt;=14,"8-14 days",N1108&lt;=30,"15-30 days",N1108&lt;=60,"31-60 days",TRUE,"61+ days")</f>
        <v>61+ days</v>
      </c>
      <c r="P1108" t="s">
        <v>31</v>
      </c>
      <c r="Q1108" t="s">
        <v>21</v>
      </c>
      <c r="R1108">
        <v>0</v>
      </c>
      <c r="S1108" t="str">
        <f>IF(Table1[prior_dna_count]&gt;=1,"Has prior DNA history","No prior DNA history")</f>
        <v>No prior DNA history</v>
      </c>
      <c r="T1108" t="s">
        <v>46</v>
      </c>
      <c r="U1108" t="str">
        <f t="shared" si="17"/>
        <v>1</v>
      </c>
      <c r="V1108" t="str">
        <f>IF(Table1[appointment_status]="Attended","1","0")</f>
        <v>0</v>
      </c>
      <c r="W1108" t="str">
        <f>IF(Table1[appointment_status]="Cancelled","1","0")</f>
        <v>1</v>
      </c>
    </row>
    <row r="1109" spans="1:23">
      <c r="A1109" t="s">
        <v>1961</v>
      </c>
      <c r="B1109" t="s">
        <v>1962</v>
      </c>
      <c r="C1109">
        <v>62</v>
      </c>
      <c r="D1109" t="str" cm="1">
        <f t="array" ref="D1109">_xlfn.IFS(Table1[[#This Row],[age]]&lt;=17,"0-17",C1109&lt;=29,"18-29",C1109&lt;=44,"30-44",C1109&lt;=59,"45-59",C1109&lt;=74,"60-74",TRUE,"75+")</f>
        <v>60-74</v>
      </c>
      <c r="E1109" t="s">
        <v>29</v>
      </c>
      <c r="F1109">
        <v>9</v>
      </c>
      <c r="G1109" t="str" cm="1">
        <f t="array" ref="G1109">_xlfn.IFS(_xlfn.SINGLE(Table1[imd_decile])&lt;=3,"Most Deprived",F1109&lt;=7,"Moderately Deprived",F1109&lt;=10,"Least Deprived")</f>
        <v>Least Deprived</v>
      </c>
      <c r="H1109">
        <v>3</v>
      </c>
      <c r="I1109" t="s">
        <v>18</v>
      </c>
      <c r="J1109" t="s">
        <v>19</v>
      </c>
      <c r="K1109" s="1">
        <v>45818</v>
      </c>
      <c r="L1109" s="1">
        <v>45830</v>
      </c>
      <c r="M1109" s="1" t="str">
        <f>TEXT(Table1[[#This Row],[appointment_date]],"MM/YYYY")</f>
        <v>06/2025</v>
      </c>
      <c r="N1109">
        <v>12</v>
      </c>
      <c r="O1109" t="str" cm="1">
        <f t="array" ref="O1109">_xlfn.IFS(Table1[[#This Row],[lead_time_days]]&lt;=7,"0-7 days",N1109&lt;=14,"8-14 days",N1109&lt;=30,"15-30 days",N1109&lt;=60,"31-60 days",TRUE,"61+ days")</f>
        <v>8-14 days</v>
      </c>
      <c r="P1109" t="s">
        <v>31</v>
      </c>
      <c r="Q1109" t="s">
        <v>21</v>
      </c>
      <c r="R1109">
        <v>0</v>
      </c>
      <c r="S1109" t="str">
        <f>IF(Table1[prior_dna_count]&gt;=1,"Has prior DNA history","No prior DNA history")</f>
        <v>No prior DNA history</v>
      </c>
      <c r="T1109" t="s">
        <v>22</v>
      </c>
      <c r="U1109" t="str">
        <f t="shared" si="17"/>
        <v>0</v>
      </c>
      <c r="V1109" t="str">
        <f>IF(Table1[appointment_status]="Attended","1","0")</f>
        <v>1</v>
      </c>
      <c r="W1109" t="str">
        <f>IF(Table1[appointment_status]="Cancelled","1","0")</f>
        <v>0</v>
      </c>
    </row>
    <row r="1110" spans="1:23">
      <c r="A1110" t="s">
        <v>1963</v>
      </c>
      <c r="B1110" t="s">
        <v>331</v>
      </c>
      <c r="C1110">
        <v>48</v>
      </c>
      <c r="D1110" t="str" cm="1">
        <f t="array" ref="D1110">_xlfn.IFS(Table1[[#This Row],[age]]&lt;=17,"0-17",C1110&lt;=29,"18-29",C1110&lt;=44,"30-44",C1110&lt;=59,"45-59",C1110&lt;=74,"60-74",TRUE,"75+")</f>
        <v>45-59</v>
      </c>
      <c r="E1110" t="s">
        <v>17</v>
      </c>
      <c r="F1110">
        <v>3</v>
      </c>
      <c r="G1110" t="str" cm="1">
        <f t="array" ref="G1110">_xlfn.IFS(_xlfn.SINGLE(Table1[imd_decile])&lt;=3,"Most Deprived",F1110&lt;=7,"Moderately Deprived",F1110&lt;=10,"Least Deprived")</f>
        <v>Most Deprived</v>
      </c>
      <c r="H1110">
        <v>3.7</v>
      </c>
      <c r="I1110" t="s">
        <v>42</v>
      </c>
      <c r="J1110" t="s">
        <v>19</v>
      </c>
      <c r="K1110" s="1">
        <v>45825</v>
      </c>
      <c r="L1110" s="1">
        <v>45830</v>
      </c>
      <c r="M1110" s="1" t="str">
        <f>TEXT(Table1[[#This Row],[appointment_date]],"MM/YYYY")</f>
        <v>06/2025</v>
      </c>
      <c r="N1110">
        <v>5</v>
      </c>
      <c r="O1110" t="str" cm="1">
        <f t="array" ref="O1110">_xlfn.IFS(Table1[[#This Row],[lead_time_days]]&lt;=7,"0-7 days",N1110&lt;=14,"8-14 days",N1110&lt;=30,"15-30 days",N1110&lt;=60,"31-60 days",TRUE,"61+ days")</f>
        <v>0-7 days</v>
      </c>
      <c r="P1110" t="s">
        <v>31</v>
      </c>
      <c r="Q1110" t="s">
        <v>21</v>
      </c>
      <c r="R1110">
        <v>0</v>
      </c>
      <c r="S1110" t="str">
        <f>IF(Table1[prior_dna_count]&gt;=1,"Has prior DNA history","No prior DNA history")</f>
        <v>No prior DNA history</v>
      </c>
      <c r="T1110" t="s">
        <v>22</v>
      </c>
      <c r="U1110" t="str">
        <f t="shared" si="17"/>
        <v>1</v>
      </c>
      <c r="V1110" t="str">
        <f>IF(Table1[appointment_status]="Attended","1","0")</f>
        <v>1</v>
      </c>
      <c r="W1110" t="str">
        <f>IF(Table1[appointment_status]="Cancelled","1","0")</f>
        <v>0</v>
      </c>
    </row>
    <row r="1111" spans="1:23">
      <c r="A1111" t="s">
        <v>1964</v>
      </c>
      <c r="B1111" t="s">
        <v>1965</v>
      </c>
      <c r="C1111">
        <v>26</v>
      </c>
      <c r="D1111" t="str" cm="1">
        <f t="array" ref="D1111">_xlfn.IFS(Table1[[#This Row],[age]]&lt;=17,"0-17",C1111&lt;=29,"18-29",C1111&lt;=44,"30-44",C1111&lt;=59,"45-59",C1111&lt;=74,"60-74",TRUE,"75+")</f>
        <v>18-29</v>
      </c>
      <c r="E1111" t="s">
        <v>17</v>
      </c>
      <c r="F1111">
        <v>9</v>
      </c>
      <c r="G1111" t="str" cm="1">
        <f t="array" ref="G1111">_xlfn.IFS(_xlfn.SINGLE(Table1[imd_decile])&lt;=3,"Most Deprived",F1111&lt;=7,"Moderately Deprived",F1111&lt;=10,"Least Deprived")</f>
        <v>Least Deprived</v>
      </c>
      <c r="H1111">
        <v>4.5999999999999996</v>
      </c>
      <c r="I1111" t="s">
        <v>91</v>
      </c>
      <c r="J1111" t="s">
        <v>26</v>
      </c>
      <c r="K1111" s="1">
        <v>45820</v>
      </c>
      <c r="L1111" s="1">
        <v>45830</v>
      </c>
      <c r="M1111" s="1" t="str">
        <f>TEXT(Table1[[#This Row],[appointment_date]],"MM/YYYY")</f>
        <v>06/2025</v>
      </c>
      <c r="N1111">
        <v>10</v>
      </c>
      <c r="O1111" t="str" cm="1">
        <f t="array" ref="O1111">_xlfn.IFS(Table1[[#This Row],[lead_time_days]]&lt;=7,"0-7 days",N1111&lt;=14,"8-14 days",N1111&lt;=30,"15-30 days",N1111&lt;=60,"31-60 days",TRUE,"61+ days")</f>
        <v>8-14 days</v>
      </c>
      <c r="P1111" t="s">
        <v>31</v>
      </c>
      <c r="Q1111" t="s">
        <v>21</v>
      </c>
      <c r="R1111">
        <v>0</v>
      </c>
      <c r="S1111" t="str">
        <f>IF(Table1[prior_dna_count]&gt;=1,"Has prior DNA history","No prior DNA history")</f>
        <v>No prior DNA history</v>
      </c>
      <c r="T1111" t="s">
        <v>46</v>
      </c>
      <c r="U1111" t="str">
        <f t="shared" si="17"/>
        <v>1</v>
      </c>
      <c r="V1111" t="str">
        <f>IF(Table1[appointment_status]="Attended","1","0")</f>
        <v>0</v>
      </c>
      <c r="W1111" t="str">
        <f>IF(Table1[appointment_status]="Cancelled","1","0")</f>
        <v>1</v>
      </c>
    </row>
    <row r="1112" spans="1:23">
      <c r="A1112" t="s">
        <v>1966</v>
      </c>
      <c r="B1112" t="s">
        <v>1967</v>
      </c>
      <c r="C1112">
        <v>26</v>
      </c>
      <c r="D1112" t="str" cm="1">
        <f t="array" ref="D1112">_xlfn.IFS(Table1[[#This Row],[age]]&lt;=17,"0-17",C1112&lt;=29,"18-29",C1112&lt;=44,"30-44",C1112&lt;=59,"45-59",C1112&lt;=74,"60-74",TRUE,"75+")</f>
        <v>18-29</v>
      </c>
      <c r="E1112" t="s">
        <v>29</v>
      </c>
      <c r="F1112">
        <v>9</v>
      </c>
      <c r="G1112" t="str" cm="1">
        <f t="array" ref="G1112">_xlfn.IFS(_xlfn.SINGLE(Table1[imd_decile])&lt;=3,"Most Deprived",F1112&lt;=7,"Moderately Deprived",F1112&lt;=10,"Least Deprived")</f>
        <v>Least Deprived</v>
      </c>
      <c r="H1112">
        <v>6</v>
      </c>
      <c r="I1112" t="s">
        <v>91</v>
      </c>
      <c r="J1112" t="s">
        <v>19</v>
      </c>
      <c r="K1112" s="1">
        <v>45791</v>
      </c>
      <c r="L1112" s="1">
        <v>45830</v>
      </c>
      <c r="M1112" s="1" t="str">
        <f>TEXT(Table1[[#This Row],[appointment_date]],"MM/YYYY")</f>
        <v>06/2025</v>
      </c>
      <c r="N1112">
        <v>39</v>
      </c>
      <c r="O1112" t="str" cm="1">
        <f t="array" ref="O1112">_xlfn.IFS(Table1[[#This Row],[lead_time_days]]&lt;=7,"0-7 days",N1112&lt;=14,"8-14 days",N1112&lt;=30,"15-30 days",N1112&lt;=60,"31-60 days",TRUE,"61+ days")</f>
        <v>31-60 days</v>
      </c>
      <c r="P1112" t="s">
        <v>31</v>
      </c>
      <c r="Q1112" t="s">
        <v>21</v>
      </c>
      <c r="R1112">
        <v>0</v>
      </c>
      <c r="S1112" t="str">
        <f>IF(Table1[prior_dna_count]&gt;=1,"Has prior DNA history","No prior DNA history")</f>
        <v>No prior DNA history</v>
      </c>
      <c r="T1112" t="s">
        <v>22</v>
      </c>
      <c r="U1112" t="str">
        <f t="shared" si="17"/>
        <v>0</v>
      </c>
      <c r="V1112" t="str">
        <f>IF(Table1[appointment_status]="Attended","1","0")</f>
        <v>1</v>
      </c>
      <c r="W1112" t="str">
        <f>IF(Table1[appointment_status]="Cancelled","1","0")</f>
        <v>0</v>
      </c>
    </row>
    <row r="1113" spans="1:23">
      <c r="A1113" t="s">
        <v>1968</v>
      </c>
      <c r="B1113" t="s">
        <v>51</v>
      </c>
      <c r="C1113">
        <v>17</v>
      </c>
      <c r="D1113" t="str" cm="1">
        <f t="array" ref="D1113">_xlfn.IFS(Table1[[#This Row],[age]]&lt;=17,"0-17",C1113&lt;=29,"18-29",C1113&lt;=44,"30-44",C1113&lt;=59,"45-59",C1113&lt;=74,"60-74",TRUE,"75+")</f>
        <v>0-17</v>
      </c>
      <c r="E1113" t="s">
        <v>29</v>
      </c>
      <c r="F1113">
        <v>6</v>
      </c>
      <c r="G1113" t="str" cm="1">
        <f t="array" ref="G1113">_xlfn.IFS(_xlfn.SINGLE(Table1[imd_decile])&lt;=3,"Most Deprived",F1113&lt;=7,"Moderately Deprived",F1113&lt;=10,"Least Deprived")</f>
        <v>Moderately Deprived</v>
      </c>
      <c r="H1113">
        <v>17.7</v>
      </c>
      <c r="I1113" t="s">
        <v>58</v>
      </c>
      <c r="J1113" t="s">
        <v>19</v>
      </c>
      <c r="K1113" s="1">
        <v>45790</v>
      </c>
      <c r="L1113" s="1">
        <v>45830</v>
      </c>
      <c r="M1113" s="1" t="str">
        <f>TEXT(Table1[[#This Row],[appointment_date]],"MM/YYYY")</f>
        <v>06/2025</v>
      </c>
      <c r="N1113">
        <v>40</v>
      </c>
      <c r="O1113" t="str" cm="1">
        <f t="array" ref="O1113">_xlfn.IFS(Table1[[#This Row],[lead_time_days]]&lt;=7,"0-7 days",N1113&lt;=14,"8-14 days",N1113&lt;=30,"15-30 days",N1113&lt;=60,"31-60 days",TRUE,"61+ days")</f>
        <v>31-60 days</v>
      </c>
      <c r="P1113" t="s">
        <v>31</v>
      </c>
      <c r="Q1113" t="s">
        <v>21</v>
      </c>
      <c r="R1113">
        <v>0</v>
      </c>
      <c r="S1113" t="str">
        <f>IF(Table1[prior_dna_count]&gt;=1,"Has prior DNA history","No prior DNA history")</f>
        <v>No prior DNA history</v>
      </c>
      <c r="T1113" t="s">
        <v>22</v>
      </c>
      <c r="U1113" t="str">
        <f t="shared" si="17"/>
        <v>1</v>
      </c>
      <c r="V1113" t="str">
        <f>IF(Table1[appointment_status]="Attended","1","0")</f>
        <v>1</v>
      </c>
      <c r="W1113" t="str">
        <f>IF(Table1[appointment_status]="Cancelled","1","0")</f>
        <v>0</v>
      </c>
    </row>
    <row r="1114" spans="1:23">
      <c r="A1114" t="s">
        <v>1969</v>
      </c>
      <c r="B1114" t="s">
        <v>1970</v>
      </c>
      <c r="C1114">
        <v>40</v>
      </c>
      <c r="D1114" t="str" cm="1">
        <f t="array" ref="D1114">_xlfn.IFS(Table1[[#This Row],[age]]&lt;=17,"0-17",C1114&lt;=29,"18-29",C1114&lt;=44,"30-44",C1114&lt;=59,"45-59",C1114&lt;=74,"60-74",TRUE,"75+")</f>
        <v>30-44</v>
      </c>
      <c r="E1114" t="s">
        <v>17</v>
      </c>
      <c r="F1114">
        <v>3</v>
      </c>
      <c r="G1114" t="str" cm="1">
        <f t="array" ref="G1114">_xlfn.IFS(_xlfn.SINGLE(Table1[imd_decile])&lt;=3,"Most Deprived",F1114&lt;=7,"Moderately Deprived",F1114&lt;=10,"Least Deprived")</f>
        <v>Most Deprived</v>
      </c>
      <c r="H1114">
        <v>7.5</v>
      </c>
      <c r="I1114" t="s">
        <v>42</v>
      </c>
      <c r="J1114" t="s">
        <v>26</v>
      </c>
      <c r="K1114" s="1">
        <v>45818</v>
      </c>
      <c r="L1114" s="1">
        <v>45830</v>
      </c>
      <c r="M1114" s="1" t="str">
        <f>TEXT(Table1[[#This Row],[appointment_date]],"MM/YYYY")</f>
        <v>06/2025</v>
      </c>
      <c r="N1114">
        <v>12</v>
      </c>
      <c r="O1114" t="str" cm="1">
        <f t="array" ref="O1114">_xlfn.IFS(Table1[[#This Row],[lead_time_days]]&lt;=7,"0-7 days",N1114&lt;=14,"8-14 days",N1114&lt;=30,"15-30 days",N1114&lt;=60,"31-60 days",TRUE,"61+ days")</f>
        <v>8-14 days</v>
      </c>
      <c r="P1114" t="s">
        <v>31</v>
      </c>
      <c r="Q1114" t="s">
        <v>21</v>
      </c>
      <c r="R1114">
        <v>0</v>
      </c>
      <c r="S1114" t="str">
        <f>IF(Table1[prior_dna_count]&gt;=1,"Has prior DNA history","No prior DNA history")</f>
        <v>No prior DNA history</v>
      </c>
      <c r="T1114" t="s">
        <v>22</v>
      </c>
      <c r="U1114" t="str">
        <f t="shared" si="17"/>
        <v>1</v>
      </c>
      <c r="V1114" t="str">
        <f>IF(Table1[appointment_status]="Attended","1","0")</f>
        <v>1</v>
      </c>
      <c r="W1114" t="str">
        <f>IF(Table1[appointment_status]="Cancelled","1","0")</f>
        <v>0</v>
      </c>
    </row>
    <row r="1115" spans="1:23">
      <c r="A1115" t="s">
        <v>1971</v>
      </c>
      <c r="B1115" t="s">
        <v>1972</v>
      </c>
      <c r="C1115">
        <v>27</v>
      </c>
      <c r="D1115" t="str" cm="1">
        <f t="array" ref="D1115">_xlfn.IFS(Table1[[#This Row],[age]]&lt;=17,"0-17",C1115&lt;=29,"18-29",C1115&lt;=44,"30-44",C1115&lt;=59,"45-59",C1115&lt;=74,"60-74",TRUE,"75+")</f>
        <v>18-29</v>
      </c>
      <c r="E1115" t="s">
        <v>29</v>
      </c>
      <c r="F1115">
        <v>2</v>
      </c>
      <c r="G1115" t="str" cm="1">
        <f t="array" ref="G1115">_xlfn.IFS(_xlfn.SINGLE(Table1[imd_decile])&lt;=3,"Most Deprived",F1115&lt;=7,"Moderately Deprived",F1115&lt;=10,"Least Deprived")</f>
        <v>Most Deprived</v>
      </c>
      <c r="H1115">
        <v>1.3</v>
      </c>
      <c r="I1115" t="s">
        <v>25</v>
      </c>
      <c r="J1115" t="s">
        <v>19</v>
      </c>
      <c r="K1115" s="1">
        <v>45801</v>
      </c>
      <c r="L1115" s="1">
        <v>45831</v>
      </c>
      <c r="M1115" s="1" t="str">
        <f>TEXT(Table1[[#This Row],[appointment_date]],"MM/YYYY")</f>
        <v>06/2025</v>
      </c>
      <c r="N1115">
        <v>30</v>
      </c>
      <c r="O1115" t="str" cm="1">
        <f t="array" ref="O1115">_xlfn.IFS(Table1[[#This Row],[lead_time_days]]&lt;=7,"0-7 days",N1115&lt;=14,"8-14 days",N1115&lt;=30,"15-30 days",N1115&lt;=60,"31-60 days",TRUE,"61+ days")</f>
        <v>15-30 days</v>
      </c>
      <c r="P1115" t="s">
        <v>35</v>
      </c>
      <c r="Q1115" t="s">
        <v>21</v>
      </c>
      <c r="R1115">
        <v>0</v>
      </c>
      <c r="S1115" t="str">
        <f>IF(Table1[prior_dna_count]&gt;=1,"Has prior DNA history","No prior DNA history")</f>
        <v>No prior DNA history</v>
      </c>
      <c r="T1115" t="s">
        <v>22</v>
      </c>
      <c r="U1115" t="str">
        <f t="shared" si="17"/>
        <v>1</v>
      </c>
      <c r="V1115" t="str">
        <f>IF(Table1[appointment_status]="Attended","1","0")</f>
        <v>1</v>
      </c>
      <c r="W1115" t="str">
        <f>IF(Table1[appointment_status]="Cancelled","1","0")</f>
        <v>0</v>
      </c>
    </row>
    <row r="1116" spans="1:23">
      <c r="A1116" t="s">
        <v>1973</v>
      </c>
      <c r="B1116" t="s">
        <v>1974</v>
      </c>
      <c r="C1116">
        <v>71</v>
      </c>
      <c r="D1116" t="str" cm="1">
        <f t="array" ref="D1116">_xlfn.IFS(Table1[[#This Row],[age]]&lt;=17,"0-17",C1116&lt;=29,"18-29",C1116&lt;=44,"30-44",C1116&lt;=59,"45-59",C1116&lt;=74,"60-74",TRUE,"75+")</f>
        <v>60-74</v>
      </c>
      <c r="E1116" t="s">
        <v>29</v>
      </c>
      <c r="F1116">
        <v>6</v>
      </c>
      <c r="G1116" t="str" cm="1">
        <f t="array" ref="G1116">_xlfn.IFS(_xlfn.SINGLE(Table1[imd_decile])&lt;=3,"Most Deprived",F1116&lt;=7,"Moderately Deprived",F1116&lt;=10,"Least Deprived")</f>
        <v>Moderately Deprived</v>
      </c>
      <c r="H1116">
        <v>5.7</v>
      </c>
      <c r="I1116" t="s">
        <v>30</v>
      </c>
      <c r="J1116" t="s">
        <v>19</v>
      </c>
      <c r="K1116" s="1">
        <v>45767</v>
      </c>
      <c r="L1116" s="1">
        <v>45831</v>
      </c>
      <c r="M1116" s="1" t="str">
        <f>TEXT(Table1[[#This Row],[appointment_date]],"MM/YYYY")</f>
        <v>06/2025</v>
      </c>
      <c r="N1116">
        <v>64</v>
      </c>
      <c r="O1116" t="str" cm="1">
        <f t="array" ref="O1116">_xlfn.IFS(Table1[[#This Row],[lead_time_days]]&lt;=7,"0-7 days",N1116&lt;=14,"8-14 days",N1116&lt;=30,"15-30 days",N1116&lt;=60,"31-60 days",TRUE,"61+ days")</f>
        <v>61+ days</v>
      </c>
      <c r="P1116" t="s">
        <v>35</v>
      </c>
      <c r="Q1116" t="s">
        <v>32</v>
      </c>
      <c r="R1116">
        <v>0</v>
      </c>
      <c r="S1116" t="str">
        <f>IF(Table1[prior_dna_count]&gt;=1,"Has prior DNA history","No prior DNA history")</f>
        <v>No prior DNA history</v>
      </c>
      <c r="T1116" t="s">
        <v>22</v>
      </c>
      <c r="U1116" t="str">
        <f t="shared" si="17"/>
        <v>1</v>
      </c>
      <c r="V1116" t="str">
        <f>IF(Table1[appointment_status]="Attended","1","0")</f>
        <v>1</v>
      </c>
      <c r="W1116" t="str">
        <f>IF(Table1[appointment_status]="Cancelled","1","0")</f>
        <v>0</v>
      </c>
    </row>
    <row r="1117" spans="1:23">
      <c r="A1117" t="s">
        <v>1975</v>
      </c>
      <c r="B1117" t="s">
        <v>1142</v>
      </c>
      <c r="C1117">
        <v>59</v>
      </c>
      <c r="D1117" t="str" cm="1">
        <f t="array" ref="D1117">_xlfn.IFS(Table1[[#This Row],[age]]&lt;=17,"0-17",C1117&lt;=29,"18-29",C1117&lt;=44,"30-44",C1117&lt;=59,"45-59",C1117&lt;=74,"60-74",TRUE,"75+")</f>
        <v>45-59</v>
      </c>
      <c r="E1117" t="s">
        <v>17</v>
      </c>
      <c r="F1117">
        <v>3</v>
      </c>
      <c r="G1117" t="str" cm="1">
        <f t="array" ref="G1117">_xlfn.IFS(_xlfn.SINGLE(Table1[imd_decile])&lt;=3,"Most Deprived",F1117&lt;=7,"Moderately Deprived",F1117&lt;=10,"Least Deprived")</f>
        <v>Most Deprived</v>
      </c>
      <c r="H1117">
        <v>20.7</v>
      </c>
      <c r="I1117" t="s">
        <v>45</v>
      </c>
      <c r="J1117" t="s">
        <v>19</v>
      </c>
      <c r="K1117" s="1">
        <v>45755</v>
      </c>
      <c r="L1117" s="1">
        <v>45831</v>
      </c>
      <c r="M1117" s="1" t="str">
        <f>TEXT(Table1[[#This Row],[appointment_date]],"MM/YYYY")</f>
        <v>06/2025</v>
      </c>
      <c r="N1117">
        <v>76</v>
      </c>
      <c r="O1117" t="str" cm="1">
        <f t="array" ref="O1117">_xlfn.IFS(Table1[[#This Row],[lead_time_days]]&lt;=7,"0-7 days",N1117&lt;=14,"8-14 days",N1117&lt;=30,"15-30 days",N1117&lt;=60,"31-60 days",TRUE,"61+ days")</f>
        <v>61+ days</v>
      </c>
      <c r="P1117" t="s">
        <v>35</v>
      </c>
      <c r="Q1117" t="s">
        <v>32</v>
      </c>
      <c r="R1117">
        <v>0</v>
      </c>
      <c r="S1117" t="str">
        <f>IF(Table1[prior_dna_count]&gt;=1,"Has prior DNA history","No prior DNA history")</f>
        <v>No prior DNA history</v>
      </c>
      <c r="T1117" t="s">
        <v>22</v>
      </c>
      <c r="U1117" t="str">
        <f t="shared" si="17"/>
        <v>1</v>
      </c>
      <c r="V1117" t="str">
        <f>IF(Table1[appointment_status]="Attended","1","0")</f>
        <v>1</v>
      </c>
      <c r="W1117" t="str">
        <f>IF(Table1[appointment_status]="Cancelled","1","0")</f>
        <v>0</v>
      </c>
    </row>
    <row r="1118" spans="1:23">
      <c r="A1118" t="s">
        <v>1976</v>
      </c>
      <c r="B1118" t="s">
        <v>1977</v>
      </c>
      <c r="C1118">
        <v>72</v>
      </c>
      <c r="D1118" t="str" cm="1">
        <f t="array" ref="D1118">_xlfn.IFS(Table1[[#This Row],[age]]&lt;=17,"0-17",C1118&lt;=29,"18-29",C1118&lt;=44,"30-44",C1118&lt;=59,"45-59",C1118&lt;=74,"60-74",TRUE,"75+")</f>
        <v>60-74</v>
      </c>
      <c r="E1118" t="s">
        <v>29</v>
      </c>
      <c r="F1118">
        <v>1</v>
      </c>
      <c r="G1118" t="str" cm="1">
        <f t="array" ref="G1118">_xlfn.IFS(_xlfn.SINGLE(Table1[imd_decile])&lt;=3,"Most Deprived",F1118&lt;=7,"Moderately Deprived",F1118&lt;=10,"Least Deprived")</f>
        <v>Most Deprived</v>
      </c>
      <c r="H1118">
        <v>3.6</v>
      </c>
      <c r="I1118" t="s">
        <v>42</v>
      </c>
      <c r="J1118" t="s">
        <v>26</v>
      </c>
      <c r="K1118" s="1">
        <v>45813</v>
      </c>
      <c r="L1118" s="1">
        <v>45831</v>
      </c>
      <c r="M1118" s="1" t="str">
        <f>TEXT(Table1[[#This Row],[appointment_date]],"MM/YYYY")</f>
        <v>06/2025</v>
      </c>
      <c r="N1118">
        <v>18</v>
      </c>
      <c r="O1118" t="str" cm="1">
        <f t="array" ref="O1118">_xlfn.IFS(Table1[[#This Row],[lead_time_days]]&lt;=7,"0-7 days",N1118&lt;=14,"8-14 days",N1118&lt;=30,"15-30 days",N1118&lt;=60,"31-60 days",TRUE,"61+ days")</f>
        <v>15-30 days</v>
      </c>
      <c r="P1118" t="s">
        <v>35</v>
      </c>
      <c r="Q1118" t="s">
        <v>21</v>
      </c>
      <c r="R1118">
        <v>0</v>
      </c>
      <c r="S1118" t="str">
        <f>IF(Table1[prior_dna_count]&gt;=1,"Has prior DNA history","No prior DNA history")</f>
        <v>No prior DNA history</v>
      </c>
      <c r="T1118" t="s">
        <v>22</v>
      </c>
      <c r="U1118" t="str">
        <f t="shared" si="17"/>
        <v>1</v>
      </c>
      <c r="V1118" t="str">
        <f>IF(Table1[appointment_status]="Attended","1","0")</f>
        <v>1</v>
      </c>
      <c r="W1118" t="str">
        <f>IF(Table1[appointment_status]="Cancelled","1","0")</f>
        <v>0</v>
      </c>
    </row>
    <row r="1119" spans="1:23">
      <c r="A1119" t="s">
        <v>1978</v>
      </c>
      <c r="B1119" t="s">
        <v>628</v>
      </c>
      <c r="C1119">
        <v>28</v>
      </c>
      <c r="D1119" t="str" cm="1">
        <f t="array" ref="D1119">_xlfn.IFS(Table1[[#This Row],[age]]&lt;=17,"0-17",C1119&lt;=29,"18-29",C1119&lt;=44,"30-44",C1119&lt;=59,"45-59",C1119&lt;=74,"60-74",TRUE,"75+")</f>
        <v>18-29</v>
      </c>
      <c r="E1119" t="s">
        <v>17</v>
      </c>
      <c r="F1119">
        <v>1</v>
      </c>
      <c r="G1119" t="str" cm="1">
        <f t="array" ref="G1119">_xlfn.IFS(_xlfn.SINGLE(Table1[imd_decile])&lt;=3,"Most Deprived",F1119&lt;=7,"Moderately Deprived",F1119&lt;=10,"Least Deprived")</f>
        <v>Most Deprived</v>
      </c>
      <c r="H1119">
        <v>7.9</v>
      </c>
      <c r="I1119" t="s">
        <v>25</v>
      </c>
      <c r="J1119" t="s">
        <v>26</v>
      </c>
      <c r="K1119" s="1">
        <v>45825</v>
      </c>
      <c r="L1119" s="1">
        <v>45831</v>
      </c>
      <c r="M1119" s="1" t="str">
        <f>TEXT(Table1[[#This Row],[appointment_date]],"MM/YYYY")</f>
        <v>06/2025</v>
      </c>
      <c r="N1119">
        <v>6</v>
      </c>
      <c r="O1119" t="str" cm="1">
        <f t="array" ref="O1119">_xlfn.IFS(Table1[[#This Row],[lead_time_days]]&lt;=7,"0-7 days",N1119&lt;=14,"8-14 days",N1119&lt;=30,"15-30 days",N1119&lt;=60,"31-60 days",TRUE,"61+ days")</f>
        <v>0-7 days</v>
      </c>
      <c r="P1119" t="s">
        <v>35</v>
      </c>
      <c r="Q1119" t="s">
        <v>21</v>
      </c>
      <c r="R1119">
        <v>0</v>
      </c>
      <c r="S1119" t="str">
        <f>IF(Table1[prior_dna_count]&gt;=1,"Has prior DNA history","No prior DNA history")</f>
        <v>No prior DNA history</v>
      </c>
      <c r="T1119" t="s">
        <v>22</v>
      </c>
      <c r="U1119" t="str">
        <f t="shared" si="17"/>
        <v>1</v>
      </c>
      <c r="V1119" t="str">
        <f>IF(Table1[appointment_status]="Attended","1","0")</f>
        <v>1</v>
      </c>
      <c r="W1119" t="str">
        <f>IF(Table1[appointment_status]="Cancelled","1","0")</f>
        <v>0</v>
      </c>
    </row>
    <row r="1120" spans="1:23">
      <c r="A1120" t="s">
        <v>1979</v>
      </c>
      <c r="B1120" t="s">
        <v>1980</v>
      </c>
      <c r="C1120">
        <v>41</v>
      </c>
      <c r="D1120" t="str" cm="1">
        <f t="array" ref="D1120">_xlfn.IFS(Table1[[#This Row],[age]]&lt;=17,"0-17",C1120&lt;=29,"18-29",C1120&lt;=44,"30-44",C1120&lt;=59,"45-59",C1120&lt;=74,"60-74",TRUE,"75+")</f>
        <v>30-44</v>
      </c>
      <c r="E1120" t="s">
        <v>29</v>
      </c>
      <c r="F1120">
        <v>5</v>
      </c>
      <c r="G1120" t="str" cm="1">
        <f t="array" ref="G1120">_xlfn.IFS(_xlfn.SINGLE(Table1[imd_decile])&lt;=3,"Most Deprived",F1120&lt;=7,"Moderately Deprived",F1120&lt;=10,"Least Deprived")</f>
        <v>Moderately Deprived</v>
      </c>
      <c r="H1120">
        <v>5.7</v>
      </c>
      <c r="I1120" t="s">
        <v>18</v>
      </c>
      <c r="J1120" t="s">
        <v>26</v>
      </c>
      <c r="K1120" s="1">
        <v>45800</v>
      </c>
      <c r="L1120" s="1">
        <v>45831</v>
      </c>
      <c r="M1120" s="1" t="str">
        <f>TEXT(Table1[[#This Row],[appointment_date]],"MM/YYYY")</f>
        <v>06/2025</v>
      </c>
      <c r="N1120">
        <v>31</v>
      </c>
      <c r="O1120" t="str" cm="1">
        <f t="array" ref="O1120">_xlfn.IFS(Table1[[#This Row],[lead_time_days]]&lt;=7,"0-7 days",N1120&lt;=14,"8-14 days",N1120&lt;=30,"15-30 days",N1120&lt;=60,"31-60 days",TRUE,"61+ days")</f>
        <v>31-60 days</v>
      </c>
      <c r="P1120" t="s">
        <v>35</v>
      </c>
      <c r="Q1120" t="s">
        <v>32</v>
      </c>
      <c r="R1120">
        <v>0</v>
      </c>
      <c r="S1120" t="str">
        <f>IF(Table1[prior_dna_count]&gt;=1,"Has prior DNA history","No prior DNA history")</f>
        <v>No prior DNA history</v>
      </c>
      <c r="T1120" t="s">
        <v>39</v>
      </c>
      <c r="U1120" t="str">
        <f t="shared" si="17"/>
        <v>1</v>
      </c>
      <c r="V1120" t="str">
        <f>IF(Table1[appointment_status]="Attended","1","0")</f>
        <v>0</v>
      </c>
      <c r="W1120" t="str">
        <f>IF(Table1[appointment_status]="Cancelled","1","0")</f>
        <v>0</v>
      </c>
    </row>
    <row r="1121" spans="1:23">
      <c r="A1121" t="s">
        <v>1981</v>
      </c>
      <c r="B1121" t="s">
        <v>1959</v>
      </c>
      <c r="C1121">
        <v>69</v>
      </c>
      <c r="D1121" t="str" cm="1">
        <f t="array" ref="D1121">_xlfn.IFS(Table1[[#This Row],[age]]&lt;=17,"0-17",C1121&lt;=29,"18-29",C1121&lt;=44,"30-44",C1121&lt;=59,"45-59",C1121&lt;=74,"60-74",TRUE,"75+")</f>
        <v>60-74</v>
      </c>
      <c r="E1121" t="s">
        <v>29</v>
      </c>
      <c r="F1121">
        <v>2</v>
      </c>
      <c r="G1121" t="str" cm="1">
        <f t="array" ref="G1121">_xlfn.IFS(_xlfn.SINGLE(Table1[imd_decile])&lt;=3,"Most Deprived",F1121&lt;=7,"Moderately Deprived",F1121&lt;=10,"Least Deprived")</f>
        <v>Most Deprived</v>
      </c>
      <c r="H1121">
        <v>6.6</v>
      </c>
      <c r="I1121" t="s">
        <v>25</v>
      </c>
      <c r="J1121" t="s">
        <v>19</v>
      </c>
      <c r="K1121" s="1">
        <v>45815</v>
      </c>
      <c r="L1121" s="1">
        <v>45831</v>
      </c>
      <c r="M1121" s="1" t="str">
        <f>TEXT(Table1[[#This Row],[appointment_date]],"MM/YYYY")</f>
        <v>06/2025</v>
      </c>
      <c r="N1121">
        <v>16</v>
      </c>
      <c r="O1121" t="str" cm="1">
        <f t="array" ref="O1121">_xlfn.IFS(Table1[[#This Row],[lead_time_days]]&lt;=7,"0-7 days",N1121&lt;=14,"8-14 days",N1121&lt;=30,"15-30 days",N1121&lt;=60,"31-60 days",TRUE,"61+ days")</f>
        <v>15-30 days</v>
      </c>
      <c r="P1121" t="s">
        <v>35</v>
      </c>
      <c r="Q1121" t="s">
        <v>32</v>
      </c>
      <c r="R1121">
        <v>0</v>
      </c>
      <c r="S1121" t="str">
        <f>IF(Table1[prior_dna_count]&gt;=1,"Has prior DNA history","No prior DNA history")</f>
        <v>No prior DNA history</v>
      </c>
      <c r="T1121" t="s">
        <v>22</v>
      </c>
      <c r="U1121" t="str">
        <f t="shared" si="17"/>
        <v>0</v>
      </c>
      <c r="V1121" t="str">
        <f>IF(Table1[appointment_status]="Attended","1","0")</f>
        <v>1</v>
      </c>
      <c r="W1121" t="str">
        <f>IF(Table1[appointment_status]="Cancelled","1","0")</f>
        <v>0</v>
      </c>
    </row>
    <row r="1122" spans="1:23">
      <c r="A1122" t="s">
        <v>1982</v>
      </c>
      <c r="B1122" t="s">
        <v>1983</v>
      </c>
      <c r="C1122">
        <v>60</v>
      </c>
      <c r="D1122" t="str" cm="1">
        <f t="array" ref="D1122">_xlfn.IFS(Table1[[#This Row],[age]]&lt;=17,"0-17",C1122&lt;=29,"18-29",C1122&lt;=44,"30-44",C1122&lt;=59,"45-59",C1122&lt;=74,"60-74",TRUE,"75+")</f>
        <v>60-74</v>
      </c>
      <c r="E1122" t="s">
        <v>17</v>
      </c>
      <c r="F1122">
        <v>6</v>
      </c>
      <c r="G1122" t="str" cm="1">
        <f t="array" ref="G1122">_xlfn.IFS(_xlfn.SINGLE(Table1[imd_decile])&lt;=3,"Most Deprived",F1122&lt;=7,"Moderately Deprived",F1122&lt;=10,"Least Deprived")</f>
        <v>Moderately Deprived</v>
      </c>
      <c r="H1122">
        <v>6.9</v>
      </c>
      <c r="I1122" t="s">
        <v>49</v>
      </c>
      <c r="J1122" t="s">
        <v>26</v>
      </c>
      <c r="K1122" s="1">
        <v>45798</v>
      </c>
      <c r="L1122" s="1">
        <v>45831</v>
      </c>
      <c r="M1122" s="1" t="str">
        <f>TEXT(Table1[[#This Row],[appointment_date]],"MM/YYYY")</f>
        <v>06/2025</v>
      </c>
      <c r="N1122">
        <v>33</v>
      </c>
      <c r="O1122" t="str" cm="1">
        <f t="array" ref="O1122">_xlfn.IFS(Table1[[#This Row],[lead_time_days]]&lt;=7,"0-7 days",N1122&lt;=14,"8-14 days",N1122&lt;=30,"15-30 days",N1122&lt;=60,"31-60 days",TRUE,"61+ days")</f>
        <v>31-60 days</v>
      </c>
      <c r="P1122" t="s">
        <v>35</v>
      </c>
      <c r="Q1122" t="s">
        <v>21</v>
      </c>
      <c r="R1122">
        <v>0</v>
      </c>
      <c r="S1122" t="str">
        <f>IF(Table1[prior_dna_count]&gt;=1,"Has prior DNA history","No prior DNA history")</f>
        <v>No prior DNA history</v>
      </c>
      <c r="T1122" t="s">
        <v>22</v>
      </c>
      <c r="U1122" t="str">
        <f t="shared" si="17"/>
        <v>1</v>
      </c>
      <c r="V1122" t="str">
        <f>IF(Table1[appointment_status]="Attended","1","0")</f>
        <v>1</v>
      </c>
      <c r="W1122" t="str">
        <f>IF(Table1[appointment_status]="Cancelled","1","0")</f>
        <v>0</v>
      </c>
    </row>
    <row r="1123" spans="1:23">
      <c r="A1123" t="s">
        <v>1984</v>
      </c>
      <c r="B1123" t="s">
        <v>506</v>
      </c>
      <c r="C1123">
        <v>83</v>
      </c>
      <c r="D1123" t="str" cm="1">
        <f t="array" ref="D1123">_xlfn.IFS(Table1[[#This Row],[age]]&lt;=17,"0-17",C1123&lt;=29,"18-29",C1123&lt;=44,"30-44",C1123&lt;=59,"45-59",C1123&lt;=74,"60-74",TRUE,"75+")</f>
        <v>75+</v>
      </c>
      <c r="E1123" t="s">
        <v>17</v>
      </c>
      <c r="F1123">
        <v>6</v>
      </c>
      <c r="G1123" t="str" cm="1">
        <f t="array" ref="G1123">_xlfn.IFS(_xlfn.SINGLE(Table1[imd_decile])&lt;=3,"Most Deprived",F1123&lt;=7,"Moderately Deprived",F1123&lt;=10,"Least Deprived")</f>
        <v>Moderately Deprived</v>
      </c>
      <c r="H1123">
        <v>5.3</v>
      </c>
      <c r="I1123" t="s">
        <v>42</v>
      </c>
      <c r="J1123" t="s">
        <v>19</v>
      </c>
      <c r="K1123" s="1">
        <v>45788</v>
      </c>
      <c r="L1123" s="1">
        <v>45831</v>
      </c>
      <c r="M1123" s="1" t="str">
        <f>TEXT(Table1[[#This Row],[appointment_date]],"MM/YYYY")</f>
        <v>06/2025</v>
      </c>
      <c r="N1123">
        <v>43</v>
      </c>
      <c r="O1123" t="str" cm="1">
        <f t="array" ref="O1123">_xlfn.IFS(Table1[[#This Row],[lead_time_days]]&lt;=7,"0-7 days",N1123&lt;=14,"8-14 days",N1123&lt;=30,"15-30 days",N1123&lt;=60,"31-60 days",TRUE,"61+ days")</f>
        <v>31-60 days</v>
      </c>
      <c r="P1123" t="s">
        <v>35</v>
      </c>
      <c r="Q1123" t="s">
        <v>32</v>
      </c>
      <c r="R1123">
        <v>0</v>
      </c>
      <c r="S1123" t="str">
        <f>IF(Table1[prior_dna_count]&gt;=1,"Has prior DNA history","No prior DNA history")</f>
        <v>No prior DNA history</v>
      </c>
      <c r="T1123" t="s">
        <v>22</v>
      </c>
      <c r="U1123" t="str">
        <f t="shared" si="17"/>
        <v>1</v>
      </c>
      <c r="V1123" t="str">
        <f>IF(Table1[appointment_status]="Attended","1","0")</f>
        <v>1</v>
      </c>
      <c r="W1123" t="str">
        <f>IF(Table1[appointment_status]="Cancelled","1","0")</f>
        <v>0</v>
      </c>
    </row>
    <row r="1124" spans="1:23">
      <c r="A1124" t="s">
        <v>1985</v>
      </c>
      <c r="B1124" t="s">
        <v>1986</v>
      </c>
      <c r="C1124">
        <v>51</v>
      </c>
      <c r="D1124" t="str" cm="1">
        <f t="array" ref="D1124">_xlfn.IFS(Table1[[#This Row],[age]]&lt;=17,"0-17",C1124&lt;=29,"18-29",C1124&lt;=44,"30-44",C1124&lt;=59,"45-59",C1124&lt;=74,"60-74",TRUE,"75+")</f>
        <v>45-59</v>
      </c>
      <c r="E1124" t="s">
        <v>29</v>
      </c>
      <c r="F1124">
        <v>3</v>
      </c>
      <c r="G1124" t="str" cm="1">
        <f t="array" ref="G1124">_xlfn.IFS(_xlfn.SINGLE(Table1[imd_decile])&lt;=3,"Most Deprived",F1124&lt;=7,"Moderately Deprived",F1124&lt;=10,"Least Deprived")</f>
        <v>Most Deprived</v>
      </c>
      <c r="H1124">
        <v>5.8</v>
      </c>
      <c r="I1124" t="s">
        <v>45</v>
      </c>
      <c r="J1124" t="s">
        <v>26</v>
      </c>
      <c r="K1124" s="1">
        <v>45805</v>
      </c>
      <c r="L1124" s="1">
        <v>45832</v>
      </c>
      <c r="M1124" s="1" t="str">
        <f>TEXT(Table1[[#This Row],[appointment_date]],"MM/YYYY")</f>
        <v>06/2025</v>
      </c>
      <c r="N1124">
        <v>27</v>
      </c>
      <c r="O1124" t="str" cm="1">
        <f t="array" ref="O1124">_xlfn.IFS(Table1[[#This Row],[lead_time_days]]&lt;=7,"0-7 days",N1124&lt;=14,"8-14 days",N1124&lt;=30,"15-30 days",N1124&lt;=60,"31-60 days",TRUE,"61+ days")</f>
        <v>15-30 days</v>
      </c>
      <c r="P1124" t="s">
        <v>71</v>
      </c>
      <c r="Q1124" t="s">
        <v>21</v>
      </c>
      <c r="R1124">
        <v>0</v>
      </c>
      <c r="S1124" t="str">
        <f>IF(Table1[prior_dna_count]&gt;=1,"Has prior DNA history","No prior DNA history")</f>
        <v>No prior DNA history</v>
      </c>
      <c r="T1124" t="s">
        <v>22</v>
      </c>
      <c r="U1124" t="str">
        <f t="shared" si="17"/>
        <v>1</v>
      </c>
      <c r="V1124" t="str">
        <f>IF(Table1[appointment_status]="Attended","1","0")</f>
        <v>1</v>
      </c>
      <c r="W1124" t="str">
        <f>IF(Table1[appointment_status]="Cancelled","1","0")</f>
        <v>0</v>
      </c>
    </row>
    <row r="1125" spans="1:23">
      <c r="A1125" t="s">
        <v>1987</v>
      </c>
      <c r="B1125" t="s">
        <v>1441</v>
      </c>
      <c r="C1125">
        <v>39</v>
      </c>
      <c r="D1125" t="str" cm="1">
        <f t="array" ref="D1125">_xlfn.IFS(Table1[[#This Row],[age]]&lt;=17,"0-17",C1125&lt;=29,"18-29",C1125&lt;=44,"30-44",C1125&lt;=59,"45-59",C1125&lt;=74,"60-74",TRUE,"75+")</f>
        <v>30-44</v>
      </c>
      <c r="E1125" t="s">
        <v>17</v>
      </c>
      <c r="F1125">
        <v>1</v>
      </c>
      <c r="G1125" t="str" cm="1">
        <f t="array" ref="G1125">_xlfn.IFS(_xlfn.SINGLE(Table1[imd_decile])&lt;=3,"Most Deprived",F1125&lt;=7,"Moderately Deprived",F1125&lt;=10,"Least Deprived")</f>
        <v>Most Deprived</v>
      </c>
      <c r="H1125">
        <v>13.8</v>
      </c>
      <c r="I1125" t="s">
        <v>91</v>
      </c>
      <c r="J1125" t="s">
        <v>19</v>
      </c>
      <c r="K1125" s="1">
        <v>45726</v>
      </c>
      <c r="L1125" s="1">
        <v>45832</v>
      </c>
      <c r="M1125" s="1" t="str">
        <f>TEXT(Table1[[#This Row],[appointment_date]],"MM/YYYY")</f>
        <v>06/2025</v>
      </c>
      <c r="N1125">
        <v>106</v>
      </c>
      <c r="O1125" t="str" cm="1">
        <f t="array" ref="O1125">_xlfn.IFS(Table1[[#This Row],[lead_time_days]]&lt;=7,"0-7 days",N1125&lt;=14,"8-14 days",N1125&lt;=30,"15-30 days",N1125&lt;=60,"31-60 days",TRUE,"61+ days")</f>
        <v>61+ days</v>
      </c>
      <c r="P1125" t="s">
        <v>71</v>
      </c>
      <c r="Q1125" t="s">
        <v>21</v>
      </c>
      <c r="R1125">
        <v>0</v>
      </c>
      <c r="S1125" t="str">
        <f>IF(Table1[prior_dna_count]&gt;=1,"Has prior DNA history","No prior DNA history")</f>
        <v>No prior DNA history</v>
      </c>
      <c r="T1125" t="s">
        <v>22</v>
      </c>
      <c r="U1125" t="str">
        <f t="shared" si="17"/>
        <v>1</v>
      </c>
      <c r="V1125" t="str">
        <f>IF(Table1[appointment_status]="Attended","1","0")</f>
        <v>1</v>
      </c>
      <c r="W1125" t="str">
        <f>IF(Table1[appointment_status]="Cancelled","1","0")</f>
        <v>0</v>
      </c>
    </row>
    <row r="1126" spans="1:23">
      <c r="A1126" t="s">
        <v>1988</v>
      </c>
      <c r="B1126" t="s">
        <v>1989</v>
      </c>
      <c r="C1126">
        <v>65</v>
      </c>
      <c r="D1126" t="str" cm="1">
        <f t="array" ref="D1126">_xlfn.IFS(Table1[[#This Row],[age]]&lt;=17,"0-17",C1126&lt;=29,"18-29",C1126&lt;=44,"30-44",C1126&lt;=59,"45-59",C1126&lt;=74,"60-74",TRUE,"75+")</f>
        <v>60-74</v>
      </c>
      <c r="E1126" t="s">
        <v>17</v>
      </c>
      <c r="F1126">
        <v>6</v>
      </c>
      <c r="G1126" t="str" cm="1">
        <f t="array" ref="G1126">_xlfn.IFS(_xlfn.SINGLE(Table1[imd_decile])&lt;=3,"Most Deprived",F1126&lt;=7,"Moderately Deprived",F1126&lt;=10,"Least Deprived")</f>
        <v>Moderately Deprived</v>
      </c>
      <c r="H1126">
        <v>1.7</v>
      </c>
      <c r="I1126" t="s">
        <v>30</v>
      </c>
      <c r="J1126" t="s">
        <v>26</v>
      </c>
      <c r="K1126" s="1">
        <v>45822</v>
      </c>
      <c r="L1126" s="1">
        <v>45832</v>
      </c>
      <c r="M1126" s="1" t="str">
        <f>TEXT(Table1[[#This Row],[appointment_date]],"MM/YYYY")</f>
        <v>06/2025</v>
      </c>
      <c r="N1126">
        <v>10</v>
      </c>
      <c r="O1126" t="str" cm="1">
        <f t="array" ref="O1126">_xlfn.IFS(Table1[[#This Row],[lead_time_days]]&lt;=7,"0-7 days",N1126&lt;=14,"8-14 days",N1126&lt;=30,"15-30 days",N1126&lt;=60,"31-60 days",TRUE,"61+ days")</f>
        <v>8-14 days</v>
      </c>
      <c r="P1126" t="s">
        <v>71</v>
      </c>
      <c r="Q1126" t="s">
        <v>32</v>
      </c>
      <c r="R1126">
        <v>0</v>
      </c>
      <c r="S1126" t="str">
        <f>IF(Table1[prior_dna_count]&gt;=1,"Has prior DNA history","No prior DNA history")</f>
        <v>No prior DNA history</v>
      </c>
      <c r="T1126" t="s">
        <v>22</v>
      </c>
      <c r="U1126" t="str">
        <f t="shared" si="17"/>
        <v>1</v>
      </c>
      <c r="V1126" t="str">
        <f>IF(Table1[appointment_status]="Attended","1","0")</f>
        <v>1</v>
      </c>
      <c r="W1126" t="str">
        <f>IF(Table1[appointment_status]="Cancelled","1","0")</f>
        <v>0</v>
      </c>
    </row>
    <row r="1127" spans="1:23">
      <c r="A1127" t="s">
        <v>1990</v>
      </c>
      <c r="B1127" t="s">
        <v>965</v>
      </c>
      <c r="C1127">
        <v>47</v>
      </c>
      <c r="D1127" t="str" cm="1">
        <f t="array" ref="D1127">_xlfn.IFS(Table1[[#This Row],[age]]&lt;=17,"0-17",C1127&lt;=29,"18-29",C1127&lt;=44,"30-44",C1127&lt;=59,"45-59",C1127&lt;=74,"60-74",TRUE,"75+")</f>
        <v>45-59</v>
      </c>
      <c r="E1127" t="s">
        <v>17</v>
      </c>
      <c r="F1127">
        <v>5</v>
      </c>
      <c r="G1127" t="str" cm="1">
        <f t="array" ref="G1127">_xlfn.IFS(_xlfn.SINGLE(Table1[imd_decile])&lt;=3,"Most Deprived",F1127&lt;=7,"Moderately Deprived",F1127&lt;=10,"Least Deprived")</f>
        <v>Moderately Deprived</v>
      </c>
      <c r="H1127">
        <v>5.7</v>
      </c>
      <c r="I1127" t="s">
        <v>58</v>
      </c>
      <c r="J1127" t="s">
        <v>26</v>
      </c>
      <c r="K1127" s="1">
        <v>45822</v>
      </c>
      <c r="L1127" s="1">
        <v>45832</v>
      </c>
      <c r="M1127" s="1" t="str">
        <f>TEXT(Table1[[#This Row],[appointment_date]],"MM/YYYY")</f>
        <v>06/2025</v>
      </c>
      <c r="N1127">
        <v>10</v>
      </c>
      <c r="O1127" t="str" cm="1">
        <f t="array" ref="O1127">_xlfn.IFS(Table1[[#This Row],[lead_time_days]]&lt;=7,"0-7 days",N1127&lt;=14,"8-14 days",N1127&lt;=30,"15-30 days",N1127&lt;=60,"31-60 days",TRUE,"61+ days")</f>
        <v>8-14 days</v>
      </c>
      <c r="P1127" t="s">
        <v>71</v>
      </c>
      <c r="Q1127" t="s">
        <v>21</v>
      </c>
      <c r="R1127">
        <v>0</v>
      </c>
      <c r="S1127" t="str">
        <f>IF(Table1[prior_dna_count]&gt;=1,"Has prior DNA history","No prior DNA history")</f>
        <v>No prior DNA history</v>
      </c>
      <c r="T1127" t="s">
        <v>22</v>
      </c>
      <c r="U1127" t="str">
        <f t="shared" si="17"/>
        <v>1</v>
      </c>
      <c r="V1127" t="str">
        <f>IF(Table1[appointment_status]="Attended","1","0")</f>
        <v>1</v>
      </c>
      <c r="W1127" t="str">
        <f>IF(Table1[appointment_status]="Cancelled","1","0")</f>
        <v>0</v>
      </c>
    </row>
    <row r="1128" spans="1:23">
      <c r="A1128" t="s">
        <v>1991</v>
      </c>
      <c r="B1128" t="s">
        <v>648</v>
      </c>
      <c r="C1128">
        <v>26</v>
      </c>
      <c r="D1128" t="str" cm="1">
        <f t="array" ref="D1128">_xlfn.IFS(Table1[[#This Row],[age]]&lt;=17,"0-17",C1128&lt;=29,"18-29",C1128&lt;=44,"30-44",C1128&lt;=59,"45-59",C1128&lt;=74,"60-74",TRUE,"75+")</f>
        <v>18-29</v>
      </c>
      <c r="E1128" t="s">
        <v>17</v>
      </c>
      <c r="F1128">
        <v>5</v>
      </c>
      <c r="G1128" t="str" cm="1">
        <f t="array" ref="G1128">_xlfn.IFS(_xlfn.SINGLE(Table1[imd_decile])&lt;=3,"Most Deprived",F1128&lt;=7,"Moderately Deprived",F1128&lt;=10,"Least Deprived")</f>
        <v>Moderately Deprived</v>
      </c>
      <c r="H1128">
        <v>5.4</v>
      </c>
      <c r="I1128" t="s">
        <v>58</v>
      </c>
      <c r="J1128" t="s">
        <v>19</v>
      </c>
      <c r="K1128" s="1">
        <v>45818</v>
      </c>
      <c r="L1128" s="1">
        <v>45833</v>
      </c>
      <c r="M1128" s="1" t="str">
        <f>TEXT(Table1[[#This Row],[appointment_date]],"MM/YYYY")</f>
        <v>06/2025</v>
      </c>
      <c r="N1128">
        <v>15</v>
      </c>
      <c r="O1128" t="str" cm="1">
        <f t="array" ref="O1128">_xlfn.IFS(Table1[[#This Row],[lead_time_days]]&lt;=7,"0-7 days",N1128&lt;=14,"8-14 days",N1128&lt;=30,"15-30 days",N1128&lt;=60,"31-60 days",TRUE,"61+ days")</f>
        <v>15-30 days</v>
      </c>
      <c r="P1128" t="s">
        <v>80</v>
      </c>
      <c r="Q1128" t="s">
        <v>32</v>
      </c>
      <c r="R1128">
        <v>0</v>
      </c>
      <c r="S1128" t="str">
        <f>IF(Table1[prior_dna_count]&gt;=1,"Has prior DNA history","No prior DNA history")</f>
        <v>No prior DNA history</v>
      </c>
      <c r="T1128" t="s">
        <v>22</v>
      </c>
      <c r="U1128" t="str">
        <f t="shared" si="17"/>
        <v>1</v>
      </c>
      <c r="V1128" t="str">
        <f>IF(Table1[appointment_status]="Attended","1","0")</f>
        <v>1</v>
      </c>
      <c r="W1128" t="str">
        <f>IF(Table1[appointment_status]="Cancelled","1","0")</f>
        <v>0</v>
      </c>
    </row>
    <row r="1129" spans="1:23">
      <c r="A1129" t="s">
        <v>1992</v>
      </c>
      <c r="B1129" t="s">
        <v>1802</v>
      </c>
      <c r="C1129">
        <v>24</v>
      </c>
      <c r="D1129" t="str" cm="1">
        <f t="array" ref="D1129">_xlfn.IFS(Table1[[#This Row],[age]]&lt;=17,"0-17",C1129&lt;=29,"18-29",C1129&lt;=44,"30-44",C1129&lt;=59,"45-59",C1129&lt;=74,"60-74",TRUE,"75+")</f>
        <v>18-29</v>
      </c>
      <c r="E1129" t="s">
        <v>29</v>
      </c>
      <c r="F1129">
        <v>3</v>
      </c>
      <c r="G1129" t="str" cm="1">
        <f t="array" ref="G1129">_xlfn.IFS(_xlfn.SINGLE(Table1[imd_decile])&lt;=3,"Most Deprived",F1129&lt;=7,"Moderately Deprived",F1129&lt;=10,"Least Deprived")</f>
        <v>Most Deprived</v>
      </c>
      <c r="H1129">
        <v>10.4</v>
      </c>
      <c r="I1129" t="s">
        <v>45</v>
      </c>
      <c r="J1129" t="s">
        <v>26</v>
      </c>
      <c r="K1129" s="1">
        <v>45818</v>
      </c>
      <c r="L1129" s="1">
        <v>45833</v>
      </c>
      <c r="M1129" s="1" t="str">
        <f>TEXT(Table1[[#This Row],[appointment_date]],"MM/YYYY")</f>
        <v>06/2025</v>
      </c>
      <c r="N1129">
        <v>15</v>
      </c>
      <c r="O1129" t="str" cm="1">
        <f t="array" ref="O1129">_xlfn.IFS(Table1[[#This Row],[lead_time_days]]&lt;=7,"0-7 days",N1129&lt;=14,"8-14 days",N1129&lt;=30,"15-30 days",N1129&lt;=60,"31-60 days",TRUE,"61+ days")</f>
        <v>15-30 days</v>
      </c>
      <c r="P1129" t="s">
        <v>80</v>
      </c>
      <c r="Q1129" t="s">
        <v>32</v>
      </c>
      <c r="R1129">
        <v>0</v>
      </c>
      <c r="S1129" t="str">
        <f>IF(Table1[prior_dna_count]&gt;=1,"Has prior DNA history","No prior DNA history")</f>
        <v>No prior DNA history</v>
      </c>
      <c r="T1129" t="s">
        <v>39</v>
      </c>
      <c r="U1129" t="str">
        <f t="shared" si="17"/>
        <v>1</v>
      </c>
      <c r="V1129" t="str">
        <f>IF(Table1[appointment_status]="Attended","1","0")</f>
        <v>0</v>
      </c>
      <c r="W1129" t="str">
        <f>IF(Table1[appointment_status]="Cancelled","1","0")</f>
        <v>0</v>
      </c>
    </row>
    <row r="1130" spans="1:23">
      <c r="A1130" t="s">
        <v>1993</v>
      </c>
      <c r="B1130" t="s">
        <v>1994</v>
      </c>
      <c r="C1130">
        <v>27</v>
      </c>
      <c r="D1130" t="str" cm="1">
        <f t="array" ref="D1130">_xlfn.IFS(Table1[[#This Row],[age]]&lt;=17,"0-17",C1130&lt;=29,"18-29",C1130&lt;=44,"30-44",C1130&lt;=59,"45-59",C1130&lt;=74,"60-74",TRUE,"75+")</f>
        <v>18-29</v>
      </c>
      <c r="E1130" t="s">
        <v>29</v>
      </c>
      <c r="F1130">
        <v>7</v>
      </c>
      <c r="G1130" t="str" cm="1">
        <f t="array" ref="G1130">_xlfn.IFS(_xlfn.SINGLE(Table1[imd_decile])&lt;=3,"Most Deprived",F1130&lt;=7,"Moderately Deprived",F1130&lt;=10,"Least Deprived")</f>
        <v>Moderately Deprived</v>
      </c>
      <c r="H1130">
        <v>10.6</v>
      </c>
      <c r="I1130" t="s">
        <v>58</v>
      </c>
      <c r="J1130" t="s">
        <v>19</v>
      </c>
      <c r="K1130" s="1">
        <v>45824</v>
      </c>
      <c r="L1130" s="1">
        <v>45833</v>
      </c>
      <c r="M1130" s="1" t="str">
        <f>TEXT(Table1[[#This Row],[appointment_date]],"MM/YYYY")</f>
        <v>06/2025</v>
      </c>
      <c r="N1130">
        <v>9</v>
      </c>
      <c r="O1130" t="str" cm="1">
        <f t="array" ref="O1130">_xlfn.IFS(Table1[[#This Row],[lead_time_days]]&lt;=7,"0-7 days",N1130&lt;=14,"8-14 days",N1130&lt;=30,"15-30 days",N1130&lt;=60,"31-60 days",TRUE,"61+ days")</f>
        <v>8-14 days</v>
      </c>
      <c r="P1130" t="s">
        <v>80</v>
      </c>
      <c r="Q1130" t="s">
        <v>21</v>
      </c>
      <c r="R1130">
        <v>0</v>
      </c>
      <c r="S1130" t="str">
        <f>IF(Table1[prior_dna_count]&gt;=1,"Has prior DNA history","No prior DNA history")</f>
        <v>No prior DNA history</v>
      </c>
      <c r="T1130" t="s">
        <v>22</v>
      </c>
      <c r="U1130" t="str">
        <f t="shared" si="17"/>
        <v>0</v>
      </c>
      <c r="V1130" t="str">
        <f>IF(Table1[appointment_status]="Attended","1","0")</f>
        <v>1</v>
      </c>
      <c r="W1130" t="str">
        <f>IF(Table1[appointment_status]="Cancelled","1","0")</f>
        <v>0</v>
      </c>
    </row>
    <row r="1131" spans="1:23">
      <c r="A1131" t="s">
        <v>1995</v>
      </c>
      <c r="B1131" t="s">
        <v>1996</v>
      </c>
      <c r="C1131">
        <v>52</v>
      </c>
      <c r="D1131" t="str" cm="1">
        <f t="array" ref="D1131">_xlfn.IFS(Table1[[#This Row],[age]]&lt;=17,"0-17",C1131&lt;=29,"18-29",C1131&lt;=44,"30-44",C1131&lt;=59,"45-59",C1131&lt;=74,"60-74",TRUE,"75+")</f>
        <v>45-59</v>
      </c>
      <c r="E1131" t="s">
        <v>17</v>
      </c>
      <c r="F1131">
        <v>10</v>
      </c>
      <c r="G1131" t="str" cm="1">
        <f t="array" ref="G1131">_xlfn.IFS(_xlfn.SINGLE(Table1[imd_decile])&lt;=3,"Most Deprived",F1131&lt;=7,"Moderately Deprived",F1131&lt;=10,"Least Deprived")</f>
        <v>Least Deprived</v>
      </c>
      <c r="H1131">
        <v>1.4</v>
      </c>
      <c r="I1131" t="s">
        <v>18</v>
      </c>
      <c r="J1131" t="s">
        <v>19</v>
      </c>
      <c r="K1131" s="1">
        <v>45796</v>
      </c>
      <c r="L1131" s="1">
        <v>45833</v>
      </c>
      <c r="M1131" s="1" t="str">
        <f>TEXT(Table1[[#This Row],[appointment_date]],"MM/YYYY")</f>
        <v>06/2025</v>
      </c>
      <c r="N1131">
        <v>37</v>
      </c>
      <c r="O1131" t="str" cm="1">
        <f t="array" ref="O1131">_xlfn.IFS(Table1[[#This Row],[lead_time_days]]&lt;=7,"0-7 days",N1131&lt;=14,"8-14 days",N1131&lt;=30,"15-30 days",N1131&lt;=60,"31-60 days",TRUE,"61+ days")</f>
        <v>31-60 days</v>
      </c>
      <c r="P1131" t="s">
        <v>80</v>
      </c>
      <c r="Q1131" t="s">
        <v>32</v>
      </c>
      <c r="R1131">
        <v>0</v>
      </c>
      <c r="S1131" t="str">
        <f>IF(Table1[prior_dna_count]&gt;=1,"Has prior DNA history","No prior DNA history")</f>
        <v>No prior DNA history</v>
      </c>
      <c r="T1131" t="s">
        <v>22</v>
      </c>
      <c r="U1131" t="str">
        <f t="shared" si="17"/>
        <v>1</v>
      </c>
      <c r="V1131" t="str">
        <f>IF(Table1[appointment_status]="Attended","1","0")</f>
        <v>1</v>
      </c>
      <c r="W1131" t="str">
        <f>IF(Table1[appointment_status]="Cancelled","1","0")</f>
        <v>0</v>
      </c>
    </row>
    <row r="1132" spans="1:23">
      <c r="A1132" t="s">
        <v>1997</v>
      </c>
      <c r="B1132" t="s">
        <v>1998</v>
      </c>
      <c r="C1132">
        <v>61</v>
      </c>
      <c r="D1132" t="str" cm="1">
        <f t="array" ref="D1132">_xlfn.IFS(Table1[[#This Row],[age]]&lt;=17,"0-17",C1132&lt;=29,"18-29",C1132&lt;=44,"30-44",C1132&lt;=59,"45-59",C1132&lt;=74,"60-74",TRUE,"75+")</f>
        <v>60-74</v>
      </c>
      <c r="E1132" t="s">
        <v>17</v>
      </c>
      <c r="F1132">
        <v>5</v>
      </c>
      <c r="G1132" t="str" cm="1">
        <f t="array" ref="G1132">_xlfn.IFS(_xlfn.SINGLE(Table1[imd_decile])&lt;=3,"Most Deprived",F1132&lt;=7,"Moderately Deprived",F1132&lt;=10,"Least Deprived")</f>
        <v>Moderately Deprived</v>
      </c>
      <c r="H1132">
        <v>6.2</v>
      </c>
      <c r="I1132" t="s">
        <v>25</v>
      </c>
      <c r="J1132" t="s">
        <v>26</v>
      </c>
      <c r="K1132" s="1">
        <v>45809</v>
      </c>
      <c r="L1132" s="1">
        <v>45833</v>
      </c>
      <c r="M1132" s="1" t="str">
        <f>TEXT(Table1[[#This Row],[appointment_date]],"MM/YYYY")</f>
        <v>06/2025</v>
      </c>
      <c r="N1132">
        <v>24</v>
      </c>
      <c r="O1132" t="str" cm="1">
        <f t="array" ref="O1132">_xlfn.IFS(Table1[[#This Row],[lead_time_days]]&lt;=7,"0-7 days",N1132&lt;=14,"8-14 days",N1132&lt;=30,"15-30 days",N1132&lt;=60,"31-60 days",TRUE,"61+ days")</f>
        <v>15-30 days</v>
      </c>
      <c r="P1132" t="s">
        <v>80</v>
      </c>
      <c r="Q1132" t="s">
        <v>32</v>
      </c>
      <c r="R1132">
        <v>0</v>
      </c>
      <c r="S1132" t="str">
        <f>IF(Table1[prior_dna_count]&gt;=1,"Has prior DNA history","No prior DNA history")</f>
        <v>No prior DNA history</v>
      </c>
      <c r="T1132" t="s">
        <v>22</v>
      </c>
      <c r="U1132" t="str">
        <f t="shared" si="17"/>
        <v>1</v>
      </c>
      <c r="V1132" t="str">
        <f>IF(Table1[appointment_status]="Attended","1","0")</f>
        <v>1</v>
      </c>
      <c r="W1132" t="str">
        <f>IF(Table1[appointment_status]="Cancelled","1","0")</f>
        <v>0</v>
      </c>
    </row>
    <row r="1133" spans="1:23">
      <c r="A1133" t="s">
        <v>1999</v>
      </c>
      <c r="B1133" t="s">
        <v>1493</v>
      </c>
      <c r="C1133">
        <v>64</v>
      </c>
      <c r="D1133" t="str" cm="1">
        <f t="array" ref="D1133">_xlfn.IFS(Table1[[#This Row],[age]]&lt;=17,"0-17",C1133&lt;=29,"18-29",C1133&lt;=44,"30-44",C1133&lt;=59,"45-59",C1133&lt;=74,"60-74",TRUE,"75+")</f>
        <v>60-74</v>
      </c>
      <c r="E1133" t="s">
        <v>17</v>
      </c>
      <c r="F1133">
        <v>9</v>
      </c>
      <c r="G1133" t="str" cm="1">
        <f t="array" ref="G1133">_xlfn.IFS(_xlfn.SINGLE(Table1[imd_decile])&lt;=3,"Most Deprived",F1133&lt;=7,"Moderately Deprived",F1133&lt;=10,"Least Deprived")</f>
        <v>Least Deprived</v>
      </c>
      <c r="H1133">
        <v>11.8</v>
      </c>
      <c r="I1133" t="s">
        <v>45</v>
      </c>
      <c r="J1133" t="s">
        <v>19</v>
      </c>
      <c r="K1133" s="1">
        <v>45808</v>
      </c>
      <c r="L1133" s="1">
        <v>45833</v>
      </c>
      <c r="M1133" s="1" t="str">
        <f>TEXT(Table1[[#This Row],[appointment_date]],"MM/YYYY")</f>
        <v>06/2025</v>
      </c>
      <c r="N1133">
        <v>25</v>
      </c>
      <c r="O1133" t="str" cm="1">
        <f t="array" ref="O1133">_xlfn.IFS(Table1[[#This Row],[lead_time_days]]&lt;=7,"0-7 days",N1133&lt;=14,"8-14 days",N1133&lt;=30,"15-30 days",N1133&lt;=60,"31-60 days",TRUE,"61+ days")</f>
        <v>15-30 days</v>
      </c>
      <c r="P1133" t="s">
        <v>80</v>
      </c>
      <c r="Q1133" t="s">
        <v>32</v>
      </c>
      <c r="R1133">
        <v>0</v>
      </c>
      <c r="S1133" t="str">
        <f>IF(Table1[prior_dna_count]&gt;=1,"Has prior DNA history","No prior DNA history")</f>
        <v>No prior DNA history</v>
      </c>
      <c r="T1133" t="s">
        <v>22</v>
      </c>
      <c r="U1133" t="str">
        <f t="shared" si="17"/>
        <v>1</v>
      </c>
      <c r="V1133" t="str">
        <f>IF(Table1[appointment_status]="Attended","1","0")</f>
        <v>1</v>
      </c>
      <c r="W1133" t="str">
        <f>IF(Table1[appointment_status]="Cancelled","1","0")</f>
        <v>0</v>
      </c>
    </row>
    <row r="1134" spans="1:23">
      <c r="A1134" t="s">
        <v>2000</v>
      </c>
      <c r="B1134" t="s">
        <v>838</v>
      </c>
      <c r="C1134">
        <v>39</v>
      </c>
      <c r="D1134" t="str" cm="1">
        <f t="array" ref="D1134">_xlfn.IFS(Table1[[#This Row],[age]]&lt;=17,"0-17",C1134&lt;=29,"18-29",C1134&lt;=44,"30-44",C1134&lt;=59,"45-59",C1134&lt;=74,"60-74",TRUE,"75+")</f>
        <v>30-44</v>
      </c>
      <c r="E1134" t="s">
        <v>17</v>
      </c>
      <c r="F1134">
        <v>2</v>
      </c>
      <c r="G1134" t="str" cm="1">
        <f t="array" ref="G1134">_xlfn.IFS(_xlfn.SINGLE(Table1[imd_decile])&lt;=3,"Most Deprived",F1134&lt;=7,"Moderately Deprived",F1134&lt;=10,"Least Deprived")</f>
        <v>Most Deprived</v>
      </c>
      <c r="H1134">
        <v>3.6</v>
      </c>
      <c r="I1134" t="s">
        <v>42</v>
      </c>
      <c r="J1134" t="s">
        <v>26</v>
      </c>
      <c r="K1134" s="1">
        <v>45820</v>
      </c>
      <c r="L1134" s="1">
        <v>45833</v>
      </c>
      <c r="M1134" s="1" t="str">
        <f>TEXT(Table1[[#This Row],[appointment_date]],"MM/YYYY")</f>
        <v>06/2025</v>
      </c>
      <c r="N1134">
        <v>13</v>
      </c>
      <c r="O1134" t="str" cm="1">
        <f t="array" ref="O1134">_xlfn.IFS(Table1[[#This Row],[lead_time_days]]&lt;=7,"0-7 days",N1134&lt;=14,"8-14 days",N1134&lt;=30,"15-30 days",N1134&lt;=60,"31-60 days",TRUE,"61+ days")</f>
        <v>8-14 days</v>
      </c>
      <c r="P1134" t="s">
        <v>80</v>
      </c>
      <c r="Q1134" t="s">
        <v>21</v>
      </c>
      <c r="R1134">
        <v>0</v>
      </c>
      <c r="S1134" t="str">
        <f>IF(Table1[prior_dna_count]&gt;=1,"Has prior DNA history","No prior DNA history")</f>
        <v>No prior DNA history</v>
      </c>
      <c r="T1134" t="s">
        <v>22</v>
      </c>
      <c r="U1134" t="str">
        <f t="shared" si="17"/>
        <v>1</v>
      </c>
      <c r="V1134" t="str">
        <f>IF(Table1[appointment_status]="Attended","1","0")</f>
        <v>1</v>
      </c>
      <c r="W1134" t="str">
        <f>IF(Table1[appointment_status]="Cancelled","1","0")</f>
        <v>0</v>
      </c>
    </row>
    <row r="1135" spans="1:23">
      <c r="A1135" t="s">
        <v>2001</v>
      </c>
      <c r="B1135" t="s">
        <v>2002</v>
      </c>
      <c r="C1135">
        <v>17</v>
      </c>
      <c r="D1135" t="str" cm="1">
        <f t="array" ref="D1135">_xlfn.IFS(Table1[[#This Row],[age]]&lt;=17,"0-17",C1135&lt;=29,"18-29",C1135&lt;=44,"30-44",C1135&lt;=59,"45-59",C1135&lt;=74,"60-74",TRUE,"75+")</f>
        <v>0-17</v>
      </c>
      <c r="E1135" t="s">
        <v>17</v>
      </c>
      <c r="F1135">
        <v>8</v>
      </c>
      <c r="G1135" t="str" cm="1">
        <f t="array" ref="G1135">_xlfn.IFS(_xlfn.SINGLE(Table1[imd_decile])&lt;=3,"Most Deprived",F1135&lt;=7,"Moderately Deprived",F1135&lt;=10,"Least Deprived")</f>
        <v>Least Deprived</v>
      </c>
      <c r="H1135">
        <v>12.3</v>
      </c>
      <c r="I1135" t="s">
        <v>25</v>
      </c>
      <c r="J1135" t="s">
        <v>19</v>
      </c>
      <c r="K1135" s="1">
        <v>45809</v>
      </c>
      <c r="L1135" s="1">
        <v>45833</v>
      </c>
      <c r="M1135" s="1" t="str">
        <f>TEXT(Table1[[#This Row],[appointment_date]],"MM/YYYY")</f>
        <v>06/2025</v>
      </c>
      <c r="N1135">
        <v>24</v>
      </c>
      <c r="O1135" t="str" cm="1">
        <f t="array" ref="O1135">_xlfn.IFS(Table1[[#This Row],[lead_time_days]]&lt;=7,"0-7 days",N1135&lt;=14,"8-14 days",N1135&lt;=30,"15-30 days",N1135&lt;=60,"31-60 days",TRUE,"61+ days")</f>
        <v>15-30 days</v>
      </c>
      <c r="P1135" t="s">
        <v>80</v>
      </c>
      <c r="Q1135" t="s">
        <v>21</v>
      </c>
      <c r="R1135">
        <v>0</v>
      </c>
      <c r="S1135" t="str">
        <f>IF(Table1[prior_dna_count]&gt;=1,"Has prior DNA history","No prior DNA history")</f>
        <v>No prior DNA history</v>
      </c>
      <c r="T1135" t="s">
        <v>22</v>
      </c>
      <c r="U1135" t="str">
        <f t="shared" si="17"/>
        <v>1</v>
      </c>
      <c r="V1135" t="str">
        <f>IF(Table1[appointment_status]="Attended","1","0")</f>
        <v>1</v>
      </c>
      <c r="W1135" t="str">
        <f>IF(Table1[appointment_status]="Cancelled","1","0")</f>
        <v>0</v>
      </c>
    </row>
    <row r="1136" spans="1:23">
      <c r="A1136" t="s">
        <v>2003</v>
      </c>
      <c r="B1136" t="s">
        <v>2004</v>
      </c>
      <c r="C1136">
        <v>58</v>
      </c>
      <c r="D1136" t="str" cm="1">
        <f t="array" ref="D1136">_xlfn.IFS(Table1[[#This Row],[age]]&lt;=17,"0-17",C1136&lt;=29,"18-29",C1136&lt;=44,"30-44",C1136&lt;=59,"45-59",C1136&lt;=74,"60-74",TRUE,"75+")</f>
        <v>45-59</v>
      </c>
      <c r="E1136" t="s">
        <v>29</v>
      </c>
      <c r="F1136">
        <v>1</v>
      </c>
      <c r="G1136" t="str" cm="1">
        <f t="array" ref="G1136">_xlfn.IFS(_xlfn.SINGLE(Table1[imd_decile])&lt;=3,"Most Deprived",F1136&lt;=7,"Moderately Deprived",F1136&lt;=10,"Least Deprived")</f>
        <v>Most Deprived</v>
      </c>
      <c r="H1136">
        <v>2.2000000000000002</v>
      </c>
      <c r="I1136" t="s">
        <v>25</v>
      </c>
      <c r="J1136" t="s">
        <v>19</v>
      </c>
      <c r="K1136" s="1">
        <v>45752</v>
      </c>
      <c r="L1136" s="1">
        <v>45833</v>
      </c>
      <c r="M1136" s="1" t="str">
        <f>TEXT(Table1[[#This Row],[appointment_date]],"MM/YYYY")</f>
        <v>06/2025</v>
      </c>
      <c r="N1136">
        <v>81</v>
      </c>
      <c r="O1136" t="str" cm="1">
        <f t="array" ref="O1136">_xlfn.IFS(Table1[[#This Row],[lead_time_days]]&lt;=7,"0-7 days",N1136&lt;=14,"8-14 days",N1136&lt;=30,"15-30 days",N1136&lt;=60,"31-60 days",TRUE,"61+ days")</f>
        <v>61+ days</v>
      </c>
      <c r="P1136" t="s">
        <v>80</v>
      </c>
      <c r="Q1136" t="s">
        <v>21</v>
      </c>
      <c r="R1136">
        <v>0</v>
      </c>
      <c r="S1136" t="str">
        <f>IF(Table1[prior_dna_count]&gt;=1,"Has prior DNA history","No prior DNA history")</f>
        <v>No prior DNA history</v>
      </c>
      <c r="T1136" t="s">
        <v>22</v>
      </c>
      <c r="U1136" t="str">
        <f t="shared" si="17"/>
        <v>1</v>
      </c>
      <c r="V1136" t="str">
        <f>IF(Table1[appointment_status]="Attended","1","0")</f>
        <v>1</v>
      </c>
      <c r="W1136" t="str">
        <f>IF(Table1[appointment_status]="Cancelled","1","0")</f>
        <v>0</v>
      </c>
    </row>
    <row r="1137" spans="1:23">
      <c r="A1137" t="s">
        <v>2005</v>
      </c>
      <c r="B1137" t="s">
        <v>653</v>
      </c>
      <c r="C1137">
        <v>48</v>
      </c>
      <c r="D1137" t="str" cm="1">
        <f t="array" ref="D1137">_xlfn.IFS(Table1[[#This Row],[age]]&lt;=17,"0-17",C1137&lt;=29,"18-29",C1137&lt;=44,"30-44",C1137&lt;=59,"45-59",C1137&lt;=74,"60-74",TRUE,"75+")</f>
        <v>45-59</v>
      </c>
      <c r="E1137" t="s">
        <v>29</v>
      </c>
      <c r="F1137">
        <v>5</v>
      </c>
      <c r="G1137" t="str" cm="1">
        <f t="array" ref="G1137">_xlfn.IFS(_xlfn.SINGLE(Table1[imd_decile])&lt;=3,"Most Deprived",F1137&lt;=7,"Moderately Deprived",F1137&lt;=10,"Least Deprived")</f>
        <v>Moderately Deprived</v>
      </c>
      <c r="H1137">
        <v>3.4</v>
      </c>
      <c r="I1137" t="s">
        <v>49</v>
      </c>
      <c r="J1137" t="s">
        <v>19</v>
      </c>
      <c r="K1137" s="1">
        <v>45766</v>
      </c>
      <c r="L1137" s="1">
        <v>45834</v>
      </c>
      <c r="M1137" s="1" t="str">
        <f>TEXT(Table1[[#This Row],[appointment_date]],"MM/YYYY")</f>
        <v>06/2025</v>
      </c>
      <c r="N1137">
        <v>68</v>
      </c>
      <c r="O1137" t="str" cm="1">
        <f t="array" ref="O1137">_xlfn.IFS(Table1[[#This Row],[lead_time_days]]&lt;=7,"0-7 days",N1137&lt;=14,"8-14 days",N1137&lt;=30,"15-30 days",N1137&lt;=60,"31-60 days",TRUE,"61+ days")</f>
        <v>61+ days</v>
      </c>
      <c r="P1137" t="s">
        <v>20</v>
      </c>
      <c r="Q1137" t="s">
        <v>32</v>
      </c>
      <c r="R1137">
        <v>0</v>
      </c>
      <c r="S1137" t="str">
        <f>IF(Table1[prior_dna_count]&gt;=1,"Has prior DNA history","No prior DNA history")</f>
        <v>No prior DNA history</v>
      </c>
      <c r="T1137" t="s">
        <v>22</v>
      </c>
      <c r="U1137" t="str">
        <f t="shared" si="17"/>
        <v>1</v>
      </c>
      <c r="V1137" t="str">
        <f>IF(Table1[appointment_status]="Attended","1","0")</f>
        <v>1</v>
      </c>
      <c r="W1137" t="str">
        <f>IF(Table1[appointment_status]="Cancelled","1","0")</f>
        <v>0</v>
      </c>
    </row>
    <row r="1138" spans="1:23">
      <c r="A1138" t="s">
        <v>2006</v>
      </c>
      <c r="B1138" t="s">
        <v>2007</v>
      </c>
      <c r="C1138">
        <v>55</v>
      </c>
      <c r="D1138" t="str" cm="1">
        <f t="array" ref="D1138">_xlfn.IFS(Table1[[#This Row],[age]]&lt;=17,"0-17",C1138&lt;=29,"18-29",C1138&lt;=44,"30-44",C1138&lt;=59,"45-59",C1138&lt;=74,"60-74",TRUE,"75+")</f>
        <v>45-59</v>
      </c>
      <c r="E1138" t="s">
        <v>29</v>
      </c>
      <c r="F1138">
        <v>2</v>
      </c>
      <c r="G1138" t="str" cm="1">
        <f t="array" ref="G1138">_xlfn.IFS(_xlfn.SINGLE(Table1[imd_decile])&lt;=3,"Most Deprived",F1138&lt;=7,"Moderately Deprived",F1138&lt;=10,"Least Deprived")</f>
        <v>Most Deprived</v>
      </c>
      <c r="H1138">
        <v>5.6</v>
      </c>
      <c r="I1138" t="s">
        <v>155</v>
      </c>
      <c r="J1138" t="s">
        <v>19</v>
      </c>
      <c r="K1138" s="1">
        <v>45810</v>
      </c>
      <c r="L1138" s="1">
        <v>45834</v>
      </c>
      <c r="M1138" s="1" t="str">
        <f>TEXT(Table1[[#This Row],[appointment_date]],"MM/YYYY")</f>
        <v>06/2025</v>
      </c>
      <c r="N1138">
        <v>24</v>
      </c>
      <c r="O1138" t="str" cm="1">
        <f t="array" ref="O1138">_xlfn.IFS(Table1[[#This Row],[lead_time_days]]&lt;=7,"0-7 days",N1138&lt;=14,"8-14 days",N1138&lt;=30,"15-30 days",N1138&lt;=60,"31-60 days",TRUE,"61+ days")</f>
        <v>15-30 days</v>
      </c>
      <c r="P1138" t="s">
        <v>20</v>
      </c>
      <c r="Q1138" t="s">
        <v>32</v>
      </c>
      <c r="R1138">
        <v>0</v>
      </c>
      <c r="S1138" t="str">
        <f>IF(Table1[prior_dna_count]&gt;=1,"Has prior DNA history","No prior DNA history")</f>
        <v>No prior DNA history</v>
      </c>
      <c r="T1138" t="s">
        <v>39</v>
      </c>
      <c r="U1138" t="str">
        <f t="shared" si="17"/>
        <v>1</v>
      </c>
      <c r="V1138" t="str">
        <f>IF(Table1[appointment_status]="Attended","1","0")</f>
        <v>0</v>
      </c>
      <c r="W1138" t="str">
        <f>IF(Table1[appointment_status]="Cancelled","1","0")</f>
        <v>0</v>
      </c>
    </row>
    <row r="1139" spans="1:23">
      <c r="A1139" t="s">
        <v>2008</v>
      </c>
      <c r="B1139" t="s">
        <v>2009</v>
      </c>
      <c r="C1139">
        <v>43</v>
      </c>
      <c r="D1139" t="str" cm="1">
        <f t="array" ref="D1139">_xlfn.IFS(Table1[[#This Row],[age]]&lt;=17,"0-17",C1139&lt;=29,"18-29",C1139&lt;=44,"30-44",C1139&lt;=59,"45-59",C1139&lt;=74,"60-74",TRUE,"75+")</f>
        <v>30-44</v>
      </c>
      <c r="E1139" t="s">
        <v>29</v>
      </c>
      <c r="F1139">
        <v>1</v>
      </c>
      <c r="G1139" t="str" cm="1">
        <f t="array" ref="G1139">_xlfn.IFS(_xlfn.SINGLE(Table1[imd_decile])&lt;=3,"Most Deprived",F1139&lt;=7,"Moderately Deprived",F1139&lt;=10,"Least Deprived")</f>
        <v>Most Deprived</v>
      </c>
      <c r="H1139">
        <v>6.4</v>
      </c>
      <c r="I1139" t="s">
        <v>30</v>
      </c>
      <c r="J1139" t="s">
        <v>19</v>
      </c>
      <c r="K1139" s="1">
        <v>45775</v>
      </c>
      <c r="L1139" s="1">
        <v>45834</v>
      </c>
      <c r="M1139" s="1" t="str">
        <f>TEXT(Table1[[#This Row],[appointment_date]],"MM/YYYY")</f>
        <v>06/2025</v>
      </c>
      <c r="N1139">
        <v>59</v>
      </c>
      <c r="O1139" t="str" cm="1">
        <f t="array" ref="O1139">_xlfn.IFS(Table1[[#This Row],[lead_time_days]]&lt;=7,"0-7 days",N1139&lt;=14,"8-14 days",N1139&lt;=30,"15-30 days",N1139&lt;=60,"31-60 days",TRUE,"61+ days")</f>
        <v>31-60 days</v>
      </c>
      <c r="P1139" t="s">
        <v>20</v>
      </c>
      <c r="Q1139" t="s">
        <v>21</v>
      </c>
      <c r="R1139">
        <v>0</v>
      </c>
      <c r="S1139" t="str">
        <f>IF(Table1[prior_dna_count]&gt;=1,"Has prior DNA history","No prior DNA history")</f>
        <v>No prior DNA history</v>
      </c>
      <c r="T1139" t="s">
        <v>22</v>
      </c>
      <c r="U1139" t="str">
        <f t="shared" si="17"/>
        <v>0</v>
      </c>
      <c r="V1139" t="str">
        <f>IF(Table1[appointment_status]="Attended","1","0")</f>
        <v>1</v>
      </c>
      <c r="W1139" t="str">
        <f>IF(Table1[appointment_status]="Cancelled","1","0")</f>
        <v>0</v>
      </c>
    </row>
    <row r="1140" spans="1:23">
      <c r="A1140" t="s">
        <v>2010</v>
      </c>
      <c r="B1140" t="s">
        <v>2011</v>
      </c>
      <c r="C1140">
        <v>75</v>
      </c>
      <c r="D1140" t="str" cm="1">
        <f t="array" ref="D1140">_xlfn.IFS(Table1[[#This Row],[age]]&lt;=17,"0-17",C1140&lt;=29,"18-29",C1140&lt;=44,"30-44",C1140&lt;=59,"45-59",C1140&lt;=74,"60-74",TRUE,"75+")</f>
        <v>75+</v>
      </c>
      <c r="E1140" t="s">
        <v>17</v>
      </c>
      <c r="F1140">
        <v>5</v>
      </c>
      <c r="G1140" t="str" cm="1">
        <f t="array" ref="G1140">_xlfn.IFS(_xlfn.SINGLE(Table1[imd_decile])&lt;=3,"Most Deprived",F1140&lt;=7,"Moderately Deprived",F1140&lt;=10,"Least Deprived")</f>
        <v>Moderately Deprived</v>
      </c>
      <c r="H1140">
        <v>3.2</v>
      </c>
      <c r="I1140" t="s">
        <v>42</v>
      </c>
      <c r="J1140" t="s">
        <v>19</v>
      </c>
      <c r="K1140" s="1">
        <v>45810</v>
      </c>
      <c r="L1140" s="1">
        <v>45834</v>
      </c>
      <c r="M1140" s="1" t="str">
        <f>TEXT(Table1[[#This Row],[appointment_date]],"MM/YYYY")</f>
        <v>06/2025</v>
      </c>
      <c r="N1140">
        <v>24</v>
      </c>
      <c r="O1140" t="str" cm="1">
        <f t="array" ref="O1140">_xlfn.IFS(Table1[[#This Row],[lead_time_days]]&lt;=7,"0-7 days",N1140&lt;=14,"8-14 days",N1140&lt;=30,"15-30 days",N1140&lt;=60,"31-60 days",TRUE,"61+ days")</f>
        <v>15-30 days</v>
      </c>
      <c r="P1140" t="s">
        <v>20</v>
      </c>
      <c r="Q1140" t="s">
        <v>21</v>
      </c>
      <c r="R1140">
        <v>0</v>
      </c>
      <c r="S1140" t="str">
        <f>IF(Table1[prior_dna_count]&gt;=1,"Has prior DNA history","No prior DNA history")</f>
        <v>No prior DNA history</v>
      </c>
      <c r="T1140" t="s">
        <v>22</v>
      </c>
      <c r="U1140" t="str">
        <f t="shared" si="17"/>
        <v>1</v>
      </c>
      <c r="V1140" t="str">
        <f>IF(Table1[appointment_status]="Attended","1","0")</f>
        <v>1</v>
      </c>
      <c r="W1140" t="str">
        <f>IF(Table1[appointment_status]="Cancelled","1","0")</f>
        <v>0</v>
      </c>
    </row>
    <row r="1141" spans="1:23">
      <c r="A1141" t="s">
        <v>2012</v>
      </c>
      <c r="B1141" t="s">
        <v>2013</v>
      </c>
      <c r="C1141">
        <v>54</v>
      </c>
      <c r="D1141" t="str" cm="1">
        <f t="array" ref="D1141">_xlfn.IFS(Table1[[#This Row],[age]]&lt;=17,"0-17",C1141&lt;=29,"18-29",C1141&lt;=44,"30-44",C1141&lt;=59,"45-59",C1141&lt;=74,"60-74",TRUE,"75+")</f>
        <v>45-59</v>
      </c>
      <c r="E1141" t="s">
        <v>17</v>
      </c>
      <c r="F1141">
        <v>5</v>
      </c>
      <c r="G1141" t="str" cm="1">
        <f t="array" ref="G1141">_xlfn.IFS(_xlfn.SINGLE(Table1[imd_decile])&lt;=3,"Most Deprived",F1141&lt;=7,"Moderately Deprived",F1141&lt;=10,"Least Deprived")</f>
        <v>Moderately Deprived</v>
      </c>
      <c r="H1141">
        <v>2.6</v>
      </c>
      <c r="I1141" t="s">
        <v>30</v>
      </c>
      <c r="J1141" t="s">
        <v>19</v>
      </c>
      <c r="K1141" s="1">
        <v>45763</v>
      </c>
      <c r="L1141" s="1">
        <v>45834</v>
      </c>
      <c r="M1141" s="1" t="str">
        <f>TEXT(Table1[[#This Row],[appointment_date]],"MM/YYYY")</f>
        <v>06/2025</v>
      </c>
      <c r="N1141">
        <v>71</v>
      </c>
      <c r="O1141" t="str" cm="1">
        <f t="array" ref="O1141">_xlfn.IFS(Table1[[#This Row],[lead_time_days]]&lt;=7,"0-7 days",N1141&lt;=14,"8-14 days",N1141&lt;=30,"15-30 days",N1141&lt;=60,"31-60 days",TRUE,"61+ days")</f>
        <v>61+ days</v>
      </c>
      <c r="P1141" t="s">
        <v>20</v>
      </c>
      <c r="Q1141" t="s">
        <v>21</v>
      </c>
      <c r="R1141">
        <v>0</v>
      </c>
      <c r="S1141" t="str">
        <f>IF(Table1[prior_dna_count]&gt;=1,"Has prior DNA history","No prior DNA history")</f>
        <v>No prior DNA history</v>
      </c>
      <c r="T1141" t="s">
        <v>22</v>
      </c>
      <c r="U1141" t="str">
        <f t="shared" si="17"/>
        <v>1</v>
      </c>
      <c r="V1141" t="str">
        <f>IF(Table1[appointment_status]="Attended","1","0")</f>
        <v>1</v>
      </c>
      <c r="W1141" t="str">
        <f>IF(Table1[appointment_status]="Cancelled","1","0")</f>
        <v>0</v>
      </c>
    </row>
    <row r="1142" spans="1:23">
      <c r="A1142" t="s">
        <v>2014</v>
      </c>
      <c r="B1142" t="s">
        <v>2015</v>
      </c>
      <c r="C1142">
        <v>39</v>
      </c>
      <c r="D1142" t="str" cm="1">
        <f t="array" ref="D1142">_xlfn.IFS(Table1[[#This Row],[age]]&lt;=17,"0-17",C1142&lt;=29,"18-29",C1142&lt;=44,"30-44",C1142&lt;=59,"45-59",C1142&lt;=74,"60-74",TRUE,"75+")</f>
        <v>30-44</v>
      </c>
      <c r="E1142" t="s">
        <v>29</v>
      </c>
      <c r="F1142">
        <v>3</v>
      </c>
      <c r="G1142" t="str" cm="1">
        <f t="array" ref="G1142">_xlfn.IFS(_xlfn.SINGLE(Table1[imd_decile])&lt;=3,"Most Deprived",F1142&lt;=7,"Moderately Deprived",F1142&lt;=10,"Least Deprived")</f>
        <v>Most Deprived</v>
      </c>
      <c r="H1142">
        <v>7.1</v>
      </c>
      <c r="I1142" t="s">
        <v>49</v>
      </c>
      <c r="J1142" t="s">
        <v>19</v>
      </c>
      <c r="K1142" s="1">
        <v>45769</v>
      </c>
      <c r="L1142" s="1">
        <v>45834</v>
      </c>
      <c r="M1142" s="1" t="str">
        <f>TEXT(Table1[[#This Row],[appointment_date]],"MM/YYYY")</f>
        <v>06/2025</v>
      </c>
      <c r="N1142">
        <v>65</v>
      </c>
      <c r="O1142" t="str" cm="1">
        <f t="array" ref="O1142">_xlfn.IFS(Table1[[#This Row],[lead_time_days]]&lt;=7,"0-7 days",N1142&lt;=14,"8-14 days",N1142&lt;=30,"15-30 days",N1142&lt;=60,"31-60 days",TRUE,"61+ days")</f>
        <v>61+ days</v>
      </c>
      <c r="P1142" t="s">
        <v>20</v>
      </c>
      <c r="Q1142" t="s">
        <v>21</v>
      </c>
      <c r="R1142">
        <v>0</v>
      </c>
      <c r="S1142" t="str">
        <f>IF(Table1[prior_dna_count]&gt;=1,"Has prior DNA history","No prior DNA history")</f>
        <v>No prior DNA history</v>
      </c>
      <c r="T1142" t="s">
        <v>22</v>
      </c>
      <c r="U1142" t="str">
        <f t="shared" si="17"/>
        <v>1</v>
      </c>
      <c r="V1142" t="str">
        <f>IF(Table1[appointment_status]="Attended","1","0")</f>
        <v>1</v>
      </c>
      <c r="W1142" t="str">
        <f>IF(Table1[appointment_status]="Cancelled","1","0")</f>
        <v>0</v>
      </c>
    </row>
    <row r="1143" spans="1:23">
      <c r="A1143" t="s">
        <v>2016</v>
      </c>
      <c r="B1143" t="s">
        <v>352</v>
      </c>
      <c r="C1143">
        <v>56</v>
      </c>
      <c r="D1143" t="str" cm="1">
        <f t="array" ref="D1143">_xlfn.IFS(Table1[[#This Row],[age]]&lt;=17,"0-17",C1143&lt;=29,"18-29",C1143&lt;=44,"30-44",C1143&lt;=59,"45-59",C1143&lt;=74,"60-74",TRUE,"75+")</f>
        <v>45-59</v>
      </c>
      <c r="E1143" t="s">
        <v>29</v>
      </c>
      <c r="F1143">
        <v>3</v>
      </c>
      <c r="G1143" t="str" cm="1">
        <f t="array" ref="G1143">_xlfn.IFS(_xlfn.SINGLE(Table1[imd_decile])&lt;=3,"Most Deprived",F1143&lt;=7,"Moderately Deprived",F1143&lt;=10,"Least Deprived")</f>
        <v>Most Deprived</v>
      </c>
      <c r="H1143">
        <v>6.7</v>
      </c>
      <c r="I1143" t="s">
        <v>42</v>
      </c>
      <c r="J1143" t="s">
        <v>26</v>
      </c>
      <c r="K1143" s="1">
        <v>45808</v>
      </c>
      <c r="L1143" s="1">
        <v>45834</v>
      </c>
      <c r="M1143" s="1" t="str">
        <f>TEXT(Table1[[#This Row],[appointment_date]],"MM/YYYY")</f>
        <v>06/2025</v>
      </c>
      <c r="N1143">
        <v>26</v>
      </c>
      <c r="O1143" t="str" cm="1">
        <f t="array" ref="O1143">_xlfn.IFS(Table1[[#This Row],[lead_time_days]]&lt;=7,"0-7 days",N1143&lt;=14,"8-14 days",N1143&lt;=30,"15-30 days",N1143&lt;=60,"31-60 days",TRUE,"61+ days")</f>
        <v>15-30 days</v>
      </c>
      <c r="P1143" t="s">
        <v>20</v>
      </c>
      <c r="Q1143" t="s">
        <v>21</v>
      </c>
      <c r="R1143">
        <v>0</v>
      </c>
      <c r="S1143" t="str">
        <f>IF(Table1[prior_dna_count]&gt;=1,"Has prior DNA history","No prior DNA history")</f>
        <v>No prior DNA history</v>
      </c>
      <c r="T1143" t="s">
        <v>39</v>
      </c>
      <c r="U1143" t="str">
        <f t="shared" si="17"/>
        <v>1</v>
      </c>
      <c r="V1143" t="str">
        <f>IF(Table1[appointment_status]="Attended","1","0")</f>
        <v>0</v>
      </c>
      <c r="W1143" t="str">
        <f>IF(Table1[appointment_status]="Cancelled","1","0")</f>
        <v>0</v>
      </c>
    </row>
    <row r="1144" spans="1:23">
      <c r="A1144" t="s">
        <v>2017</v>
      </c>
      <c r="B1144" t="s">
        <v>1487</v>
      </c>
      <c r="C1144">
        <v>61</v>
      </c>
      <c r="D1144" t="str" cm="1">
        <f t="array" ref="D1144">_xlfn.IFS(Table1[[#This Row],[age]]&lt;=17,"0-17",C1144&lt;=29,"18-29",C1144&lt;=44,"30-44",C1144&lt;=59,"45-59",C1144&lt;=74,"60-74",TRUE,"75+")</f>
        <v>60-74</v>
      </c>
      <c r="E1144" t="s">
        <v>17</v>
      </c>
      <c r="F1144">
        <v>8</v>
      </c>
      <c r="G1144" t="str" cm="1">
        <f t="array" ref="G1144">_xlfn.IFS(_xlfn.SINGLE(Table1[imd_decile])&lt;=3,"Most Deprived",F1144&lt;=7,"Moderately Deprived",F1144&lt;=10,"Least Deprived")</f>
        <v>Least Deprived</v>
      </c>
      <c r="H1144">
        <v>3.6</v>
      </c>
      <c r="I1144" t="s">
        <v>42</v>
      </c>
      <c r="J1144" t="s">
        <v>19</v>
      </c>
      <c r="K1144" s="1">
        <v>45815</v>
      </c>
      <c r="L1144" s="1">
        <v>45835</v>
      </c>
      <c r="M1144" s="1" t="str">
        <f>TEXT(Table1[[#This Row],[appointment_date]],"MM/YYYY")</f>
        <v>06/2025</v>
      </c>
      <c r="N1144">
        <v>20</v>
      </c>
      <c r="O1144" t="str" cm="1">
        <f t="array" ref="O1144">_xlfn.IFS(Table1[[#This Row],[lead_time_days]]&lt;=7,"0-7 days",N1144&lt;=14,"8-14 days",N1144&lt;=30,"15-30 days",N1144&lt;=60,"31-60 days",TRUE,"61+ days")</f>
        <v>15-30 days</v>
      </c>
      <c r="P1144" t="s">
        <v>52</v>
      </c>
      <c r="Q1144" t="s">
        <v>21</v>
      </c>
      <c r="R1144">
        <v>0</v>
      </c>
      <c r="S1144" t="str">
        <f>IF(Table1[prior_dna_count]&gt;=1,"Has prior DNA history","No prior DNA history")</f>
        <v>No prior DNA history</v>
      </c>
      <c r="T1144" t="s">
        <v>22</v>
      </c>
      <c r="U1144" t="str">
        <f t="shared" si="17"/>
        <v>0</v>
      </c>
      <c r="V1144" t="str">
        <f>IF(Table1[appointment_status]="Attended","1","0")</f>
        <v>1</v>
      </c>
      <c r="W1144" t="str">
        <f>IF(Table1[appointment_status]="Cancelled","1","0")</f>
        <v>0</v>
      </c>
    </row>
    <row r="1145" spans="1:23">
      <c r="A1145" t="s">
        <v>2018</v>
      </c>
      <c r="B1145" t="s">
        <v>2019</v>
      </c>
      <c r="C1145">
        <v>52</v>
      </c>
      <c r="D1145" t="str" cm="1">
        <f t="array" ref="D1145">_xlfn.IFS(Table1[[#This Row],[age]]&lt;=17,"0-17",C1145&lt;=29,"18-29",C1145&lt;=44,"30-44",C1145&lt;=59,"45-59",C1145&lt;=74,"60-74",TRUE,"75+")</f>
        <v>45-59</v>
      </c>
      <c r="E1145" t="s">
        <v>29</v>
      </c>
      <c r="F1145">
        <v>8</v>
      </c>
      <c r="G1145" t="str" cm="1">
        <f t="array" ref="G1145">_xlfn.IFS(_xlfn.SINGLE(Table1[imd_decile])&lt;=3,"Most Deprived",F1145&lt;=7,"Moderately Deprived",F1145&lt;=10,"Least Deprived")</f>
        <v>Least Deprived</v>
      </c>
      <c r="H1145">
        <v>11.7</v>
      </c>
      <c r="I1145" t="s">
        <v>25</v>
      </c>
      <c r="J1145" t="s">
        <v>26</v>
      </c>
      <c r="K1145" s="1">
        <v>45830</v>
      </c>
      <c r="L1145" s="1">
        <v>45835</v>
      </c>
      <c r="M1145" s="1" t="str">
        <f>TEXT(Table1[[#This Row],[appointment_date]],"MM/YYYY")</f>
        <v>06/2025</v>
      </c>
      <c r="N1145">
        <v>5</v>
      </c>
      <c r="O1145" t="str" cm="1">
        <f t="array" ref="O1145">_xlfn.IFS(Table1[[#This Row],[lead_time_days]]&lt;=7,"0-7 days",N1145&lt;=14,"8-14 days",N1145&lt;=30,"15-30 days",N1145&lt;=60,"31-60 days",TRUE,"61+ days")</f>
        <v>0-7 days</v>
      </c>
      <c r="P1145" t="s">
        <v>52</v>
      </c>
      <c r="Q1145" t="s">
        <v>32</v>
      </c>
      <c r="R1145">
        <v>0</v>
      </c>
      <c r="S1145" t="str">
        <f>IF(Table1[prior_dna_count]&gt;=1,"Has prior DNA history","No prior DNA history")</f>
        <v>No prior DNA history</v>
      </c>
      <c r="T1145" t="s">
        <v>39</v>
      </c>
      <c r="U1145" t="str">
        <f t="shared" si="17"/>
        <v>1</v>
      </c>
      <c r="V1145" t="str">
        <f>IF(Table1[appointment_status]="Attended","1","0")</f>
        <v>0</v>
      </c>
      <c r="W1145" t="str">
        <f>IF(Table1[appointment_status]="Cancelled","1","0")</f>
        <v>0</v>
      </c>
    </row>
    <row r="1146" spans="1:23">
      <c r="A1146" t="s">
        <v>2020</v>
      </c>
      <c r="B1146" t="s">
        <v>1335</v>
      </c>
      <c r="C1146">
        <v>36</v>
      </c>
      <c r="D1146" t="str" cm="1">
        <f t="array" ref="D1146">_xlfn.IFS(Table1[[#This Row],[age]]&lt;=17,"0-17",C1146&lt;=29,"18-29",C1146&lt;=44,"30-44",C1146&lt;=59,"45-59",C1146&lt;=74,"60-74",TRUE,"75+")</f>
        <v>30-44</v>
      </c>
      <c r="E1146" t="s">
        <v>29</v>
      </c>
      <c r="F1146">
        <v>9</v>
      </c>
      <c r="G1146" t="str" cm="1">
        <f t="array" ref="G1146">_xlfn.IFS(_xlfn.SINGLE(Table1[imd_decile])&lt;=3,"Most Deprived",F1146&lt;=7,"Moderately Deprived",F1146&lt;=10,"Least Deprived")</f>
        <v>Least Deprived</v>
      </c>
      <c r="H1146">
        <v>11.1</v>
      </c>
      <c r="I1146" t="s">
        <v>30</v>
      </c>
      <c r="J1146" t="s">
        <v>26</v>
      </c>
      <c r="K1146" s="1">
        <v>45814</v>
      </c>
      <c r="L1146" s="1">
        <v>45835</v>
      </c>
      <c r="M1146" s="1" t="str">
        <f>TEXT(Table1[[#This Row],[appointment_date]],"MM/YYYY")</f>
        <v>06/2025</v>
      </c>
      <c r="N1146">
        <v>21</v>
      </c>
      <c r="O1146" t="str" cm="1">
        <f t="array" ref="O1146">_xlfn.IFS(Table1[[#This Row],[lead_time_days]]&lt;=7,"0-7 days",N1146&lt;=14,"8-14 days",N1146&lt;=30,"15-30 days",N1146&lt;=60,"31-60 days",TRUE,"61+ days")</f>
        <v>15-30 days</v>
      </c>
      <c r="P1146" t="s">
        <v>52</v>
      </c>
      <c r="Q1146" t="s">
        <v>32</v>
      </c>
      <c r="R1146">
        <v>0</v>
      </c>
      <c r="S1146" t="str">
        <f>IF(Table1[prior_dna_count]&gt;=1,"Has prior DNA history","No prior DNA history")</f>
        <v>No prior DNA history</v>
      </c>
      <c r="T1146" t="s">
        <v>22</v>
      </c>
      <c r="U1146" t="str">
        <f t="shared" si="17"/>
        <v>0</v>
      </c>
      <c r="V1146" t="str">
        <f>IF(Table1[appointment_status]="Attended","1","0")</f>
        <v>1</v>
      </c>
      <c r="W1146" t="str">
        <f>IF(Table1[appointment_status]="Cancelled","1","0")</f>
        <v>0</v>
      </c>
    </row>
    <row r="1147" spans="1:23">
      <c r="A1147" t="s">
        <v>2021</v>
      </c>
      <c r="B1147" t="s">
        <v>2022</v>
      </c>
      <c r="C1147">
        <v>51</v>
      </c>
      <c r="D1147" t="str" cm="1">
        <f t="array" ref="D1147">_xlfn.IFS(Table1[[#This Row],[age]]&lt;=17,"0-17",C1147&lt;=29,"18-29",C1147&lt;=44,"30-44",C1147&lt;=59,"45-59",C1147&lt;=74,"60-74",TRUE,"75+")</f>
        <v>45-59</v>
      </c>
      <c r="E1147" t="s">
        <v>17</v>
      </c>
      <c r="F1147">
        <v>9</v>
      </c>
      <c r="G1147" t="str" cm="1">
        <f t="array" ref="G1147">_xlfn.IFS(_xlfn.SINGLE(Table1[imd_decile])&lt;=3,"Most Deprived",F1147&lt;=7,"Moderately Deprived",F1147&lt;=10,"Least Deprived")</f>
        <v>Least Deprived</v>
      </c>
      <c r="H1147">
        <v>5.5</v>
      </c>
      <c r="I1147" t="s">
        <v>91</v>
      </c>
      <c r="J1147" t="s">
        <v>19</v>
      </c>
      <c r="K1147" s="1">
        <v>45798</v>
      </c>
      <c r="L1147" s="1">
        <v>45835</v>
      </c>
      <c r="M1147" s="1" t="str">
        <f>TEXT(Table1[[#This Row],[appointment_date]],"MM/YYYY")</f>
        <v>06/2025</v>
      </c>
      <c r="N1147">
        <v>37</v>
      </c>
      <c r="O1147" t="str" cm="1">
        <f t="array" ref="O1147">_xlfn.IFS(Table1[[#This Row],[lead_time_days]]&lt;=7,"0-7 days",N1147&lt;=14,"8-14 days",N1147&lt;=30,"15-30 days",N1147&lt;=60,"31-60 days",TRUE,"61+ days")</f>
        <v>31-60 days</v>
      </c>
      <c r="P1147" t="s">
        <v>52</v>
      </c>
      <c r="Q1147" t="s">
        <v>21</v>
      </c>
      <c r="R1147">
        <v>0</v>
      </c>
      <c r="S1147" t="str">
        <f>IF(Table1[prior_dna_count]&gt;=1,"Has prior DNA history","No prior DNA history")</f>
        <v>No prior DNA history</v>
      </c>
      <c r="T1147" t="s">
        <v>22</v>
      </c>
      <c r="U1147" t="str">
        <f t="shared" si="17"/>
        <v>1</v>
      </c>
      <c r="V1147" t="str">
        <f>IF(Table1[appointment_status]="Attended","1","0")</f>
        <v>1</v>
      </c>
      <c r="W1147" t="str">
        <f>IF(Table1[appointment_status]="Cancelled","1","0")</f>
        <v>0</v>
      </c>
    </row>
    <row r="1148" spans="1:23">
      <c r="A1148" t="s">
        <v>2023</v>
      </c>
      <c r="B1148" t="s">
        <v>2024</v>
      </c>
      <c r="C1148">
        <v>63</v>
      </c>
      <c r="D1148" t="str" cm="1">
        <f t="array" ref="D1148">_xlfn.IFS(Table1[[#This Row],[age]]&lt;=17,"0-17",C1148&lt;=29,"18-29",C1148&lt;=44,"30-44",C1148&lt;=59,"45-59",C1148&lt;=74,"60-74",TRUE,"75+")</f>
        <v>60-74</v>
      </c>
      <c r="E1148" t="s">
        <v>29</v>
      </c>
      <c r="F1148">
        <v>7</v>
      </c>
      <c r="G1148" t="str" cm="1">
        <f t="array" ref="G1148">_xlfn.IFS(_xlfn.SINGLE(Table1[imd_decile])&lt;=3,"Most Deprived",F1148&lt;=7,"Moderately Deprived",F1148&lt;=10,"Least Deprived")</f>
        <v>Moderately Deprived</v>
      </c>
      <c r="H1148">
        <v>9.3000000000000007</v>
      </c>
      <c r="I1148" t="s">
        <v>18</v>
      </c>
      <c r="J1148" t="s">
        <v>26</v>
      </c>
      <c r="K1148" s="1">
        <v>45823</v>
      </c>
      <c r="L1148" s="1">
        <v>45835</v>
      </c>
      <c r="M1148" s="1" t="str">
        <f>TEXT(Table1[[#This Row],[appointment_date]],"MM/YYYY")</f>
        <v>06/2025</v>
      </c>
      <c r="N1148">
        <v>12</v>
      </c>
      <c r="O1148" t="str" cm="1">
        <f t="array" ref="O1148">_xlfn.IFS(Table1[[#This Row],[lead_time_days]]&lt;=7,"0-7 days",N1148&lt;=14,"8-14 days",N1148&lt;=30,"15-30 days",N1148&lt;=60,"31-60 days",TRUE,"61+ days")</f>
        <v>8-14 days</v>
      </c>
      <c r="P1148" t="s">
        <v>52</v>
      </c>
      <c r="Q1148" t="s">
        <v>32</v>
      </c>
      <c r="R1148">
        <v>0</v>
      </c>
      <c r="S1148" t="str">
        <f>IF(Table1[prior_dna_count]&gt;=1,"Has prior DNA history","No prior DNA history")</f>
        <v>No prior DNA history</v>
      </c>
      <c r="T1148" t="s">
        <v>22</v>
      </c>
      <c r="U1148" t="str">
        <f t="shared" si="17"/>
        <v>1</v>
      </c>
      <c r="V1148" t="str">
        <f>IF(Table1[appointment_status]="Attended","1","0")</f>
        <v>1</v>
      </c>
      <c r="W1148" t="str">
        <f>IF(Table1[appointment_status]="Cancelled","1","0")</f>
        <v>0</v>
      </c>
    </row>
    <row r="1149" spans="1:23">
      <c r="A1149" t="s">
        <v>2025</v>
      </c>
      <c r="B1149" t="s">
        <v>2026</v>
      </c>
      <c r="C1149">
        <v>48</v>
      </c>
      <c r="D1149" t="str" cm="1">
        <f t="array" ref="D1149">_xlfn.IFS(Table1[[#This Row],[age]]&lt;=17,"0-17",C1149&lt;=29,"18-29",C1149&lt;=44,"30-44",C1149&lt;=59,"45-59",C1149&lt;=74,"60-74",TRUE,"75+")</f>
        <v>45-59</v>
      </c>
      <c r="E1149" t="s">
        <v>29</v>
      </c>
      <c r="F1149">
        <v>4</v>
      </c>
      <c r="G1149" t="str" cm="1">
        <f t="array" ref="G1149">_xlfn.IFS(_xlfn.SINGLE(Table1[imd_decile])&lt;=3,"Most Deprived",F1149&lt;=7,"Moderately Deprived",F1149&lt;=10,"Least Deprived")</f>
        <v>Moderately Deprived</v>
      </c>
      <c r="H1149">
        <v>8.9</v>
      </c>
      <c r="I1149" t="s">
        <v>91</v>
      </c>
      <c r="J1149" t="s">
        <v>19</v>
      </c>
      <c r="K1149" s="1">
        <v>45819</v>
      </c>
      <c r="L1149" s="1">
        <v>45835</v>
      </c>
      <c r="M1149" s="1" t="str">
        <f>TEXT(Table1[[#This Row],[appointment_date]],"MM/YYYY")</f>
        <v>06/2025</v>
      </c>
      <c r="N1149">
        <v>16</v>
      </c>
      <c r="O1149" t="str" cm="1">
        <f t="array" ref="O1149">_xlfn.IFS(Table1[[#This Row],[lead_time_days]]&lt;=7,"0-7 days",N1149&lt;=14,"8-14 days",N1149&lt;=30,"15-30 days",N1149&lt;=60,"31-60 days",TRUE,"61+ days")</f>
        <v>15-30 days</v>
      </c>
      <c r="P1149" t="s">
        <v>52</v>
      </c>
      <c r="Q1149" t="s">
        <v>32</v>
      </c>
      <c r="R1149">
        <v>0</v>
      </c>
      <c r="S1149" t="str">
        <f>IF(Table1[prior_dna_count]&gt;=1,"Has prior DNA history","No prior DNA history")</f>
        <v>No prior DNA history</v>
      </c>
      <c r="T1149" t="s">
        <v>22</v>
      </c>
      <c r="U1149" t="str">
        <f t="shared" si="17"/>
        <v>1</v>
      </c>
      <c r="V1149" t="str">
        <f>IF(Table1[appointment_status]="Attended","1","0")</f>
        <v>1</v>
      </c>
      <c r="W1149" t="str">
        <f>IF(Table1[appointment_status]="Cancelled","1","0")</f>
        <v>0</v>
      </c>
    </row>
    <row r="1150" spans="1:23">
      <c r="A1150" t="s">
        <v>2027</v>
      </c>
      <c r="B1150" t="s">
        <v>821</v>
      </c>
      <c r="C1150">
        <v>44</v>
      </c>
      <c r="D1150" t="str" cm="1">
        <f t="array" ref="D1150">_xlfn.IFS(Table1[[#This Row],[age]]&lt;=17,"0-17",C1150&lt;=29,"18-29",C1150&lt;=44,"30-44",C1150&lt;=59,"45-59",C1150&lt;=74,"60-74",TRUE,"75+")</f>
        <v>30-44</v>
      </c>
      <c r="E1150" t="s">
        <v>29</v>
      </c>
      <c r="F1150">
        <v>6</v>
      </c>
      <c r="G1150" t="str" cm="1">
        <f t="array" ref="G1150">_xlfn.IFS(_xlfn.SINGLE(Table1[imd_decile])&lt;=3,"Most Deprived",F1150&lt;=7,"Moderately Deprived",F1150&lt;=10,"Least Deprived")</f>
        <v>Moderately Deprived</v>
      </c>
      <c r="H1150">
        <v>5.5</v>
      </c>
      <c r="I1150" t="s">
        <v>58</v>
      </c>
      <c r="J1150" t="s">
        <v>19</v>
      </c>
      <c r="K1150" s="1">
        <v>45747</v>
      </c>
      <c r="L1150" s="1">
        <v>45835</v>
      </c>
      <c r="M1150" s="1" t="str">
        <f>TEXT(Table1[[#This Row],[appointment_date]],"MM/YYYY")</f>
        <v>06/2025</v>
      </c>
      <c r="N1150">
        <v>88</v>
      </c>
      <c r="O1150" t="str" cm="1">
        <f t="array" ref="O1150">_xlfn.IFS(Table1[[#This Row],[lead_time_days]]&lt;=7,"0-7 days",N1150&lt;=14,"8-14 days",N1150&lt;=30,"15-30 days",N1150&lt;=60,"31-60 days",TRUE,"61+ days")</f>
        <v>61+ days</v>
      </c>
      <c r="P1150" t="s">
        <v>52</v>
      </c>
      <c r="Q1150" t="s">
        <v>32</v>
      </c>
      <c r="R1150">
        <v>0</v>
      </c>
      <c r="S1150" t="str">
        <f>IF(Table1[prior_dna_count]&gt;=1,"Has prior DNA history","No prior DNA history")</f>
        <v>No prior DNA history</v>
      </c>
      <c r="T1150" t="s">
        <v>22</v>
      </c>
      <c r="U1150" t="str">
        <f t="shared" si="17"/>
        <v>1</v>
      </c>
      <c r="V1150" t="str">
        <f>IF(Table1[appointment_status]="Attended","1","0")</f>
        <v>1</v>
      </c>
      <c r="W1150" t="str">
        <f>IF(Table1[appointment_status]="Cancelled","1","0")</f>
        <v>0</v>
      </c>
    </row>
    <row r="1151" spans="1:23">
      <c r="A1151" t="s">
        <v>2028</v>
      </c>
      <c r="B1151" t="s">
        <v>115</v>
      </c>
      <c r="C1151">
        <v>2</v>
      </c>
      <c r="D1151" t="str" cm="1">
        <f t="array" ref="D1151">_xlfn.IFS(Table1[[#This Row],[age]]&lt;=17,"0-17",C1151&lt;=29,"18-29",C1151&lt;=44,"30-44",C1151&lt;=59,"45-59",C1151&lt;=74,"60-74",TRUE,"75+")</f>
        <v>0-17</v>
      </c>
      <c r="E1151" t="s">
        <v>17</v>
      </c>
      <c r="F1151">
        <v>5</v>
      </c>
      <c r="G1151" t="str" cm="1">
        <f t="array" ref="G1151">_xlfn.IFS(_xlfn.SINGLE(Table1[imd_decile])&lt;=3,"Most Deprived",F1151&lt;=7,"Moderately Deprived",F1151&lt;=10,"Least Deprived")</f>
        <v>Moderately Deprived</v>
      </c>
      <c r="H1151">
        <v>9.6999999999999993</v>
      </c>
      <c r="I1151" t="s">
        <v>38</v>
      </c>
      <c r="J1151" t="s">
        <v>19</v>
      </c>
      <c r="K1151" s="1">
        <v>45791</v>
      </c>
      <c r="L1151" s="1">
        <v>45835</v>
      </c>
      <c r="M1151" s="1" t="str">
        <f>TEXT(Table1[[#This Row],[appointment_date]],"MM/YYYY")</f>
        <v>06/2025</v>
      </c>
      <c r="N1151">
        <v>44</v>
      </c>
      <c r="O1151" t="str" cm="1">
        <f t="array" ref="O1151">_xlfn.IFS(Table1[[#This Row],[lead_time_days]]&lt;=7,"0-7 days",N1151&lt;=14,"8-14 days",N1151&lt;=30,"15-30 days",N1151&lt;=60,"31-60 days",TRUE,"61+ days")</f>
        <v>31-60 days</v>
      </c>
      <c r="P1151" t="s">
        <v>52</v>
      </c>
      <c r="Q1151" t="s">
        <v>32</v>
      </c>
      <c r="R1151">
        <v>0</v>
      </c>
      <c r="S1151" t="str">
        <f>IF(Table1[prior_dna_count]&gt;=1,"Has prior DNA history","No prior DNA history")</f>
        <v>No prior DNA history</v>
      </c>
      <c r="T1151" t="s">
        <v>46</v>
      </c>
      <c r="U1151" t="str">
        <f t="shared" si="17"/>
        <v>1</v>
      </c>
      <c r="V1151" t="str">
        <f>IF(Table1[appointment_status]="Attended","1","0")</f>
        <v>0</v>
      </c>
      <c r="W1151" t="str">
        <f>IF(Table1[appointment_status]="Cancelled","1","0")</f>
        <v>1</v>
      </c>
    </row>
    <row r="1152" spans="1:23">
      <c r="A1152" t="s">
        <v>2029</v>
      </c>
      <c r="B1152" t="s">
        <v>2030</v>
      </c>
      <c r="C1152">
        <v>42</v>
      </c>
      <c r="D1152" t="str" cm="1">
        <f t="array" ref="D1152">_xlfn.IFS(Table1[[#This Row],[age]]&lt;=17,"0-17",C1152&lt;=29,"18-29",C1152&lt;=44,"30-44",C1152&lt;=59,"45-59",C1152&lt;=74,"60-74",TRUE,"75+")</f>
        <v>30-44</v>
      </c>
      <c r="E1152" t="s">
        <v>29</v>
      </c>
      <c r="F1152">
        <v>6</v>
      </c>
      <c r="G1152" t="str" cm="1">
        <f t="array" ref="G1152">_xlfn.IFS(_xlfn.SINGLE(Table1[imd_decile])&lt;=3,"Most Deprived",F1152&lt;=7,"Moderately Deprived",F1152&lt;=10,"Least Deprived")</f>
        <v>Moderately Deprived</v>
      </c>
      <c r="H1152">
        <v>7.4</v>
      </c>
      <c r="I1152" t="s">
        <v>155</v>
      </c>
      <c r="J1152" t="s">
        <v>26</v>
      </c>
      <c r="K1152" s="1">
        <v>45818</v>
      </c>
      <c r="L1152" s="1">
        <v>45835</v>
      </c>
      <c r="M1152" s="1" t="str">
        <f>TEXT(Table1[[#This Row],[appointment_date]],"MM/YYYY")</f>
        <v>06/2025</v>
      </c>
      <c r="N1152">
        <v>17</v>
      </c>
      <c r="O1152" t="str" cm="1">
        <f t="array" ref="O1152">_xlfn.IFS(Table1[[#This Row],[lead_time_days]]&lt;=7,"0-7 days",N1152&lt;=14,"8-14 days",N1152&lt;=30,"15-30 days",N1152&lt;=60,"31-60 days",TRUE,"61+ days")</f>
        <v>15-30 days</v>
      </c>
      <c r="P1152" t="s">
        <v>52</v>
      </c>
      <c r="Q1152" t="s">
        <v>21</v>
      </c>
      <c r="R1152">
        <v>1</v>
      </c>
      <c r="S1152" t="str">
        <f>IF(Table1[prior_dna_count]&gt;=1,"Has prior DNA history","No prior DNA history")</f>
        <v>Has prior DNA history</v>
      </c>
      <c r="T1152" t="s">
        <v>22</v>
      </c>
      <c r="U1152" t="str">
        <f t="shared" si="17"/>
        <v>0</v>
      </c>
      <c r="V1152" t="str">
        <f>IF(Table1[appointment_status]="Attended","1","0")</f>
        <v>1</v>
      </c>
      <c r="W1152" t="str">
        <f>IF(Table1[appointment_status]="Cancelled","1","0")</f>
        <v>0</v>
      </c>
    </row>
    <row r="1153" spans="1:23">
      <c r="A1153" t="s">
        <v>2031</v>
      </c>
      <c r="B1153" t="s">
        <v>1201</v>
      </c>
      <c r="C1153">
        <v>30</v>
      </c>
      <c r="D1153" t="str" cm="1">
        <f t="array" ref="D1153">_xlfn.IFS(Table1[[#This Row],[age]]&lt;=17,"0-17",C1153&lt;=29,"18-29",C1153&lt;=44,"30-44",C1153&lt;=59,"45-59",C1153&lt;=74,"60-74",TRUE,"75+")</f>
        <v>30-44</v>
      </c>
      <c r="E1153" t="s">
        <v>17</v>
      </c>
      <c r="F1153">
        <v>10</v>
      </c>
      <c r="G1153" t="str" cm="1">
        <f t="array" ref="G1153">_xlfn.IFS(_xlfn.SINGLE(Table1[imd_decile])&lt;=3,"Most Deprived",F1153&lt;=7,"Moderately Deprived",F1153&lt;=10,"Least Deprived")</f>
        <v>Least Deprived</v>
      </c>
      <c r="H1153">
        <v>8.6999999999999993</v>
      </c>
      <c r="I1153" t="s">
        <v>25</v>
      </c>
      <c r="J1153" t="s">
        <v>26</v>
      </c>
      <c r="K1153" s="1">
        <v>45812</v>
      </c>
      <c r="L1153" s="1">
        <v>45835</v>
      </c>
      <c r="M1153" s="1" t="str">
        <f>TEXT(Table1[[#This Row],[appointment_date]],"MM/YYYY")</f>
        <v>06/2025</v>
      </c>
      <c r="N1153">
        <v>23</v>
      </c>
      <c r="O1153" t="str" cm="1">
        <f t="array" ref="O1153">_xlfn.IFS(Table1[[#This Row],[lead_time_days]]&lt;=7,"0-7 days",N1153&lt;=14,"8-14 days",N1153&lt;=30,"15-30 days",N1153&lt;=60,"31-60 days",TRUE,"61+ days")</f>
        <v>15-30 days</v>
      </c>
      <c r="P1153" t="s">
        <v>52</v>
      </c>
      <c r="Q1153" t="s">
        <v>21</v>
      </c>
      <c r="R1153">
        <v>0</v>
      </c>
      <c r="S1153" t="str">
        <f>IF(Table1[prior_dna_count]&gt;=1,"Has prior DNA history","No prior DNA history")</f>
        <v>No prior DNA history</v>
      </c>
      <c r="T1153" t="s">
        <v>22</v>
      </c>
      <c r="U1153" t="str">
        <f t="shared" si="17"/>
        <v>1</v>
      </c>
      <c r="V1153" t="str">
        <f>IF(Table1[appointment_status]="Attended","1","0")</f>
        <v>1</v>
      </c>
      <c r="W1153" t="str">
        <f>IF(Table1[appointment_status]="Cancelled","1","0")</f>
        <v>0</v>
      </c>
    </row>
    <row r="1154" spans="1:23">
      <c r="A1154" t="s">
        <v>2032</v>
      </c>
      <c r="B1154" t="s">
        <v>2033</v>
      </c>
      <c r="C1154">
        <v>66</v>
      </c>
      <c r="D1154" t="str" cm="1">
        <f t="array" ref="D1154">_xlfn.IFS(Table1[[#This Row],[age]]&lt;=17,"0-17",C1154&lt;=29,"18-29",C1154&lt;=44,"30-44",C1154&lt;=59,"45-59",C1154&lt;=74,"60-74",TRUE,"75+")</f>
        <v>60-74</v>
      </c>
      <c r="E1154" t="s">
        <v>29</v>
      </c>
      <c r="F1154">
        <v>10</v>
      </c>
      <c r="G1154" t="str" cm="1">
        <f t="array" ref="G1154">_xlfn.IFS(_xlfn.SINGLE(Table1[imd_decile])&lt;=3,"Most Deprived",F1154&lt;=7,"Moderately Deprived",F1154&lt;=10,"Least Deprived")</f>
        <v>Least Deprived</v>
      </c>
      <c r="H1154">
        <v>14</v>
      </c>
      <c r="I1154" t="s">
        <v>42</v>
      </c>
      <c r="J1154" t="s">
        <v>19</v>
      </c>
      <c r="K1154" s="1">
        <v>45779</v>
      </c>
      <c r="L1154" s="1">
        <v>45836</v>
      </c>
      <c r="M1154" s="1" t="str">
        <f>TEXT(Table1[[#This Row],[appointment_date]],"MM/YYYY")</f>
        <v>06/2025</v>
      </c>
      <c r="N1154">
        <v>57</v>
      </c>
      <c r="O1154" t="str" cm="1">
        <f t="array" ref="O1154">_xlfn.IFS(Table1[[#This Row],[lead_time_days]]&lt;=7,"0-7 days",N1154&lt;=14,"8-14 days",N1154&lt;=30,"15-30 days",N1154&lt;=60,"31-60 days",TRUE,"61+ days")</f>
        <v>31-60 days</v>
      </c>
      <c r="P1154" t="s">
        <v>55</v>
      </c>
      <c r="Q1154" t="s">
        <v>21</v>
      </c>
      <c r="R1154">
        <v>0</v>
      </c>
      <c r="S1154" t="str">
        <f>IF(Table1[prior_dna_count]&gt;=1,"Has prior DNA history","No prior DNA history")</f>
        <v>No prior DNA history</v>
      </c>
      <c r="T1154" t="s">
        <v>22</v>
      </c>
      <c r="U1154" t="str">
        <f t="shared" ref="U1154:U1217" si="18">V1153</f>
        <v>1</v>
      </c>
      <c r="V1154" t="str">
        <f>IF(Table1[appointment_status]="Attended","1","0")</f>
        <v>1</v>
      </c>
      <c r="W1154" t="str">
        <f>IF(Table1[appointment_status]="Cancelled","1","0")</f>
        <v>0</v>
      </c>
    </row>
    <row r="1155" spans="1:23">
      <c r="A1155" t="s">
        <v>2034</v>
      </c>
      <c r="B1155" t="s">
        <v>2035</v>
      </c>
      <c r="C1155">
        <v>42</v>
      </c>
      <c r="D1155" t="str" cm="1">
        <f t="array" ref="D1155">_xlfn.IFS(Table1[[#This Row],[age]]&lt;=17,"0-17",C1155&lt;=29,"18-29",C1155&lt;=44,"30-44",C1155&lt;=59,"45-59",C1155&lt;=74,"60-74",TRUE,"75+")</f>
        <v>30-44</v>
      </c>
      <c r="E1155" t="s">
        <v>17</v>
      </c>
      <c r="F1155">
        <v>10</v>
      </c>
      <c r="G1155" t="str" cm="1">
        <f t="array" ref="G1155">_xlfn.IFS(_xlfn.SINGLE(Table1[imd_decile])&lt;=3,"Most Deprived",F1155&lt;=7,"Moderately Deprived",F1155&lt;=10,"Least Deprived")</f>
        <v>Least Deprived</v>
      </c>
      <c r="H1155">
        <v>6.9</v>
      </c>
      <c r="I1155" t="s">
        <v>49</v>
      </c>
      <c r="J1155" t="s">
        <v>19</v>
      </c>
      <c r="K1155" s="1">
        <v>45816</v>
      </c>
      <c r="L1155" s="1">
        <v>45836</v>
      </c>
      <c r="M1155" s="1" t="str">
        <f>TEXT(Table1[[#This Row],[appointment_date]],"MM/YYYY")</f>
        <v>06/2025</v>
      </c>
      <c r="N1155">
        <v>20</v>
      </c>
      <c r="O1155" t="str" cm="1">
        <f t="array" ref="O1155">_xlfn.IFS(Table1[[#This Row],[lead_time_days]]&lt;=7,"0-7 days",N1155&lt;=14,"8-14 days",N1155&lt;=30,"15-30 days",N1155&lt;=60,"31-60 days",TRUE,"61+ days")</f>
        <v>15-30 days</v>
      </c>
      <c r="P1155" t="s">
        <v>55</v>
      </c>
      <c r="Q1155" t="s">
        <v>21</v>
      </c>
      <c r="R1155">
        <v>0</v>
      </c>
      <c r="S1155" t="str">
        <f>IF(Table1[prior_dna_count]&gt;=1,"Has prior DNA history","No prior DNA history")</f>
        <v>No prior DNA history</v>
      </c>
      <c r="T1155" t="s">
        <v>22</v>
      </c>
      <c r="U1155" t="str">
        <f t="shared" si="18"/>
        <v>1</v>
      </c>
      <c r="V1155" t="str">
        <f>IF(Table1[appointment_status]="Attended","1","0")</f>
        <v>1</v>
      </c>
      <c r="W1155" t="str">
        <f>IF(Table1[appointment_status]="Cancelled","1","0")</f>
        <v>0</v>
      </c>
    </row>
    <row r="1156" spans="1:23">
      <c r="A1156" t="s">
        <v>2036</v>
      </c>
      <c r="B1156" t="s">
        <v>2024</v>
      </c>
      <c r="C1156">
        <v>63</v>
      </c>
      <c r="D1156" t="str" cm="1">
        <f t="array" ref="D1156">_xlfn.IFS(Table1[[#This Row],[age]]&lt;=17,"0-17",C1156&lt;=29,"18-29",C1156&lt;=44,"30-44",C1156&lt;=59,"45-59",C1156&lt;=74,"60-74",TRUE,"75+")</f>
        <v>60-74</v>
      </c>
      <c r="E1156" t="s">
        <v>29</v>
      </c>
      <c r="F1156">
        <v>7</v>
      </c>
      <c r="G1156" t="str" cm="1">
        <f t="array" ref="G1156">_xlfn.IFS(_xlfn.SINGLE(Table1[imd_decile])&lt;=3,"Most Deprived",F1156&lt;=7,"Moderately Deprived",F1156&lt;=10,"Least Deprived")</f>
        <v>Moderately Deprived</v>
      </c>
      <c r="H1156">
        <v>9.3000000000000007</v>
      </c>
      <c r="I1156" t="s">
        <v>91</v>
      </c>
      <c r="J1156" t="s">
        <v>19</v>
      </c>
      <c r="K1156" s="1">
        <v>45806</v>
      </c>
      <c r="L1156" s="1">
        <v>45836</v>
      </c>
      <c r="M1156" s="1" t="str">
        <f>TEXT(Table1[[#This Row],[appointment_date]],"MM/YYYY")</f>
        <v>06/2025</v>
      </c>
      <c r="N1156">
        <v>30</v>
      </c>
      <c r="O1156" t="str" cm="1">
        <f t="array" ref="O1156">_xlfn.IFS(Table1[[#This Row],[lead_time_days]]&lt;=7,"0-7 days",N1156&lt;=14,"8-14 days",N1156&lt;=30,"15-30 days",N1156&lt;=60,"31-60 days",TRUE,"61+ days")</f>
        <v>15-30 days</v>
      </c>
      <c r="P1156" t="s">
        <v>55</v>
      </c>
      <c r="Q1156" t="s">
        <v>32</v>
      </c>
      <c r="R1156">
        <v>0</v>
      </c>
      <c r="S1156" t="str">
        <f>IF(Table1[prior_dna_count]&gt;=1,"Has prior DNA history","No prior DNA history")</f>
        <v>No prior DNA history</v>
      </c>
      <c r="T1156" t="s">
        <v>22</v>
      </c>
      <c r="U1156" t="str">
        <f t="shared" si="18"/>
        <v>1</v>
      </c>
      <c r="V1156" t="str">
        <f>IF(Table1[appointment_status]="Attended","1","0")</f>
        <v>1</v>
      </c>
      <c r="W1156" t="str">
        <f>IF(Table1[appointment_status]="Cancelled","1","0")</f>
        <v>0</v>
      </c>
    </row>
    <row r="1157" spans="1:23">
      <c r="A1157" t="s">
        <v>2037</v>
      </c>
      <c r="B1157" t="s">
        <v>2038</v>
      </c>
      <c r="C1157">
        <v>56</v>
      </c>
      <c r="D1157" t="str" cm="1">
        <f t="array" ref="D1157">_xlfn.IFS(Table1[[#This Row],[age]]&lt;=17,"0-17",C1157&lt;=29,"18-29",C1157&lt;=44,"30-44",C1157&lt;=59,"45-59",C1157&lt;=74,"60-74",TRUE,"75+")</f>
        <v>45-59</v>
      </c>
      <c r="E1157" t="s">
        <v>17</v>
      </c>
      <c r="F1157">
        <v>9</v>
      </c>
      <c r="G1157" t="str" cm="1">
        <f t="array" ref="G1157">_xlfn.IFS(_xlfn.SINGLE(Table1[imd_decile])&lt;=3,"Most Deprived",F1157&lt;=7,"Moderately Deprived",F1157&lt;=10,"Least Deprived")</f>
        <v>Least Deprived</v>
      </c>
      <c r="H1157">
        <v>29.8</v>
      </c>
      <c r="I1157" t="s">
        <v>45</v>
      </c>
      <c r="J1157" t="s">
        <v>19</v>
      </c>
      <c r="K1157" s="1">
        <v>45804</v>
      </c>
      <c r="L1157" s="1">
        <v>45836</v>
      </c>
      <c r="M1157" s="1" t="str">
        <f>TEXT(Table1[[#This Row],[appointment_date]],"MM/YYYY")</f>
        <v>06/2025</v>
      </c>
      <c r="N1157">
        <v>32</v>
      </c>
      <c r="O1157" t="str" cm="1">
        <f t="array" ref="O1157">_xlfn.IFS(Table1[[#This Row],[lead_time_days]]&lt;=7,"0-7 days",N1157&lt;=14,"8-14 days",N1157&lt;=30,"15-30 days",N1157&lt;=60,"31-60 days",TRUE,"61+ days")</f>
        <v>31-60 days</v>
      </c>
      <c r="P1157" t="s">
        <v>55</v>
      </c>
      <c r="Q1157" t="s">
        <v>32</v>
      </c>
      <c r="R1157">
        <v>0</v>
      </c>
      <c r="S1157" t="str">
        <f>IF(Table1[prior_dna_count]&gt;=1,"Has prior DNA history","No prior DNA history")</f>
        <v>No prior DNA history</v>
      </c>
      <c r="T1157" t="s">
        <v>39</v>
      </c>
      <c r="U1157" t="str">
        <f t="shared" si="18"/>
        <v>1</v>
      </c>
      <c r="V1157" t="str">
        <f>IF(Table1[appointment_status]="Attended","1","0")</f>
        <v>0</v>
      </c>
      <c r="W1157" t="str">
        <f>IF(Table1[appointment_status]="Cancelled","1","0")</f>
        <v>0</v>
      </c>
    </row>
    <row r="1158" spans="1:23">
      <c r="A1158" t="s">
        <v>2039</v>
      </c>
      <c r="B1158" t="s">
        <v>605</v>
      </c>
      <c r="C1158">
        <v>51</v>
      </c>
      <c r="D1158" t="str" cm="1">
        <f t="array" ref="D1158">_xlfn.IFS(Table1[[#This Row],[age]]&lt;=17,"0-17",C1158&lt;=29,"18-29",C1158&lt;=44,"30-44",C1158&lt;=59,"45-59",C1158&lt;=74,"60-74",TRUE,"75+")</f>
        <v>45-59</v>
      </c>
      <c r="E1158" t="s">
        <v>29</v>
      </c>
      <c r="F1158">
        <v>10</v>
      </c>
      <c r="G1158" t="str" cm="1">
        <f t="array" ref="G1158">_xlfn.IFS(_xlfn.SINGLE(Table1[imd_decile])&lt;=3,"Most Deprived",F1158&lt;=7,"Moderately Deprived",F1158&lt;=10,"Least Deprived")</f>
        <v>Least Deprived</v>
      </c>
      <c r="H1158">
        <v>7.2</v>
      </c>
      <c r="I1158" t="s">
        <v>45</v>
      </c>
      <c r="J1158" t="s">
        <v>26</v>
      </c>
      <c r="K1158" s="1">
        <v>45824</v>
      </c>
      <c r="L1158" s="1">
        <v>45836</v>
      </c>
      <c r="M1158" s="1" t="str">
        <f>TEXT(Table1[[#This Row],[appointment_date]],"MM/YYYY")</f>
        <v>06/2025</v>
      </c>
      <c r="N1158">
        <v>12</v>
      </c>
      <c r="O1158" t="str" cm="1">
        <f t="array" ref="O1158">_xlfn.IFS(Table1[[#This Row],[lead_time_days]]&lt;=7,"0-7 days",N1158&lt;=14,"8-14 days",N1158&lt;=30,"15-30 days",N1158&lt;=60,"31-60 days",TRUE,"61+ days")</f>
        <v>8-14 days</v>
      </c>
      <c r="P1158" t="s">
        <v>55</v>
      </c>
      <c r="Q1158" t="s">
        <v>32</v>
      </c>
      <c r="R1158">
        <v>0</v>
      </c>
      <c r="S1158" t="str">
        <f>IF(Table1[prior_dna_count]&gt;=1,"Has prior DNA history","No prior DNA history")</f>
        <v>No prior DNA history</v>
      </c>
      <c r="T1158" t="s">
        <v>22</v>
      </c>
      <c r="U1158" t="str">
        <f t="shared" si="18"/>
        <v>0</v>
      </c>
      <c r="V1158" t="str">
        <f>IF(Table1[appointment_status]="Attended","1","0")</f>
        <v>1</v>
      </c>
      <c r="W1158" t="str">
        <f>IF(Table1[appointment_status]="Cancelled","1","0")</f>
        <v>0</v>
      </c>
    </row>
    <row r="1159" spans="1:23">
      <c r="A1159" t="s">
        <v>2040</v>
      </c>
      <c r="B1159" t="s">
        <v>333</v>
      </c>
      <c r="C1159">
        <v>41</v>
      </c>
      <c r="D1159" t="str" cm="1">
        <f t="array" ref="D1159">_xlfn.IFS(Table1[[#This Row],[age]]&lt;=17,"0-17",C1159&lt;=29,"18-29",C1159&lt;=44,"30-44",C1159&lt;=59,"45-59",C1159&lt;=74,"60-74",TRUE,"75+")</f>
        <v>30-44</v>
      </c>
      <c r="E1159" t="s">
        <v>29</v>
      </c>
      <c r="F1159">
        <v>2</v>
      </c>
      <c r="G1159" t="str" cm="1">
        <f t="array" ref="G1159">_xlfn.IFS(_xlfn.SINGLE(Table1[imd_decile])&lt;=3,"Most Deprived",F1159&lt;=7,"Moderately Deprived",F1159&lt;=10,"Least Deprived")</f>
        <v>Most Deprived</v>
      </c>
      <c r="H1159">
        <v>8.9</v>
      </c>
      <c r="I1159" t="s">
        <v>91</v>
      </c>
      <c r="J1159" t="s">
        <v>19</v>
      </c>
      <c r="K1159" s="1">
        <v>45789</v>
      </c>
      <c r="L1159" s="1">
        <v>45836</v>
      </c>
      <c r="M1159" s="1" t="str">
        <f>TEXT(Table1[[#This Row],[appointment_date]],"MM/YYYY")</f>
        <v>06/2025</v>
      </c>
      <c r="N1159">
        <v>47</v>
      </c>
      <c r="O1159" t="str" cm="1">
        <f t="array" ref="O1159">_xlfn.IFS(Table1[[#This Row],[lead_time_days]]&lt;=7,"0-7 days",N1159&lt;=14,"8-14 days",N1159&lt;=30,"15-30 days",N1159&lt;=60,"31-60 days",TRUE,"61+ days")</f>
        <v>31-60 days</v>
      </c>
      <c r="P1159" t="s">
        <v>55</v>
      </c>
      <c r="Q1159" t="s">
        <v>32</v>
      </c>
      <c r="R1159">
        <v>0</v>
      </c>
      <c r="S1159" t="str">
        <f>IF(Table1[prior_dna_count]&gt;=1,"Has prior DNA history","No prior DNA history")</f>
        <v>No prior DNA history</v>
      </c>
      <c r="T1159" t="s">
        <v>39</v>
      </c>
      <c r="U1159" t="str">
        <f t="shared" si="18"/>
        <v>1</v>
      </c>
      <c r="V1159" t="str">
        <f>IF(Table1[appointment_status]="Attended","1","0")</f>
        <v>0</v>
      </c>
      <c r="W1159" t="str">
        <f>IF(Table1[appointment_status]="Cancelled","1","0")</f>
        <v>0</v>
      </c>
    </row>
    <row r="1160" spans="1:23">
      <c r="A1160" t="s">
        <v>2041</v>
      </c>
      <c r="B1160" t="s">
        <v>991</v>
      </c>
      <c r="C1160">
        <v>47</v>
      </c>
      <c r="D1160" t="str" cm="1">
        <f t="array" ref="D1160">_xlfn.IFS(Table1[[#This Row],[age]]&lt;=17,"0-17",C1160&lt;=29,"18-29",C1160&lt;=44,"30-44",C1160&lt;=59,"45-59",C1160&lt;=74,"60-74",TRUE,"75+")</f>
        <v>45-59</v>
      </c>
      <c r="E1160" t="s">
        <v>17</v>
      </c>
      <c r="F1160">
        <v>7</v>
      </c>
      <c r="G1160" t="str" cm="1">
        <f t="array" ref="G1160">_xlfn.IFS(_xlfn.SINGLE(Table1[imd_decile])&lt;=3,"Most Deprived",F1160&lt;=7,"Moderately Deprived",F1160&lt;=10,"Least Deprived")</f>
        <v>Moderately Deprived</v>
      </c>
      <c r="H1160">
        <v>5.0999999999999996</v>
      </c>
      <c r="I1160" t="s">
        <v>25</v>
      </c>
      <c r="J1160" t="s">
        <v>19</v>
      </c>
      <c r="K1160" s="1">
        <v>45789</v>
      </c>
      <c r="L1160" s="1">
        <v>45836</v>
      </c>
      <c r="M1160" s="1" t="str">
        <f>TEXT(Table1[[#This Row],[appointment_date]],"MM/YYYY")</f>
        <v>06/2025</v>
      </c>
      <c r="N1160">
        <v>47</v>
      </c>
      <c r="O1160" t="str" cm="1">
        <f t="array" ref="O1160">_xlfn.IFS(Table1[[#This Row],[lead_time_days]]&lt;=7,"0-7 days",N1160&lt;=14,"8-14 days",N1160&lt;=30,"15-30 days",N1160&lt;=60,"31-60 days",TRUE,"61+ days")</f>
        <v>31-60 days</v>
      </c>
      <c r="P1160" t="s">
        <v>55</v>
      </c>
      <c r="Q1160" t="s">
        <v>21</v>
      </c>
      <c r="R1160">
        <v>0</v>
      </c>
      <c r="S1160" t="str">
        <f>IF(Table1[prior_dna_count]&gt;=1,"Has prior DNA history","No prior DNA history")</f>
        <v>No prior DNA history</v>
      </c>
      <c r="T1160" t="s">
        <v>22</v>
      </c>
      <c r="U1160" t="str">
        <f t="shared" si="18"/>
        <v>0</v>
      </c>
      <c r="V1160" t="str">
        <f>IF(Table1[appointment_status]="Attended","1","0")</f>
        <v>1</v>
      </c>
      <c r="W1160" t="str">
        <f>IF(Table1[appointment_status]="Cancelled","1","0")</f>
        <v>0</v>
      </c>
    </row>
    <row r="1161" spans="1:23">
      <c r="A1161" t="s">
        <v>2042</v>
      </c>
      <c r="B1161" t="s">
        <v>2043</v>
      </c>
      <c r="C1161">
        <v>55</v>
      </c>
      <c r="D1161" t="str" cm="1">
        <f t="array" ref="D1161">_xlfn.IFS(Table1[[#This Row],[age]]&lt;=17,"0-17",C1161&lt;=29,"18-29",C1161&lt;=44,"30-44",C1161&lt;=59,"45-59",C1161&lt;=74,"60-74",TRUE,"75+")</f>
        <v>45-59</v>
      </c>
      <c r="E1161" t="s">
        <v>17</v>
      </c>
      <c r="F1161">
        <v>8</v>
      </c>
      <c r="G1161" t="str" cm="1">
        <f t="array" ref="G1161">_xlfn.IFS(_xlfn.SINGLE(Table1[imd_decile])&lt;=3,"Most Deprived",F1161&lt;=7,"Moderately Deprived",F1161&lt;=10,"Least Deprived")</f>
        <v>Least Deprived</v>
      </c>
      <c r="H1161">
        <v>1.9</v>
      </c>
      <c r="I1161" t="s">
        <v>25</v>
      </c>
      <c r="J1161" t="s">
        <v>19</v>
      </c>
      <c r="K1161" s="1">
        <v>45819</v>
      </c>
      <c r="L1161" s="1">
        <v>45836</v>
      </c>
      <c r="M1161" s="1" t="str">
        <f>TEXT(Table1[[#This Row],[appointment_date]],"MM/YYYY")</f>
        <v>06/2025</v>
      </c>
      <c r="N1161">
        <v>17</v>
      </c>
      <c r="O1161" t="str" cm="1">
        <f t="array" ref="O1161">_xlfn.IFS(Table1[[#This Row],[lead_time_days]]&lt;=7,"0-7 days",N1161&lt;=14,"8-14 days",N1161&lt;=30,"15-30 days",N1161&lt;=60,"31-60 days",TRUE,"61+ days")</f>
        <v>15-30 days</v>
      </c>
      <c r="P1161" t="s">
        <v>55</v>
      </c>
      <c r="Q1161" t="s">
        <v>21</v>
      </c>
      <c r="R1161">
        <v>0</v>
      </c>
      <c r="S1161" t="str">
        <f>IF(Table1[prior_dna_count]&gt;=1,"Has prior DNA history","No prior DNA history")</f>
        <v>No prior DNA history</v>
      </c>
      <c r="T1161" t="s">
        <v>22</v>
      </c>
      <c r="U1161" t="str">
        <f t="shared" si="18"/>
        <v>1</v>
      </c>
      <c r="V1161" t="str">
        <f>IF(Table1[appointment_status]="Attended","1","0")</f>
        <v>1</v>
      </c>
      <c r="W1161" t="str">
        <f>IF(Table1[appointment_status]="Cancelled","1","0")</f>
        <v>0</v>
      </c>
    </row>
    <row r="1162" spans="1:23">
      <c r="A1162" t="s">
        <v>2044</v>
      </c>
      <c r="B1162" t="s">
        <v>1447</v>
      </c>
      <c r="C1162">
        <v>66</v>
      </c>
      <c r="D1162" t="str" cm="1">
        <f t="array" ref="D1162">_xlfn.IFS(Table1[[#This Row],[age]]&lt;=17,"0-17",C1162&lt;=29,"18-29",C1162&lt;=44,"30-44",C1162&lt;=59,"45-59",C1162&lt;=74,"60-74",TRUE,"75+")</f>
        <v>60-74</v>
      </c>
      <c r="E1162" t="s">
        <v>29</v>
      </c>
      <c r="F1162">
        <v>8</v>
      </c>
      <c r="G1162" t="str" cm="1">
        <f t="array" ref="G1162">_xlfn.IFS(_xlfn.SINGLE(Table1[imd_decile])&lt;=3,"Most Deprived",F1162&lt;=7,"Moderately Deprived",F1162&lt;=10,"Least Deprived")</f>
        <v>Least Deprived</v>
      </c>
      <c r="H1162">
        <v>8.8000000000000007</v>
      </c>
      <c r="I1162" t="s">
        <v>42</v>
      </c>
      <c r="J1162" t="s">
        <v>19</v>
      </c>
      <c r="K1162" s="1">
        <v>45783</v>
      </c>
      <c r="L1162" s="1">
        <v>45836</v>
      </c>
      <c r="M1162" s="1" t="str">
        <f>TEXT(Table1[[#This Row],[appointment_date]],"MM/YYYY")</f>
        <v>06/2025</v>
      </c>
      <c r="N1162">
        <v>53</v>
      </c>
      <c r="O1162" t="str" cm="1">
        <f t="array" ref="O1162">_xlfn.IFS(Table1[[#This Row],[lead_time_days]]&lt;=7,"0-7 days",N1162&lt;=14,"8-14 days",N1162&lt;=30,"15-30 days",N1162&lt;=60,"31-60 days",TRUE,"61+ days")</f>
        <v>31-60 days</v>
      </c>
      <c r="P1162" t="s">
        <v>55</v>
      </c>
      <c r="Q1162" t="s">
        <v>21</v>
      </c>
      <c r="R1162">
        <v>1</v>
      </c>
      <c r="S1162" t="str">
        <f>IF(Table1[prior_dna_count]&gt;=1,"Has prior DNA history","No prior DNA history")</f>
        <v>Has prior DNA history</v>
      </c>
      <c r="T1162" t="s">
        <v>46</v>
      </c>
      <c r="U1162" t="str">
        <f t="shared" si="18"/>
        <v>1</v>
      </c>
      <c r="V1162" t="str">
        <f>IF(Table1[appointment_status]="Attended","1","0")</f>
        <v>0</v>
      </c>
      <c r="W1162" t="str">
        <f>IF(Table1[appointment_status]="Cancelled","1","0")</f>
        <v>1</v>
      </c>
    </row>
    <row r="1163" spans="1:23">
      <c r="A1163" t="s">
        <v>2045</v>
      </c>
      <c r="B1163" t="s">
        <v>173</v>
      </c>
      <c r="C1163">
        <v>40</v>
      </c>
      <c r="D1163" t="str" cm="1">
        <f t="array" ref="D1163">_xlfn.IFS(Table1[[#This Row],[age]]&lt;=17,"0-17",C1163&lt;=29,"18-29",C1163&lt;=44,"30-44",C1163&lt;=59,"45-59",C1163&lt;=74,"60-74",TRUE,"75+")</f>
        <v>30-44</v>
      </c>
      <c r="E1163" t="s">
        <v>29</v>
      </c>
      <c r="F1163">
        <v>6</v>
      </c>
      <c r="G1163" t="str" cm="1">
        <f t="array" ref="G1163">_xlfn.IFS(_xlfn.SINGLE(Table1[imd_decile])&lt;=3,"Most Deprived",F1163&lt;=7,"Moderately Deprived",F1163&lt;=10,"Least Deprived")</f>
        <v>Moderately Deprived</v>
      </c>
      <c r="H1163">
        <v>13.9</v>
      </c>
      <c r="I1163" t="s">
        <v>38</v>
      </c>
      <c r="J1163" t="s">
        <v>19</v>
      </c>
      <c r="K1163" s="1">
        <v>45761</v>
      </c>
      <c r="L1163" s="1">
        <v>45837</v>
      </c>
      <c r="M1163" s="1" t="str">
        <f>TEXT(Table1[[#This Row],[appointment_date]],"MM/YYYY")</f>
        <v>06/2025</v>
      </c>
      <c r="N1163">
        <v>76</v>
      </c>
      <c r="O1163" t="str" cm="1">
        <f t="array" ref="O1163">_xlfn.IFS(Table1[[#This Row],[lead_time_days]]&lt;=7,"0-7 days",N1163&lt;=14,"8-14 days",N1163&lt;=30,"15-30 days",N1163&lt;=60,"31-60 days",TRUE,"61+ days")</f>
        <v>61+ days</v>
      </c>
      <c r="P1163" t="s">
        <v>31</v>
      </c>
      <c r="Q1163" t="s">
        <v>32</v>
      </c>
      <c r="R1163">
        <v>0</v>
      </c>
      <c r="S1163" t="str">
        <f>IF(Table1[prior_dna_count]&gt;=1,"Has prior DNA history","No prior DNA history")</f>
        <v>No prior DNA history</v>
      </c>
      <c r="T1163" t="s">
        <v>22</v>
      </c>
      <c r="U1163" t="str">
        <f t="shared" si="18"/>
        <v>0</v>
      </c>
      <c r="V1163" t="str">
        <f>IF(Table1[appointment_status]="Attended","1","0")</f>
        <v>1</v>
      </c>
      <c r="W1163" t="str">
        <f>IF(Table1[appointment_status]="Cancelled","1","0")</f>
        <v>0</v>
      </c>
    </row>
    <row r="1164" spans="1:23">
      <c r="A1164" t="s">
        <v>2046</v>
      </c>
      <c r="B1164" t="s">
        <v>2047</v>
      </c>
      <c r="C1164">
        <v>7</v>
      </c>
      <c r="D1164" t="str" cm="1">
        <f t="array" ref="D1164">_xlfn.IFS(Table1[[#This Row],[age]]&lt;=17,"0-17",C1164&lt;=29,"18-29",C1164&lt;=44,"30-44",C1164&lt;=59,"45-59",C1164&lt;=74,"60-74",TRUE,"75+")</f>
        <v>0-17</v>
      </c>
      <c r="E1164" t="s">
        <v>17</v>
      </c>
      <c r="F1164">
        <v>6</v>
      </c>
      <c r="G1164" t="str" cm="1">
        <f t="array" ref="G1164">_xlfn.IFS(_xlfn.SINGLE(Table1[imd_decile])&lt;=3,"Most Deprived",F1164&lt;=7,"Moderately Deprived",F1164&lt;=10,"Least Deprived")</f>
        <v>Moderately Deprived</v>
      </c>
      <c r="H1164">
        <v>5.9</v>
      </c>
      <c r="I1164" t="s">
        <v>42</v>
      </c>
      <c r="J1164" t="s">
        <v>19</v>
      </c>
      <c r="K1164" s="1">
        <v>45791</v>
      </c>
      <c r="L1164" s="1">
        <v>45837</v>
      </c>
      <c r="M1164" s="1" t="str">
        <f>TEXT(Table1[[#This Row],[appointment_date]],"MM/YYYY")</f>
        <v>06/2025</v>
      </c>
      <c r="N1164">
        <v>46</v>
      </c>
      <c r="O1164" t="str" cm="1">
        <f t="array" ref="O1164">_xlfn.IFS(Table1[[#This Row],[lead_time_days]]&lt;=7,"0-7 days",N1164&lt;=14,"8-14 days",N1164&lt;=30,"15-30 days",N1164&lt;=60,"31-60 days",TRUE,"61+ days")</f>
        <v>31-60 days</v>
      </c>
      <c r="P1164" t="s">
        <v>31</v>
      </c>
      <c r="Q1164" t="s">
        <v>32</v>
      </c>
      <c r="R1164">
        <v>0</v>
      </c>
      <c r="S1164" t="str">
        <f>IF(Table1[prior_dna_count]&gt;=1,"Has prior DNA history","No prior DNA history")</f>
        <v>No prior DNA history</v>
      </c>
      <c r="T1164" t="s">
        <v>39</v>
      </c>
      <c r="U1164" t="str">
        <f t="shared" si="18"/>
        <v>1</v>
      </c>
      <c r="V1164" t="str">
        <f>IF(Table1[appointment_status]="Attended","1","0")</f>
        <v>0</v>
      </c>
      <c r="W1164" t="str">
        <f>IF(Table1[appointment_status]="Cancelled","1","0")</f>
        <v>0</v>
      </c>
    </row>
    <row r="1165" spans="1:23">
      <c r="A1165" t="s">
        <v>2048</v>
      </c>
      <c r="B1165" t="s">
        <v>1573</v>
      </c>
      <c r="C1165">
        <v>56</v>
      </c>
      <c r="D1165" t="str" cm="1">
        <f t="array" ref="D1165">_xlfn.IFS(Table1[[#This Row],[age]]&lt;=17,"0-17",C1165&lt;=29,"18-29",C1165&lt;=44,"30-44",C1165&lt;=59,"45-59",C1165&lt;=74,"60-74",TRUE,"75+")</f>
        <v>45-59</v>
      </c>
      <c r="E1165" t="s">
        <v>17</v>
      </c>
      <c r="F1165">
        <v>4</v>
      </c>
      <c r="G1165" t="str" cm="1">
        <f t="array" ref="G1165">_xlfn.IFS(_xlfn.SINGLE(Table1[imd_decile])&lt;=3,"Most Deprived",F1165&lt;=7,"Moderately Deprived",F1165&lt;=10,"Least Deprived")</f>
        <v>Moderately Deprived</v>
      </c>
      <c r="H1165">
        <v>21.3</v>
      </c>
      <c r="I1165" t="s">
        <v>45</v>
      </c>
      <c r="J1165" t="s">
        <v>26</v>
      </c>
      <c r="K1165" s="1">
        <v>45832</v>
      </c>
      <c r="L1165" s="1">
        <v>45837</v>
      </c>
      <c r="M1165" s="1" t="str">
        <f>TEXT(Table1[[#This Row],[appointment_date]],"MM/YYYY")</f>
        <v>06/2025</v>
      </c>
      <c r="N1165">
        <v>5</v>
      </c>
      <c r="O1165" t="str" cm="1">
        <f t="array" ref="O1165">_xlfn.IFS(Table1[[#This Row],[lead_time_days]]&lt;=7,"0-7 days",N1165&lt;=14,"8-14 days",N1165&lt;=30,"15-30 days",N1165&lt;=60,"31-60 days",TRUE,"61+ days")</f>
        <v>0-7 days</v>
      </c>
      <c r="P1165" t="s">
        <v>31</v>
      </c>
      <c r="Q1165" t="s">
        <v>21</v>
      </c>
      <c r="R1165">
        <v>1</v>
      </c>
      <c r="S1165" t="str">
        <f>IF(Table1[prior_dna_count]&gt;=1,"Has prior DNA history","No prior DNA history")</f>
        <v>Has prior DNA history</v>
      </c>
      <c r="T1165" t="s">
        <v>46</v>
      </c>
      <c r="U1165" t="str">
        <f t="shared" si="18"/>
        <v>0</v>
      </c>
      <c r="V1165" t="str">
        <f>IF(Table1[appointment_status]="Attended","1","0")</f>
        <v>0</v>
      </c>
      <c r="W1165" t="str">
        <f>IF(Table1[appointment_status]="Cancelled","1","0")</f>
        <v>1</v>
      </c>
    </row>
    <row r="1166" spans="1:23">
      <c r="A1166" t="s">
        <v>2049</v>
      </c>
      <c r="B1166" t="s">
        <v>2050</v>
      </c>
      <c r="C1166">
        <v>27</v>
      </c>
      <c r="D1166" t="str" cm="1">
        <f t="array" ref="D1166">_xlfn.IFS(Table1[[#This Row],[age]]&lt;=17,"0-17",C1166&lt;=29,"18-29",C1166&lt;=44,"30-44",C1166&lt;=59,"45-59",C1166&lt;=74,"60-74",TRUE,"75+")</f>
        <v>18-29</v>
      </c>
      <c r="E1166" t="s">
        <v>17</v>
      </c>
      <c r="F1166">
        <v>1</v>
      </c>
      <c r="G1166" t="str" cm="1">
        <f t="array" ref="G1166">_xlfn.IFS(_xlfn.SINGLE(Table1[imd_decile])&lt;=3,"Most Deprived",F1166&lt;=7,"Moderately Deprived",F1166&lt;=10,"Least Deprived")</f>
        <v>Most Deprived</v>
      </c>
      <c r="H1166">
        <v>23</v>
      </c>
      <c r="I1166" t="s">
        <v>25</v>
      </c>
      <c r="J1166" t="s">
        <v>19</v>
      </c>
      <c r="K1166" s="1">
        <v>45818</v>
      </c>
      <c r="L1166" s="1">
        <v>45837</v>
      </c>
      <c r="M1166" s="1" t="str">
        <f>TEXT(Table1[[#This Row],[appointment_date]],"MM/YYYY")</f>
        <v>06/2025</v>
      </c>
      <c r="N1166">
        <v>19</v>
      </c>
      <c r="O1166" t="str" cm="1">
        <f t="array" ref="O1166">_xlfn.IFS(Table1[[#This Row],[lead_time_days]]&lt;=7,"0-7 days",N1166&lt;=14,"8-14 days",N1166&lt;=30,"15-30 days",N1166&lt;=60,"31-60 days",TRUE,"61+ days")</f>
        <v>15-30 days</v>
      </c>
      <c r="P1166" t="s">
        <v>31</v>
      </c>
      <c r="Q1166" t="s">
        <v>21</v>
      </c>
      <c r="R1166">
        <v>0</v>
      </c>
      <c r="S1166" t="str">
        <f>IF(Table1[prior_dna_count]&gt;=1,"Has prior DNA history","No prior DNA history")</f>
        <v>No prior DNA history</v>
      </c>
      <c r="T1166" t="s">
        <v>22</v>
      </c>
      <c r="U1166" t="str">
        <f t="shared" si="18"/>
        <v>0</v>
      </c>
      <c r="V1166" t="str">
        <f>IF(Table1[appointment_status]="Attended","1","0")</f>
        <v>1</v>
      </c>
      <c r="W1166" t="str">
        <f>IF(Table1[appointment_status]="Cancelled","1","0")</f>
        <v>0</v>
      </c>
    </row>
    <row r="1167" spans="1:23">
      <c r="A1167" t="s">
        <v>2051</v>
      </c>
      <c r="B1167" t="s">
        <v>1786</v>
      </c>
      <c r="C1167">
        <v>65</v>
      </c>
      <c r="D1167" t="str" cm="1">
        <f t="array" ref="D1167">_xlfn.IFS(Table1[[#This Row],[age]]&lt;=17,"0-17",C1167&lt;=29,"18-29",C1167&lt;=44,"30-44",C1167&lt;=59,"45-59",C1167&lt;=74,"60-74",TRUE,"75+")</f>
        <v>60-74</v>
      </c>
      <c r="E1167" t="s">
        <v>17</v>
      </c>
      <c r="F1167">
        <v>7</v>
      </c>
      <c r="G1167" t="str" cm="1">
        <f t="array" ref="G1167">_xlfn.IFS(_xlfn.SINGLE(Table1[imd_decile])&lt;=3,"Most Deprived",F1167&lt;=7,"Moderately Deprived",F1167&lt;=10,"Least Deprived")</f>
        <v>Moderately Deprived</v>
      </c>
      <c r="H1167">
        <v>17.3</v>
      </c>
      <c r="I1167" t="s">
        <v>30</v>
      </c>
      <c r="J1167" t="s">
        <v>26</v>
      </c>
      <c r="K1167" s="1">
        <v>45810</v>
      </c>
      <c r="L1167" s="1">
        <v>45837</v>
      </c>
      <c r="M1167" s="1" t="str">
        <f>TEXT(Table1[[#This Row],[appointment_date]],"MM/YYYY")</f>
        <v>06/2025</v>
      </c>
      <c r="N1167">
        <v>27</v>
      </c>
      <c r="O1167" t="str" cm="1">
        <f t="array" ref="O1167">_xlfn.IFS(Table1[[#This Row],[lead_time_days]]&lt;=7,"0-7 days",N1167&lt;=14,"8-14 days",N1167&lt;=30,"15-30 days",N1167&lt;=60,"31-60 days",TRUE,"61+ days")</f>
        <v>15-30 days</v>
      </c>
      <c r="P1167" t="s">
        <v>31</v>
      </c>
      <c r="Q1167" t="s">
        <v>21</v>
      </c>
      <c r="R1167">
        <v>0</v>
      </c>
      <c r="S1167" t="str">
        <f>IF(Table1[prior_dna_count]&gt;=1,"Has prior DNA history","No prior DNA history")</f>
        <v>No prior DNA history</v>
      </c>
      <c r="T1167" t="s">
        <v>22</v>
      </c>
      <c r="U1167" t="str">
        <f t="shared" si="18"/>
        <v>1</v>
      </c>
      <c r="V1167" t="str">
        <f>IF(Table1[appointment_status]="Attended","1","0")</f>
        <v>1</v>
      </c>
      <c r="W1167" t="str">
        <f>IF(Table1[appointment_status]="Cancelled","1","0")</f>
        <v>0</v>
      </c>
    </row>
    <row r="1168" spans="1:23">
      <c r="A1168" t="s">
        <v>2052</v>
      </c>
      <c r="B1168" t="s">
        <v>48</v>
      </c>
      <c r="C1168">
        <v>52</v>
      </c>
      <c r="D1168" t="str" cm="1">
        <f t="array" ref="D1168">_xlfn.IFS(Table1[[#This Row],[age]]&lt;=17,"0-17",C1168&lt;=29,"18-29",C1168&lt;=44,"30-44",C1168&lt;=59,"45-59",C1168&lt;=74,"60-74",TRUE,"75+")</f>
        <v>45-59</v>
      </c>
      <c r="E1168" t="s">
        <v>17</v>
      </c>
      <c r="F1168">
        <v>4</v>
      </c>
      <c r="G1168" t="str" cm="1">
        <f t="array" ref="G1168">_xlfn.IFS(_xlfn.SINGLE(Table1[imd_decile])&lt;=3,"Most Deprived",F1168&lt;=7,"Moderately Deprived",F1168&lt;=10,"Least Deprived")</f>
        <v>Moderately Deprived</v>
      </c>
      <c r="H1168">
        <v>6.3</v>
      </c>
      <c r="I1168" t="s">
        <v>18</v>
      </c>
      <c r="J1168" t="s">
        <v>26</v>
      </c>
      <c r="K1168" s="1">
        <v>45828</v>
      </c>
      <c r="L1168" s="1">
        <v>45837</v>
      </c>
      <c r="M1168" s="1" t="str">
        <f>TEXT(Table1[[#This Row],[appointment_date]],"MM/YYYY")</f>
        <v>06/2025</v>
      </c>
      <c r="N1168">
        <v>9</v>
      </c>
      <c r="O1168" t="str" cm="1">
        <f t="array" ref="O1168">_xlfn.IFS(Table1[[#This Row],[lead_time_days]]&lt;=7,"0-7 days",N1168&lt;=14,"8-14 days",N1168&lt;=30,"15-30 days",N1168&lt;=60,"31-60 days",TRUE,"61+ days")</f>
        <v>8-14 days</v>
      </c>
      <c r="P1168" t="s">
        <v>31</v>
      </c>
      <c r="Q1168" t="s">
        <v>21</v>
      </c>
      <c r="R1168">
        <v>0</v>
      </c>
      <c r="S1168" t="str">
        <f>IF(Table1[prior_dna_count]&gt;=1,"Has prior DNA history","No prior DNA history")</f>
        <v>No prior DNA history</v>
      </c>
      <c r="T1168" t="s">
        <v>46</v>
      </c>
      <c r="U1168" t="str">
        <f t="shared" si="18"/>
        <v>1</v>
      </c>
      <c r="V1168" t="str">
        <f>IF(Table1[appointment_status]="Attended","1","0")</f>
        <v>0</v>
      </c>
      <c r="W1168" t="str">
        <f>IF(Table1[appointment_status]="Cancelled","1","0")</f>
        <v>1</v>
      </c>
    </row>
    <row r="1169" spans="1:23">
      <c r="A1169" t="s">
        <v>2053</v>
      </c>
      <c r="B1169" t="s">
        <v>2054</v>
      </c>
      <c r="C1169">
        <v>56</v>
      </c>
      <c r="D1169" t="str" cm="1">
        <f t="array" ref="D1169">_xlfn.IFS(Table1[[#This Row],[age]]&lt;=17,"0-17",C1169&lt;=29,"18-29",C1169&lt;=44,"30-44",C1169&lt;=59,"45-59",C1169&lt;=74,"60-74",TRUE,"75+")</f>
        <v>45-59</v>
      </c>
      <c r="E1169" t="s">
        <v>29</v>
      </c>
      <c r="F1169">
        <v>3</v>
      </c>
      <c r="G1169" t="str" cm="1">
        <f t="array" ref="G1169">_xlfn.IFS(_xlfn.SINGLE(Table1[imd_decile])&lt;=3,"Most Deprived",F1169&lt;=7,"Moderately Deprived",F1169&lt;=10,"Least Deprived")</f>
        <v>Most Deprived</v>
      </c>
      <c r="H1169">
        <v>6.5</v>
      </c>
      <c r="I1169" t="s">
        <v>25</v>
      </c>
      <c r="J1169" t="s">
        <v>26</v>
      </c>
      <c r="K1169" s="1">
        <v>45805</v>
      </c>
      <c r="L1169" s="1">
        <v>45837</v>
      </c>
      <c r="M1169" s="1" t="str">
        <f>TEXT(Table1[[#This Row],[appointment_date]],"MM/YYYY")</f>
        <v>06/2025</v>
      </c>
      <c r="N1169">
        <v>32</v>
      </c>
      <c r="O1169" t="str" cm="1">
        <f t="array" ref="O1169">_xlfn.IFS(Table1[[#This Row],[lead_time_days]]&lt;=7,"0-7 days",N1169&lt;=14,"8-14 days",N1169&lt;=30,"15-30 days",N1169&lt;=60,"31-60 days",TRUE,"61+ days")</f>
        <v>31-60 days</v>
      </c>
      <c r="P1169" t="s">
        <v>31</v>
      </c>
      <c r="Q1169" t="s">
        <v>21</v>
      </c>
      <c r="R1169">
        <v>0</v>
      </c>
      <c r="S1169" t="str">
        <f>IF(Table1[prior_dna_count]&gt;=1,"Has prior DNA history","No prior DNA history")</f>
        <v>No prior DNA history</v>
      </c>
      <c r="T1169" t="s">
        <v>22</v>
      </c>
      <c r="U1169" t="str">
        <f t="shared" si="18"/>
        <v>0</v>
      </c>
      <c r="V1169" t="str">
        <f>IF(Table1[appointment_status]="Attended","1","0")</f>
        <v>1</v>
      </c>
      <c r="W1169" t="str">
        <f>IF(Table1[appointment_status]="Cancelled","1","0")</f>
        <v>0</v>
      </c>
    </row>
    <row r="1170" spans="1:23">
      <c r="A1170" t="s">
        <v>2055</v>
      </c>
      <c r="B1170" t="s">
        <v>2056</v>
      </c>
      <c r="C1170">
        <v>77</v>
      </c>
      <c r="D1170" t="str" cm="1">
        <f t="array" ref="D1170">_xlfn.IFS(Table1[[#This Row],[age]]&lt;=17,"0-17",C1170&lt;=29,"18-29",C1170&lt;=44,"30-44",C1170&lt;=59,"45-59",C1170&lt;=74,"60-74",TRUE,"75+")</f>
        <v>75+</v>
      </c>
      <c r="E1170" t="s">
        <v>29</v>
      </c>
      <c r="F1170">
        <v>1</v>
      </c>
      <c r="G1170" t="str" cm="1">
        <f t="array" ref="G1170">_xlfn.IFS(_xlfn.SINGLE(Table1[imd_decile])&lt;=3,"Most Deprived",F1170&lt;=7,"Moderately Deprived",F1170&lt;=10,"Least Deprived")</f>
        <v>Most Deprived</v>
      </c>
      <c r="H1170">
        <v>12.8</v>
      </c>
      <c r="I1170" t="s">
        <v>30</v>
      </c>
      <c r="J1170" t="s">
        <v>19</v>
      </c>
      <c r="K1170" s="1">
        <v>45786</v>
      </c>
      <c r="L1170" s="1">
        <v>45837</v>
      </c>
      <c r="M1170" s="1" t="str">
        <f>TEXT(Table1[[#This Row],[appointment_date]],"MM/YYYY")</f>
        <v>06/2025</v>
      </c>
      <c r="N1170">
        <v>51</v>
      </c>
      <c r="O1170" t="str" cm="1">
        <f t="array" ref="O1170">_xlfn.IFS(Table1[[#This Row],[lead_time_days]]&lt;=7,"0-7 days",N1170&lt;=14,"8-14 days",N1170&lt;=30,"15-30 days",N1170&lt;=60,"31-60 days",TRUE,"61+ days")</f>
        <v>31-60 days</v>
      </c>
      <c r="P1170" t="s">
        <v>31</v>
      </c>
      <c r="Q1170" t="s">
        <v>21</v>
      </c>
      <c r="R1170">
        <v>0</v>
      </c>
      <c r="S1170" t="str">
        <f>IF(Table1[prior_dna_count]&gt;=1,"Has prior DNA history","No prior DNA history")</f>
        <v>No prior DNA history</v>
      </c>
      <c r="T1170" t="s">
        <v>46</v>
      </c>
      <c r="U1170" t="str">
        <f t="shared" si="18"/>
        <v>1</v>
      </c>
      <c r="V1170" t="str">
        <f>IF(Table1[appointment_status]="Attended","1","0")</f>
        <v>0</v>
      </c>
      <c r="W1170" t="str">
        <f>IF(Table1[appointment_status]="Cancelled","1","0")</f>
        <v>1</v>
      </c>
    </row>
    <row r="1171" spans="1:23">
      <c r="A1171" t="s">
        <v>2057</v>
      </c>
      <c r="B1171" t="s">
        <v>375</v>
      </c>
      <c r="C1171">
        <v>30</v>
      </c>
      <c r="D1171" t="str" cm="1">
        <f t="array" ref="D1171">_xlfn.IFS(Table1[[#This Row],[age]]&lt;=17,"0-17",C1171&lt;=29,"18-29",C1171&lt;=44,"30-44",C1171&lt;=59,"45-59",C1171&lt;=74,"60-74",TRUE,"75+")</f>
        <v>30-44</v>
      </c>
      <c r="E1171" t="s">
        <v>29</v>
      </c>
      <c r="F1171">
        <v>8</v>
      </c>
      <c r="G1171" t="str" cm="1">
        <f t="array" ref="G1171">_xlfn.IFS(_xlfn.SINGLE(Table1[imd_decile])&lt;=3,"Most Deprived",F1171&lt;=7,"Moderately Deprived",F1171&lt;=10,"Least Deprived")</f>
        <v>Least Deprived</v>
      </c>
      <c r="H1171">
        <v>3.2</v>
      </c>
      <c r="I1171" t="s">
        <v>45</v>
      </c>
      <c r="J1171" t="s">
        <v>19</v>
      </c>
      <c r="K1171" s="1">
        <v>45823</v>
      </c>
      <c r="L1171" s="1">
        <v>45838</v>
      </c>
      <c r="M1171" s="1" t="str">
        <f>TEXT(Table1[[#This Row],[appointment_date]],"MM/YYYY")</f>
        <v>06/2025</v>
      </c>
      <c r="N1171">
        <v>15</v>
      </c>
      <c r="O1171" t="str" cm="1">
        <f t="array" ref="O1171">_xlfn.IFS(Table1[[#This Row],[lead_time_days]]&lt;=7,"0-7 days",N1171&lt;=14,"8-14 days",N1171&lt;=30,"15-30 days",N1171&lt;=60,"31-60 days",TRUE,"61+ days")</f>
        <v>15-30 days</v>
      </c>
      <c r="P1171" t="s">
        <v>35</v>
      </c>
      <c r="Q1171" t="s">
        <v>32</v>
      </c>
      <c r="R1171">
        <v>0</v>
      </c>
      <c r="S1171" t="str">
        <f>IF(Table1[prior_dna_count]&gt;=1,"Has prior DNA history","No prior DNA history")</f>
        <v>No prior DNA history</v>
      </c>
      <c r="T1171" t="s">
        <v>22</v>
      </c>
      <c r="U1171" t="str">
        <f t="shared" si="18"/>
        <v>0</v>
      </c>
      <c r="V1171" t="str">
        <f>IF(Table1[appointment_status]="Attended","1","0")</f>
        <v>1</v>
      </c>
      <c r="W1171" t="str">
        <f>IF(Table1[appointment_status]="Cancelled","1","0")</f>
        <v>0</v>
      </c>
    </row>
    <row r="1172" spans="1:23">
      <c r="A1172" t="s">
        <v>2058</v>
      </c>
      <c r="B1172" t="s">
        <v>756</v>
      </c>
      <c r="C1172">
        <v>44</v>
      </c>
      <c r="D1172" t="str" cm="1">
        <f t="array" ref="D1172">_xlfn.IFS(Table1[[#This Row],[age]]&lt;=17,"0-17",C1172&lt;=29,"18-29",C1172&lt;=44,"30-44",C1172&lt;=59,"45-59",C1172&lt;=74,"60-74",TRUE,"75+")</f>
        <v>30-44</v>
      </c>
      <c r="E1172" t="s">
        <v>17</v>
      </c>
      <c r="F1172">
        <v>3</v>
      </c>
      <c r="G1172" t="str" cm="1">
        <f t="array" ref="G1172">_xlfn.IFS(_xlfn.SINGLE(Table1[imd_decile])&lt;=3,"Most Deprived",F1172&lt;=7,"Moderately Deprived",F1172&lt;=10,"Least Deprived")</f>
        <v>Most Deprived</v>
      </c>
      <c r="H1172">
        <v>8.6</v>
      </c>
      <c r="I1172" t="s">
        <v>49</v>
      </c>
      <c r="J1172" t="s">
        <v>26</v>
      </c>
      <c r="K1172" s="1">
        <v>45832</v>
      </c>
      <c r="L1172" s="1">
        <v>45838</v>
      </c>
      <c r="M1172" s="1" t="str">
        <f>TEXT(Table1[[#This Row],[appointment_date]],"MM/YYYY")</f>
        <v>06/2025</v>
      </c>
      <c r="N1172">
        <v>6</v>
      </c>
      <c r="O1172" t="str" cm="1">
        <f t="array" ref="O1172">_xlfn.IFS(Table1[[#This Row],[lead_time_days]]&lt;=7,"0-7 days",N1172&lt;=14,"8-14 days",N1172&lt;=30,"15-30 days",N1172&lt;=60,"31-60 days",TRUE,"61+ days")</f>
        <v>0-7 days</v>
      </c>
      <c r="P1172" t="s">
        <v>35</v>
      </c>
      <c r="Q1172" t="s">
        <v>32</v>
      </c>
      <c r="R1172">
        <v>2</v>
      </c>
      <c r="S1172" t="str">
        <f>IF(Table1[prior_dna_count]&gt;=1,"Has prior DNA history","No prior DNA history")</f>
        <v>Has prior DNA history</v>
      </c>
      <c r="T1172" t="s">
        <v>39</v>
      </c>
      <c r="U1172" t="str">
        <f t="shared" si="18"/>
        <v>1</v>
      </c>
      <c r="V1172" t="str">
        <f>IF(Table1[appointment_status]="Attended","1","0")</f>
        <v>0</v>
      </c>
      <c r="W1172" t="str">
        <f>IF(Table1[appointment_status]="Cancelled","1","0")</f>
        <v>0</v>
      </c>
    </row>
    <row r="1173" spans="1:23">
      <c r="A1173" t="s">
        <v>2059</v>
      </c>
      <c r="B1173" t="s">
        <v>2060</v>
      </c>
      <c r="C1173">
        <v>37</v>
      </c>
      <c r="D1173" t="str" cm="1">
        <f t="array" ref="D1173">_xlfn.IFS(Table1[[#This Row],[age]]&lt;=17,"0-17",C1173&lt;=29,"18-29",C1173&lt;=44,"30-44",C1173&lt;=59,"45-59",C1173&lt;=74,"60-74",TRUE,"75+")</f>
        <v>30-44</v>
      </c>
      <c r="E1173" t="s">
        <v>29</v>
      </c>
      <c r="F1173">
        <v>10</v>
      </c>
      <c r="G1173" t="str" cm="1">
        <f t="array" ref="G1173">_xlfn.IFS(_xlfn.SINGLE(Table1[imd_decile])&lt;=3,"Most Deprived",F1173&lt;=7,"Moderately Deprived",F1173&lt;=10,"Least Deprived")</f>
        <v>Least Deprived</v>
      </c>
      <c r="H1173">
        <v>1.3</v>
      </c>
      <c r="I1173" t="s">
        <v>58</v>
      </c>
      <c r="J1173" t="s">
        <v>19</v>
      </c>
      <c r="K1173" s="1">
        <v>45807</v>
      </c>
      <c r="L1173" s="1">
        <v>45838</v>
      </c>
      <c r="M1173" s="1" t="str">
        <f>TEXT(Table1[[#This Row],[appointment_date]],"MM/YYYY")</f>
        <v>06/2025</v>
      </c>
      <c r="N1173">
        <v>31</v>
      </c>
      <c r="O1173" t="str" cm="1">
        <f t="array" ref="O1173">_xlfn.IFS(Table1[[#This Row],[lead_time_days]]&lt;=7,"0-7 days",N1173&lt;=14,"8-14 days",N1173&lt;=30,"15-30 days",N1173&lt;=60,"31-60 days",TRUE,"61+ days")</f>
        <v>31-60 days</v>
      </c>
      <c r="P1173" t="s">
        <v>35</v>
      </c>
      <c r="Q1173" t="s">
        <v>21</v>
      </c>
      <c r="R1173">
        <v>0</v>
      </c>
      <c r="S1173" t="str">
        <f>IF(Table1[prior_dna_count]&gt;=1,"Has prior DNA history","No prior DNA history")</f>
        <v>No prior DNA history</v>
      </c>
      <c r="T1173" t="s">
        <v>22</v>
      </c>
      <c r="U1173" t="str">
        <f t="shared" si="18"/>
        <v>0</v>
      </c>
      <c r="V1173" t="str">
        <f>IF(Table1[appointment_status]="Attended","1","0")</f>
        <v>1</v>
      </c>
      <c r="W1173" t="str">
        <f>IF(Table1[appointment_status]="Cancelled","1","0")</f>
        <v>0</v>
      </c>
    </row>
    <row r="1174" spans="1:23">
      <c r="A1174" t="s">
        <v>2061</v>
      </c>
      <c r="B1174" t="s">
        <v>1387</v>
      </c>
      <c r="C1174">
        <v>50</v>
      </c>
      <c r="D1174" t="str" cm="1">
        <f t="array" ref="D1174">_xlfn.IFS(Table1[[#This Row],[age]]&lt;=17,"0-17",C1174&lt;=29,"18-29",C1174&lt;=44,"30-44",C1174&lt;=59,"45-59",C1174&lt;=74,"60-74",TRUE,"75+")</f>
        <v>45-59</v>
      </c>
      <c r="E1174" t="s">
        <v>29</v>
      </c>
      <c r="F1174">
        <v>7</v>
      </c>
      <c r="G1174" t="str" cm="1">
        <f t="array" ref="G1174">_xlfn.IFS(_xlfn.SINGLE(Table1[imd_decile])&lt;=3,"Most Deprived",F1174&lt;=7,"Moderately Deprived",F1174&lt;=10,"Least Deprived")</f>
        <v>Moderately Deprived</v>
      </c>
      <c r="H1174">
        <v>10.6</v>
      </c>
      <c r="I1174" t="s">
        <v>42</v>
      </c>
      <c r="J1174" t="s">
        <v>19</v>
      </c>
      <c r="K1174" s="1">
        <v>45819</v>
      </c>
      <c r="L1174" s="1">
        <v>45838</v>
      </c>
      <c r="M1174" s="1" t="str">
        <f>TEXT(Table1[[#This Row],[appointment_date]],"MM/YYYY")</f>
        <v>06/2025</v>
      </c>
      <c r="N1174">
        <v>19</v>
      </c>
      <c r="O1174" t="str" cm="1">
        <f t="array" ref="O1174">_xlfn.IFS(Table1[[#This Row],[lead_time_days]]&lt;=7,"0-7 days",N1174&lt;=14,"8-14 days",N1174&lt;=30,"15-30 days",N1174&lt;=60,"31-60 days",TRUE,"61+ days")</f>
        <v>15-30 days</v>
      </c>
      <c r="P1174" t="s">
        <v>35</v>
      </c>
      <c r="Q1174" t="s">
        <v>32</v>
      </c>
      <c r="R1174">
        <v>0</v>
      </c>
      <c r="S1174" t="str">
        <f>IF(Table1[prior_dna_count]&gt;=1,"Has prior DNA history","No prior DNA history")</f>
        <v>No prior DNA history</v>
      </c>
      <c r="T1174" t="s">
        <v>39</v>
      </c>
      <c r="U1174" t="str">
        <f t="shared" si="18"/>
        <v>1</v>
      </c>
      <c r="V1174" t="str">
        <f>IF(Table1[appointment_status]="Attended","1","0")</f>
        <v>0</v>
      </c>
      <c r="W1174" t="str">
        <f>IF(Table1[appointment_status]="Cancelled","1","0")</f>
        <v>0</v>
      </c>
    </row>
    <row r="1175" spans="1:23">
      <c r="A1175" t="s">
        <v>2062</v>
      </c>
      <c r="B1175" t="s">
        <v>2063</v>
      </c>
      <c r="C1175">
        <v>36</v>
      </c>
      <c r="D1175" t="str" cm="1">
        <f t="array" ref="D1175">_xlfn.IFS(Table1[[#This Row],[age]]&lt;=17,"0-17",C1175&lt;=29,"18-29",C1175&lt;=44,"30-44",C1175&lt;=59,"45-59",C1175&lt;=74,"60-74",TRUE,"75+")</f>
        <v>30-44</v>
      </c>
      <c r="E1175" t="s">
        <v>29</v>
      </c>
      <c r="F1175">
        <v>3</v>
      </c>
      <c r="G1175" t="str" cm="1">
        <f t="array" ref="G1175">_xlfn.IFS(_xlfn.SINGLE(Table1[imd_decile])&lt;=3,"Most Deprived",F1175&lt;=7,"Moderately Deprived",F1175&lt;=10,"Least Deprived")</f>
        <v>Most Deprived</v>
      </c>
      <c r="H1175">
        <v>3.2</v>
      </c>
      <c r="I1175" t="s">
        <v>18</v>
      </c>
      <c r="J1175" t="s">
        <v>19</v>
      </c>
      <c r="K1175" s="1">
        <v>45824</v>
      </c>
      <c r="L1175" s="1">
        <v>45838</v>
      </c>
      <c r="M1175" s="1" t="str">
        <f>TEXT(Table1[[#This Row],[appointment_date]],"MM/YYYY")</f>
        <v>06/2025</v>
      </c>
      <c r="N1175">
        <v>14</v>
      </c>
      <c r="O1175" t="str" cm="1">
        <f t="array" ref="O1175">_xlfn.IFS(Table1[[#This Row],[lead_time_days]]&lt;=7,"0-7 days",N1175&lt;=14,"8-14 days",N1175&lt;=30,"15-30 days",N1175&lt;=60,"31-60 days",TRUE,"61+ days")</f>
        <v>8-14 days</v>
      </c>
      <c r="P1175" t="s">
        <v>35</v>
      </c>
      <c r="Q1175" t="s">
        <v>32</v>
      </c>
      <c r="R1175">
        <v>0</v>
      </c>
      <c r="S1175" t="str">
        <f>IF(Table1[prior_dna_count]&gt;=1,"Has prior DNA history","No prior DNA history")</f>
        <v>No prior DNA history</v>
      </c>
      <c r="T1175" t="s">
        <v>39</v>
      </c>
      <c r="U1175" t="str">
        <f t="shared" si="18"/>
        <v>0</v>
      </c>
      <c r="V1175" t="str">
        <f>IF(Table1[appointment_status]="Attended","1","0")</f>
        <v>0</v>
      </c>
      <c r="W1175" t="str">
        <f>IF(Table1[appointment_status]="Cancelled","1","0")</f>
        <v>0</v>
      </c>
    </row>
    <row r="1176" spans="1:23">
      <c r="A1176" t="s">
        <v>2064</v>
      </c>
      <c r="B1176" t="s">
        <v>306</v>
      </c>
      <c r="C1176">
        <v>73</v>
      </c>
      <c r="D1176" t="str" cm="1">
        <f t="array" ref="D1176">_xlfn.IFS(Table1[[#This Row],[age]]&lt;=17,"0-17",C1176&lt;=29,"18-29",C1176&lt;=44,"30-44",C1176&lt;=59,"45-59",C1176&lt;=74,"60-74",TRUE,"75+")</f>
        <v>60-74</v>
      </c>
      <c r="E1176" t="s">
        <v>29</v>
      </c>
      <c r="F1176">
        <v>9</v>
      </c>
      <c r="G1176" t="str" cm="1">
        <f t="array" ref="G1176">_xlfn.IFS(_xlfn.SINGLE(Table1[imd_decile])&lt;=3,"Most Deprived",F1176&lt;=7,"Moderately Deprived",F1176&lt;=10,"Least Deprived")</f>
        <v>Least Deprived</v>
      </c>
      <c r="H1176">
        <v>11.5</v>
      </c>
      <c r="I1176" t="s">
        <v>42</v>
      </c>
      <c r="J1176" t="s">
        <v>26</v>
      </c>
      <c r="K1176" s="1">
        <v>45793</v>
      </c>
      <c r="L1176" s="1">
        <v>45838</v>
      </c>
      <c r="M1176" s="1" t="str">
        <f>TEXT(Table1[[#This Row],[appointment_date]],"MM/YYYY")</f>
        <v>06/2025</v>
      </c>
      <c r="N1176">
        <v>45</v>
      </c>
      <c r="O1176" t="str" cm="1">
        <f t="array" ref="O1176">_xlfn.IFS(Table1[[#This Row],[lead_time_days]]&lt;=7,"0-7 days",N1176&lt;=14,"8-14 days",N1176&lt;=30,"15-30 days",N1176&lt;=60,"31-60 days",TRUE,"61+ days")</f>
        <v>31-60 days</v>
      </c>
      <c r="P1176" t="s">
        <v>35</v>
      </c>
      <c r="Q1176" t="s">
        <v>21</v>
      </c>
      <c r="R1176">
        <v>0</v>
      </c>
      <c r="S1176" t="str">
        <f>IF(Table1[prior_dna_count]&gt;=1,"Has prior DNA history","No prior DNA history")</f>
        <v>No prior DNA history</v>
      </c>
      <c r="T1176" t="s">
        <v>22</v>
      </c>
      <c r="U1176" t="str">
        <f t="shared" si="18"/>
        <v>0</v>
      </c>
      <c r="V1176" t="str">
        <f>IF(Table1[appointment_status]="Attended","1","0")</f>
        <v>1</v>
      </c>
      <c r="W1176" t="str">
        <f>IF(Table1[appointment_status]="Cancelled","1","0")</f>
        <v>0</v>
      </c>
    </row>
    <row r="1177" spans="1:23">
      <c r="A1177" t="s">
        <v>2065</v>
      </c>
      <c r="B1177" t="s">
        <v>2066</v>
      </c>
      <c r="C1177">
        <v>17</v>
      </c>
      <c r="D1177" t="str" cm="1">
        <f t="array" ref="D1177">_xlfn.IFS(Table1[[#This Row],[age]]&lt;=17,"0-17",C1177&lt;=29,"18-29",C1177&lt;=44,"30-44",C1177&lt;=59,"45-59",C1177&lt;=74,"60-74",TRUE,"75+")</f>
        <v>0-17</v>
      </c>
      <c r="E1177" t="s">
        <v>17</v>
      </c>
      <c r="F1177">
        <v>8</v>
      </c>
      <c r="G1177" t="str" cm="1">
        <f t="array" ref="G1177">_xlfn.IFS(_xlfn.SINGLE(Table1[imd_decile])&lt;=3,"Most Deprived",F1177&lt;=7,"Moderately Deprived",F1177&lt;=10,"Least Deprived")</f>
        <v>Least Deprived</v>
      </c>
      <c r="H1177">
        <v>3.3</v>
      </c>
      <c r="I1177" t="s">
        <v>18</v>
      </c>
      <c r="J1177" t="s">
        <v>26</v>
      </c>
      <c r="K1177" s="1">
        <v>45818</v>
      </c>
      <c r="L1177" s="1">
        <v>45838</v>
      </c>
      <c r="M1177" s="1" t="str">
        <f>TEXT(Table1[[#This Row],[appointment_date]],"MM/YYYY")</f>
        <v>06/2025</v>
      </c>
      <c r="N1177">
        <v>20</v>
      </c>
      <c r="O1177" t="str" cm="1">
        <f t="array" ref="O1177">_xlfn.IFS(Table1[[#This Row],[lead_time_days]]&lt;=7,"0-7 days",N1177&lt;=14,"8-14 days",N1177&lt;=30,"15-30 days",N1177&lt;=60,"31-60 days",TRUE,"61+ days")</f>
        <v>15-30 days</v>
      </c>
      <c r="P1177" t="s">
        <v>35</v>
      </c>
      <c r="Q1177" t="s">
        <v>21</v>
      </c>
      <c r="R1177">
        <v>0</v>
      </c>
      <c r="S1177" t="str">
        <f>IF(Table1[prior_dna_count]&gt;=1,"Has prior DNA history","No prior DNA history")</f>
        <v>No prior DNA history</v>
      </c>
      <c r="T1177" t="s">
        <v>22</v>
      </c>
      <c r="U1177" t="str">
        <f t="shared" si="18"/>
        <v>1</v>
      </c>
      <c r="V1177" t="str">
        <f>IF(Table1[appointment_status]="Attended","1","0")</f>
        <v>1</v>
      </c>
      <c r="W1177" t="str">
        <f>IF(Table1[appointment_status]="Cancelled","1","0")</f>
        <v>0</v>
      </c>
    </row>
    <row r="1178" spans="1:23">
      <c r="A1178" t="s">
        <v>2067</v>
      </c>
      <c r="B1178" t="s">
        <v>1602</v>
      </c>
      <c r="C1178">
        <v>42</v>
      </c>
      <c r="D1178" t="str" cm="1">
        <f t="array" ref="D1178">_xlfn.IFS(Table1[[#This Row],[age]]&lt;=17,"0-17",C1178&lt;=29,"18-29",C1178&lt;=44,"30-44",C1178&lt;=59,"45-59",C1178&lt;=74,"60-74",TRUE,"75+")</f>
        <v>30-44</v>
      </c>
      <c r="E1178" t="s">
        <v>29</v>
      </c>
      <c r="F1178">
        <v>2</v>
      </c>
      <c r="G1178" t="str" cm="1">
        <f t="array" ref="G1178">_xlfn.IFS(_xlfn.SINGLE(Table1[imd_decile])&lt;=3,"Most Deprived",F1178&lt;=7,"Moderately Deprived",F1178&lt;=10,"Least Deprived")</f>
        <v>Most Deprived</v>
      </c>
      <c r="H1178">
        <v>18.899999999999999</v>
      </c>
      <c r="I1178" t="s">
        <v>58</v>
      </c>
      <c r="J1178" t="s">
        <v>26</v>
      </c>
      <c r="K1178" s="1">
        <v>45831</v>
      </c>
      <c r="L1178" s="1">
        <v>45838</v>
      </c>
      <c r="M1178" s="1" t="str">
        <f>TEXT(Table1[[#This Row],[appointment_date]],"MM/YYYY")</f>
        <v>06/2025</v>
      </c>
      <c r="N1178">
        <v>7</v>
      </c>
      <c r="O1178" t="str" cm="1">
        <f t="array" ref="O1178">_xlfn.IFS(Table1[[#This Row],[lead_time_days]]&lt;=7,"0-7 days",N1178&lt;=14,"8-14 days",N1178&lt;=30,"15-30 days",N1178&lt;=60,"31-60 days",TRUE,"61+ days")</f>
        <v>0-7 days</v>
      </c>
      <c r="P1178" t="s">
        <v>35</v>
      </c>
      <c r="Q1178" t="s">
        <v>21</v>
      </c>
      <c r="R1178">
        <v>0</v>
      </c>
      <c r="S1178" t="str">
        <f>IF(Table1[prior_dna_count]&gt;=1,"Has prior DNA history","No prior DNA history")</f>
        <v>No prior DNA history</v>
      </c>
      <c r="T1178" t="s">
        <v>39</v>
      </c>
      <c r="U1178" t="str">
        <f t="shared" si="18"/>
        <v>1</v>
      </c>
      <c r="V1178" t="str">
        <f>IF(Table1[appointment_status]="Attended","1","0")</f>
        <v>0</v>
      </c>
      <c r="W1178" t="str">
        <f>IF(Table1[appointment_status]="Cancelled","1","0")</f>
        <v>0</v>
      </c>
    </row>
    <row r="1179" spans="1:23">
      <c r="A1179" t="s">
        <v>2068</v>
      </c>
      <c r="B1179" t="s">
        <v>744</v>
      </c>
      <c r="C1179">
        <v>36</v>
      </c>
      <c r="D1179" t="str" cm="1">
        <f t="array" ref="D1179">_xlfn.IFS(Table1[[#This Row],[age]]&lt;=17,"0-17",C1179&lt;=29,"18-29",C1179&lt;=44,"30-44",C1179&lt;=59,"45-59",C1179&lt;=74,"60-74",TRUE,"75+")</f>
        <v>30-44</v>
      </c>
      <c r="E1179" t="s">
        <v>17</v>
      </c>
      <c r="F1179">
        <v>6</v>
      </c>
      <c r="G1179" t="str" cm="1">
        <f t="array" ref="G1179">_xlfn.IFS(_xlfn.SINGLE(Table1[imd_decile])&lt;=3,"Most Deprived",F1179&lt;=7,"Moderately Deprived",F1179&lt;=10,"Least Deprived")</f>
        <v>Moderately Deprived</v>
      </c>
      <c r="H1179">
        <v>5.8</v>
      </c>
      <c r="I1179" t="s">
        <v>58</v>
      </c>
      <c r="J1179" t="s">
        <v>19</v>
      </c>
      <c r="K1179" s="1">
        <v>45826</v>
      </c>
      <c r="L1179" s="1">
        <v>45838</v>
      </c>
      <c r="M1179" s="1" t="str">
        <f>TEXT(Table1[[#This Row],[appointment_date]],"MM/YYYY")</f>
        <v>06/2025</v>
      </c>
      <c r="N1179">
        <v>12</v>
      </c>
      <c r="O1179" t="str" cm="1">
        <f t="array" ref="O1179">_xlfn.IFS(Table1[[#This Row],[lead_time_days]]&lt;=7,"0-7 days",N1179&lt;=14,"8-14 days",N1179&lt;=30,"15-30 days",N1179&lt;=60,"31-60 days",TRUE,"61+ days")</f>
        <v>8-14 days</v>
      </c>
      <c r="P1179" t="s">
        <v>35</v>
      </c>
      <c r="Q1179" t="s">
        <v>32</v>
      </c>
      <c r="R1179">
        <v>0</v>
      </c>
      <c r="S1179" t="str">
        <f>IF(Table1[prior_dna_count]&gt;=1,"Has prior DNA history","No prior DNA history")</f>
        <v>No prior DNA history</v>
      </c>
      <c r="T1179" t="s">
        <v>39</v>
      </c>
      <c r="U1179" t="str">
        <f t="shared" si="18"/>
        <v>0</v>
      </c>
      <c r="V1179" t="str">
        <f>IF(Table1[appointment_status]="Attended","1","0")</f>
        <v>0</v>
      </c>
      <c r="W1179" t="str">
        <f>IF(Table1[appointment_status]="Cancelled","1","0")</f>
        <v>0</v>
      </c>
    </row>
    <row r="1180" spans="1:23">
      <c r="A1180" t="s">
        <v>2069</v>
      </c>
      <c r="B1180" t="s">
        <v>1957</v>
      </c>
      <c r="C1180">
        <v>75</v>
      </c>
      <c r="D1180" t="str" cm="1">
        <f t="array" ref="D1180">_xlfn.IFS(Table1[[#This Row],[age]]&lt;=17,"0-17",C1180&lt;=29,"18-29",C1180&lt;=44,"30-44",C1180&lt;=59,"45-59",C1180&lt;=74,"60-74",TRUE,"75+")</f>
        <v>75+</v>
      </c>
      <c r="E1180" t="s">
        <v>17</v>
      </c>
      <c r="F1180">
        <v>5</v>
      </c>
      <c r="G1180" t="str" cm="1">
        <f t="array" ref="G1180">_xlfn.IFS(_xlfn.SINGLE(Table1[imd_decile])&lt;=3,"Most Deprived",F1180&lt;=7,"Moderately Deprived",F1180&lt;=10,"Least Deprived")</f>
        <v>Moderately Deprived</v>
      </c>
      <c r="H1180">
        <v>2.5</v>
      </c>
      <c r="I1180" t="s">
        <v>58</v>
      </c>
      <c r="J1180" t="s">
        <v>19</v>
      </c>
      <c r="K1180" s="1">
        <v>45803</v>
      </c>
      <c r="L1180" s="1">
        <v>45838</v>
      </c>
      <c r="M1180" s="1" t="str">
        <f>TEXT(Table1[[#This Row],[appointment_date]],"MM/YYYY")</f>
        <v>06/2025</v>
      </c>
      <c r="N1180">
        <v>35</v>
      </c>
      <c r="O1180" t="str" cm="1">
        <f t="array" ref="O1180">_xlfn.IFS(Table1[[#This Row],[lead_time_days]]&lt;=7,"0-7 days",N1180&lt;=14,"8-14 days",N1180&lt;=30,"15-30 days",N1180&lt;=60,"31-60 days",TRUE,"61+ days")</f>
        <v>31-60 days</v>
      </c>
      <c r="P1180" t="s">
        <v>35</v>
      </c>
      <c r="Q1180" t="s">
        <v>32</v>
      </c>
      <c r="R1180">
        <v>0</v>
      </c>
      <c r="S1180" t="str">
        <f>IF(Table1[prior_dna_count]&gt;=1,"Has prior DNA history","No prior DNA history")</f>
        <v>No prior DNA history</v>
      </c>
      <c r="T1180" t="s">
        <v>22</v>
      </c>
      <c r="U1180" t="str">
        <f t="shared" si="18"/>
        <v>0</v>
      </c>
      <c r="V1180" t="str">
        <f>IF(Table1[appointment_status]="Attended","1","0")</f>
        <v>1</v>
      </c>
      <c r="W1180" t="str">
        <f>IF(Table1[appointment_status]="Cancelled","1","0")</f>
        <v>0</v>
      </c>
    </row>
    <row r="1181" spans="1:23">
      <c r="A1181" t="s">
        <v>2070</v>
      </c>
      <c r="B1181" t="s">
        <v>1033</v>
      </c>
      <c r="C1181">
        <v>59</v>
      </c>
      <c r="D1181" t="str" cm="1">
        <f t="array" ref="D1181">_xlfn.IFS(Table1[[#This Row],[age]]&lt;=17,"0-17",C1181&lt;=29,"18-29",C1181&lt;=44,"30-44",C1181&lt;=59,"45-59",C1181&lt;=74,"60-74",TRUE,"75+")</f>
        <v>45-59</v>
      </c>
      <c r="E1181" t="s">
        <v>17</v>
      </c>
      <c r="F1181">
        <v>3</v>
      </c>
      <c r="G1181" t="str" cm="1">
        <f t="array" ref="G1181">_xlfn.IFS(_xlfn.SINGLE(Table1[imd_decile])&lt;=3,"Most Deprived",F1181&lt;=7,"Moderately Deprived",F1181&lt;=10,"Least Deprived")</f>
        <v>Most Deprived</v>
      </c>
      <c r="H1181">
        <v>9.1999999999999993</v>
      </c>
      <c r="I1181" t="s">
        <v>30</v>
      </c>
      <c r="J1181" t="s">
        <v>19</v>
      </c>
      <c r="K1181" s="1">
        <v>45785</v>
      </c>
      <c r="L1181" s="1">
        <v>45838</v>
      </c>
      <c r="M1181" s="1" t="str">
        <f>TEXT(Table1[[#This Row],[appointment_date]],"MM/YYYY")</f>
        <v>06/2025</v>
      </c>
      <c r="N1181">
        <v>53</v>
      </c>
      <c r="O1181" t="str" cm="1">
        <f t="array" ref="O1181">_xlfn.IFS(Table1[[#This Row],[lead_time_days]]&lt;=7,"0-7 days",N1181&lt;=14,"8-14 days",N1181&lt;=30,"15-30 days",N1181&lt;=60,"31-60 days",TRUE,"61+ days")</f>
        <v>31-60 days</v>
      </c>
      <c r="P1181" t="s">
        <v>35</v>
      </c>
      <c r="Q1181" t="s">
        <v>21</v>
      </c>
      <c r="R1181">
        <v>0</v>
      </c>
      <c r="S1181" t="str">
        <f>IF(Table1[prior_dna_count]&gt;=1,"Has prior DNA history","No prior DNA history")</f>
        <v>No prior DNA history</v>
      </c>
      <c r="T1181" t="s">
        <v>22</v>
      </c>
      <c r="U1181" t="str">
        <f t="shared" si="18"/>
        <v>1</v>
      </c>
      <c r="V1181" t="str">
        <f>IF(Table1[appointment_status]="Attended","1","0")</f>
        <v>1</v>
      </c>
      <c r="W1181" t="str">
        <f>IF(Table1[appointment_status]="Cancelled","1","0")</f>
        <v>0</v>
      </c>
    </row>
    <row r="1182" spans="1:23">
      <c r="A1182" t="s">
        <v>2071</v>
      </c>
      <c r="B1182" t="s">
        <v>2072</v>
      </c>
      <c r="C1182">
        <v>54</v>
      </c>
      <c r="D1182" t="str" cm="1">
        <f t="array" ref="D1182">_xlfn.IFS(Table1[[#This Row],[age]]&lt;=17,"0-17",C1182&lt;=29,"18-29",C1182&lt;=44,"30-44",C1182&lt;=59,"45-59",C1182&lt;=74,"60-74",TRUE,"75+")</f>
        <v>45-59</v>
      </c>
      <c r="E1182" t="s">
        <v>17</v>
      </c>
      <c r="F1182">
        <v>10</v>
      </c>
      <c r="G1182" t="str" cm="1">
        <f t="array" ref="G1182">_xlfn.IFS(_xlfn.SINGLE(Table1[imd_decile])&lt;=3,"Most Deprived",F1182&lt;=7,"Moderately Deprived",F1182&lt;=10,"Least Deprived")</f>
        <v>Least Deprived</v>
      </c>
      <c r="H1182">
        <v>13.5</v>
      </c>
      <c r="I1182" t="s">
        <v>45</v>
      </c>
      <c r="J1182" t="s">
        <v>19</v>
      </c>
      <c r="K1182" s="1">
        <v>45805</v>
      </c>
      <c r="L1182" s="1">
        <v>45838</v>
      </c>
      <c r="M1182" s="1" t="str">
        <f>TEXT(Table1[[#This Row],[appointment_date]],"MM/YYYY")</f>
        <v>06/2025</v>
      </c>
      <c r="N1182">
        <v>33</v>
      </c>
      <c r="O1182" t="str" cm="1">
        <f t="array" ref="O1182">_xlfn.IFS(Table1[[#This Row],[lead_time_days]]&lt;=7,"0-7 days",N1182&lt;=14,"8-14 days",N1182&lt;=30,"15-30 days",N1182&lt;=60,"31-60 days",TRUE,"61+ days")</f>
        <v>31-60 days</v>
      </c>
      <c r="P1182" t="s">
        <v>35</v>
      </c>
      <c r="Q1182" t="s">
        <v>21</v>
      </c>
      <c r="R1182">
        <v>0</v>
      </c>
      <c r="S1182" t="str">
        <f>IF(Table1[prior_dna_count]&gt;=1,"Has prior DNA history","No prior DNA history")</f>
        <v>No prior DNA history</v>
      </c>
      <c r="T1182" t="s">
        <v>22</v>
      </c>
      <c r="U1182" t="str">
        <f t="shared" si="18"/>
        <v>1</v>
      </c>
      <c r="V1182" t="str">
        <f>IF(Table1[appointment_status]="Attended","1","0")</f>
        <v>1</v>
      </c>
      <c r="W1182" t="str">
        <f>IF(Table1[appointment_status]="Cancelled","1","0")</f>
        <v>0</v>
      </c>
    </row>
    <row r="1183" spans="1:23">
      <c r="A1183" t="s">
        <v>2073</v>
      </c>
      <c r="B1183" t="s">
        <v>1249</v>
      </c>
      <c r="C1183">
        <v>52</v>
      </c>
      <c r="D1183" t="str" cm="1">
        <f t="array" ref="D1183">_xlfn.IFS(Table1[[#This Row],[age]]&lt;=17,"0-17",C1183&lt;=29,"18-29",C1183&lt;=44,"30-44",C1183&lt;=59,"45-59",C1183&lt;=74,"60-74",TRUE,"75+")</f>
        <v>45-59</v>
      </c>
      <c r="E1183" t="s">
        <v>29</v>
      </c>
      <c r="F1183">
        <v>10</v>
      </c>
      <c r="G1183" t="str" cm="1">
        <f t="array" ref="G1183">_xlfn.IFS(_xlfn.SINGLE(Table1[imd_decile])&lt;=3,"Most Deprived",F1183&lt;=7,"Moderately Deprived",F1183&lt;=10,"Least Deprived")</f>
        <v>Least Deprived</v>
      </c>
      <c r="H1183">
        <v>7.7</v>
      </c>
      <c r="I1183" t="s">
        <v>18</v>
      </c>
      <c r="J1183" t="s">
        <v>19</v>
      </c>
      <c r="K1183" s="1">
        <v>45825</v>
      </c>
      <c r="L1183" s="1">
        <v>45839</v>
      </c>
      <c r="M1183" s="1" t="str">
        <f>TEXT(Table1[[#This Row],[appointment_date]],"MM/YYYY")</f>
        <v>07/2025</v>
      </c>
      <c r="N1183">
        <v>14</v>
      </c>
      <c r="O1183" t="str" cm="1">
        <f t="array" ref="O1183">_xlfn.IFS(Table1[[#This Row],[lead_time_days]]&lt;=7,"0-7 days",N1183&lt;=14,"8-14 days",N1183&lt;=30,"15-30 days",N1183&lt;=60,"31-60 days",TRUE,"61+ days")</f>
        <v>8-14 days</v>
      </c>
      <c r="P1183" t="s">
        <v>71</v>
      </c>
      <c r="Q1183" t="s">
        <v>21</v>
      </c>
      <c r="R1183">
        <v>0</v>
      </c>
      <c r="S1183" t="str">
        <f>IF(Table1[prior_dna_count]&gt;=1,"Has prior DNA history","No prior DNA history")</f>
        <v>No prior DNA history</v>
      </c>
      <c r="T1183" t="s">
        <v>46</v>
      </c>
      <c r="U1183" t="str">
        <f t="shared" si="18"/>
        <v>1</v>
      </c>
      <c r="V1183" t="str">
        <f>IF(Table1[appointment_status]="Attended","1","0")</f>
        <v>0</v>
      </c>
      <c r="W1183" t="str">
        <f>IF(Table1[appointment_status]="Cancelled","1","0")</f>
        <v>1</v>
      </c>
    </row>
    <row r="1184" spans="1:23">
      <c r="A1184" t="s">
        <v>2074</v>
      </c>
      <c r="B1184" t="s">
        <v>428</v>
      </c>
      <c r="C1184">
        <v>60</v>
      </c>
      <c r="D1184" t="str" cm="1">
        <f t="array" ref="D1184">_xlfn.IFS(Table1[[#This Row],[age]]&lt;=17,"0-17",C1184&lt;=29,"18-29",C1184&lt;=44,"30-44",C1184&lt;=59,"45-59",C1184&lt;=74,"60-74",TRUE,"75+")</f>
        <v>60-74</v>
      </c>
      <c r="E1184" t="s">
        <v>29</v>
      </c>
      <c r="F1184">
        <v>9</v>
      </c>
      <c r="G1184" t="str" cm="1">
        <f t="array" ref="G1184">_xlfn.IFS(_xlfn.SINGLE(Table1[imd_decile])&lt;=3,"Most Deprived",F1184&lt;=7,"Moderately Deprived",F1184&lt;=10,"Least Deprived")</f>
        <v>Least Deprived</v>
      </c>
      <c r="H1184">
        <v>6.5</v>
      </c>
      <c r="I1184" t="s">
        <v>58</v>
      </c>
      <c r="J1184" t="s">
        <v>26</v>
      </c>
      <c r="K1184" s="1">
        <v>45827</v>
      </c>
      <c r="L1184" s="1">
        <v>45839</v>
      </c>
      <c r="M1184" s="1" t="str">
        <f>TEXT(Table1[[#This Row],[appointment_date]],"MM/YYYY")</f>
        <v>07/2025</v>
      </c>
      <c r="N1184">
        <v>12</v>
      </c>
      <c r="O1184" t="str" cm="1">
        <f t="array" ref="O1184">_xlfn.IFS(Table1[[#This Row],[lead_time_days]]&lt;=7,"0-7 days",N1184&lt;=14,"8-14 days",N1184&lt;=30,"15-30 days",N1184&lt;=60,"31-60 days",TRUE,"61+ days")</f>
        <v>8-14 days</v>
      </c>
      <c r="P1184" t="s">
        <v>71</v>
      </c>
      <c r="Q1184" t="s">
        <v>21</v>
      </c>
      <c r="R1184">
        <v>0</v>
      </c>
      <c r="S1184" t="str">
        <f>IF(Table1[prior_dna_count]&gt;=1,"Has prior DNA history","No prior DNA history")</f>
        <v>No prior DNA history</v>
      </c>
      <c r="T1184" t="s">
        <v>22</v>
      </c>
      <c r="U1184" t="str">
        <f t="shared" si="18"/>
        <v>0</v>
      </c>
      <c r="V1184" t="str">
        <f>IF(Table1[appointment_status]="Attended","1","0")</f>
        <v>1</v>
      </c>
      <c r="W1184" t="str">
        <f>IF(Table1[appointment_status]="Cancelled","1","0")</f>
        <v>0</v>
      </c>
    </row>
    <row r="1185" spans="1:23">
      <c r="A1185" t="s">
        <v>2075</v>
      </c>
      <c r="B1185" t="s">
        <v>2076</v>
      </c>
      <c r="C1185">
        <v>51</v>
      </c>
      <c r="D1185" t="str" cm="1">
        <f t="array" ref="D1185">_xlfn.IFS(Table1[[#This Row],[age]]&lt;=17,"0-17",C1185&lt;=29,"18-29",C1185&lt;=44,"30-44",C1185&lt;=59,"45-59",C1185&lt;=74,"60-74",TRUE,"75+")</f>
        <v>45-59</v>
      </c>
      <c r="E1185" t="s">
        <v>29</v>
      </c>
      <c r="F1185">
        <v>9</v>
      </c>
      <c r="G1185" t="str" cm="1">
        <f t="array" ref="G1185">_xlfn.IFS(_xlfn.SINGLE(Table1[imd_decile])&lt;=3,"Most Deprived",F1185&lt;=7,"Moderately Deprived",F1185&lt;=10,"Least Deprived")</f>
        <v>Least Deprived</v>
      </c>
      <c r="H1185">
        <v>3.1</v>
      </c>
      <c r="I1185" t="s">
        <v>155</v>
      </c>
      <c r="J1185" t="s">
        <v>19</v>
      </c>
      <c r="K1185" s="1">
        <v>45812</v>
      </c>
      <c r="L1185" s="1">
        <v>45839</v>
      </c>
      <c r="M1185" s="1" t="str">
        <f>TEXT(Table1[[#This Row],[appointment_date]],"MM/YYYY")</f>
        <v>07/2025</v>
      </c>
      <c r="N1185">
        <v>27</v>
      </c>
      <c r="O1185" t="str" cm="1">
        <f t="array" ref="O1185">_xlfn.IFS(Table1[[#This Row],[lead_time_days]]&lt;=7,"0-7 days",N1185&lt;=14,"8-14 days",N1185&lt;=30,"15-30 days",N1185&lt;=60,"31-60 days",TRUE,"61+ days")</f>
        <v>15-30 days</v>
      </c>
      <c r="P1185" t="s">
        <v>71</v>
      </c>
      <c r="Q1185" t="s">
        <v>21</v>
      </c>
      <c r="R1185">
        <v>0</v>
      </c>
      <c r="S1185" t="str">
        <f>IF(Table1[prior_dna_count]&gt;=1,"Has prior DNA history","No prior DNA history")</f>
        <v>No prior DNA history</v>
      </c>
      <c r="T1185" t="s">
        <v>22</v>
      </c>
      <c r="U1185" t="str">
        <f t="shared" si="18"/>
        <v>1</v>
      </c>
      <c r="V1185" t="str">
        <f>IF(Table1[appointment_status]="Attended","1","0")</f>
        <v>1</v>
      </c>
      <c r="W1185" t="str">
        <f>IF(Table1[appointment_status]="Cancelled","1","0")</f>
        <v>0</v>
      </c>
    </row>
    <row r="1186" spans="1:23">
      <c r="A1186" t="s">
        <v>2077</v>
      </c>
      <c r="B1186" t="s">
        <v>1546</v>
      </c>
      <c r="C1186">
        <v>73</v>
      </c>
      <c r="D1186" t="str" cm="1">
        <f t="array" ref="D1186">_xlfn.IFS(Table1[[#This Row],[age]]&lt;=17,"0-17",C1186&lt;=29,"18-29",C1186&lt;=44,"30-44",C1186&lt;=59,"45-59",C1186&lt;=74,"60-74",TRUE,"75+")</f>
        <v>60-74</v>
      </c>
      <c r="E1186" t="s">
        <v>29</v>
      </c>
      <c r="F1186">
        <v>6</v>
      </c>
      <c r="G1186" t="str" cm="1">
        <f t="array" ref="G1186">_xlfn.IFS(_xlfn.SINGLE(Table1[imd_decile])&lt;=3,"Most Deprived",F1186&lt;=7,"Moderately Deprived",F1186&lt;=10,"Least Deprived")</f>
        <v>Moderately Deprived</v>
      </c>
      <c r="H1186">
        <v>9.4</v>
      </c>
      <c r="I1186" t="s">
        <v>91</v>
      </c>
      <c r="J1186" t="s">
        <v>19</v>
      </c>
      <c r="K1186" s="1">
        <v>45815</v>
      </c>
      <c r="L1186" s="1">
        <v>45839</v>
      </c>
      <c r="M1186" s="1" t="str">
        <f>TEXT(Table1[[#This Row],[appointment_date]],"MM/YYYY")</f>
        <v>07/2025</v>
      </c>
      <c r="N1186">
        <v>24</v>
      </c>
      <c r="O1186" t="str" cm="1">
        <f t="array" ref="O1186">_xlfn.IFS(Table1[[#This Row],[lead_time_days]]&lt;=7,"0-7 days",N1186&lt;=14,"8-14 days",N1186&lt;=30,"15-30 days",N1186&lt;=60,"31-60 days",TRUE,"61+ days")</f>
        <v>15-30 days</v>
      </c>
      <c r="P1186" t="s">
        <v>71</v>
      </c>
      <c r="Q1186" t="s">
        <v>21</v>
      </c>
      <c r="R1186">
        <v>0</v>
      </c>
      <c r="S1186" t="str">
        <f>IF(Table1[prior_dna_count]&gt;=1,"Has prior DNA history","No prior DNA history")</f>
        <v>No prior DNA history</v>
      </c>
      <c r="T1186" t="s">
        <v>22</v>
      </c>
      <c r="U1186" t="str">
        <f t="shared" si="18"/>
        <v>1</v>
      </c>
      <c r="V1186" t="str">
        <f>IF(Table1[appointment_status]="Attended","1","0")</f>
        <v>1</v>
      </c>
      <c r="W1186" t="str">
        <f>IF(Table1[appointment_status]="Cancelled","1","0")</f>
        <v>0</v>
      </c>
    </row>
    <row r="1187" spans="1:23">
      <c r="A1187" t="s">
        <v>2078</v>
      </c>
      <c r="B1187" t="s">
        <v>2079</v>
      </c>
      <c r="C1187">
        <v>65</v>
      </c>
      <c r="D1187" t="str" cm="1">
        <f t="array" ref="D1187">_xlfn.IFS(Table1[[#This Row],[age]]&lt;=17,"0-17",C1187&lt;=29,"18-29",C1187&lt;=44,"30-44",C1187&lt;=59,"45-59",C1187&lt;=74,"60-74",TRUE,"75+")</f>
        <v>60-74</v>
      </c>
      <c r="E1187" t="s">
        <v>17</v>
      </c>
      <c r="F1187">
        <v>2</v>
      </c>
      <c r="G1187" t="str" cm="1">
        <f t="array" ref="G1187">_xlfn.IFS(_xlfn.SINGLE(Table1[imd_decile])&lt;=3,"Most Deprived",F1187&lt;=7,"Moderately Deprived",F1187&lt;=10,"Least Deprived")</f>
        <v>Most Deprived</v>
      </c>
      <c r="H1187">
        <v>8.9</v>
      </c>
      <c r="I1187" t="s">
        <v>58</v>
      </c>
      <c r="J1187" t="s">
        <v>19</v>
      </c>
      <c r="K1187" s="1">
        <v>45797</v>
      </c>
      <c r="L1187" s="1">
        <v>45839</v>
      </c>
      <c r="M1187" s="1" t="str">
        <f>TEXT(Table1[[#This Row],[appointment_date]],"MM/YYYY")</f>
        <v>07/2025</v>
      </c>
      <c r="N1187">
        <v>42</v>
      </c>
      <c r="O1187" t="str" cm="1">
        <f t="array" ref="O1187">_xlfn.IFS(Table1[[#This Row],[lead_time_days]]&lt;=7,"0-7 days",N1187&lt;=14,"8-14 days",N1187&lt;=30,"15-30 days",N1187&lt;=60,"31-60 days",TRUE,"61+ days")</f>
        <v>31-60 days</v>
      </c>
      <c r="P1187" t="s">
        <v>71</v>
      </c>
      <c r="Q1187" t="s">
        <v>21</v>
      </c>
      <c r="R1187">
        <v>0</v>
      </c>
      <c r="S1187" t="str">
        <f>IF(Table1[prior_dna_count]&gt;=1,"Has prior DNA history","No prior DNA history")</f>
        <v>No prior DNA history</v>
      </c>
      <c r="T1187" t="s">
        <v>22</v>
      </c>
      <c r="U1187" t="str">
        <f t="shared" si="18"/>
        <v>1</v>
      </c>
      <c r="V1187" t="str">
        <f>IF(Table1[appointment_status]="Attended","1","0")</f>
        <v>1</v>
      </c>
      <c r="W1187" t="str">
        <f>IF(Table1[appointment_status]="Cancelled","1","0")</f>
        <v>0</v>
      </c>
    </row>
    <row r="1188" spans="1:23">
      <c r="A1188" t="s">
        <v>2080</v>
      </c>
      <c r="B1188" t="s">
        <v>2081</v>
      </c>
      <c r="C1188">
        <v>64</v>
      </c>
      <c r="D1188" t="str" cm="1">
        <f t="array" ref="D1188">_xlfn.IFS(Table1[[#This Row],[age]]&lt;=17,"0-17",C1188&lt;=29,"18-29",C1188&lt;=44,"30-44",C1188&lt;=59,"45-59",C1188&lt;=74,"60-74",TRUE,"75+")</f>
        <v>60-74</v>
      </c>
      <c r="E1188" t="s">
        <v>29</v>
      </c>
      <c r="F1188">
        <v>6</v>
      </c>
      <c r="G1188" t="str" cm="1">
        <f t="array" ref="G1188">_xlfn.IFS(_xlfn.SINGLE(Table1[imd_decile])&lt;=3,"Most Deprived",F1188&lt;=7,"Moderately Deprived",F1188&lt;=10,"Least Deprived")</f>
        <v>Moderately Deprived</v>
      </c>
      <c r="H1188">
        <v>7.1</v>
      </c>
      <c r="I1188" t="s">
        <v>58</v>
      </c>
      <c r="J1188" t="s">
        <v>19</v>
      </c>
      <c r="K1188" s="1">
        <v>45811</v>
      </c>
      <c r="L1188" s="1">
        <v>45840</v>
      </c>
      <c r="M1188" s="1" t="str">
        <f>TEXT(Table1[[#This Row],[appointment_date]],"MM/YYYY")</f>
        <v>07/2025</v>
      </c>
      <c r="N1188">
        <v>29</v>
      </c>
      <c r="O1188" t="str" cm="1">
        <f t="array" ref="O1188">_xlfn.IFS(Table1[[#This Row],[lead_time_days]]&lt;=7,"0-7 days",N1188&lt;=14,"8-14 days",N1188&lt;=30,"15-30 days",N1188&lt;=60,"31-60 days",TRUE,"61+ days")</f>
        <v>15-30 days</v>
      </c>
      <c r="P1188" t="s">
        <v>80</v>
      </c>
      <c r="Q1188" t="s">
        <v>21</v>
      </c>
      <c r="R1188">
        <v>0</v>
      </c>
      <c r="S1188" t="str">
        <f>IF(Table1[prior_dna_count]&gt;=1,"Has prior DNA history","No prior DNA history")</f>
        <v>No prior DNA history</v>
      </c>
      <c r="T1188" t="s">
        <v>22</v>
      </c>
      <c r="U1188" t="str">
        <f t="shared" si="18"/>
        <v>1</v>
      </c>
      <c r="V1188" t="str">
        <f>IF(Table1[appointment_status]="Attended","1","0")</f>
        <v>1</v>
      </c>
      <c r="W1188" t="str">
        <f>IF(Table1[appointment_status]="Cancelled","1","0")</f>
        <v>0</v>
      </c>
    </row>
    <row r="1189" spans="1:23">
      <c r="A1189" t="s">
        <v>2082</v>
      </c>
      <c r="B1189" t="s">
        <v>179</v>
      </c>
      <c r="C1189">
        <v>72</v>
      </c>
      <c r="D1189" t="str" cm="1">
        <f t="array" ref="D1189">_xlfn.IFS(Table1[[#This Row],[age]]&lt;=17,"0-17",C1189&lt;=29,"18-29",C1189&lt;=44,"30-44",C1189&lt;=59,"45-59",C1189&lt;=74,"60-74",TRUE,"75+")</f>
        <v>60-74</v>
      </c>
      <c r="E1189" t="s">
        <v>17</v>
      </c>
      <c r="F1189">
        <v>4</v>
      </c>
      <c r="G1189" t="str" cm="1">
        <f t="array" ref="G1189">_xlfn.IFS(_xlfn.SINGLE(Table1[imd_decile])&lt;=3,"Most Deprived",F1189&lt;=7,"Moderately Deprived",F1189&lt;=10,"Least Deprived")</f>
        <v>Moderately Deprived</v>
      </c>
      <c r="H1189">
        <v>22.9</v>
      </c>
      <c r="I1189" t="s">
        <v>49</v>
      </c>
      <c r="J1189" t="s">
        <v>19</v>
      </c>
      <c r="K1189" s="1">
        <v>45829</v>
      </c>
      <c r="L1189" s="1">
        <v>45840</v>
      </c>
      <c r="M1189" s="1" t="str">
        <f>TEXT(Table1[[#This Row],[appointment_date]],"MM/YYYY")</f>
        <v>07/2025</v>
      </c>
      <c r="N1189">
        <v>11</v>
      </c>
      <c r="O1189" t="str" cm="1">
        <f t="array" ref="O1189">_xlfn.IFS(Table1[[#This Row],[lead_time_days]]&lt;=7,"0-7 days",N1189&lt;=14,"8-14 days",N1189&lt;=30,"15-30 days",N1189&lt;=60,"31-60 days",TRUE,"61+ days")</f>
        <v>8-14 days</v>
      </c>
      <c r="P1189" t="s">
        <v>80</v>
      </c>
      <c r="Q1189" t="s">
        <v>21</v>
      </c>
      <c r="R1189">
        <v>0</v>
      </c>
      <c r="S1189" t="str">
        <f>IF(Table1[prior_dna_count]&gt;=1,"Has prior DNA history","No prior DNA history")</f>
        <v>No prior DNA history</v>
      </c>
      <c r="T1189" t="s">
        <v>22</v>
      </c>
      <c r="U1189" t="str">
        <f t="shared" si="18"/>
        <v>1</v>
      </c>
      <c r="V1189" t="str">
        <f>IF(Table1[appointment_status]="Attended","1","0")</f>
        <v>1</v>
      </c>
      <c r="W1189" t="str">
        <f>IF(Table1[appointment_status]="Cancelled","1","0")</f>
        <v>0</v>
      </c>
    </row>
    <row r="1190" spans="1:23">
      <c r="A1190" t="s">
        <v>2083</v>
      </c>
      <c r="B1190" t="s">
        <v>1679</v>
      </c>
      <c r="C1190">
        <v>17</v>
      </c>
      <c r="D1190" t="str" cm="1">
        <f t="array" ref="D1190">_xlfn.IFS(Table1[[#This Row],[age]]&lt;=17,"0-17",C1190&lt;=29,"18-29",C1190&lt;=44,"30-44",C1190&lt;=59,"45-59",C1190&lt;=74,"60-74",TRUE,"75+")</f>
        <v>0-17</v>
      </c>
      <c r="E1190" t="s">
        <v>17</v>
      </c>
      <c r="F1190">
        <v>6</v>
      </c>
      <c r="G1190" t="str" cm="1">
        <f t="array" ref="G1190">_xlfn.IFS(_xlfn.SINGLE(Table1[imd_decile])&lt;=3,"Most Deprived",F1190&lt;=7,"Moderately Deprived",F1190&lt;=10,"Least Deprived")</f>
        <v>Moderately Deprived</v>
      </c>
      <c r="H1190">
        <v>4</v>
      </c>
      <c r="I1190" t="s">
        <v>91</v>
      </c>
      <c r="J1190" t="s">
        <v>26</v>
      </c>
      <c r="K1190" s="1">
        <v>45824</v>
      </c>
      <c r="L1190" s="1">
        <v>45840</v>
      </c>
      <c r="M1190" s="1" t="str">
        <f>TEXT(Table1[[#This Row],[appointment_date]],"MM/YYYY")</f>
        <v>07/2025</v>
      </c>
      <c r="N1190">
        <v>16</v>
      </c>
      <c r="O1190" t="str" cm="1">
        <f t="array" ref="O1190">_xlfn.IFS(Table1[[#This Row],[lead_time_days]]&lt;=7,"0-7 days",N1190&lt;=14,"8-14 days",N1190&lt;=30,"15-30 days",N1190&lt;=60,"31-60 days",TRUE,"61+ days")</f>
        <v>15-30 days</v>
      </c>
      <c r="P1190" t="s">
        <v>80</v>
      </c>
      <c r="Q1190" t="s">
        <v>21</v>
      </c>
      <c r="R1190">
        <v>0</v>
      </c>
      <c r="S1190" t="str">
        <f>IF(Table1[prior_dna_count]&gt;=1,"Has prior DNA history","No prior DNA history")</f>
        <v>No prior DNA history</v>
      </c>
      <c r="T1190" t="s">
        <v>22</v>
      </c>
      <c r="U1190" t="str">
        <f t="shared" si="18"/>
        <v>1</v>
      </c>
      <c r="V1190" t="str">
        <f>IF(Table1[appointment_status]="Attended","1","0")</f>
        <v>1</v>
      </c>
      <c r="W1190" t="str">
        <f>IF(Table1[appointment_status]="Cancelled","1","0")</f>
        <v>0</v>
      </c>
    </row>
    <row r="1191" spans="1:23">
      <c r="A1191" t="s">
        <v>2084</v>
      </c>
      <c r="B1191" t="s">
        <v>594</v>
      </c>
      <c r="C1191">
        <v>26</v>
      </c>
      <c r="D1191" t="str" cm="1">
        <f t="array" ref="D1191">_xlfn.IFS(Table1[[#This Row],[age]]&lt;=17,"0-17",C1191&lt;=29,"18-29",C1191&lt;=44,"30-44",C1191&lt;=59,"45-59",C1191&lt;=74,"60-74",TRUE,"75+")</f>
        <v>18-29</v>
      </c>
      <c r="E1191" t="s">
        <v>17</v>
      </c>
      <c r="F1191">
        <v>10</v>
      </c>
      <c r="G1191" t="str" cm="1">
        <f t="array" ref="G1191">_xlfn.IFS(_xlfn.SINGLE(Table1[imd_decile])&lt;=3,"Most Deprived",F1191&lt;=7,"Moderately Deprived",F1191&lt;=10,"Least Deprived")</f>
        <v>Least Deprived</v>
      </c>
      <c r="H1191">
        <v>17.2</v>
      </c>
      <c r="I1191" t="s">
        <v>38</v>
      </c>
      <c r="J1191" t="s">
        <v>26</v>
      </c>
      <c r="K1191" s="1">
        <v>45823</v>
      </c>
      <c r="L1191" s="1">
        <v>45840</v>
      </c>
      <c r="M1191" s="1" t="str">
        <f>TEXT(Table1[[#This Row],[appointment_date]],"MM/YYYY")</f>
        <v>07/2025</v>
      </c>
      <c r="N1191">
        <v>17</v>
      </c>
      <c r="O1191" t="str" cm="1">
        <f t="array" ref="O1191">_xlfn.IFS(Table1[[#This Row],[lead_time_days]]&lt;=7,"0-7 days",N1191&lt;=14,"8-14 days",N1191&lt;=30,"15-30 days",N1191&lt;=60,"31-60 days",TRUE,"61+ days")</f>
        <v>15-30 days</v>
      </c>
      <c r="P1191" t="s">
        <v>80</v>
      </c>
      <c r="Q1191" t="s">
        <v>21</v>
      </c>
      <c r="R1191">
        <v>0</v>
      </c>
      <c r="S1191" t="str">
        <f>IF(Table1[prior_dna_count]&gt;=1,"Has prior DNA history","No prior DNA history")</f>
        <v>No prior DNA history</v>
      </c>
      <c r="T1191" t="s">
        <v>22</v>
      </c>
      <c r="U1191" t="str">
        <f t="shared" si="18"/>
        <v>1</v>
      </c>
      <c r="V1191" t="str">
        <f>IF(Table1[appointment_status]="Attended","1","0")</f>
        <v>1</v>
      </c>
      <c r="W1191" t="str">
        <f>IF(Table1[appointment_status]="Cancelled","1","0")</f>
        <v>0</v>
      </c>
    </row>
    <row r="1192" spans="1:23">
      <c r="A1192" t="s">
        <v>2085</v>
      </c>
      <c r="B1192" t="s">
        <v>989</v>
      </c>
      <c r="C1192">
        <v>63</v>
      </c>
      <c r="D1192" t="str" cm="1">
        <f t="array" ref="D1192">_xlfn.IFS(Table1[[#This Row],[age]]&lt;=17,"0-17",C1192&lt;=29,"18-29",C1192&lt;=44,"30-44",C1192&lt;=59,"45-59",C1192&lt;=74,"60-74",TRUE,"75+")</f>
        <v>60-74</v>
      </c>
      <c r="E1192" t="s">
        <v>29</v>
      </c>
      <c r="F1192">
        <v>10</v>
      </c>
      <c r="G1192" t="str" cm="1">
        <f t="array" ref="G1192">_xlfn.IFS(_xlfn.SINGLE(Table1[imd_decile])&lt;=3,"Most Deprived",F1192&lt;=7,"Moderately Deprived",F1192&lt;=10,"Least Deprived")</f>
        <v>Least Deprived</v>
      </c>
      <c r="H1192">
        <v>2.2999999999999998</v>
      </c>
      <c r="I1192" t="s">
        <v>42</v>
      </c>
      <c r="J1192" t="s">
        <v>26</v>
      </c>
      <c r="K1192" s="1">
        <v>45827</v>
      </c>
      <c r="L1192" s="1">
        <v>45840</v>
      </c>
      <c r="M1192" s="1" t="str">
        <f>TEXT(Table1[[#This Row],[appointment_date]],"MM/YYYY")</f>
        <v>07/2025</v>
      </c>
      <c r="N1192">
        <v>13</v>
      </c>
      <c r="O1192" t="str" cm="1">
        <f t="array" ref="O1192">_xlfn.IFS(Table1[[#This Row],[lead_time_days]]&lt;=7,"0-7 days",N1192&lt;=14,"8-14 days",N1192&lt;=30,"15-30 days",N1192&lt;=60,"31-60 days",TRUE,"61+ days")</f>
        <v>8-14 days</v>
      </c>
      <c r="P1192" t="s">
        <v>80</v>
      </c>
      <c r="Q1192" t="s">
        <v>21</v>
      </c>
      <c r="R1192">
        <v>0</v>
      </c>
      <c r="S1192" t="str">
        <f>IF(Table1[prior_dna_count]&gt;=1,"Has prior DNA history","No prior DNA history")</f>
        <v>No prior DNA history</v>
      </c>
      <c r="T1192" t="s">
        <v>22</v>
      </c>
      <c r="U1192" t="str">
        <f t="shared" si="18"/>
        <v>1</v>
      </c>
      <c r="V1192" t="str">
        <f>IF(Table1[appointment_status]="Attended","1","0")</f>
        <v>1</v>
      </c>
      <c r="W1192" t="str">
        <f>IF(Table1[appointment_status]="Cancelled","1","0")</f>
        <v>0</v>
      </c>
    </row>
    <row r="1193" spans="1:23">
      <c r="A1193" t="s">
        <v>2086</v>
      </c>
      <c r="B1193" t="s">
        <v>109</v>
      </c>
      <c r="C1193">
        <v>52</v>
      </c>
      <c r="D1193" t="str" cm="1">
        <f t="array" ref="D1193">_xlfn.IFS(Table1[[#This Row],[age]]&lt;=17,"0-17",C1193&lt;=29,"18-29",C1193&lt;=44,"30-44",C1193&lt;=59,"45-59",C1193&lt;=74,"60-74",TRUE,"75+")</f>
        <v>45-59</v>
      </c>
      <c r="E1193" t="s">
        <v>17</v>
      </c>
      <c r="F1193">
        <v>10</v>
      </c>
      <c r="G1193" t="str" cm="1">
        <f t="array" ref="G1193">_xlfn.IFS(_xlfn.SINGLE(Table1[imd_decile])&lt;=3,"Most Deprived",F1193&lt;=7,"Moderately Deprived",F1193&lt;=10,"Least Deprived")</f>
        <v>Least Deprived</v>
      </c>
      <c r="H1193">
        <v>2.7</v>
      </c>
      <c r="I1193" t="s">
        <v>45</v>
      </c>
      <c r="J1193" t="s">
        <v>26</v>
      </c>
      <c r="K1193" s="1">
        <v>45823</v>
      </c>
      <c r="L1193" s="1">
        <v>45840</v>
      </c>
      <c r="M1193" s="1" t="str">
        <f>TEXT(Table1[[#This Row],[appointment_date]],"MM/YYYY")</f>
        <v>07/2025</v>
      </c>
      <c r="N1193">
        <v>17</v>
      </c>
      <c r="O1193" t="str" cm="1">
        <f t="array" ref="O1193">_xlfn.IFS(Table1[[#This Row],[lead_time_days]]&lt;=7,"0-7 days",N1193&lt;=14,"8-14 days",N1193&lt;=30,"15-30 days",N1193&lt;=60,"31-60 days",TRUE,"61+ days")</f>
        <v>15-30 days</v>
      </c>
      <c r="P1193" t="s">
        <v>80</v>
      </c>
      <c r="Q1193" t="s">
        <v>32</v>
      </c>
      <c r="R1193">
        <v>1</v>
      </c>
      <c r="S1193" t="str">
        <f>IF(Table1[prior_dna_count]&gt;=1,"Has prior DNA history","No prior DNA history")</f>
        <v>Has prior DNA history</v>
      </c>
      <c r="T1193" t="s">
        <v>22</v>
      </c>
      <c r="U1193" t="str">
        <f t="shared" si="18"/>
        <v>1</v>
      </c>
      <c r="V1193" t="str">
        <f>IF(Table1[appointment_status]="Attended","1","0")</f>
        <v>1</v>
      </c>
      <c r="W1193" t="str">
        <f>IF(Table1[appointment_status]="Cancelled","1","0")</f>
        <v>0</v>
      </c>
    </row>
    <row r="1194" spans="1:23">
      <c r="A1194" t="s">
        <v>2087</v>
      </c>
      <c r="B1194" t="s">
        <v>1368</v>
      </c>
      <c r="C1194">
        <v>25</v>
      </c>
      <c r="D1194" t="str" cm="1">
        <f t="array" ref="D1194">_xlfn.IFS(Table1[[#This Row],[age]]&lt;=17,"0-17",C1194&lt;=29,"18-29",C1194&lt;=44,"30-44",C1194&lt;=59,"45-59",C1194&lt;=74,"60-74",TRUE,"75+")</f>
        <v>18-29</v>
      </c>
      <c r="E1194" t="s">
        <v>17</v>
      </c>
      <c r="F1194">
        <v>4</v>
      </c>
      <c r="G1194" t="str" cm="1">
        <f t="array" ref="G1194">_xlfn.IFS(_xlfn.SINGLE(Table1[imd_decile])&lt;=3,"Most Deprived",F1194&lt;=7,"Moderately Deprived",F1194&lt;=10,"Least Deprived")</f>
        <v>Moderately Deprived</v>
      </c>
      <c r="H1194">
        <v>2.8</v>
      </c>
      <c r="I1194" t="s">
        <v>58</v>
      </c>
      <c r="J1194" t="s">
        <v>26</v>
      </c>
      <c r="K1194" s="1">
        <v>45839</v>
      </c>
      <c r="L1194" s="1">
        <v>45840</v>
      </c>
      <c r="M1194" s="1" t="str">
        <f>TEXT(Table1[[#This Row],[appointment_date]],"MM/YYYY")</f>
        <v>07/2025</v>
      </c>
      <c r="N1194">
        <v>1</v>
      </c>
      <c r="O1194" t="str" cm="1">
        <f t="array" ref="O1194">_xlfn.IFS(Table1[[#This Row],[lead_time_days]]&lt;=7,"0-7 days",N1194&lt;=14,"8-14 days",N1194&lt;=30,"15-30 days",N1194&lt;=60,"31-60 days",TRUE,"61+ days")</f>
        <v>0-7 days</v>
      </c>
      <c r="P1194" t="s">
        <v>80</v>
      </c>
      <c r="Q1194" t="s">
        <v>32</v>
      </c>
      <c r="R1194">
        <v>1</v>
      </c>
      <c r="S1194" t="str">
        <f>IF(Table1[prior_dna_count]&gt;=1,"Has prior DNA history","No prior DNA history")</f>
        <v>Has prior DNA history</v>
      </c>
      <c r="T1194" t="s">
        <v>39</v>
      </c>
      <c r="U1194" t="str">
        <f t="shared" si="18"/>
        <v>1</v>
      </c>
      <c r="V1194" t="str">
        <f>IF(Table1[appointment_status]="Attended","1","0")</f>
        <v>0</v>
      </c>
      <c r="W1194" t="str">
        <f>IF(Table1[appointment_status]="Cancelled","1","0")</f>
        <v>0</v>
      </c>
    </row>
    <row r="1195" spans="1:23">
      <c r="A1195" t="s">
        <v>2088</v>
      </c>
      <c r="B1195" t="s">
        <v>1403</v>
      </c>
      <c r="C1195">
        <v>41</v>
      </c>
      <c r="D1195" t="str" cm="1">
        <f t="array" ref="D1195">_xlfn.IFS(Table1[[#This Row],[age]]&lt;=17,"0-17",C1195&lt;=29,"18-29",C1195&lt;=44,"30-44",C1195&lt;=59,"45-59",C1195&lt;=74,"60-74",TRUE,"75+")</f>
        <v>30-44</v>
      </c>
      <c r="E1195" t="s">
        <v>17</v>
      </c>
      <c r="F1195">
        <v>7</v>
      </c>
      <c r="G1195" t="str" cm="1">
        <f t="array" ref="G1195">_xlfn.IFS(_xlfn.SINGLE(Table1[imd_decile])&lt;=3,"Most Deprived",F1195&lt;=7,"Moderately Deprived",F1195&lt;=10,"Least Deprived")</f>
        <v>Moderately Deprived</v>
      </c>
      <c r="H1195">
        <v>10.5</v>
      </c>
      <c r="I1195" t="s">
        <v>18</v>
      </c>
      <c r="J1195" t="s">
        <v>26</v>
      </c>
      <c r="K1195" s="1">
        <v>45834</v>
      </c>
      <c r="L1195" s="1">
        <v>45841</v>
      </c>
      <c r="M1195" s="1" t="str">
        <f>TEXT(Table1[[#This Row],[appointment_date]],"MM/YYYY")</f>
        <v>07/2025</v>
      </c>
      <c r="N1195">
        <v>7</v>
      </c>
      <c r="O1195" t="str" cm="1">
        <f t="array" ref="O1195">_xlfn.IFS(Table1[[#This Row],[lead_time_days]]&lt;=7,"0-7 days",N1195&lt;=14,"8-14 days",N1195&lt;=30,"15-30 days",N1195&lt;=60,"31-60 days",TRUE,"61+ days")</f>
        <v>0-7 days</v>
      </c>
      <c r="P1195" t="s">
        <v>20</v>
      </c>
      <c r="Q1195" t="s">
        <v>21</v>
      </c>
      <c r="R1195">
        <v>0</v>
      </c>
      <c r="S1195" t="str">
        <f>IF(Table1[prior_dna_count]&gt;=1,"Has prior DNA history","No prior DNA history")</f>
        <v>No prior DNA history</v>
      </c>
      <c r="T1195" t="s">
        <v>22</v>
      </c>
      <c r="U1195" t="str">
        <f t="shared" si="18"/>
        <v>0</v>
      </c>
      <c r="V1195" t="str">
        <f>IF(Table1[appointment_status]="Attended","1","0")</f>
        <v>1</v>
      </c>
      <c r="W1195" t="str">
        <f>IF(Table1[appointment_status]="Cancelled","1","0")</f>
        <v>0</v>
      </c>
    </row>
    <row r="1196" spans="1:23">
      <c r="A1196" t="s">
        <v>2089</v>
      </c>
      <c r="B1196" t="s">
        <v>2090</v>
      </c>
      <c r="C1196">
        <v>78</v>
      </c>
      <c r="D1196" t="str" cm="1">
        <f t="array" ref="D1196">_xlfn.IFS(Table1[[#This Row],[age]]&lt;=17,"0-17",C1196&lt;=29,"18-29",C1196&lt;=44,"30-44",C1196&lt;=59,"45-59",C1196&lt;=74,"60-74",TRUE,"75+")</f>
        <v>75+</v>
      </c>
      <c r="E1196" t="s">
        <v>29</v>
      </c>
      <c r="F1196">
        <v>1</v>
      </c>
      <c r="G1196" t="str" cm="1">
        <f t="array" ref="G1196">_xlfn.IFS(_xlfn.SINGLE(Table1[imd_decile])&lt;=3,"Most Deprived",F1196&lt;=7,"Moderately Deprived",F1196&lt;=10,"Least Deprived")</f>
        <v>Most Deprived</v>
      </c>
      <c r="H1196">
        <v>2.5</v>
      </c>
      <c r="I1196" t="s">
        <v>42</v>
      </c>
      <c r="J1196" t="s">
        <v>26</v>
      </c>
      <c r="K1196" s="1">
        <v>45830</v>
      </c>
      <c r="L1196" s="1">
        <v>45841</v>
      </c>
      <c r="M1196" s="1" t="str">
        <f>TEXT(Table1[[#This Row],[appointment_date]],"MM/YYYY")</f>
        <v>07/2025</v>
      </c>
      <c r="N1196">
        <v>11</v>
      </c>
      <c r="O1196" t="str" cm="1">
        <f t="array" ref="O1196">_xlfn.IFS(Table1[[#This Row],[lead_time_days]]&lt;=7,"0-7 days",N1196&lt;=14,"8-14 days",N1196&lt;=30,"15-30 days",N1196&lt;=60,"31-60 days",TRUE,"61+ days")</f>
        <v>8-14 days</v>
      </c>
      <c r="P1196" t="s">
        <v>20</v>
      </c>
      <c r="Q1196" t="s">
        <v>21</v>
      </c>
      <c r="R1196">
        <v>0</v>
      </c>
      <c r="S1196" t="str">
        <f>IF(Table1[prior_dna_count]&gt;=1,"Has prior DNA history","No prior DNA history")</f>
        <v>No prior DNA history</v>
      </c>
      <c r="T1196" t="s">
        <v>22</v>
      </c>
      <c r="U1196" t="str">
        <f t="shared" si="18"/>
        <v>1</v>
      </c>
      <c r="V1196" t="str">
        <f>IF(Table1[appointment_status]="Attended","1","0")</f>
        <v>1</v>
      </c>
      <c r="W1196" t="str">
        <f>IF(Table1[appointment_status]="Cancelled","1","0")</f>
        <v>0</v>
      </c>
    </row>
    <row r="1197" spans="1:23">
      <c r="A1197" t="s">
        <v>2091</v>
      </c>
      <c r="B1197" t="s">
        <v>2092</v>
      </c>
      <c r="C1197">
        <v>32</v>
      </c>
      <c r="D1197" t="str" cm="1">
        <f t="array" ref="D1197">_xlfn.IFS(Table1[[#This Row],[age]]&lt;=17,"0-17",C1197&lt;=29,"18-29",C1197&lt;=44,"30-44",C1197&lt;=59,"45-59",C1197&lt;=74,"60-74",TRUE,"75+")</f>
        <v>30-44</v>
      </c>
      <c r="E1197" t="s">
        <v>29</v>
      </c>
      <c r="F1197">
        <v>2</v>
      </c>
      <c r="G1197" t="str" cm="1">
        <f t="array" ref="G1197">_xlfn.IFS(_xlfn.SINGLE(Table1[imd_decile])&lt;=3,"Most Deprived",F1197&lt;=7,"Moderately Deprived",F1197&lt;=10,"Least Deprived")</f>
        <v>Most Deprived</v>
      </c>
      <c r="H1197">
        <v>1.8</v>
      </c>
      <c r="I1197" t="s">
        <v>91</v>
      </c>
      <c r="J1197" t="s">
        <v>26</v>
      </c>
      <c r="K1197" s="1">
        <v>45817</v>
      </c>
      <c r="L1197" s="1">
        <v>45841</v>
      </c>
      <c r="M1197" s="1" t="str">
        <f>TEXT(Table1[[#This Row],[appointment_date]],"MM/YYYY")</f>
        <v>07/2025</v>
      </c>
      <c r="N1197">
        <v>24</v>
      </c>
      <c r="O1197" t="str" cm="1">
        <f t="array" ref="O1197">_xlfn.IFS(Table1[[#This Row],[lead_time_days]]&lt;=7,"0-7 days",N1197&lt;=14,"8-14 days",N1197&lt;=30,"15-30 days",N1197&lt;=60,"31-60 days",TRUE,"61+ days")</f>
        <v>15-30 days</v>
      </c>
      <c r="P1197" t="s">
        <v>20</v>
      </c>
      <c r="Q1197" t="s">
        <v>32</v>
      </c>
      <c r="R1197">
        <v>0</v>
      </c>
      <c r="S1197" t="str">
        <f>IF(Table1[prior_dna_count]&gt;=1,"Has prior DNA history","No prior DNA history")</f>
        <v>No prior DNA history</v>
      </c>
      <c r="T1197" t="s">
        <v>22</v>
      </c>
      <c r="U1197" t="str">
        <f t="shared" si="18"/>
        <v>1</v>
      </c>
      <c r="V1197" t="str">
        <f>IF(Table1[appointment_status]="Attended","1","0")</f>
        <v>1</v>
      </c>
      <c r="W1197" t="str">
        <f>IF(Table1[appointment_status]="Cancelled","1","0")</f>
        <v>0</v>
      </c>
    </row>
    <row r="1198" spans="1:23">
      <c r="A1198" t="s">
        <v>2093</v>
      </c>
      <c r="B1198" t="s">
        <v>811</v>
      </c>
      <c r="C1198">
        <v>43</v>
      </c>
      <c r="D1198" t="str" cm="1">
        <f t="array" ref="D1198">_xlfn.IFS(Table1[[#This Row],[age]]&lt;=17,"0-17",C1198&lt;=29,"18-29",C1198&lt;=44,"30-44",C1198&lt;=59,"45-59",C1198&lt;=74,"60-74",TRUE,"75+")</f>
        <v>30-44</v>
      </c>
      <c r="E1198" t="s">
        <v>17</v>
      </c>
      <c r="F1198">
        <v>3</v>
      </c>
      <c r="G1198" t="str" cm="1">
        <f t="array" ref="G1198">_xlfn.IFS(_xlfn.SINGLE(Table1[imd_decile])&lt;=3,"Most Deprived",F1198&lt;=7,"Moderately Deprived",F1198&lt;=10,"Least Deprived")</f>
        <v>Most Deprived</v>
      </c>
      <c r="H1198">
        <v>0.8</v>
      </c>
      <c r="I1198" t="s">
        <v>30</v>
      </c>
      <c r="J1198" t="s">
        <v>26</v>
      </c>
      <c r="K1198" s="1">
        <v>45840</v>
      </c>
      <c r="L1198" s="1">
        <v>45841</v>
      </c>
      <c r="M1198" s="1" t="str">
        <f>TEXT(Table1[[#This Row],[appointment_date]],"MM/YYYY")</f>
        <v>07/2025</v>
      </c>
      <c r="N1198">
        <v>1</v>
      </c>
      <c r="O1198" t="str" cm="1">
        <f t="array" ref="O1198">_xlfn.IFS(Table1[[#This Row],[lead_time_days]]&lt;=7,"0-7 days",N1198&lt;=14,"8-14 days",N1198&lt;=30,"15-30 days",N1198&lt;=60,"31-60 days",TRUE,"61+ days")</f>
        <v>0-7 days</v>
      </c>
      <c r="P1198" t="s">
        <v>20</v>
      </c>
      <c r="Q1198" t="s">
        <v>21</v>
      </c>
      <c r="R1198">
        <v>0</v>
      </c>
      <c r="S1198" t="str">
        <f>IF(Table1[prior_dna_count]&gt;=1,"Has prior DNA history","No prior DNA history")</f>
        <v>No prior DNA history</v>
      </c>
      <c r="T1198" t="s">
        <v>39</v>
      </c>
      <c r="U1198" t="str">
        <f t="shared" si="18"/>
        <v>1</v>
      </c>
      <c r="V1198" t="str">
        <f>IF(Table1[appointment_status]="Attended","1","0")</f>
        <v>0</v>
      </c>
      <c r="W1198" t="str">
        <f>IF(Table1[appointment_status]="Cancelled","1","0")</f>
        <v>0</v>
      </c>
    </row>
    <row r="1199" spans="1:23">
      <c r="A1199" t="s">
        <v>2094</v>
      </c>
      <c r="B1199" t="s">
        <v>1823</v>
      </c>
      <c r="C1199">
        <v>19</v>
      </c>
      <c r="D1199" t="str" cm="1">
        <f t="array" ref="D1199">_xlfn.IFS(Table1[[#This Row],[age]]&lt;=17,"0-17",C1199&lt;=29,"18-29",C1199&lt;=44,"30-44",C1199&lt;=59,"45-59",C1199&lt;=74,"60-74",TRUE,"75+")</f>
        <v>18-29</v>
      </c>
      <c r="E1199" t="s">
        <v>29</v>
      </c>
      <c r="F1199">
        <v>7</v>
      </c>
      <c r="G1199" t="str" cm="1">
        <f t="array" ref="G1199">_xlfn.IFS(_xlfn.SINGLE(Table1[imd_decile])&lt;=3,"Most Deprived",F1199&lt;=7,"Moderately Deprived",F1199&lt;=10,"Least Deprived")</f>
        <v>Moderately Deprived</v>
      </c>
      <c r="H1199">
        <v>4.2</v>
      </c>
      <c r="I1199" t="s">
        <v>91</v>
      </c>
      <c r="J1199" t="s">
        <v>19</v>
      </c>
      <c r="K1199" s="1">
        <v>45807</v>
      </c>
      <c r="L1199" s="1">
        <v>45841</v>
      </c>
      <c r="M1199" s="1" t="str">
        <f>TEXT(Table1[[#This Row],[appointment_date]],"MM/YYYY")</f>
        <v>07/2025</v>
      </c>
      <c r="N1199">
        <v>34</v>
      </c>
      <c r="O1199" t="str" cm="1">
        <f t="array" ref="O1199">_xlfn.IFS(Table1[[#This Row],[lead_time_days]]&lt;=7,"0-7 days",N1199&lt;=14,"8-14 days",N1199&lt;=30,"15-30 days",N1199&lt;=60,"31-60 days",TRUE,"61+ days")</f>
        <v>31-60 days</v>
      </c>
      <c r="P1199" t="s">
        <v>20</v>
      </c>
      <c r="Q1199" t="s">
        <v>32</v>
      </c>
      <c r="R1199">
        <v>0</v>
      </c>
      <c r="S1199" t="str">
        <f>IF(Table1[prior_dna_count]&gt;=1,"Has prior DNA history","No prior DNA history")</f>
        <v>No prior DNA history</v>
      </c>
      <c r="T1199" t="s">
        <v>22</v>
      </c>
      <c r="U1199" t="str">
        <f t="shared" si="18"/>
        <v>0</v>
      </c>
      <c r="V1199" t="str">
        <f>IF(Table1[appointment_status]="Attended","1","0")</f>
        <v>1</v>
      </c>
      <c r="W1199" t="str">
        <f>IF(Table1[appointment_status]="Cancelled","1","0")</f>
        <v>0</v>
      </c>
    </row>
    <row r="1200" spans="1:23">
      <c r="A1200" t="s">
        <v>2095</v>
      </c>
      <c r="B1200" t="s">
        <v>605</v>
      </c>
      <c r="C1200">
        <v>51</v>
      </c>
      <c r="D1200" t="str" cm="1">
        <f t="array" ref="D1200">_xlfn.IFS(Table1[[#This Row],[age]]&lt;=17,"0-17",C1200&lt;=29,"18-29",C1200&lt;=44,"30-44",C1200&lt;=59,"45-59",C1200&lt;=74,"60-74",TRUE,"75+")</f>
        <v>45-59</v>
      </c>
      <c r="E1200" t="s">
        <v>29</v>
      </c>
      <c r="F1200">
        <v>10</v>
      </c>
      <c r="G1200" t="str" cm="1">
        <f t="array" ref="G1200">_xlfn.IFS(_xlfn.SINGLE(Table1[imd_decile])&lt;=3,"Most Deprived",F1200&lt;=7,"Moderately Deprived",F1200&lt;=10,"Least Deprived")</f>
        <v>Least Deprived</v>
      </c>
      <c r="H1200">
        <v>7.2</v>
      </c>
      <c r="I1200" t="s">
        <v>18</v>
      </c>
      <c r="J1200" t="s">
        <v>19</v>
      </c>
      <c r="K1200" s="1">
        <v>45830</v>
      </c>
      <c r="L1200" s="1">
        <v>45841</v>
      </c>
      <c r="M1200" s="1" t="str">
        <f>TEXT(Table1[[#This Row],[appointment_date]],"MM/YYYY")</f>
        <v>07/2025</v>
      </c>
      <c r="N1200">
        <v>11</v>
      </c>
      <c r="O1200" t="str" cm="1">
        <f t="array" ref="O1200">_xlfn.IFS(Table1[[#This Row],[lead_time_days]]&lt;=7,"0-7 days",N1200&lt;=14,"8-14 days",N1200&lt;=30,"15-30 days",N1200&lt;=60,"31-60 days",TRUE,"61+ days")</f>
        <v>8-14 days</v>
      </c>
      <c r="P1200" t="s">
        <v>20</v>
      </c>
      <c r="Q1200" t="s">
        <v>21</v>
      </c>
      <c r="R1200">
        <v>0</v>
      </c>
      <c r="S1200" t="str">
        <f>IF(Table1[prior_dna_count]&gt;=1,"Has prior DNA history","No prior DNA history")</f>
        <v>No prior DNA history</v>
      </c>
      <c r="T1200" t="s">
        <v>22</v>
      </c>
      <c r="U1200" t="str">
        <f t="shared" si="18"/>
        <v>1</v>
      </c>
      <c r="V1200" t="str">
        <f>IF(Table1[appointment_status]="Attended","1","0")</f>
        <v>1</v>
      </c>
      <c r="W1200" t="str">
        <f>IF(Table1[appointment_status]="Cancelled","1","0")</f>
        <v>0</v>
      </c>
    </row>
    <row r="1201" spans="1:23">
      <c r="A1201" t="s">
        <v>2096</v>
      </c>
      <c r="B1201" t="s">
        <v>1510</v>
      </c>
      <c r="C1201">
        <v>57</v>
      </c>
      <c r="D1201" t="str" cm="1">
        <f t="array" ref="D1201">_xlfn.IFS(Table1[[#This Row],[age]]&lt;=17,"0-17",C1201&lt;=29,"18-29",C1201&lt;=44,"30-44",C1201&lt;=59,"45-59",C1201&lt;=74,"60-74",TRUE,"75+")</f>
        <v>45-59</v>
      </c>
      <c r="E1201" t="s">
        <v>29</v>
      </c>
      <c r="F1201">
        <v>4</v>
      </c>
      <c r="G1201" t="str" cm="1">
        <f t="array" ref="G1201">_xlfn.IFS(_xlfn.SINGLE(Table1[imd_decile])&lt;=3,"Most Deprived",F1201&lt;=7,"Moderately Deprived",F1201&lt;=10,"Least Deprived")</f>
        <v>Moderately Deprived</v>
      </c>
      <c r="H1201">
        <v>15.8</v>
      </c>
      <c r="I1201" t="s">
        <v>30</v>
      </c>
      <c r="J1201" t="s">
        <v>19</v>
      </c>
      <c r="K1201" s="1">
        <v>45788</v>
      </c>
      <c r="L1201" s="1">
        <v>45841</v>
      </c>
      <c r="M1201" s="1" t="str">
        <f>TEXT(Table1[[#This Row],[appointment_date]],"MM/YYYY")</f>
        <v>07/2025</v>
      </c>
      <c r="N1201">
        <v>53</v>
      </c>
      <c r="O1201" t="str" cm="1">
        <f t="array" ref="O1201">_xlfn.IFS(Table1[[#This Row],[lead_time_days]]&lt;=7,"0-7 days",N1201&lt;=14,"8-14 days",N1201&lt;=30,"15-30 days",N1201&lt;=60,"31-60 days",TRUE,"61+ days")</f>
        <v>31-60 days</v>
      </c>
      <c r="P1201" t="s">
        <v>20</v>
      </c>
      <c r="Q1201" t="s">
        <v>21</v>
      </c>
      <c r="R1201">
        <v>0</v>
      </c>
      <c r="S1201" t="str">
        <f>IF(Table1[prior_dna_count]&gt;=1,"Has prior DNA history","No prior DNA history")</f>
        <v>No prior DNA history</v>
      </c>
      <c r="T1201" t="s">
        <v>22</v>
      </c>
      <c r="U1201" t="str">
        <f t="shared" si="18"/>
        <v>1</v>
      </c>
      <c r="V1201" t="str">
        <f>IF(Table1[appointment_status]="Attended","1","0")</f>
        <v>1</v>
      </c>
      <c r="W1201" t="str">
        <f>IF(Table1[appointment_status]="Cancelled","1","0")</f>
        <v>0</v>
      </c>
    </row>
    <row r="1202" spans="1:23">
      <c r="A1202" t="s">
        <v>2097</v>
      </c>
      <c r="B1202" t="s">
        <v>2098</v>
      </c>
      <c r="C1202">
        <v>60</v>
      </c>
      <c r="D1202" t="str" cm="1">
        <f t="array" ref="D1202">_xlfn.IFS(Table1[[#This Row],[age]]&lt;=17,"0-17",C1202&lt;=29,"18-29",C1202&lt;=44,"30-44",C1202&lt;=59,"45-59",C1202&lt;=74,"60-74",TRUE,"75+")</f>
        <v>60-74</v>
      </c>
      <c r="E1202" t="s">
        <v>29</v>
      </c>
      <c r="F1202">
        <v>9</v>
      </c>
      <c r="G1202" t="str" cm="1">
        <f t="array" ref="G1202">_xlfn.IFS(_xlfn.SINGLE(Table1[imd_decile])&lt;=3,"Most Deprived",F1202&lt;=7,"Moderately Deprived",F1202&lt;=10,"Least Deprived")</f>
        <v>Least Deprived</v>
      </c>
      <c r="H1202">
        <v>8</v>
      </c>
      <c r="I1202" t="s">
        <v>155</v>
      </c>
      <c r="J1202" t="s">
        <v>19</v>
      </c>
      <c r="K1202" s="1">
        <v>45791</v>
      </c>
      <c r="L1202" s="1">
        <v>45841</v>
      </c>
      <c r="M1202" s="1" t="str">
        <f>TEXT(Table1[[#This Row],[appointment_date]],"MM/YYYY")</f>
        <v>07/2025</v>
      </c>
      <c r="N1202">
        <v>50</v>
      </c>
      <c r="O1202" t="str" cm="1">
        <f t="array" ref="O1202">_xlfn.IFS(Table1[[#This Row],[lead_time_days]]&lt;=7,"0-7 days",N1202&lt;=14,"8-14 days",N1202&lt;=30,"15-30 days",N1202&lt;=60,"31-60 days",TRUE,"61+ days")</f>
        <v>31-60 days</v>
      </c>
      <c r="P1202" t="s">
        <v>20</v>
      </c>
      <c r="Q1202" t="s">
        <v>21</v>
      </c>
      <c r="R1202">
        <v>0</v>
      </c>
      <c r="S1202" t="str">
        <f>IF(Table1[prior_dna_count]&gt;=1,"Has prior DNA history","No prior DNA history")</f>
        <v>No prior DNA history</v>
      </c>
      <c r="T1202" t="s">
        <v>22</v>
      </c>
      <c r="U1202" t="str">
        <f t="shared" si="18"/>
        <v>1</v>
      </c>
      <c r="V1202" t="str">
        <f>IF(Table1[appointment_status]="Attended","1","0")</f>
        <v>1</v>
      </c>
      <c r="W1202" t="str">
        <f>IF(Table1[appointment_status]="Cancelled","1","0")</f>
        <v>0</v>
      </c>
    </row>
    <row r="1203" spans="1:23">
      <c r="A1203" t="s">
        <v>2099</v>
      </c>
      <c r="B1203" t="s">
        <v>480</v>
      </c>
      <c r="C1203">
        <v>16</v>
      </c>
      <c r="D1203" t="str" cm="1">
        <f t="array" ref="D1203">_xlfn.IFS(Table1[[#This Row],[age]]&lt;=17,"0-17",C1203&lt;=29,"18-29",C1203&lt;=44,"30-44",C1203&lt;=59,"45-59",C1203&lt;=74,"60-74",TRUE,"75+")</f>
        <v>0-17</v>
      </c>
      <c r="E1203" t="s">
        <v>29</v>
      </c>
      <c r="F1203">
        <v>10</v>
      </c>
      <c r="G1203" t="str" cm="1">
        <f t="array" ref="G1203">_xlfn.IFS(_xlfn.SINGLE(Table1[imd_decile])&lt;=3,"Most Deprived",F1203&lt;=7,"Moderately Deprived",F1203&lt;=10,"Least Deprived")</f>
        <v>Least Deprived</v>
      </c>
      <c r="H1203">
        <v>11.5</v>
      </c>
      <c r="I1203" t="s">
        <v>25</v>
      </c>
      <c r="J1203" t="s">
        <v>19</v>
      </c>
      <c r="K1203" s="1">
        <v>45796</v>
      </c>
      <c r="L1203" s="1">
        <v>45842</v>
      </c>
      <c r="M1203" s="1" t="str">
        <f>TEXT(Table1[[#This Row],[appointment_date]],"MM/YYYY")</f>
        <v>07/2025</v>
      </c>
      <c r="N1203">
        <v>46</v>
      </c>
      <c r="O1203" t="str" cm="1">
        <f t="array" ref="O1203">_xlfn.IFS(Table1[[#This Row],[lead_time_days]]&lt;=7,"0-7 days",N1203&lt;=14,"8-14 days",N1203&lt;=30,"15-30 days",N1203&lt;=60,"31-60 days",TRUE,"61+ days")</f>
        <v>31-60 days</v>
      </c>
      <c r="P1203" t="s">
        <v>52</v>
      </c>
      <c r="Q1203" t="s">
        <v>21</v>
      </c>
      <c r="R1203">
        <v>0</v>
      </c>
      <c r="S1203" t="str">
        <f>IF(Table1[prior_dna_count]&gt;=1,"Has prior DNA history","No prior DNA history")</f>
        <v>No prior DNA history</v>
      </c>
      <c r="T1203" t="s">
        <v>22</v>
      </c>
      <c r="U1203" t="str">
        <f t="shared" si="18"/>
        <v>1</v>
      </c>
      <c r="V1203" t="str">
        <f>IF(Table1[appointment_status]="Attended","1","0")</f>
        <v>1</v>
      </c>
      <c r="W1203" t="str">
        <f>IF(Table1[appointment_status]="Cancelled","1","0")</f>
        <v>0</v>
      </c>
    </row>
    <row r="1204" spans="1:23">
      <c r="A1204" t="s">
        <v>2100</v>
      </c>
      <c r="B1204" t="s">
        <v>1193</v>
      </c>
      <c r="C1204">
        <v>40</v>
      </c>
      <c r="D1204" t="str" cm="1">
        <f t="array" ref="D1204">_xlfn.IFS(Table1[[#This Row],[age]]&lt;=17,"0-17",C1204&lt;=29,"18-29",C1204&lt;=44,"30-44",C1204&lt;=59,"45-59",C1204&lt;=74,"60-74",TRUE,"75+")</f>
        <v>30-44</v>
      </c>
      <c r="E1204" t="s">
        <v>17</v>
      </c>
      <c r="F1204">
        <v>1</v>
      </c>
      <c r="G1204" t="str" cm="1">
        <f t="array" ref="G1204">_xlfn.IFS(_xlfn.SINGLE(Table1[imd_decile])&lt;=3,"Most Deprived",F1204&lt;=7,"Moderately Deprived",F1204&lt;=10,"Least Deprived")</f>
        <v>Most Deprived</v>
      </c>
      <c r="H1204">
        <v>3</v>
      </c>
      <c r="I1204" t="s">
        <v>25</v>
      </c>
      <c r="J1204" t="s">
        <v>19</v>
      </c>
      <c r="K1204" s="1">
        <v>45763</v>
      </c>
      <c r="L1204" s="1">
        <v>45842</v>
      </c>
      <c r="M1204" s="1" t="str">
        <f>TEXT(Table1[[#This Row],[appointment_date]],"MM/YYYY")</f>
        <v>07/2025</v>
      </c>
      <c r="N1204">
        <v>79</v>
      </c>
      <c r="O1204" t="str" cm="1">
        <f t="array" ref="O1204">_xlfn.IFS(Table1[[#This Row],[lead_time_days]]&lt;=7,"0-7 days",N1204&lt;=14,"8-14 days",N1204&lt;=30,"15-30 days",N1204&lt;=60,"31-60 days",TRUE,"61+ days")</f>
        <v>61+ days</v>
      </c>
      <c r="P1204" t="s">
        <v>52</v>
      </c>
      <c r="Q1204" t="s">
        <v>21</v>
      </c>
      <c r="R1204">
        <v>0</v>
      </c>
      <c r="S1204" t="str">
        <f>IF(Table1[prior_dna_count]&gt;=1,"Has prior DNA history","No prior DNA history")</f>
        <v>No prior DNA history</v>
      </c>
      <c r="T1204" t="s">
        <v>22</v>
      </c>
      <c r="U1204" t="str">
        <f t="shared" si="18"/>
        <v>1</v>
      </c>
      <c r="V1204" t="str">
        <f>IF(Table1[appointment_status]="Attended","1","0")</f>
        <v>1</v>
      </c>
      <c r="W1204" t="str">
        <f>IF(Table1[appointment_status]="Cancelled","1","0")</f>
        <v>0</v>
      </c>
    </row>
    <row r="1205" spans="1:23">
      <c r="A1205" t="s">
        <v>2101</v>
      </c>
      <c r="B1205" t="s">
        <v>1102</v>
      </c>
      <c r="C1205">
        <v>9</v>
      </c>
      <c r="D1205" t="str" cm="1">
        <f t="array" ref="D1205">_xlfn.IFS(Table1[[#This Row],[age]]&lt;=17,"0-17",C1205&lt;=29,"18-29",C1205&lt;=44,"30-44",C1205&lt;=59,"45-59",C1205&lt;=74,"60-74",TRUE,"75+")</f>
        <v>0-17</v>
      </c>
      <c r="E1205" t="s">
        <v>17</v>
      </c>
      <c r="F1205">
        <v>4</v>
      </c>
      <c r="G1205" t="str" cm="1">
        <f t="array" ref="G1205">_xlfn.IFS(_xlfn.SINGLE(Table1[imd_decile])&lt;=3,"Most Deprived",F1205&lt;=7,"Moderately Deprived",F1205&lt;=10,"Least Deprived")</f>
        <v>Moderately Deprived</v>
      </c>
      <c r="H1205">
        <v>5.7</v>
      </c>
      <c r="I1205" t="s">
        <v>30</v>
      </c>
      <c r="J1205" t="s">
        <v>19</v>
      </c>
      <c r="K1205" s="1">
        <v>45800</v>
      </c>
      <c r="L1205" s="1">
        <v>45842</v>
      </c>
      <c r="M1205" s="1" t="str">
        <f>TEXT(Table1[[#This Row],[appointment_date]],"MM/YYYY")</f>
        <v>07/2025</v>
      </c>
      <c r="N1205">
        <v>42</v>
      </c>
      <c r="O1205" t="str" cm="1">
        <f t="array" ref="O1205">_xlfn.IFS(Table1[[#This Row],[lead_time_days]]&lt;=7,"0-7 days",N1205&lt;=14,"8-14 days",N1205&lt;=30,"15-30 days",N1205&lt;=60,"31-60 days",TRUE,"61+ days")</f>
        <v>31-60 days</v>
      </c>
      <c r="P1205" t="s">
        <v>52</v>
      </c>
      <c r="Q1205" t="s">
        <v>32</v>
      </c>
      <c r="R1205">
        <v>0</v>
      </c>
      <c r="S1205" t="str">
        <f>IF(Table1[prior_dna_count]&gt;=1,"Has prior DNA history","No prior DNA history")</f>
        <v>No prior DNA history</v>
      </c>
      <c r="T1205" t="s">
        <v>39</v>
      </c>
      <c r="U1205" t="str">
        <f t="shared" si="18"/>
        <v>1</v>
      </c>
      <c r="V1205" t="str">
        <f>IF(Table1[appointment_status]="Attended","1","0")</f>
        <v>0</v>
      </c>
      <c r="W1205" t="str">
        <f>IF(Table1[appointment_status]="Cancelled","1","0")</f>
        <v>0</v>
      </c>
    </row>
    <row r="1206" spans="1:23">
      <c r="A1206" t="s">
        <v>2102</v>
      </c>
      <c r="B1206" t="s">
        <v>482</v>
      </c>
      <c r="C1206">
        <v>54</v>
      </c>
      <c r="D1206" t="str" cm="1">
        <f t="array" ref="D1206">_xlfn.IFS(Table1[[#This Row],[age]]&lt;=17,"0-17",C1206&lt;=29,"18-29",C1206&lt;=44,"30-44",C1206&lt;=59,"45-59",C1206&lt;=74,"60-74",TRUE,"75+")</f>
        <v>45-59</v>
      </c>
      <c r="E1206" t="s">
        <v>29</v>
      </c>
      <c r="F1206">
        <v>6</v>
      </c>
      <c r="G1206" t="str" cm="1">
        <f t="array" ref="G1206">_xlfn.IFS(_xlfn.SINGLE(Table1[imd_decile])&lt;=3,"Most Deprived",F1206&lt;=7,"Moderately Deprived",F1206&lt;=10,"Least Deprived")</f>
        <v>Moderately Deprived</v>
      </c>
      <c r="H1206">
        <v>4.2</v>
      </c>
      <c r="I1206" t="s">
        <v>58</v>
      </c>
      <c r="J1206" t="s">
        <v>26</v>
      </c>
      <c r="K1206" s="1">
        <v>45813</v>
      </c>
      <c r="L1206" s="1">
        <v>45842</v>
      </c>
      <c r="M1206" s="1" t="str">
        <f>TEXT(Table1[[#This Row],[appointment_date]],"MM/YYYY")</f>
        <v>07/2025</v>
      </c>
      <c r="N1206">
        <v>29</v>
      </c>
      <c r="O1206" t="str" cm="1">
        <f t="array" ref="O1206">_xlfn.IFS(Table1[[#This Row],[lead_time_days]]&lt;=7,"0-7 days",N1206&lt;=14,"8-14 days",N1206&lt;=30,"15-30 days",N1206&lt;=60,"31-60 days",TRUE,"61+ days")</f>
        <v>15-30 days</v>
      </c>
      <c r="P1206" t="s">
        <v>52</v>
      </c>
      <c r="Q1206" t="s">
        <v>21</v>
      </c>
      <c r="R1206">
        <v>0</v>
      </c>
      <c r="S1206" t="str">
        <f>IF(Table1[prior_dna_count]&gt;=1,"Has prior DNA history","No prior DNA history")</f>
        <v>No prior DNA history</v>
      </c>
      <c r="T1206" t="s">
        <v>22</v>
      </c>
      <c r="U1206" t="str">
        <f t="shared" si="18"/>
        <v>0</v>
      </c>
      <c r="V1206" t="str">
        <f>IF(Table1[appointment_status]="Attended","1","0")</f>
        <v>1</v>
      </c>
      <c r="W1206" t="str">
        <f>IF(Table1[appointment_status]="Cancelled","1","0")</f>
        <v>0</v>
      </c>
    </row>
    <row r="1207" spans="1:23">
      <c r="A1207" t="s">
        <v>2103</v>
      </c>
      <c r="B1207" t="s">
        <v>2104</v>
      </c>
      <c r="C1207">
        <v>62</v>
      </c>
      <c r="D1207" t="str" cm="1">
        <f t="array" ref="D1207">_xlfn.IFS(Table1[[#This Row],[age]]&lt;=17,"0-17",C1207&lt;=29,"18-29",C1207&lt;=44,"30-44",C1207&lt;=59,"45-59",C1207&lt;=74,"60-74",TRUE,"75+")</f>
        <v>60-74</v>
      </c>
      <c r="E1207" t="s">
        <v>17</v>
      </c>
      <c r="F1207">
        <v>6</v>
      </c>
      <c r="G1207" t="str" cm="1">
        <f t="array" ref="G1207">_xlfn.IFS(_xlfn.SINGLE(Table1[imd_decile])&lt;=3,"Most Deprived",F1207&lt;=7,"Moderately Deprived",F1207&lt;=10,"Least Deprived")</f>
        <v>Moderately Deprived</v>
      </c>
      <c r="H1207">
        <v>4</v>
      </c>
      <c r="I1207" t="s">
        <v>25</v>
      </c>
      <c r="J1207" t="s">
        <v>19</v>
      </c>
      <c r="K1207" s="1">
        <v>45809</v>
      </c>
      <c r="L1207" s="1">
        <v>45842</v>
      </c>
      <c r="M1207" s="1" t="str">
        <f>TEXT(Table1[[#This Row],[appointment_date]],"MM/YYYY")</f>
        <v>07/2025</v>
      </c>
      <c r="N1207">
        <v>33</v>
      </c>
      <c r="O1207" t="str" cm="1">
        <f t="array" ref="O1207">_xlfn.IFS(Table1[[#This Row],[lead_time_days]]&lt;=7,"0-7 days",N1207&lt;=14,"8-14 days",N1207&lt;=30,"15-30 days",N1207&lt;=60,"31-60 days",TRUE,"61+ days")</f>
        <v>31-60 days</v>
      </c>
      <c r="P1207" t="s">
        <v>52</v>
      </c>
      <c r="Q1207" t="s">
        <v>21</v>
      </c>
      <c r="R1207">
        <v>0</v>
      </c>
      <c r="S1207" t="str">
        <f>IF(Table1[prior_dna_count]&gt;=1,"Has prior DNA history","No prior DNA history")</f>
        <v>No prior DNA history</v>
      </c>
      <c r="T1207" t="s">
        <v>46</v>
      </c>
      <c r="U1207" t="str">
        <f t="shared" si="18"/>
        <v>1</v>
      </c>
      <c r="V1207" t="str">
        <f>IF(Table1[appointment_status]="Attended","1","0")</f>
        <v>0</v>
      </c>
      <c r="W1207" t="str">
        <f>IF(Table1[appointment_status]="Cancelled","1","0")</f>
        <v>1</v>
      </c>
    </row>
    <row r="1208" spans="1:23">
      <c r="A1208" t="s">
        <v>2105</v>
      </c>
      <c r="B1208" t="s">
        <v>930</v>
      </c>
      <c r="C1208">
        <v>60</v>
      </c>
      <c r="D1208" t="str" cm="1">
        <f t="array" ref="D1208">_xlfn.IFS(Table1[[#This Row],[age]]&lt;=17,"0-17",C1208&lt;=29,"18-29",C1208&lt;=44,"30-44",C1208&lt;=59,"45-59",C1208&lt;=74,"60-74",TRUE,"75+")</f>
        <v>60-74</v>
      </c>
      <c r="E1208" t="s">
        <v>29</v>
      </c>
      <c r="F1208">
        <v>7</v>
      </c>
      <c r="G1208" t="str" cm="1">
        <f t="array" ref="G1208">_xlfn.IFS(_xlfn.SINGLE(Table1[imd_decile])&lt;=3,"Most Deprived",F1208&lt;=7,"Moderately Deprived",F1208&lt;=10,"Least Deprived")</f>
        <v>Moderately Deprived</v>
      </c>
      <c r="H1208">
        <v>4.5999999999999996</v>
      </c>
      <c r="I1208" t="s">
        <v>49</v>
      </c>
      <c r="J1208" t="s">
        <v>26</v>
      </c>
      <c r="K1208" s="1">
        <v>45837</v>
      </c>
      <c r="L1208" s="1">
        <v>45842</v>
      </c>
      <c r="M1208" s="1" t="str">
        <f>TEXT(Table1[[#This Row],[appointment_date]],"MM/YYYY")</f>
        <v>07/2025</v>
      </c>
      <c r="N1208">
        <v>5</v>
      </c>
      <c r="O1208" t="str" cm="1">
        <f t="array" ref="O1208">_xlfn.IFS(Table1[[#This Row],[lead_time_days]]&lt;=7,"0-7 days",N1208&lt;=14,"8-14 days",N1208&lt;=30,"15-30 days",N1208&lt;=60,"31-60 days",TRUE,"61+ days")</f>
        <v>0-7 days</v>
      </c>
      <c r="P1208" t="s">
        <v>52</v>
      </c>
      <c r="Q1208" t="s">
        <v>32</v>
      </c>
      <c r="R1208">
        <v>0</v>
      </c>
      <c r="S1208" t="str">
        <f>IF(Table1[prior_dna_count]&gt;=1,"Has prior DNA history","No prior DNA history")</f>
        <v>No prior DNA history</v>
      </c>
      <c r="T1208" t="s">
        <v>22</v>
      </c>
      <c r="U1208" t="str">
        <f t="shared" si="18"/>
        <v>0</v>
      </c>
      <c r="V1208" t="str">
        <f>IF(Table1[appointment_status]="Attended","1","0")</f>
        <v>1</v>
      </c>
      <c r="W1208" t="str">
        <f>IF(Table1[appointment_status]="Cancelled","1","0")</f>
        <v>0</v>
      </c>
    </row>
    <row r="1209" spans="1:23">
      <c r="A1209" t="s">
        <v>2106</v>
      </c>
      <c r="B1209" t="s">
        <v>2107</v>
      </c>
      <c r="C1209">
        <v>2</v>
      </c>
      <c r="D1209" t="str" cm="1">
        <f t="array" ref="D1209">_xlfn.IFS(Table1[[#This Row],[age]]&lt;=17,"0-17",C1209&lt;=29,"18-29",C1209&lt;=44,"30-44",C1209&lt;=59,"45-59",C1209&lt;=74,"60-74",TRUE,"75+")</f>
        <v>0-17</v>
      </c>
      <c r="E1209" t="s">
        <v>17</v>
      </c>
      <c r="F1209">
        <v>5</v>
      </c>
      <c r="G1209" t="str" cm="1">
        <f t="array" ref="G1209">_xlfn.IFS(_xlfn.SINGLE(Table1[imd_decile])&lt;=3,"Most Deprived",F1209&lt;=7,"Moderately Deprived",F1209&lt;=10,"Least Deprived")</f>
        <v>Moderately Deprived</v>
      </c>
      <c r="H1209">
        <v>11.6</v>
      </c>
      <c r="I1209" t="s">
        <v>45</v>
      </c>
      <c r="J1209" t="s">
        <v>19</v>
      </c>
      <c r="K1209" s="1">
        <v>45825</v>
      </c>
      <c r="L1209" s="1">
        <v>45842</v>
      </c>
      <c r="M1209" s="1" t="str">
        <f>TEXT(Table1[[#This Row],[appointment_date]],"MM/YYYY")</f>
        <v>07/2025</v>
      </c>
      <c r="N1209">
        <v>17</v>
      </c>
      <c r="O1209" t="str" cm="1">
        <f t="array" ref="O1209">_xlfn.IFS(Table1[[#This Row],[lead_time_days]]&lt;=7,"0-7 days",N1209&lt;=14,"8-14 days",N1209&lt;=30,"15-30 days",N1209&lt;=60,"31-60 days",TRUE,"61+ days")</f>
        <v>15-30 days</v>
      </c>
      <c r="P1209" t="s">
        <v>52</v>
      </c>
      <c r="Q1209" t="s">
        <v>21</v>
      </c>
      <c r="R1209">
        <v>0</v>
      </c>
      <c r="S1209" t="str">
        <f>IF(Table1[prior_dna_count]&gt;=1,"Has prior DNA history","No prior DNA history")</f>
        <v>No prior DNA history</v>
      </c>
      <c r="T1209" t="s">
        <v>46</v>
      </c>
      <c r="U1209" t="str">
        <f t="shared" si="18"/>
        <v>1</v>
      </c>
      <c r="V1209" t="str">
        <f>IF(Table1[appointment_status]="Attended","1","0")</f>
        <v>0</v>
      </c>
      <c r="W1209" t="str">
        <f>IF(Table1[appointment_status]="Cancelled","1","0")</f>
        <v>1</v>
      </c>
    </row>
    <row r="1210" spans="1:23">
      <c r="A1210" t="s">
        <v>2108</v>
      </c>
      <c r="B1210" t="s">
        <v>2109</v>
      </c>
      <c r="C1210">
        <v>95</v>
      </c>
      <c r="D1210" t="str" cm="1">
        <f t="array" ref="D1210">_xlfn.IFS(Table1[[#This Row],[age]]&lt;=17,"0-17",C1210&lt;=29,"18-29",C1210&lt;=44,"30-44",C1210&lt;=59,"45-59",C1210&lt;=74,"60-74",TRUE,"75+")</f>
        <v>75+</v>
      </c>
      <c r="E1210" t="s">
        <v>29</v>
      </c>
      <c r="F1210">
        <v>1</v>
      </c>
      <c r="G1210" t="str" cm="1">
        <f t="array" ref="G1210">_xlfn.IFS(_xlfn.SINGLE(Table1[imd_decile])&lt;=3,"Most Deprived",F1210&lt;=7,"Moderately Deprived",F1210&lt;=10,"Least Deprived")</f>
        <v>Most Deprived</v>
      </c>
      <c r="H1210">
        <v>2.2999999999999998</v>
      </c>
      <c r="I1210" t="s">
        <v>58</v>
      </c>
      <c r="J1210" t="s">
        <v>19</v>
      </c>
      <c r="K1210" s="1">
        <v>45833</v>
      </c>
      <c r="L1210" s="1">
        <v>45843</v>
      </c>
      <c r="M1210" s="1" t="str">
        <f>TEXT(Table1[[#This Row],[appointment_date]],"MM/YYYY")</f>
        <v>07/2025</v>
      </c>
      <c r="N1210">
        <v>10</v>
      </c>
      <c r="O1210" t="str" cm="1">
        <f t="array" ref="O1210">_xlfn.IFS(Table1[[#This Row],[lead_time_days]]&lt;=7,"0-7 days",N1210&lt;=14,"8-14 days",N1210&lt;=30,"15-30 days",N1210&lt;=60,"31-60 days",TRUE,"61+ days")</f>
        <v>8-14 days</v>
      </c>
      <c r="P1210" t="s">
        <v>55</v>
      </c>
      <c r="Q1210" t="s">
        <v>32</v>
      </c>
      <c r="R1210">
        <v>0</v>
      </c>
      <c r="S1210" t="str">
        <f>IF(Table1[prior_dna_count]&gt;=1,"Has prior DNA history","No prior DNA history")</f>
        <v>No prior DNA history</v>
      </c>
      <c r="T1210" t="s">
        <v>22</v>
      </c>
      <c r="U1210" t="str">
        <f t="shared" si="18"/>
        <v>0</v>
      </c>
      <c r="V1210" t="str">
        <f>IF(Table1[appointment_status]="Attended","1","0")</f>
        <v>1</v>
      </c>
      <c r="W1210" t="str">
        <f>IF(Table1[appointment_status]="Cancelled","1","0")</f>
        <v>0</v>
      </c>
    </row>
    <row r="1211" spans="1:23">
      <c r="A1211" t="s">
        <v>2110</v>
      </c>
      <c r="B1211" t="s">
        <v>776</v>
      </c>
      <c r="C1211">
        <v>31</v>
      </c>
      <c r="D1211" t="str" cm="1">
        <f t="array" ref="D1211">_xlfn.IFS(Table1[[#This Row],[age]]&lt;=17,"0-17",C1211&lt;=29,"18-29",C1211&lt;=44,"30-44",C1211&lt;=59,"45-59",C1211&lt;=74,"60-74",TRUE,"75+")</f>
        <v>30-44</v>
      </c>
      <c r="E1211" t="s">
        <v>29</v>
      </c>
      <c r="F1211">
        <v>7</v>
      </c>
      <c r="G1211" t="str" cm="1">
        <f t="array" ref="G1211">_xlfn.IFS(_xlfn.SINGLE(Table1[imd_decile])&lt;=3,"Most Deprived",F1211&lt;=7,"Moderately Deprived",F1211&lt;=10,"Least Deprived")</f>
        <v>Moderately Deprived</v>
      </c>
      <c r="H1211">
        <v>3.6</v>
      </c>
      <c r="I1211" t="s">
        <v>30</v>
      </c>
      <c r="J1211" t="s">
        <v>26</v>
      </c>
      <c r="K1211" s="1">
        <v>45830</v>
      </c>
      <c r="L1211" s="1">
        <v>45843</v>
      </c>
      <c r="M1211" s="1" t="str">
        <f>TEXT(Table1[[#This Row],[appointment_date]],"MM/YYYY")</f>
        <v>07/2025</v>
      </c>
      <c r="N1211">
        <v>13</v>
      </c>
      <c r="O1211" t="str" cm="1">
        <f t="array" ref="O1211">_xlfn.IFS(Table1[[#This Row],[lead_time_days]]&lt;=7,"0-7 days",N1211&lt;=14,"8-14 days",N1211&lt;=30,"15-30 days",N1211&lt;=60,"31-60 days",TRUE,"61+ days")</f>
        <v>8-14 days</v>
      </c>
      <c r="P1211" t="s">
        <v>55</v>
      </c>
      <c r="Q1211" t="s">
        <v>21</v>
      </c>
      <c r="R1211">
        <v>0</v>
      </c>
      <c r="S1211" t="str">
        <f>IF(Table1[prior_dna_count]&gt;=1,"Has prior DNA history","No prior DNA history")</f>
        <v>No prior DNA history</v>
      </c>
      <c r="T1211" t="s">
        <v>22</v>
      </c>
      <c r="U1211" t="str">
        <f t="shared" si="18"/>
        <v>1</v>
      </c>
      <c r="V1211" t="str">
        <f>IF(Table1[appointment_status]="Attended","1","0")</f>
        <v>1</v>
      </c>
      <c r="W1211" t="str">
        <f>IF(Table1[appointment_status]="Cancelled","1","0")</f>
        <v>0</v>
      </c>
    </row>
    <row r="1212" spans="1:23">
      <c r="A1212" t="s">
        <v>2111</v>
      </c>
      <c r="B1212" t="s">
        <v>1649</v>
      </c>
      <c r="C1212">
        <v>47</v>
      </c>
      <c r="D1212" t="str" cm="1">
        <f t="array" ref="D1212">_xlfn.IFS(Table1[[#This Row],[age]]&lt;=17,"0-17",C1212&lt;=29,"18-29",C1212&lt;=44,"30-44",C1212&lt;=59,"45-59",C1212&lt;=74,"60-74",TRUE,"75+")</f>
        <v>45-59</v>
      </c>
      <c r="E1212" t="s">
        <v>29</v>
      </c>
      <c r="F1212">
        <v>6</v>
      </c>
      <c r="G1212" t="str" cm="1">
        <f t="array" ref="G1212">_xlfn.IFS(_xlfn.SINGLE(Table1[imd_decile])&lt;=3,"Most Deprived",F1212&lt;=7,"Moderately Deprived",F1212&lt;=10,"Least Deprived")</f>
        <v>Moderately Deprived</v>
      </c>
      <c r="H1212">
        <v>13</v>
      </c>
      <c r="I1212" t="s">
        <v>25</v>
      </c>
      <c r="J1212" t="s">
        <v>19</v>
      </c>
      <c r="K1212" s="1">
        <v>45831</v>
      </c>
      <c r="L1212" s="1">
        <v>45843</v>
      </c>
      <c r="M1212" s="1" t="str">
        <f>TEXT(Table1[[#This Row],[appointment_date]],"MM/YYYY")</f>
        <v>07/2025</v>
      </c>
      <c r="N1212">
        <v>12</v>
      </c>
      <c r="O1212" t="str" cm="1">
        <f t="array" ref="O1212">_xlfn.IFS(Table1[[#This Row],[lead_time_days]]&lt;=7,"0-7 days",N1212&lt;=14,"8-14 days",N1212&lt;=30,"15-30 days",N1212&lt;=60,"31-60 days",TRUE,"61+ days")</f>
        <v>8-14 days</v>
      </c>
      <c r="P1212" t="s">
        <v>55</v>
      </c>
      <c r="Q1212" t="s">
        <v>21</v>
      </c>
      <c r="R1212">
        <v>0</v>
      </c>
      <c r="S1212" t="str">
        <f>IF(Table1[prior_dna_count]&gt;=1,"Has prior DNA history","No prior DNA history")</f>
        <v>No prior DNA history</v>
      </c>
      <c r="T1212" t="s">
        <v>22</v>
      </c>
      <c r="U1212" t="str">
        <f t="shared" si="18"/>
        <v>1</v>
      </c>
      <c r="V1212" t="str">
        <f>IF(Table1[appointment_status]="Attended","1","0")</f>
        <v>1</v>
      </c>
      <c r="W1212" t="str">
        <f>IF(Table1[appointment_status]="Cancelled","1","0")</f>
        <v>0</v>
      </c>
    </row>
    <row r="1213" spans="1:23">
      <c r="A1213" t="s">
        <v>2112</v>
      </c>
      <c r="B1213" t="s">
        <v>2092</v>
      </c>
      <c r="C1213">
        <v>32</v>
      </c>
      <c r="D1213" t="str" cm="1">
        <f t="array" ref="D1213">_xlfn.IFS(Table1[[#This Row],[age]]&lt;=17,"0-17",C1213&lt;=29,"18-29",C1213&lt;=44,"30-44",C1213&lt;=59,"45-59",C1213&lt;=74,"60-74",TRUE,"75+")</f>
        <v>30-44</v>
      </c>
      <c r="E1213" t="s">
        <v>29</v>
      </c>
      <c r="F1213">
        <v>2</v>
      </c>
      <c r="G1213" t="str" cm="1">
        <f t="array" ref="G1213">_xlfn.IFS(_xlfn.SINGLE(Table1[imd_decile])&lt;=3,"Most Deprived",F1213&lt;=7,"Moderately Deprived",F1213&lt;=10,"Least Deprived")</f>
        <v>Most Deprived</v>
      </c>
      <c r="H1213">
        <v>1.8</v>
      </c>
      <c r="I1213" t="s">
        <v>45</v>
      </c>
      <c r="J1213" t="s">
        <v>19</v>
      </c>
      <c r="K1213" s="1">
        <v>45815</v>
      </c>
      <c r="L1213" s="1">
        <v>45843</v>
      </c>
      <c r="M1213" s="1" t="str">
        <f>TEXT(Table1[[#This Row],[appointment_date]],"MM/YYYY")</f>
        <v>07/2025</v>
      </c>
      <c r="N1213">
        <v>28</v>
      </c>
      <c r="O1213" t="str" cm="1">
        <f t="array" ref="O1213">_xlfn.IFS(Table1[[#This Row],[lead_time_days]]&lt;=7,"0-7 days",N1213&lt;=14,"8-14 days",N1213&lt;=30,"15-30 days",N1213&lt;=60,"31-60 days",TRUE,"61+ days")</f>
        <v>15-30 days</v>
      </c>
      <c r="P1213" t="s">
        <v>55</v>
      </c>
      <c r="Q1213" t="s">
        <v>32</v>
      </c>
      <c r="R1213">
        <v>0</v>
      </c>
      <c r="S1213" t="str">
        <f>IF(Table1[prior_dna_count]&gt;=1,"Has prior DNA history","No prior DNA history")</f>
        <v>No prior DNA history</v>
      </c>
      <c r="T1213" t="s">
        <v>22</v>
      </c>
      <c r="U1213" t="str">
        <f t="shared" si="18"/>
        <v>1</v>
      </c>
      <c r="V1213" t="str">
        <f>IF(Table1[appointment_status]="Attended","1","0")</f>
        <v>1</v>
      </c>
      <c r="W1213" t="str">
        <f>IF(Table1[appointment_status]="Cancelled","1","0")</f>
        <v>0</v>
      </c>
    </row>
    <row r="1214" spans="1:23">
      <c r="A1214" t="s">
        <v>2113</v>
      </c>
      <c r="B1214" t="s">
        <v>331</v>
      </c>
      <c r="C1214">
        <v>48</v>
      </c>
      <c r="D1214" t="str" cm="1">
        <f t="array" ref="D1214">_xlfn.IFS(Table1[[#This Row],[age]]&lt;=17,"0-17",C1214&lt;=29,"18-29",C1214&lt;=44,"30-44",C1214&lt;=59,"45-59",C1214&lt;=74,"60-74",TRUE,"75+")</f>
        <v>45-59</v>
      </c>
      <c r="E1214" t="s">
        <v>17</v>
      </c>
      <c r="F1214">
        <v>3</v>
      </c>
      <c r="G1214" t="str" cm="1">
        <f t="array" ref="G1214">_xlfn.IFS(_xlfn.SINGLE(Table1[imd_decile])&lt;=3,"Most Deprived",F1214&lt;=7,"Moderately Deprived",F1214&lt;=10,"Least Deprived")</f>
        <v>Most Deprived</v>
      </c>
      <c r="H1214">
        <v>3.7</v>
      </c>
      <c r="I1214" t="s">
        <v>155</v>
      </c>
      <c r="J1214" t="s">
        <v>26</v>
      </c>
      <c r="K1214" s="1">
        <v>45820</v>
      </c>
      <c r="L1214" s="1">
        <v>45843</v>
      </c>
      <c r="M1214" s="1" t="str">
        <f>TEXT(Table1[[#This Row],[appointment_date]],"MM/YYYY")</f>
        <v>07/2025</v>
      </c>
      <c r="N1214">
        <v>23</v>
      </c>
      <c r="O1214" t="str" cm="1">
        <f t="array" ref="O1214">_xlfn.IFS(Table1[[#This Row],[lead_time_days]]&lt;=7,"0-7 days",N1214&lt;=14,"8-14 days",N1214&lt;=30,"15-30 days",N1214&lt;=60,"31-60 days",TRUE,"61+ days")</f>
        <v>15-30 days</v>
      </c>
      <c r="P1214" t="s">
        <v>55</v>
      </c>
      <c r="Q1214" t="s">
        <v>32</v>
      </c>
      <c r="R1214">
        <v>0</v>
      </c>
      <c r="S1214" t="str">
        <f>IF(Table1[prior_dna_count]&gt;=1,"Has prior DNA history","No prior DNA history")</f>
        <v>No prior DNA history</v>
      </c>
      <c r="T1214" t="s">
        <v>22</v>
      </c>
      <c r="U1214" t="str">
        <f t="shared" si="18"/>
        <v>1</v>
      </c>
      <c r="V1214" t="str">
        <f>IF(Table1[appointment_status]="Attended","1","0")</f>
        <v>1</v>
      </c>
      <c r="W1214" t="str">
        <f>IF(Table1[appointment_status]="Cancelled","1","0")</f>
        <v>0</v>
      </c>
    </row>
    <row r="1215" spans="1:23">
      <c r="A1215" t="s">
        <v>2114</v>
      </c>
      <c r="B1215" t="s">
        <v>197</v>
      </c>
      <c r="C1215">
        <v>62</v>
      </c>
      <c r="D1215" t="str" cm="1">
        <f t="array" ref="D1215">_xlfn.IFS(Table1[[#This Row],[age]]&lt;=17,"0-17",C1215&lt;=29,"18-29",C1215&lt;=44,"30-44",C1215&lt;=59,"45-59",C1215&lt;=74,"60-74",TRUE,"75+")</f>
        <v>60-74</v>
      </c>
      <c r="E1215" t="s">
        <v>29</v>
      </c>
      <c r="F1215">
        <v>2</v>
      </c>
      <c r="G1215" t="str" cm="1">
        <f t="array" ref="G1215">_xlfn.IFS(_xlfn.SINGLE(Table1[imd_decile])&lt;=3,"Most Deprived",F1215&lt;=7,"Moderately Deprived",F1215&lt;=10,"Least Deprived")</f>
        <v>Most Deprived</v>
      </c>
      <c r="H1215">
        <v>5.3</v>
      </c>
      <c r="I1215" t="s">
        <v>38</v>
      </c>
      <c r="J1215" t="s">
        <v>26</v>
      </c>
      <c r="K1215" s="1">
        <v>45823</v>
      </c>
      <c r="L1215" s="1">
        <v>45843</v>
      </c>
      <c r="M1215" s="1" t="str">
        <f>TEXT(Table1[[#This Row],[appointment_date]],"MM/YYYY")</f>
        <v>07/2025</v>
      </c>
      <c r="N1215">
        <v>20</v>
      </c>
      <c r="O1215" t="str" cm="1">
        <f t="array" ref="O1215">_xlfn.IFS(Table1[[#This Row],[lead_time_days]]&lt;=7,"0-7 days",N1215&lt;=14,"8-14 days",N1215&lt;=30,"15-30 days",N1215&lt;=60,"31-60 days",TRUE,"61+ days")</f>
        <v>15-30 days</v>
      </c>
      <c r="P1215" t="s">
        <v>55</v>
      </c>
      <c r="Q1215" t="s">
        <v>21</v>
      </c>
      <c r="R1215">
        <v>0</v>
      </c>
      <c r="S1215" t="str">
        <f>IF(Table1[prior_dna_count]&gt;=1,"Has prior DNA history","No prior DNA history")</f>
        <v>No prior DNA history</v>
      </c>
      <c r="T1215" t="s">
        <v>22</v>
      </c>
      <c r="U1215" t="str">
        <f t="shared" si="18"/>
        <v>1</v>
      </c>
      <c r="V1215" t="str">
        <f>IF(Table1[appointment_status]="Attended","1","0")</f>
        <v>1</v>
      </c>
      <c r="W1215" t="str">
        <f>IF(Table1[appointment_status]="Cancelled","1","0")</f>
        <v>0</v>
      </c>
    </row>
    <row r="1216" spans="1:23">
      <c r="A1216" t="s">
        <v>2115</v>
      </c>
      <c r="B1216" t="s">
        <v>2116</v>
      </c>
      <c r="C1216">
        <v>20</v>
      </c>
      <c r="D1216" t="str" cm="1">
        <f t="array" ref="D1216">_xlfn.IFS(Table1[[#This Row],[age]]&lt;=17,"0-17",C1216&lt;=29,"18-29",C1216&lt;=44,"30-44",C1216&lt;=59,"45-59",C1216&lt;=74,"60-74",TRUE,"75+")</f>
        <v>18-29</v>
      </c>
      <c r="E1216" t="s">
        <v>29</v>
      </c>
      <c r="F1216">
        <v>5</v>
      </c>
      <c r="G1216" t="str" cm="1">
        <f t="array" ref="G1216">_xlfn.IFS(_xlfn.SINGLE(Table1[imd_decile])&lt;=3,"Most Deprived",F1216&lt;=7,"Moderately Deprived",F1216&lt;=10,"Least Deprived")</f>
        <v>Moderately Deprived</v>
      </c>
      <c r="H1216">
        <v>16.7</v>
      </c>
      <c r="I1216" t="s">
        <v>42</v>
      </c>
      <c r="J1216" t="s">
        <v>19</v>
      </c>
      <c r="K1216" s="1">
        <v>45810</v>
      </c>
      <c r="L1216" s="1">
        <v>45843</v>
      </c>
      <c r="M1216" s="1" t="str">
        <f>TEXT(Table1[[#This Row],[appointment_date]],"MM/YYYY")</f>
        <v>07/2025</v>
      </c>
      <c r="N1216">
        <v>33</v>
      </c>
      <c r="O1216" t="str" cm="1">
        <f t="array" ref="O1216">_xlfn.IFS(Table1[[#This Row],[lead_time_days]]&lt;=7,"0-7 days",N1216&lt;=14,"8-14 days",N1216&lt;=30,"15-30 days",N1216&lt;=60,"31-60 days",TRUE,"61+ days")</f>
        <v>31-60 days</v>
      </c>
      <c r="P1216" t="s">
        <v>55</v>
      </c>
      <c r="Q1216" t="s">
        <v>32</v>
      </c>
      <c r="R1216">
        <v>0</v>
      </c>
      <c r="S1216" t="str">
        <f>IF(Table1[prior_dna_count]&gt;=1,"Has prior DNA history","No prior DNA history")</f>
        <v>No prior DNA history</v>
      </c>
      <c r="T1216" t="s">
        <v>22</v>
      </c>
      <c r="U1216" t="str">
        <f t="shared" si="18"/>
        <v>1</v>
      </c>
      <c r="V1216" t="str">
        <f>IF(Table1[appointment_status]="Attended","1","0")</f>
        <v>1</v>
      </c>
      <c r="W1216" t="str">
        <f>IF(Table1[appointment_status]="Cancelled","1","0")</f>
        <v>0</v>
      </c>
    </row>
    <row r="1217" spans="1:23">
      <c r="A1217" t="s">
        <v>2117</v>
      </c>
      <c r="B1217" t="s">
        <v>508</v>
      </c>
      <c r="C1217">
        <v>7</v>
      </c>
      <c r="D1217" t="str" cm="1">
        <f t="array" ref="D1217">_xlfn.IFS(Table1[[#This Row],[age]]&lt;=17,"0-17",C1217&lt;=29,"18-29",C1217&lt;=44,"30-44",C1217&lt;=59,"45-59",C1217&lt;=74,"60-74",TRUE,"75+")</f>
        <v>0-17</v>
      </c>
      <c r="E1217" t="s">
        <v>29</v>
      </c>
      <c r="F1217">
        <v>3</v>
      </c>
      <c r="G1217" t="str" cm="1">
        <f t="array" ref="G1217">_xlfn.IFS(_xlfn.SINGLE(Table1[imd_decile])&lt;=3,"Most Deprived",F1217&lt;=7,"Moderately Deprived",F1217&lt;=10,"Least Deprived")</f>
        <v>Most Deprived</v>
      </c>
      <c r="H1217">
        <v>9</v>
      </c>
      <c r="I1217" t="s">
        <v>42</v>
      </c>
      <c r="J1217" t="s">
        <v>26</v>
      </c>
      <c r="K1217" s="1">
        <v>45821</v>
      </c>
      <c r="L1217" s="1">
        <v>45843</v>
      </c>
      <c r="M1217" s="1" t="str">
        <f>TEXT(Table1[[#This Row],[appointment_date]],"MM/YYYY")</f>
        <v>07/2025</v>
      </c>
      <c r="N1217">
        <v>22</v>
      </c>
      <c r="O1217" t="str" cm="1">
        <f t="array" ref="O1217">_xlfn.IFS(Table1[[#This Row],[lead_time_days]]&lt;=7,"0-7 days",N1217&lt;=14,"8-14 days",N1217&lt;=30,"15-30 days",N1217&lt;=60,"31-60 days",TRUE,"61+ days")</f>
        <v>15-30 days</v>
      </c>
      <c r="P1217" t="s">
        <v>55</v>
      </c>
      <c r="Q1217" t="s">
        <v>32</v>
      </c>
      <c r="R1217">
        <v>0</v>
      </c>
      <c r="S1217" t="str">
        <f>IF(Table1[prior_dna_count]&gt;=1,"Has prior DNA history","No prior DNA history")</f>
        <v>No prior DNA history</v>
      </c>
      <c r="T1217" t="s">
        <v>22</v>
      </c>
      <c r="U1217" t="str">
        <f t="shared" si="18"/>
        <v>1</v>
      </c>
      <c r="V1217" t="str">
        <f>IF(Table1[appointment_status]="Attended","1","0")</f>
        <v>1</v>
      </c>
      <c r="W1217" t="str">
        <f>IF(Table1[appointment_status]="Cancelled","1","0")</f>
        <v>0</v>
      </c>
    </row>
    <row r="1218" spans="1:23">
      <c r="A1218" t="s">
        <v>2118</v>
      </c>
      <c r="B1218" t="s">
        <v>2119</v>
      </c>
      <c r="C1218">
        <v>56</v>
      </c>
      <c r="D1218" t="str" cm="1">
        <f t="array" ref="D1218">_xlfn.IFS(Table1[[#This Row],[age]]&lt;=17,"0-17",C1218&lt;=29,"18-29",C1218&lt;=44,"30-44",C1218&lt;=59,"45-59",C1218&lt;=74,"60-74",TRUE,"75+")</f>
        <v>45-59</v>
      </c>
      <c r="E1218" t="s">
        <v>17</v>
      </c>
      <c r="F1218">
        <v>1</v>
      </c>
      <c r="G1218" t="str" cm="1">
        <f t="array" ref="G1218">_xlfn.IFS(_xlfn.SINGLE(Table1[imd_decile])&lt;=3,"Most Deprived",F1218&lt;=7,"Moderately Deprived",F1218&lt;=10,"Least Deprived")</f>
        <v>Most Deprived</v>
      </c>
      <c r="H1218">
        <v>9.6999999999999993</v>
      </c>
      <c r="I1218" t="s">
        <v>25</v>
      </c>
      <c r="J1218" t="s">
        <v>26</v>
      </c>
      <c r="K1218" s="1">
        <v>45831</v>
      </c>
      <c r="L1218" s="1">
        <v>45844</v>
      </c>
      <c r="M1218" s="1" t="str">
        <f>TEXT(Table1[[#This Row],[appointment_date]],"MM/YYYY")</f>
        <v>07/2025</v>
      </c>
      <c r="N1218">
        <v>13</v>
      </c>
      <c r="O1218" t="str" cm="1">
        <f t="array" ref="O1218">_xlfn.IFS(Table1[[#This Row],[lead_time_days]]&lt;=7,"0-7 days",N1218&lt;=14,"8-14 days",N1218&lt;=30,"15-30 days",N1218&lt;=60,"31-60 days",TRUE,"61+ days")</f>
        <v>8-14 days</v>
      </c>
      <c r="P1218" t="s">
        <v>31</v>
      </c>
      <c r="Q1218" t="s">
        <v>32</v>
      </c>
      <c r="R1218">
        <v>0</v>
      </c>
      <c r="S1218" t="str">
        <f>IF(Table1[prior_dna_count]&gt;=1,"Has prior DNA history","No prior DNA history")</f>
        <v>No prior DNA history</v>
      </c>
      <c r="T1218" t="s">
        <v>22</v>
      </c>
      <c r="U1218" t="str">
        <f t="shared" ref="U1218:U1281" si="19">V1217</f>
        <v>1</v>
      </c>
      <c r="V1218" t="str">
        <f>IF(Table1[appointment_status]="Attended","1","0")</f>
        <v>1</v>
      </c>
      <c r="W1218" t="str">
        <f>IF(Table1[appointment_status]="Cancelled","1","0")</f>
        <v>0</v>
      </c>
    </row>
    <row r="1219" spans="1:23">
      <c r="A1219" t="s">
        <v>2120</v>
      </c>
      <c r="B1219" t="s">
        <v>1563</v>
      </c>
      <c r="C1219">
        <v>31</v>
      </c>
      <c r="D1219" t="str" cm="1">
        <f t="array" ref="D1219">_xlfn.IFS(Table1[[#This Row],[age]]&lt;=17,"0-17",C1219&lt;=29,"18-29",C1219&lt;=44,"30-44",C1219&lt;=59,"45-59",C1219&lt;=74,"60-74",TRUE,"75+")</f>
        <v>30-44</v>
      </c>
      <c r="E1219" t="s">
        <v>17</v>
      </c>
      <c r="F1219">
        <v>7</v>
      </c>
      <c r="G1219" t="str" cm="1">
        <f t="array" ref="G1219">_xlfn.IFS(_xlfn.SINGLE(Table1[imd_decile])&lt;=3,"Most Deprived",F1219&lt;=7,"Moderately Deprived",F1219&lt;=10,"Least Deprived")</f>
        <v>Moderately Deprived</v>
      </c>
      <c r="H1219">
        <v>8.8000000000000007</v>
      </c>
      <c r="I1219" t="s">
        <v>49</v>
      </c>
      <c r="J1219" t="s">
        <v>19</v>
      </c>
      <c r="K1219" s="1">
        <v>45808</v>
      </c>
      <c r="L1219" s="1">
        <v>45844</v>
      </c>
      <c r="M1219" s="1" t="str">
        <f>TEXT(Table1[[#This Row],[appointment_date]],"MM/YYYY")</f>
        <v>07/2025</v>
      </c>
      <c r="N1219">
        <v>36</v>
      </c>
      <c r="O1219" t="str" cm="1">
        <f t="array" ref="O1219">_xlfn.IFS(Table1[[#This Row],[lead_time_days]]&lt;=7,"0-7 days",N1219&lt;=14,"8-14 days",N1219&lt;=30,"15-30 days",N1219&lt;=60,"31-60 days",TRUE,"61+ days")</f>
        <v>31-60 days</v>
      </c>
      <c r="P1219" t="s">
        <v>31</v>
      </c>
      <c r="Q1219" t="s">
        <v>21</v>
      </c>
      <c r="R1219">
        <v>0</v>
      </c>
      <c r="S1219" t="str">
        <f>IF(Table1[prior_dna_count]&gt;=1,"Has prior DNA history","No prior DNA history")</f>
        <v>No prior DNA history</v>
      </c>
      <c r="T1219" t="s">
        <v>22</v>
      </c>
      <c r="U1219" t="str">
        <f t="shared" si="19"/>
        <v>1</v>
      </c>
      <c r="V1219" t="str">
        <f>IF(Table1[appointment_status]="Attended","1","0")</f>
        <v>1</v>
      </c>
      <c r="W1219" t="str">
        <f>IF(Table1[appointment_status]="Cancelled","1","0")</f>
        <v>0</v>
      </c>
    </row>
    <row r="1220" spans="1:23">
      <c r="A1220" t="s">
        <v>2121</v>
      </c>
      <c r="B1220" t="s">
        <v>2122</v>
      </c>
      <c r="C1220">
        <v>56</v>
      </c>
      <c r="D1220" t="str" cm="1">
        <f t="array" ref="D1220">_xlfn.IFS(Table1[[#This Row],[age]]&lt;=17,"0-17",C1220&lt;=29,"18-29",C1220&lt;=44,"30-44",C1220&lt;=59,"45-59",C1220&lt;=74,"60-74",TRUE,"75+")</f>
        <v>45-59</v>
      </c>
      <c r="E1220" t="s">
        <v>29</v>
      </c>
      <c r="F1220">
        <v>2</v>
      </c>
      <c r="G1220" t="str" cm="1">
        <f t="array" ref="G1220">_xlfn.IFS(_xlfn.SINGLE(Table1[imd_decile])&lt;=3,"Most Deprived",F1220&lt;=7,"Moderately Deprived",F1220&lt;=10,"Least Deprived")</f>
        <v>Most Deprived</v>
      </c>
      <c r="H1220">
        <v>20</v>
      </c>
      <c r="I1220" t="s">
        <v>25</v>
      </c>
      <c r="J1220" t="s">
        <v>19</v>
      </c>
      <c r="K1220" s="1">
        <v>45816</v>
      </c>
      <c r="L1220" s="1">
        <v>45844</v>
      </c>
      <c r="M1220" s="1" t="str">
        <f>TEXT(Table1[[#This Row],[appointment_date]],"MM/YYYY")</f>
        <v>07/2025</v>
      </c>
      <c r="N1220">
        <v>28</v>
      </c>
      <c r="O1220" t="str" cm="1">
        <f t="array" ref="O1220">_xlfn.IFS(Table1[[#This Row],[lead_time_days]]&lt;=7,"0-7 days",N1220&lt;=14,"8-14 days",N1220&lt;=30,"15-30 days",N1220&lt;=60,"31-60 days",TRUE,"61+ days")</f>
        <v>15-30 days</v>
      </c>
      <c r="P1220" t="s">
        <v>31</v>
      </c>
      <c r="Q1220" t="s">
        <v>21</v>
      </c>
      <c r="R1220">
        <v>0</v>
      </c>
      <c r="S1220" t="str">
        <f>IF(Table1[prior_dna_count]&gt;=1,"Has prior DNA history","No prior DNA history")</f>
        <v>No prior DNA history</v>
      </c>
      <c r="T1220" t="s">
        <v>22</v>
      </c>
      <c r="U1220" t="str">
        <f t="shared" si="19"/>
        <v>1</v>
      </c>
      <c r="V1220" t="str">
        <f>IF(Table1[appointment_status]="Attended","1","0")</f>
        <v>1</v>
      </c>
      <c r="W1220" t="str">
        <f>IF(Table1[appointment_status]="Cancelled","1","0")</f>
        <v>0</v>
      </c>
    </row>
    <row r="1221" spans="1:23">
      <c r="A1221" t="s">
        <v>2123</v>
      </c>
      <c r="B1221" t="s">
        <v>75</v>
      </c>
      <c r="C1221">
        <v>43</v>
      </c>
      <c r="D1221" t="str" cm="1">
        <f t="array" ref="D1221">_xlfn.IFS(Table1[[#This Row],[age]]&lt;=17,"0-17",C1221&lt;=29,"18-29",C1221&lt;=44,"30-44",C1221&lt;=59,"45-59",C1221&lt;=74,"60-74",TRUE,"75+")</f>
        <v>30-44</v>
      </c>
      <c r="E1221" t="s">
        <v>29</v>
      </c>
      <c r="F1221">
        <v>2</v>
      </c>
      <c r="G1221" t="str" cm="1">
        <f t="array" ref="G1221">_xlfn.IFS(_xlfn.SINGLE(Table1[imd_decile])&lt;=3,"Most Deprived",F1221&lt;=7,"Moderately Deprived",F1221&lt;=10,"Least Deprived")</f>
        <v>Most Deprived</v>
      </c>
      <c r="H1221">
        <v>2.2999999999999998</v>
      </c>
      <c r="I1221" t="s">
        <v>30</v>
      </c>
      <c r="J1221" t="s">
        <v>26</v>
      </c>
      <c r="K1221" s="1">
        <v>45831</v>
      </c>
      <c r="L1221" s="1">
        <v>45844</v>
      </c>
      <c r="M1221" s="1" t="str">
        <f>TEXT(Table1[[#This Row],[appointment_date]],"MM/YYYY")</f>
        <v>07/2025</v>
      </c>
      <c r="N1221">
        <v>13</v>
      </c>
      <c r="O1221" t="str" cm="1">
        <f t="array" ref="O1221">_xlfn.IFS(Table1[[#This Row],[lead_time_days]]&lt;=7,"0-7 days",N1221&lt;=14,"8-14 days",N1221&lt;=30,"15-30 days",N1221&lt;=60,"31-60 days",TRUE,"61+ days")</f>
        <v>8-14 days</v>
      </c>
      <c r="P1221" t="s">
        <v>31</v>
      </c>
      <c r="Q1221" t="s">
        <v>21</v>
      </c>
      <c r="R1221">
        <v>0</v>
      </c>
      <c r="S1221" t="str">
        <f>IF(Table1[prior_dna_count]&gt;=1,"Has prior DNA history","No prior DNA history")</f>
        <v>No prior DNA history</v>
      </c>
      <c r="T1221" t="s">
        <v>22</v>
      </c>
      <c r="U1221" t="str">
        <f t="shared" si="19"/>
        <v>1</v>
      </c>
      <c r="V1221" t="str">
        <f>IF(Table1[appointment_status]="Attended","1","0")</f>
        <v>1</v>
      </c>
      <c r="W1221" t="str">
        <f>IF(Table1[appointment_status]="Cancelled","1","0")</f>
        <v>0</v>
      </c>
    </row>
    <row r="1222" spans="1:23">
      <c r="A1222" t="s">
        <v>2124</v>
      </c>
      <c r="B1222" t="s">
        <v>2125</v>
      </c>
      <c r="C1222">
        <v>54</v>
      </c>
      <c r="D1222" t="str" cm="1">
        <f t="array" ref="D1222">_xlfn.IFS(Table1[[#This Row],[age]]&lt;=17,"0-17",C1222&lt;=29,"18-29",C1222&lt;=44,"30-44",C1222&lt;=59,"45-59",C1222&lt;=74,"60-74",TRUE,"75+")</f>
        <v>45-59</v>
      </c>
      <c r="E1222" t="s">
        <v>17</v>
      </c>
      <c r="F1222">
        <v>3</v>
      </c>
      <c r="G1222" t="str" cm="1">
        <f t="array" ref="G1222">_xlfn.IFS(_xlfn.SINGLE(Table1[imd_decile])&lt;=3,"Most Deprived",F1222&lt;=7,"Moderately Deprived",F1222&lt;=10,"Least Deprived")</f>
        <v>Most Deprived</v>
      </c>
      <c r="H1222">
        <v>2.7</v>
      </c>
      <c r="I1222" t="s">
        <v>42</v>
      </c>
      <c r="J1222" t="s">
        <v>26</v>
      </c>
      <c r="K1222" s="1">
        <v>45840</v>
      </c>
      <c r="L1222" s="1">
        <v>45844</v>
      </c>
      <c r="M1222" s="1" t="str">
        <f>TEXT(Table1[[#This Row],[appointment_date]],"MM/YYYY")</f>
        <v>07/2025</v>
      </c>
      <c r="N1222">
        <v>4</v>
      </c>
      <c r="O1222" t="str" cm="1">
        <f t="array" ref="O1222">_xlfn.IFS(Table1[[#This Row],[lead_time_days]]&lt;=7,"0-7 days",N1222&lt;=14,"8-14 days",N1222&lt;=30,"15-30 days",N1222&lt;=60,"31-60 days",TRUE,"61+ days")</f>
        <v>0-7 days</v>
      </c>
      <c r="P1222" t="s">
        <v>31</v>
      </c>
      <c r="Q1222" t="s">
        <v>32</v>
      </c>
      <c r="R1222">
        <v>0</v>
      </c>
      <c r="S1222" t="str">
        <f>IF(Table1[prior_dna_count]&gt;=1,"Has prior DNA history","No prior DNA history")</f>
        <v>No prior DNA history</v>
      </c>
      <c r="T1222" t="s">
        <v>39</v>
      </c>
      <c r="U1222" t="str">
        <f t="shared" si="19"/>
        <v>1</v>
      </c>
      <c r="V1222" t="str">
        <f>IF(Table1[appointment_status]="Attended","1","0")</f>
        <v>0</v>
      </c>
      <c r="W1222" t="str">
        <f>IF(Table1[appointment_status]="Cancelled","1","0")</f>
        <v>0</v>
      </c>
    </row>
    <row r="1223" spans="1:23">
      <c r="A1223" t="s">
        <v>2126</v>
      </c>
      <c r="B1223" t="s">
        <v>2127</v>
      </c>
      <c r="C1223">
        <v>25</v>
      </c>
      <c r="D1223" t="str" cm="1">
        <f t="array" ref="D1223">_xlfn.IFS(Table1[[#This Row],[age]]&lt;=17,"0-17",C1223&lt;=29,"18-29",C1223&lt;=44,"30-44",C1223&lt;=59,"45-59",C1223&lt;=74,"60-74",TRUE,"75+")</f>
        <v>18-29</v>
      </c>
      <c r="E1223" t="s">
        <v>29</v>
      </c>
      <c r="F1223">
        <v>1</v>
      </c>
      <c r="G1223" t="str" cm="1">
        <f t="array" ref="G1223">_xlfn.IFS(_xlfn.SINGLE(Table1[imd_decile])&lt;=3,"Most Deprived",F1223&lt;=7,"Moderately Deprived",F1223&lt;=10,"Least Deprived")</f>
        <v>Most Deprived</v>
      </c>
      <c r="H1223">
        <v>7.3</v>
      </c>
      <c r="I1223" t="s">
        <v>25</v>
      </c>
      <c r="J1223" t="s">
        <v>26</v>
      </c>
      <c r="K1223" s="1">
        <v>45831</v>
      </c>
      <c r="L1223" s="1">
        <v>45845</v>
      </c>
      <c r="M1223" s="1" t="str">
        <f>TEXT(Table1[[#This Row],[appointment_date]],"MM/YYYY")</f>
        <v>07/2025</v>
      </c>
      <c r="N1223">
        <v>14</v>
      </c>
      <c r="O1223" t="str" cm="1">
        <f t="array" ref="O1223">_xlfn.IFS(Table1[[#This Row],[lead_time_days]]&lt;=7,"0-7 days",N1223&lt;=14,"8-14 days",N1223&lt;=30,"15-30 days",N1223&lt;=60,"31-60 days",TRUE,"61+ days")</f>
        <v>8-14 days</v>
      </c>
      <c r="P1223" t="s">
        <v>35</v>
      </c>
      <c r="Q1223" t="s">
        <v>32</v>
      </c>
      <c r="R1223">
        <v>0</v>
      </c>
      <c r="S1223" t="str">
        <f>IF(Table1[prior_dna_count]&gt;=1,"Has prior DNA history","No prior DNA history")</f>
        <v>No prior DNA history</v>
      </c>
      <c r="T1223" t="s">
        <v>39</v>
      </c>
      <c r="U1223" t="str">
        <f t="shared" si="19"/>
        <v>0</v>
      </c>
      <c r="V1223" t="str">
        <f>IF(Table1[appointment_status]="Attended","1","0")</f>
        <v>0</v>
      </c>
      <c r="W1223" t="str">
        <f>IF(Table1[appointment_status]="Cancelled","1","0")</f>
        <v>0</v>
      </c>
    </row>
    <row r="1224" spans="1:23">
      <c r="A1224" t="s">
        <v>2128</v>
      </c>
      <c r="B1224" t="s">
        <v>714</v>
      </c>
      <c r="C1224">
        <v>54</v>
      </c>
      <c r="D1224" t="str" cm="1">
        <f t="array" ref="D1224">_xlfn.IFS(Table1[[#This Row],[age]]&lt;=17,"0-17",C1224&lt;=29,"18-29",C1224&lt;=44,"30-44",C1224&lt;=59,"45-59",C1224&lt;=74,"60-74",TRUE,"75+")</f>
        <v>45-59</v>
      </c>
      <c r="E1224" t="s">
        <v>17</v>
      </c>
      <c r="F1224">
        <v>2</v>
      </c>
      <c r="G1224" t="str" cm="1">
        <f t="array" ref="G1224">_xlfn.IFS(_xlfn.SINGLE(Table1[imd_decile])&lt;=3,"Most Deprived",F1224&lt;=7,"Moderately Deprived",F1224&lt;=10,"Least Deprived")</f>
        <v>Most Deprived</v>
      </c>
      <c r="H1224">
        <v>6.3</v>
      </c>
      <c r="I1224" t="s">
        <v>38</v>
      </c>
      <c r="J1224" t="s">
        <v>19</v>
      </c>
      <c r="K1224" s="1">
        <v>45808</v>
      </c>
      <c r="L1224" s="1">
        <v>45845</v>
      </c>
      <c r="M1224" s="1" t="str">
        <f>TEXT(Table1[[#This Row],[appointment_date]],"MM/YYYY")</f>
        <v>07/2025</v>
      </c>
      <c r="N1224">
        <v>37</v>
      </c>
      <c r="O1224" t="str" cm="1">
        <f t="array" ref="O1224">_xlfn.IFS(Table1[[#This Row],[lead_time_days]]&lt;=7,"0-7 days",N1224&lt;=14,"8-14 days",N1224&lt;=30,"15-30 days",N1224&lt;=60,"31-60 days",TRUE,"61+ days")</f>
        <v>31-60 days</v>
      </c>
      <c r="P1224" t="s">
        <v>35</v>
      </c>
      <c r="Q1224" t="s">
        <v>32</v>
      </c>
      <c r="R1224">
        <v>0</v>
      </c>
      <c r="S1224" t="str">
        <f>IF(Table1[prior_dna_count]&gt;=1,"Has prior DNA history","No prior DNA history")</f>
        <v>No prior DNA history</v>
      </c>
      <c r="T1224" t="s">
        <v>22</v>
      </c>
      <c r="U1224" t="str">
        <f t="shared" si="19"/>
        <v>0</v>
      </c>
      <c r="V1224" t="str">
        <f>IF(Table1[appointment_status]="Attended","1","0")</f>
        <v>1</v>
      </c>
      <c r="W1224" t="str">
        <f>IF(Table1[appointment_status]="Cancelled","1","0")</f>
        <v>0</v>
      </c>
    </row>
    <row r="1225" spans="1:23">
      <c r="A1225" t="s">
        <v>2129</v>
      </c>
      <c r="B1225" t="s">
        <v>2130</v>
      </c>
      <c r="C1225">
        <v>41</v>
      </c>
      <c r="D1225" t="str" cm="1">
        <f t="array" ref="D1225">_xlfn.IFS(Table1[[#This Row],[age]]&lt;=17,"0-17",C1225&lt;=29,"18-29",C1225&lt;=44,"30-44",C1225&lt;=59,"45-59",C1225&lt;=74,"60-74",TRUE,"75+")</f>
        <v>30-44</v>
      </c>
      <c r="E1225" t="s">
        <v>29</v>
      </c>
      <c r="F1225">
        <v>5</v>
      </c>
      <c r="G1225" t="str" cm="1">
        <f t="array" ref="G1225">_xlfn.IFS(_xlfn.SINGLE(Table1[imd_decile])&lt;=3,"Most Deprived",F1225&lt;=7,"Moderately Deprived",F1225&lt;=10,"Least Deprived")</f>
        <v>Moderately Deprived</v>
      </c>
      <c r="H1225">
        <v>9.3000000000000007</v>
      </c>
      <c r="I1225" t="s">
        <v>18</v>
      </c>
      <c r="J1225" t="s">
        <v>26</v>
      </c>
      <c r="K1225" s="1">
        <v>45826</v>
      </c>
      <c r="L1225" s="1">
        <v>45845</v>
      </c>
      <c r="M1225" s="1" t="str">
        <f>TEXT(Table1[[#This Row],[appointment_date]],"MM/YYYY")</f>
        <v>07/2025</v>
      </c>
      <c r="N1225">
        <v>19</v>
      </c>
      <c r="O1225" t="str" cm="1">
        <f t="array" ref="O1225">_xlfn.IFS(Table1[[#This Row],[lead_time_days]]&lt;=7,"0-7 days",N1225&lt;=14,"8-14 days",N1225&lt;=30,"15-30 days",N1225&lt;=60,"31-60 days",TRUE,"61+ days")</f>
        <v>15-30 days</v>
      </c>
      <c r="P1225" t="s">
        <v>35</v>
      </c>
      <c r="Q1225" t="s">
        <v>21</v>
      </c>
      <c r="R1225">
        <v>0</v>
      </c>
      <c r="S1225" t="str">
        <f>IF(Table1[prior_dna_count]&gt;=1,"Has prior DNA history","No prior DNA history")</f>
        <v>No prior DNA history</v>
      </c>
      <c r="T1225" t="s">
        <v>39</v>
      </c>
      <c r="U1225" t="str">
        <f t="shared" si="19"/>
        <v>1</v>
      </c>
      <c r="V1225" t="str">
        <f>IF(Table1[appointment_status]="Attended","1","0")</f>
        <v>0</v>
      </c>
      <c r="W1225" t="str">
        <f>IF(Table1[appointment_status]="Cancelled","1","0")</f>
        <v>0</v>
      </c>
    </row>
    <row r="1226" spans="1:23">
      <c r="A1226" t="s">
        <v>2131</v>
      </c>
      <c r="B1226" t="s">
        <v>103</v>
      </c>
      <c r="C1226">
        <v>31</v>
      </c>
      <c r="D1226" t="str" cm="1">
        <f t="array" ref="D1226">_xlfn.IFS(Table1[[#This Row],[age]]&lt;=17,"0-17",C1226&lt;=29,"18-29",C1226&lt;=44,"30-44",C1226&lt;=59,"45-59",C1226&lt;=74,"60-74",TRUE,"75+")</f>
        <v>30-44</v>
      </c>
      <c r="E1226" t="s">
        <v>29</v>
      </c>
      <c r="F1226">
        <v>9</v>
      </c>
      <c r="G1226" t="str" cm="1">
        <f t="array" ref="G1226">_xlfn.IFS(_xlfn.SINGLE(Table1[imd_decile])&lt;=3,"Most Deprived",F1226&lt;=7,"Moderately Deprived",F1226&lt;=10,"Least Deprived")</f>
        <v>Least Deprived</v>
      </c>
      <c r="H1226">
        <v>6.4</v>
      </c>
      <c r="I1226" t="s">
        <v>155</v>
      </c>
      <c r="J1226" t="s">
        <v>26</v>
      </c>
      <c r="K1226" s="1">
        <v>45824</v>
      </c>
      <c r="L1226" s="1">
        <v>45845</v>
      </c>
      <c r="M1226" s="1" t="str">
        <f>TEXT(Table1[[#This Row],[appointment_date]],"MM/YYYY")</f>
        <v>07/2025</v>
      </c>
      <c r="N1226">
        <v>21</v>
      </c>
      <c r="O1226" t="str" cm="1">
        <f t="array" ref="O1226">_xlfn.IFS(Table1[[#This Row],[lead_time_days]]&lt;=7,"0-7 days",N1226&lt;=14,"8-14 days",N1226&lt;=30,"15-30 days",N1226&lt;=60,"31-60 days",TRUE,"61+ days")</f>
        <v>15-30 days</v>
      </c>
      <c r="P1226" t="s">
        <v>35</v>
      </c>
      <c r="Q1226" t="s">
        <v>32</v>
      </c>
      <c r="R1226">
        <v>0</v>
      </c>
      <c r="S1226" t="str">
        <f>IF(Table1[prior_dna_count]&gt;=1,"Has prior DNA history","No prior DNA history")</f>
        <v>No prior DNA history</v>
      </c>
      <c r="T1226" t="s">
        <v>39</v>
      </c>
      <c r="U1226" t="str">
        <f t="shared" si="19"/>
        <v>0</v>
      </c>
      <c r="V1226" t="str">
        <f>IF(Table1[appointment_status]="Attended","1","0")</f>
        <v>0</v>
      </c>
      <c r="W1226" t="str">
        <f>IF(Table1[appointment_status]="Cancelled","1","0")</f>
        <v>0</v>
      </c>
    </row>
    <row r="1227" spans="1:23">
      <c r="A1227" t="s">
        <v>2132</v>
      </c>
      <c r="B1227" t="s">
        <v>2133</v>
      </c>
      <c r="C1227">
        <v>87</v>
      </c>
      <c r="D1227" t="str" cm="1">
        <f t="array" ref="D1227">_xlfn.IFS(Table1[[#This Row],[age]]&lt;=17,"0-17",C1227&lt;=29,"18-29",C1227&lt;=44,"30-44",C1227&lt;=59,"45-59",C1227&lt;=74,"60-74",TRUE,"75+")</f>
        <v>75+</v>
      </c>
      <c r="E1227" t="s">
        <v>29</v>
      </c>
      <c r="F1227">
        <v>1</v>
      </c>
      <c r="G1227" t="str" cm="1">
        <f t="array" ref="G1227">_xlfn.IFS(_xlfn.SINGLE(Table1[imd_decile])&lt;=3,"Most Deprived",F1227&lt;=7,"Moderately Deprived",F1227&lt;=10,"Least Deprived")</f>
        <v>Most Deprived</v>
      </c>
      <c r="H1227">
        <v>2.6</v>
      </c>
      <c r="I1227" t="s">
        <v>42</v>
      </c>
      <c r="J1227" t="s">
        <v>19</v>
      </c>
      <c r="K1227" s="1">
        <v>45828</v>
      </c>
      <c r="L1227" s="1">
        <v>45845</v>
      </c>
      <c r="M1227" s="1" t="str">
        <f>TEXT(Table1[[#This Row],[appointment_date]],"MM/YYYY")</f>
        <v>07/2025</v>
      </c>
      <c r="N1227">
        <v>17</v>
      </c>
      <c r="O1227" t="str" cm="1">
        <f t="array" ref="O1227">_xlfn.IFS(Table1[[#This Row],[lead_time_days]]&lt;=7,"0-7 days",N1227&lt;=14,"8-14 days",N1227&lt;=30,"15-30 days",N1227&lt;=60,"31-60 days",TRUE,"61+ days")</f>
        <v>15-30 days</v>
      </c>
      <c r="P1227" t="s">
        <v>35</v>
      </c>
      <c r="Q1227" t="s">
        <v>32</v>
      </c>
      <c r="R1227">
        <v>0</v>
      </c>
      <c r="S1227" t="str">
        <f>IF(Table1[prior_dna_count]&gt;=1,"Has prior DNA history","No prior DNA history")</f>
        <v>No prior DNA history</v>
      </c>
      <c r="T1227" t="s">
        <v>39</v>
      </c>
      <c r="U1227" t="str">
        <f t="shared" si="19"/>
        <v>0</v>
      </c>
      <c r="V1227" t="str">
        <f>IF(Table1[appointment_status]="Attended","1","0")</f>
        <v>0</v>
      </c>
      <c r="W1227" t="str">
        <f>IF(Table1[appointment_status]="Cancelled","1","0")</f>
        <v>0</v>
      </c>
    </row>
    <row r="1228" spans="1:23">
      <c r="A1228" t="s">
        <v>2134</v>
      </c>
      <c r="B1228" t="s">
        <v>1546</v>
      </c>
      <c r="C1228">
        <v>73</v>
      </c>
      <c r="D1228" t="str" cm="1">
        <f t="array" ref="D1228">_xlfn.IFS(Table1[[#This Row],[age]]&lt;=17,"0-17",C1228&lt;=29,"18-29",C1228&lt;=44,"30-44",C1228&lt;=59,"45-59",C1228&lt;=74,"60-74",TRUE,"75+")</f>
        <v>60-74</v>
      </c>
      <c r="E1228" t="s">
        <v>29</v>
      </c>
      <c r="F1228">
        <v>6</v>
      </c>
      <c r="G1228" t="str" cm="1">
        <f t="array" ref="G1228">_xlfn.IFS(_xlfn.SINGLE(Table1[imd_decile])&lt;=3,"Most Deprived",F1228&lt;=7,"Moderately Deprived",F1228&lt;=10,"Least Deprived")</f>
        <v>Moderately Deprived</v>
      </c>
      <c r="H1228">
        <v>9.4</v>
      </c>
      <c r="I1228" t="s">
        <v>49</v>
      </c>
      <c r="J1228" t="s">
        <v>26</v>
      </c>
      <c r="K1228" s="1">
        <v>45830</v>
      </c>
      <c r="L1228" s="1">
        <v>45845</v>
      </c>
      <c r="M1228" s="1" t="str">
        <f>TEXT(Table1[[#This Row],[appointment_date]],"MM/YYYY")</f>
        <v>07/2025</v>
      </c>
      <c r="N1228">
        <v>15</v>
      </c>
      <c r="O1228" t="str" cm="1">
        <f t="array" ref="O1228">_xlfn.IFS(Table1[[#This Row],[lead_time_days]]&lt;=7,"0-7 days",N1228&lt;=14,"8-14 days",N1228&lt;=30,"15-30 days",N1228&lt;=60,"31-60 days",TRUE,"61+ days")</f>
        <v>15-30 days</v>
      </c>
      <c r="P1228" t="s">
        <v>35</v>
      </c>
      <c r="Q1228" t="s">
        <v>32</v>
      </c>
      <c r="R1228">
        <v>0</v>
      </c>
      <c r="S1228" t="str">
        <f>IF(Table1[prior_dna_count]&gt;=1,"Has prior DNA history","No prior DNA history")</f>
        <v>No prior DNA history</v>
      </c>
      <c r="T1228" t="s">
        <v>22</v>
      </c>
      <c r="U1228" t="str">
        <f t="shared" si="19"/>
        <v>0</v>
      </c>
      <c r="V1228" t="str">
        <f>IF(Table1[appointment_status]="Attended","1","0")</f>
        <v>1</v>
      </c>
      <c r="W1228" t="str">
        <f>IF(Table1[appointment_status]="Cancelled","1","0")</f>
        <v>0</v>
      </c>
    </row>
    <row r="1229" spans="1:23">
      <c r="A1229" t="s">
        <v>2135</v>
      </c>
      <c r="B1229" t="s">
        <v>2136</v>
      </c>
      <c r="C1229">
        <v>36</v>
      </c>
      <c r="D1229" t="str" cm="1">
        <f t="array" ref="D1229">_xlfn.IFS(Table1[[#This Row],[age]]&lt;=17,"0-17",C1229&lt;=29,"18-29",C1229&lt;=44,"30-44",C1229&lt;=59,"45-59",C1229&lt;=74,"60-74",TRUE,"75+")</f>
        <v>30-44</v>
      </c>
      <c r="E1229" t="s">
        <v>17</v>
      </c>
      <c r="F1229">
        <v>2</v>
      </c>
      <c r="G1229" t="str" cm="1">
        <f t="array" ref="G1229">_xlfn.IFS(_xlfn.SINGLE(Table1[imd_decile])&lt;=3,"Most Deprived",F1229&lt;=7,"Moderately Deprived",F1229&lt;=10,"Least Deprived")</f>
        <v>Most Deprived</v>
      </c>
      <c r="H1229">
        <v>6.3</v>
      </c>
      <c r="I1229" t="s">
        <v>42</v>
      </c>
      <c r="J1229" t="s">
        <v>19</v>
      </c>
      <c r="K1229" s="1">
        <v>45823</v>
      </c>
      <c r="L1229" s="1">
        <v>45845</v>
      </c>
      <c r="M1229" s="1" t="str">
        <f>TEXT(Table1[[#This Row],[appointment_date]],"MM/YYYY")</f>
        <v>07/2025</v>
      </c>
      <c r="N1229">
        <v>22</v>
      </c>
      <c r="O1229" t="str" cm="1">
        <f t="array" ref="O1229">_xlfn.IFS(Table1[[#This Row],[lead_time_days]]&lt;=7,"0-7 days",N1229&lt;=14,"8-14 days",N1229&lt;=30,"15-30 days",N1229&lt;=60,"31-60 days",TRUE,"61+ days")</f>
        <v>15-30 days</v>
      </c>
      <c r="P1229" t="s">
        <v>35</v>
      </c>
      <c r="Q1229" t="s">
        <v>21</v>
      </c>
      <c r="R1229">
        <v>0</v>
      </c>
      <c r="S1229" t="str">
        <f>IF(Table1[prior_dna_count]&gt;=1,"Has prior DNA history","No prior DNA history")</f>
        <v>No prior DNA history</v>
      </c>
      <c r="T1229" t="s">
        <v>22</v>
      </c>
      <c r="U1229" t="str">
        <f t="shared" si="19"/>
        <v>1</v>
      </c>
      <c r="V1229" t="str">
        <f>IF(Table1[appointment_status]="Attended","1","0")</f>
        <v>1</v>
      </c>
      <c r="W1229" t="str">
        <f>IF(Table1[appointment_status]="Cancelled","1","0")</f>
        <v>0</v>
      </c>
    </row>
    <row r="1230" spans="1:23">
      <c r="A1230" t="s">
        <v>2137</v>
      </c>
      <c r="B1230" t="s">
        <v>2138</v>
      </c>
      <c r="C1230">
        <v>24</v>
      </c>
      <c r="D1230" t="str" cm="1">
        <f t="array" ref="D1230">_xlfn.IFS(Table1[[#This Row],[age]]&lt;=17,"0-17",C1230&lt;=29,"18-29",C1230&lt;=44,"30-44",C1230&lt;=59,"45-59",C1230&lt;=74,"60-74",TRUE,"75+")</f>
        <v>18-29</v>
      </c>
      <c r="E1230" t="s">
        <v>17</v>
      </c>
      <c r="F1230">
        <v>6</v>
      </c>
      <c r="G1230" t="str" cm="1">
        <f t="array" ref="G1230">_xlfn.IFS(_xlfn.SINGLE(Table1[imd_decile])&lt;=3,"Most Deprived",F1230&lt;=7,"Moderately Deprived",F1230&lt;=10,"Least Deprived")</f>
        <v>Moderately Deprived</v>
      </c>
      <c r="H1230">
        <v>13.9</v>
      </c>
      <c r="I1230" t="s">
        <v>45</v>
      </c>
      <c r="J1230" t="s">
        <v>19</v>
      </c>
      <c r="K1230" s="1">
        <v>45747</v>
      </c>
      <c r="L1230" s="1">
        <v>45845</v>
      </c>
      <c r="M1230" s="1" t="str">
        <f>TEXT(Table1[[#This Row],[appointment_date]],"MM/YYYY")</f>
        <v>07/2025</v>
      </c>
      <c r="N1230">
        <v>98</v>
      </c>
      <c r="O1230" t="str" cm="1">
        <f t="array" ref="O1230">_xlfn.IFS(Table1[[#This Row],[lead_time_days]]&lt;=7,"0-7 days",N1230&lt;=14,"8-14 days",N1230&lt;=30,"15-30 days",N1230&lt;=60,"31-60 days",TRUE,"61+ days")</f>
        <v>61+ days</v>
      </c>
      <c r="P1230" t="s">
        <v>35</v>
      </c>
      <c r="Q1230" t="s">
        <v>21</v>
      </c>
      <c r="R1230">
        <v>0</v>
      </c>
      <c r="S1230" t="str">
        <f>IF(Table1[prior_dna_count]&gt;=1,"Has prior DNA history","No prior DNA history")</f>
        <v>No prior DNA history</v>
      </c>
      <c r="T1230" t="s">
        <v>22</v>
      </c>
      <c r="U1230" t="str">
        <f t="shared" si="19"/>
        <v>1</v>
      </c>
      <c r="V1230" t="str">
        <f>IF(Table1[appointment_status]="Attended","1","0")</f>
        <v>1</v>
      </c>
      <c r="W1230" t="str">
        <f>IF(Table1[appointment_status]="Cancelled","1","0")</f>
        <v>0</v>
      </c>
    </row>
    <row r="1231" spans="1:23">
      <c r="A1231" t="s">
        <v>2139</v>
      </c>
      <c r="B1231" t="s">
        <v>2140</v>
      </c>
      <c r="C1231">
        <v>42</v>
      </c>
      <c r="D1231" t="str" cm="1">
        <f t="array" ref="D1231">_xlfn.IFS(Table1[[#This Row],[age]]&lt;=17,"0-17",C1231&lt;=29,"18-29",C1231&lt;=44,"30-44",C1231&lt;=59,"45-59",C1231&lt;=74,"60-74",TRUE,"75+")</f>
        <v>30-44</v>
      </c>
      <c r="E1231" t="s">
        <v>17</v>
      </c>
      <c r="F1231">
        <v>10</v>
      </c>
      <c r="G1231" t="str" cm="1">
        <f t="array" ref="G1231">_xlfn.IFS(_xlfn.SINGLE(Table1[imd_decile])&lt;=3,"Most Deprived",F1231&lt;=7,"Moderately Deprived",F1231&lt;=10,"Least Deprived")</f>
        <v>Least Deprived</v>
      </c>
      <c r="H1231">
        <v>2.9</v>
      </c>
      <c r="I1231" t="s">
        <v>91</v>
      </c>
      <c r="J1231" t="s">
        <v>19</v>
      </c>
      <c r="K1231" s="1">
        <v>45805</v>
      </c>
      <c r="L1231" s="1">
        <v>45845</v>
      </c>
      <c r="M1231" s="1" t="str">
        <f>TEXT(Table1[[#This Row],[appointment_date]],"MM/YYYY")</f>
        <v>07/2025</v>
      </c>
      <c r="N1231">
        <v>40</v>
      </c>
      <c r="O1231" t="str" cm="1">
        <f t="array" ref="O1231">_xlfn.IFS(Table1[[#This Row],[lead_time_days]]&lt;=7,"0-7 days",N1231&lt;=14,"8-14 days",N1231&lt;=30,"15-30 days",N1231&lt;=60,"31-60 days",TRUE,"61+ days")</f>
        <v>31-60 days</v>
      </c>
      <c r="P1231" t="s">
        <v>35</v>
      </c>
      <c r="Q1231" t="s">
        <v>21</v>
      </c>
      <c r="R1231">
        <v>0</v>
      </c>
      <c r="S1231" t="str">
        <f>IF(Table1[prior_dna_count]&gt;=1,"Has prior DNA history","No prior DNA history")</f>
        <v>No prior DNA history</v>
      </c>
      <c r="T1231" t="s">
        <v>22</v>
      </c>
      <c r="U1231" t="str">
        <f t="shared" si="19"/>
        <v>1</v>
      </c>
      <c r="V1231" t="str">
        <f>IF(Table1[appointment_status]="Attended","1","0")</f>
        <v>1</v>
      </c>
      <c r="W1231" t="str">
        <f>IF(Table1[appointment_status]="Cancelled","1","0")</f>
        <v>0</v>
      </c>
    </row>
    <row r="1232" spans="1:23">
      <c r="A1232" t="s">
        <v>2141</v>
      </c>
      <c r="B1232" t="s">
        <v>2142</v>
      </c>
      <c r="C1232">
        <v>77</v>
      </c>
      <c r="D1232" t="str" cm="1">
        <f t="array" ref="D1232">_xlfn.IFS(Table1[[#This Row],[age]]&lt;=17,"0-17",C1232&lt;=29,"18-29",C1232&lt;=44,"30-44",C1232&lt;=59,"45-59",C1232&lt;=74,"60-74",TRUE,"75+")</f>
        <v>75+</v>
      </c>
      <c r="E1232" t="s">
        <v>17</v>
      </c>
      <c r="F1232">
        <v>1</v>
      </c>
      <c r="G1232" t="str" cm="1">
        <f t="array" ref="G1232">_xlfn.IFS(_xlfn.SINGLE(Table1[imd_decile])&lt;=3,"Most Deprived",F1232&lt;=7,"Moderately Deprived",F1232&lt;=10,"Least Deprived")</f>
        <v>Most Deprived</v>
      </c>
      <c r="H1232">
        <v>1.4</v>
      </c>
      <c r="I1232" t="s">
        <v>42</v>
      </c>
      <c r="J1232" t="s">
        <v>19</v>
      </c>
      <c r="K1232" s="1">
        <v>45828</v>
      </c>
      <c r="L1232" s="1">
        <v>45845</v>
      </c>
      <c r="M1232" s="1" t="str">
        <f>TEXT(Table1[[#This Row],[appointment_date]],"MM/YYYY")</f>
        <v>07/2025</v>
      </c>
      <c r="N1232">
        <v>17</v>
      </c>
      <c r="O1232" t="str" cm="1">
        <f t="array" ref="O1232">_xlfn.IFS(Table1[[#This Row],[lead_time_days]]&lt;=7,"0-7 days",N1232&lt;=14,"8-14 days",N1232&lt;=30,"15-30 days",N1232&lt;=60,"31-60 days",TRUE,"61+ days")</f>
        <v>15-30 days</v>
      </c>
      <c r="P1232" t="s">
        <v>35</v>
      </c>
      <c r="Q1232" t="s">
        <v>32</v>
      </c>
      <c r="R1232">
        <v>1</v>
      </c>
      <c r="S1232" t="str">
        <f>IF(Table1[prior_dna_count]&gt;=1,"Has prior DNA history","No prior DNA history")</f>
        <v>Has prior DNA history</v>
      </c>
      <c r="T1232" t="s">
        <v>22</v>
      </c>
      <c r="U1232" t="str">
        <f t="shared" si="19"/>
        <v>1</v>
      </c>
      <c r="V1232" t="str">
        <f>IF(Table1[appointment_status]="Attended","1","0")</f>
        <v>1</v>
      </c>
      <c r="W1232" t="str">
        <f>IF(Table1[appointment_status]="Cancelled","1","0")</f>
        <v>0</v>
      </c>
    </row>
    <row r="1233" spans="1:23">
      <c r="A1233" t="s">
        <v>2143</v>
      </c>
      <c r="B1233" t="s">
        <v>337</v>
      </c>
      <c r="C1233">
        <v>67</v>
      </c>
      <c r="D1233" t="str" cm="1">
        <f t="array" ref="D1233">_xlfn.IFS(Table1[[#This Row],[age]]&lt;=17,"0-17",C1233&lt;=29,"18-29",C1233&lt;=44,"30-44",C1233&lt;=59,"45-59",C1233&lt;=74,"60-74",TRUE,"75+")</f>
        <v>60-74</v>
      </c>
      <c r="E1233" t="s">
        <v>17</v>
      </c>
      <c r="F1233">
        <v>5</v>
      </c>
      <c r="G1233" t="str" cm="1">
        <f t="array" ref="G1233">_xlfn.IFS(_xlfn.SINGLE(Table1[imd_decile])&lt;=3,"Most Deprived",F1233&lt;=7,"Moderately Deprived",F1233&lt;=10,"Least Deprived")</f>
        <v>Moderately Deprived</v>
      </c>
      <c r="H1233">
        <v>8</v>
      </c>
      <c r="I1233" t="s">
        <v>25</v>
      </c>
      <c r="J1233" t="s">
        <v>26</v>
      </c>
      <c r="K1233" s="1">
        <v>45803</v>
      </c>
      <c r="L1233" s="1">
        <v>45845</v>
      </c>
      <c r="M1233" s="1" t="str">
        <f>TEXT(Table1[[#This Row],[appointment_date]],"MM/YYYY")</f>
        <v>07/2025</v>
      </c>
      <c r="N1233">
        <v>42</v>
      </c>
      <c r="O1233" t="str" cm="1">
        <f t="array" ref="O1233">_xlfn.IFS(Table1[[#This Row],[lead_time_days]]&lt;=7,"0-7 days",N1233&lt;=14,"8-14 days",N1233&lt;=30,"15-30 days",N1233&lt;=60,"31-60 days",TRUE,"61+ days")</f>
        <v>31-60 days</v>
      </c>
      <c r="P1233" t="s">
        <v>35</v>
      </c>
      <c r="Q1233" t="s">
        <v>21</v>
      </c>
      <c r="R1233">
        <v>0</v>
      </c>
      <c r="S1233" t="str">
        <f>IF(Table1[prior_dna_count]&gt;=1,"Has prior DNA history","No prior DNA history")</f>
        <v>No prior DNA history</v>
      </c>
      <c r="T1233" t="s">
        <v>22</v>
      </c>
      <c r="U1233" t="str">
        <f t="shared" si="19"/>
        <v>1</v>
      </c>
      <c r="V1233" t="str">
        <f>IF(Table1[appointment_status]="Attended","1","0")</f>
        <v>1</v>
      </c>
      <c r="W1233" t="str">
        <f>IF(Table1[appointment_status]="Cancelled","1","0")</f>
        <v>0</v>
      </c>
    </row>
    <row r="1234" spans="1:23">
      <c r="A1234" t="s">
        <v>2144</v>
      </c>
      <c r="B1234" t="s">
        <v>2098</v>
      </c>
      <c r="C1234">
        <v>60</v>
      </c>
      <c r="D1234" t="str" cm="1">
        <f t="array" ref="D1234">_xlfn.IFS(Table1[[#This Row],[age]]&lt;=17,"0-17",C1234&lt;=29,"18-29",C1234&lt;=44,"30-44",C1234&lt;=59,"45-59",C1234&lt;=74,"60-74",TRUE,"75+")</f>
        <v>60-74</v>
      </c>
      <c r="E1234" t="s">
        <v>29</v>
      </c>
      <c r="F1234">
        <v>9</v>
      </c>
      <c r="G1234" t="str" cm="1">
        <f t="array" ref="G1234">_xlfn.IFS(_xlfn.SINGLE(Table1[imd_decile])&lt;=3,"Most Deprived",F1234&lt;=7,"Moderately Deprived",F1234&lt;=10,"Least Deprived")</f>
        <v>Least Deprived</v>
      </c>
      <c r="H1234">
        <v>8</v>
      </c>
      <c r="I1234" t="s">
        <v>45</v>
      </c>
      <c r="J1234" t="s">
        <v>19</v>
      </c>
      <c r="K1234" s="1">
        <v>45824</v>
      </c>
      <c r="L1234" s="1">
        <v>45846</v>
      </c>
      <c r="M1234" s="1" t="str">
        <f>TEXT(Table1[[#This Row],[appointment_date]],"MM/YYYY")</f>
        <v>07/2025</v>
      </c>
      <c r="N1234">
        <v>22</v>
      </c>
      <c r="O1234" t="str" cm="1">
        <f t="array" ref="O1234">_xlfn.IFS(Table1[[#This Row],[lead_time_days]]&lt;=7,"0-7 days",N1234&lt;=14,"8-14 days",N1234&lt;=30,"15-30 days",N1234&lt;=60,"31-60 days",TRUE,"61+ days")</f>
        <v>15-30 days</v>
      </c>
      <c r="P1234" t="s">
        <v>71</v>
      </c>
      <c r="Q1234" t="s">
        <v>32</v>
      </c>
      <c r="R1234">
        <v>0</v>
      </c>
      <c r="S1234" t="str">
        <f>IF(Table1[prior_dna_count]&gt;=1,"Has prior DNA history","No prior DNA history")</f>
        <v>No prior DNA history</v>
      </c>
      <c r="T1234" t="s">
        <v>22</v>
      </c>
      <c r="U1234" t="str">
        <f t="shared" si="19"/>
        <v>1</v>
      </c>
      <c r="V1234" t="str">
        <f>IF(Table1[appointment_status]="Attended","1","0")</f>
        <v>1</v>
      </c>
      <c r="W1234" t="str">
        <f>IF(Table1[appointment_status]="Cancelled","1","0")</f>
        <v>0</v>
      </c>
    </row>
    <row r="1235" spans="1:23">
      <c r="A1235" t="s">
        <v>2145</v>
      </c>
      <c r="B1235" t="s">
        <v>2146</v>
      </c>
      <c r="C1235">
        <v>36</v>
      </c>
      <c r="D1235" t="str" cm="1">
        <f t="array" ref="D1235">_xlfn.IFS(Table1[[#This Row],[age]]&lt;=17,"0-17",C1235&lt;=29,"18-29",C1235&lt;=44,"30-44",C1235&lt;=59,"45-59",C1235&lt;=74,"60-74",TRUE,"75+")</f>
        <v>30-44</v>
      </c>
      <c r="E1235" t="s">
        <v>29</v>
      </c>
      <c r="F1235">
        <v>3</v>
      </c>
      <c r="G1235" t="str" cm="1">
        <f t="array" ref="G1235">_xlfn.IFS(_xlfn.SINGLE(Table1[imd_decile])&lt;=3,"Most Deprived",F1235&lt;=7,"Moderately Deprived",F1235&lt;=10,"Least Deprived")</f>
        <v>Most Deprived</v>
      </c>
      <c r="H1235">
        <v>4.0999999999999996</v>
      </c>
      <c r="I1235" t="s">
        <v>25</v>
      </c>
      <c r="J1235" t="s">
        <v>26</v>
      </c>
      <c r="K1235" s="1">
        <v>45838</v>
      </c>
      <c r="L1235" s="1">
        <v>45846</v>
      </c>
      <c r="M1235" s="1" t="str">
        <f>TEXT(Table1[[#This Row],[appointment_date]],"MM/YYYY")</f>
        <v>07/2025</v>
      </c>
      <c r="N1235">
        <v>8</v>
      </c>
      <c r="O1235" t="str" cm="1">
        <f t="array" ref="O1235">_xlfn.IFS(Table1[[#This Row],[lead_time_days]]&lt;=7,"0-7 days",N1235&lt;=14,"8-14 days",N1235&lt;=30,"15-30 days",N1235&lt;=60,"31-60 days",TRUE,"61+ days")</f>
        <v>8-14 days</v>
      </c>
      <c r="P1235" t="s">
        <v>71</v>
      </c>
      <c r="Q1235" t="s">
        <v>21</v>
      </c>
      <c r="R1235">
        <v>0</v>
      </c>
      <c r="S1235" t="str">
        <f>IF(Table1[prior_dna_count]&gt;=1,"Has prior DNA history","No prior DNA history")</f>
        <v>No prior DNA history</v>
      </c>
      <c r="T1235" t="s">
        <v>22</v>
      </c>
      <c r="U1235" t="str">
        <f t="shared" si="19"/>
        <v>1</v>
      </c>
      <c r="V1235" t="str">
        <f>IF(Table1[appointment_status]="Attended","1","0")</f>
        <v>1</v>
      </c>
      <c r="W1235" t="str">
        <f>IF(Table1[appointment_status]="Cancelled","1","0")</f>
        <v>0</v>
      </c>
    </row>
    <row r="1236" spans="1:23">
      <c r="A1236" t="s">
        <v>2147</v>
      </c>
      <c r="B1236" t="s">
        <v>2148</v>
      </c>
      <c r="C1236">
        <v>29</v>
      </c>
      <c r="D1236" t="str" cm="1">
        <f t="array" ref="D1236">_xlfn.IFS(Table1[[#This Row],[age]]&lt;=17,"0-17",C1236&lt;=29,"18-29",C1236&lt;=44,"30-44",C1236&lt;=59,"45-59",C1236&lt;=74,"60-74",TRUE,"75+")</f>
        <v>18-29</v>
      </c>
      <c r="E1236" t="s">
        <v>17</v>
      </c>
      <c r="F1236">
        <v>2</v>
      </c>
      <c r="G1236" t="str" cm="1">
        <f t="array" ref="G1236">_xlfn.IFS(_xlfn.SINGLE(Table1[imd_decile])&lt;=3,"Most Deprived",F1236&lt;=7,"Moderately Deprived",F1236&lt;=10,"Least Deprived")</f>
        <v>Most Deprived</v>
      </c>
      <c r="H1236">
        <v>7.5</v>
      </c>
      <c r="I1236" t="s">
        <v>91</v>
      </c>
      <c r="J1236" t="s">
        <v>26</v>
      </c>
      <c r="K1236" s="1">
        <v>45763</v>
      </c>
      <c r="L1236" s="1">
        <v>45846</v>
      </c>
      <c r="M1236" s="1" t="str">
        <f>TEXT(Table1[[#This Row],[appointment_date]],"MM/YYYY")</f>
        <v>07/2025</v>
      </c>
      <c r="N1236">
        <v>83</v>
      </c>
      <c r="O1236" t="str" cm="1">
        <f t="array" ref="O1236">_xlfn.IFS(Table1[[#This Row],[lead_time_days]]&lt;=7,"0-7 days",N1236&lt;=14,"8-14 days",N1236&lt;=30,"15-30 days",N1236&lt;=60,"31-60 days",TRUE,"61+ days")</f>
        <v>61+ days</v>
      </c>
      <c r="P1236" t="s">
        <v>71</v>
      </c>
      <c r="Q1236" t="s">
        <v>21</v>
      </c>
      <c r="R1236">
        <v>0</v>
      </c>
      <c r="S1236" t="str">
        <f>IF(Table1[prior_dna_count]&gt;=1,"Has prior DNA history","No prior DNA history")</f>
        <v>No prior DNA history</v>
      </c>
      <c r="T1236" t="s">
        <v>22</v>
      </c>
      <c r="U1236" t="str">
        <f t="shared" si="19"/>
        <v>1</v>
      </c>
      <c r="V1236" t="str">
        <f>IF(Table1[appointment_status]="Attended","1","0")</f>
        <v>1</v>
      </c>
      <c r="W1236" t="str">
        <f>IF(Table1[appointment_status]="Cancelled","1","0")</f>
        <v>0</v>
      </c>
    </row>
    <row r="1237" spans="1:23">
      <c r="A1237" t="s">
        <v>2149</v>
      </c>
      <c r="B1237" t="s">
        <v>706</v>
      </c>
      <c r="C1237">
        <v>95</v>
      </c>
      <c r="D1237" t="str" cm="1">
        <f t="array" ref="D1237">_xlfn.IFS(Table1[[#This Row],[age]]&lt;=17,"0-17",C1237&lt;=29,"18-29",C1237&lt;=44,"30-44",C1237&lt;=59,"45-59",C1237&lt;=74,"60-74",TRUE,"75+")</f>
        <v>75+</v>
      </c>
      <c r="E1237" t="s">
        <v>29</v>
      </c>
      <c r="F1237">
        <v>3</v>
      </c>
      <c r="G1237" t="str" cm="1">
        <f t="array" ref="G1237">_xlfn.IFS(_xlfn.SINGLE(Table1[imd_decile])&lt;=3,"Most Deprived",F1237&lt;=7,"Moderately Deprived",F1237&lt;=10,"Least Deprived")</f>
        <v>Most Deprived</v>
      </c>
      <c r="H1237">
        <v>10.7</v>
      </c>
      <c r="I1237" t="s">
        <v>25</v>
      </c>
      <c r="J1237" t="s">
        <v>26</v>
      </c>
      <c r="K1237" s="1">
        <v>45821</v>
      </c>
      <c r="L1237" s="1">
        <v>45846</v>
      </c>
      <c r="M1237" s="1" t="str">
        <f>TEXT(Table1[[#This Row],[appointment_date]],"MM/YYYY")</f>
        <v>07/2025</v>
      </c>
      <c r="N1237">
        <v>25</v>
      </c>
      <c r="O1237" t="str" cm="1">
        <f t="array" ref="O1237">_xlfn.IFS(Table1[[#This Row],[lead_time_days]]&lt;=7,"0-7 days",N1237&lt;=14,"8-14 days",N1237&lt;=30,"15-30 days",N1237&lt;=60,"31-60 days",TRUE,"61+ days")</f>
        <v>15-30 days</v>
      </c>
      <c r="P1237" t="s">
        <v>71</v>
      </c>
      <c r="Q1237" t="s">
        <v>21</v>
      </c>
      <c r="R1237">
        <v>1</v>
      </c>
      <c r="S1237" t="str">
        <f>IF(Table1[prior_dna_count]&gt;=1,"Has prior DNA history","No prior DNA history")</f>
        <v>Has prior DNA history</v>
      </c>
      <c r="T1237" t="s">
        <v>22</v>
      </c>
      <c r="U1237" t="str">
        <f t="shared" si="19"/>
        <v>1</v>
      </c>
      <c r="V1237" t="str">
        <f>IF(Table1[appointment_status]="Attended","1","0")</f>
        <v>1</v>
      </c>
      <c r="W1237" t="str">
        <f>IF(Table1[appointment_status]="Cancelled","1","0")</f>
        <v>0</v>
      </c>
    </row>
    <row r="1238" spans="1:23">
      <c r="A1238" t="s">
        <v>2150</v>
      </c>
      <c r="B1238" t="s">
        <v>2151</v>
      </c>
      <c r="C1238">
        <v>75</v>
      </c>
      <c r="D1238" t="str" cm="1">
        <f t="array" ref="D1238">_xlfn.IFS(Table1[[#This Row],[age]]&lt;=17,"0-17",C1238&lt;=29,"18-29",C1238&lt;=44,"30-44",C1238&lt;=59,"45-59",C1238&lt;=74,"60-74",TRUE,"75+")</f>
        <v>75+</v>
      </c>
      <c r="E1238" t="s">
        <v>29</v>
      </c>
      <c r="F1238">
        <v>2</v>
      </c>
      <c r="G1238" t="str" cm="1">
        <f t="array" ref="G1238">_xlfn.IFS(_xlfn.SINGLE(Table1[imd_decile])&lt;=3,"Most Deprived",F1238&lt;=7,"Moderately Deprived",F1238&lt;=10,"Least Deprived")</f>
        <v>Most Deprived</v>
      </c>
      <c r="H1238">
        <v>4.8</v>
      </c>
      <c r="I1238" t="s">
        <v>38</v>
      </c>
      <c r="J1238" t="s">
        <v>19</v>
      </c>
      <c r="K1238" s="1">
        <v>45839</v>
      </c>
      <c r="L1238" s="1">
        <v>45846</v>
      </c>
      <c r="M1238" s="1" t="str">
        <f>TEXT(Table1[[#This Row],[appointment_date]],"MM/YYYY")</f>
        <v>07/2025</v>
      </c>
      <c r="N1238">
        <v>7</v>
      </c>
      <c r="O1238" t="str" cm="1">
        <f t="array" ref="O1238">_xlfn.IFS(Table1[[#This Row],[lead_time_days]]&lt;=7,"0-7 days",N1238&lt;=14,"8-14 days",N1238&lt;=30,"15-30 days",N1238&lt;=60,"31-60 days",TRUE,"61+ days")</f>
        <v>0-7 days</v>
      </c>
      <c r="P1238" t="s">
        <v>71</v>
      </c>
      <c r="Q1238" t="s">
        <v>21</v>
      </c>
      <c r="R1238">
        <v>0</v>
      </c>
      <c r="S1238" t="str">
        <f>IF(Table1[prior_dna_count]&gt;=1,"Has prior DNA history","No prior DNA history")</f>
        <v>No prior DNA history</v>
      </c>
      <c r="T1238" t="s">
        <v>22</v>
      </c>
      <c r="U1238" t="str">
        <f t="shared" si="19"/>
        <v>1</v>
      </c>
      <c r="V1238" t="str">
        <f>IF(Table1[appointment_status]="Attended","1","0")</f>
        <v>1</v>
      </c>
      <c r="W1238" t="str">
        <f>IF(Table1[appointment_status]="Cancelled","1","0")</f>
        <v>0</v>
      </c>
    </row>
    <row r="1239" spans="1:23">
      <c r="A1239" t="s">
        <v>2152</v>
      </c>
      <c r="B1239" t="s">
        <v>2153</v>
      </c>
      <c r="C1239">
        <v>43</v>
      </c>
      <c r="D1239" t="str" cm="1">
        <f t="array" ref="D1239">_xlfn.IFS(Table1[[#This Row],[age]]&lt;=17,"0-17",C1239&lt;=29,"18-29",C1239&lt;=44,"30-44",C1239&lt;=59,"45-59",C1239&lt;=74,"60-74",TRUE,"75+")</f>
        <v>30-44</v>
      </c>
      <c r="E1239" t="s">
        <v>29</v>
      </c>
      <c r="F1239">
        <v>9</v>
      </c>
      <c r="G1239" t="str" cm="1">
        <f t="array" ref="G1239">_xlfn.IFS(_xlfn.SINGLE(Table1[imd_decile])&lt;=3,"Most Deprived",F1239&lt;=7,"Moderately Deprived",F1239&lt;=10,"Least Deprived")</f>
        <v>Least Deprived</v>
      </c>
      <c r="H1239">
        <v>9.4</v>
      </c>
      <c r="I1239" t="s">
        <v>91</v>
      </c>
      <c r="J1239" t="s">
        <v>26</v>
      </c>
      <c r="K1239" s="1">
        <v>45806</v>
      </c>
      <c r="L1239" s="1">
        <v>45847</v>
      </c>
      <c r="M1239" s="1" t="str">
        <f>TEXT(Table1[[#This Row],[appointment_date]],"MM/YYYY")</f>
        <v>07/2025</v>
      </c>
      <c r="N1239">
        <v>41</v>
      </c>
      <c r="O1239" t="str" cm="1">
        <f t="array" ref="O1239">_xlfn.IFS(Table1[[#This Row],[lead_time_days]]&lt;=7,"0-7 days",N1239&lt;=14,"8-14 days",N1239&lt;=30,"15-30 days",N1239&lt;=60,"31-60 days",TRUE,"61+ days")</f>
        <v>31-60 days</v>
      </c>
      <c r="P1239" t="s">
        <v>80</v>
      </c>
      <c r="Q1239" t="s">
        <v>32</v>
      </c>
      <c r="R1239">
        <v>0</v>
      </c>
      <c r="S1239" t="str">
        <f>IF(Table1[prior_dna_count]&gt;=1,"Has prior DNA history","No prior DNA history")</f>
        <v>No prior DNA history</v>
      </c>
      <c r="T1239" t="s">
        <v>22</v>
      </c>
      <c r="U1239" t="str">
        <f t="shared" si="19"/>
        <v>1</v>
      </c>
      <c r="V1239" t="str">
        <f>IF(Table1[appointment_status]="Attended","1","0")</f>
        <v>1</v>
      </c>
      <c r="W1239" t="str">
        <f>IF(Table1[appointment_status]="Cancelled","1","0")</f>
        <v>0</v>
      </c>
    </row>
    <row r="1240" spans="1:23">
      <c r="A1240" t="s">
        <v>2154</v>
      </c>
      <c r="B1240" t="s">
        <v>2155</v>
      </c>
      <c r="C1240">
        <v>3</v>
      </c>
      <c r="D1240" t="str" cm="1">
        <f t="array" ref="D1240">_xlfn.IFS(Table1[[#This Row],[age]]&lt;=17,"0-17",C1240&lt;=29,"18-29",C1240&lt;=44,"30-44",C1240&lt;=59,"45-59",C1240&lt;=74,"60-74",TRUE,"75+")</f>
        <v>0-17</v>
      </c>
      <c r="E1240" t="s">
        <v>17</v>
      </c>
      <c r="F1240">
        <v>6</v>
      </c>
      <c r="G1240" t="str" cm="1">
        <f t="array" ref="G1240">_xlfn.IFS(_xlfn.SINGLE(Table1[imd_decile])&lt;=3,"Most Deprived",F1240&lt;=7,"Moderately Deprived",F1240&lt;=10,"Least Deprived")</f>
        <v>Moderately Deprived</v>
      </c>
      <c r="H1240">
        <v>6.6</v>
      </c>
      <c r="I1240" t="s">
        <v>42</v>
      </c>
      <c r="J1240" t="s">
        <v>19</v>
      </c>
      <c r="K1240" s="1">
        <v>45796</v>
      </c>
      <c r="L1240" s="1">
        <v>45847</v>
      </c>
      <c r="M1240" s="1" t="str">
        <f>TEXT(Table1[[#This Row],[appointment_date]],"MM/YYYY")</f>
        <v>07/2025</v>
      </c>
      <c r="N1240">
        <v>51</v>
      </c>
      <c r="O1240" t="str" cm="1">
        <f t="array" ref="O1240">_xlfn.IFS(Table1[[#This Row],[lead_time_days]]&lt;=7,"0-7 days",N1240&lt;=14,"8-14 days",N1240&lt;=30,"15-30 days",N1240&lt;=60,"31-60 days",TRUE,"61+ days")</f>
        <v>31-60 days</v>
      </c>
      <c r="P1240" t="s">
        <v>80</v>
      </c>
      <c r="Q1240" t="s">
        <v>21</v>
      </c>
      <c r="R1240">
        <v>0</v>
      </c>
      <c r="S1240" t="str">
        <f>IF(Table1[prior_dna_count]&gt;=1,"Has prior DNA history","No prior DNA history")</f>
        <v>No prior DNA history</v>
      </c>
      <c r="T1240" t="s">
        <v>22</v>
      </c>
      <c r="U1240" t="str">
        <f t="shared" si="19"/>
        <v>1</v>
      </c>
      <c r="V1240" t="str">
        <f>IF(Table1[appointment_status]="Attended","1","0")</f>
        <v>1</v>
      </c>
      <c r="W1240" t="str">
        <f>IF(Table1[appointment_status]="Cancelled","1","0")</f>
        <v>0</v>
      </c>
    </row>
    <row r="1241" spans="1:23">
      <c r="A1241" t="s">
        <v>2156</v>
      </c>
      <c r="B1241" t="s">
        <v>2157</v>
      </c>
      <c r="C1241">
        <v>58</v>
      </c>
      <c r="D1241" t="str" cm="1">
        <f t="array" ref="D1241">_xlfn.IFS(Table1[[#This Row],[age]]&lt;=17,"0-17",C1241&lt;=29,"18-29",C1241&lt;=44,"30-44",C1241&lt;=59,"45-59",C1241&lt;=74,"60-74",TRUE,"75+")</f>
        <v>45-59</v>
      </c>
      <c r="E1241" t="s">
        <v>17</v>
      </c>
      <c r="F1241">
        <v>9</v>
      </c>
      <c r="G1241" t="str" cm="1">
        <f t="array" ref="G1241">_xlfn.IFS(_xlfn.SINGLE(Table1[imd_decile])&lt;=3,"Most Deprived",F1241&lt;=7,"Moderately Deprived",F1241&lt;=10,"Least Deprived")</f>
        <v>Least Deprived</v>
      </c>
      <c r="H1241">
        <v>1.2</v>
      </c>
      <c r="I1241" t="s">
        <v>38</v>
      </c>
      <c r="J1241" t="s">
        <v>19</v>
      </c>
      <c r="K1241" s="1">
        <v>45788</v>
      </c>
      <c r="L1241" s="1">
        <v>45847</v>
      </c>
      <c r="M1241" s="1" t="str">
        <f>TEXT(Table1[[#This Row],[appointment_date]],"MM/YYYY")</f>
        <v>07/2025</v>
      </c>
      <c r="N1241">
        <v>59</v>
      </c>
      <c r="O1241" t="str" cm="1">
        <f t="array" ref="O1241">_xlfn.IFS(Table1[[#This Row],[lead_time_days]]&lt;=7,"0-7 days",N1241&lt;=14,"8-14 days",N1241&lt;=30,"15-30 days",N1241&lt;=60,"31-60 days",TRUE,"61+ days")</f>
        <v>31-60 days</v>
      </c>
      <c r="P1241" t="s">
        <v>80</v>
      </c>
      <c r="Q1241" t="s">
        <v>32</v>
      </c>
      <c r="R1241">
        <v>0</v>
      </c>
      <c r="S1241" t="str">
        <f>IF(Table1[prior_dna_count]&gt;=1,"Has prior DNA history","No prior DNA history")</f>
        <v>No prior DNA history</v>
      </c>
      <c r="T1241" t="s">
        <v>39</v>
      </c>
      <c r="U1241" t="str">
        <f t="shared" si="19"/>
        <v>1</v>
      </c>
      <c r="V1241" t="str">
        <f>IF(Table1[appointment_status]="Attended","1","0")</f>
        <v>0</v>
      </c>
      <c r="W1241" t="str">
        <f>IF(Table1[appointment_status]="Cancelled","1","0")</f>
        <v>0</v>
      </c>
    </row>
    <row r="1242" spans="1:23">
      <c r="A1242" t="s">
        <v>2158</v>
      </c>
      <c r="B1242" t="s">
        <v>2159</v>
      </c>
      <c r="C1242">
        <v>26</v>
      </c>
      <c r="D1242" t="str" cm="1">
        <f t="array" ref="D1242">_xlfn.IFS(Table1[[#This Row],[age]]&lt;=17,"0-17",C1242&lt;=29,"18-29",C1242&lt;=44,"30-44",C1242&lt;=59,"45-59",C1242&lt;=74,"60-74",TRUE,"75+")</f>
        <v>18-29</v>
      </c>
      <c r="E1242" t="s">
        <v>17</v>
      </c>
      <c r="F1242">
        <v>5</v>
      </c>
      <c r="G1242" t="str" cm="1">
        <f t="array" ref="G1242">_xlfn.IFS(_xlfn.SINGLE(Table1[imd_decile])&lt;=3,"Most Deprived",F1242&lt;=7,"Moderately Deprived",F1242&lt;=10,"Least Deprived")</f>
        <v>Moderately Deprived</v>
      </c>
      <c r="H1242">
        <v>23.9</v>
      </c>
      <c r="I1242" t="s">
        <v>25</v>
      </c>
      <c r="J1242" t="s">
        <v>19</v>
      </c>
      <c r="K1242" s="1">
        <v>45798</v>
      </c>
      <c r="L1242" s="1">
        <v>45847</v>
      </c>
      <c r="M1242" s="1" t="str">
        <f>TEXT(Table1[[#This Row],[appointment_date]],"MM/YYYY")</f>
        <v>07/2025</v>
      </c>
      <c r="N1242">
        <v>49</v>
      </c>
      <c r="O1242" t="str" cm="1">
        <f t="array" ref="O1242">_xlfn.IFS(Table1[[#This Row],[lead_time_days]]&lt;=7,"0-7 days",N1242&lt;=14,"8-14 days",N1242&lt;=30,"15-30 days",N1242&lt;=60,"31-60 days",TRUE,"61+ days")</f>
        <v>31-60 days</v>
      </c>
      <c r="P1242" t="s">
        <v>80</v>
      </c>
      <c r="Q1242" t="s">
        <v>32</v>
      </c>
      <c r="R1242">
        <v>0</v>
      </c>
      <c r="S1242" t="str">
        <f>IF(Table1[prior_dna_count]&gt;=1,"Has prior DNA history","No prior DNA history")</f>
        <v>No prior DNA history</v>
      </c>
      <c r="T1242" t="s">
        <v>22</v>
      </c>
      <c r="U1242" t="str">
        <f t="shared" si="19"/>
        <v>0</v>
      </c>
      <c r="V1242" t="str">
        <f>IF(Table1[appointment_status]="Attended","1","0")</f>
        <v>1</v>
      </c>
      <c r="W1242" t="str">
        <f>IF(Table1[appointment_status]="Cancelled","1","0")</f>
        <v>0</v>
      </c>
    </row>
    <row r="1243" spans="1:23">
      <c r="A1243" t="s">
        <v>2160</v>
      </c>
      <c r="B1243" t="s">
        <v>706</v>
      </c>
      <c r="C1243">
        <v>95</v>
      </c>
      <c r="D1243" t="str" cm="1">
        <f t="array" ref="D1243">_xlfn.IFS(Table1[[#This Row],[age]]&lt;=17,"0-17",C1243&lt;=29,"18-29",C1243&lt;=44,"30-44",C1243&lt;=59,"45-59",C1243&lt;=74,"60-74",TRUE,"75+")</f>
        <v>75+</v>
      </c>
      <c r="E1243" t="s">
        <v>29</v>
      </c>
      <c r="F1243">
        <v>3</v>
      </c>
      <c r="G1243" t="str" cm="1">
        <f t="array" ref="G1243">_xlfn.IFS(_xlfn.SINGLE(Table1[imd_decile])&lt;=3,"Most Deprived",F1243&lt;=7,"Moderately Deprived",F1243&lt;=10,"Least Deprived")</f>
        <v>Most Deprived</v>
      </c>
      <c r="H1243">
        <v>10.7</v>
      </c>
      <c r="I1243" t="s">
        <v>25</v>
      </c>
      <c r="J1243" t="s">
        <v>19</v>
      </c>
      <c r="K1243" s="1">
        <v>45823</v>
      </c>
      <c r="L1243" s="1">
        <v>45847</v>
      </c>
      <c r="M1243" s="1" t="str">
        <f>TEXT(Table1[[#This Row],[appointment_date]],"MM/YYYY")</f>
        <v>07/2025</v>
      </c>
      <c r="N1243">
        <v>24</v>
      </c>
      <c r="O1243" t="str" cm="1">
        <f t="array" ref="O1243">_xlfn.IFS(Table1[[#This Row],[lead_time_days]]&lt;=7,"0-7 days",N1243&lt;=14,"8-14 days",N1243&lt;=30,"15-30 days",N1243&lt;=60,"31-60 days",TRUE,"61+ days")</f>
        <v>15-30 days</v>
      </c>
      <c r="P1243" t="s">
        <v>80</v>
      </c>
      <c r="Q1243" t="s">
        <v>32</v>
      </c>
      <c r="R1243">
        <v>1</v>
      </c>
      <c r="S1243" t="str">
        <f>IF(Table1[prior_dna_count]&gt;=1,"Has prior DNA history","No prior DNA history")</f>
        <v>Has prior DNA history</v>
      </c>
      <c r="T1243" t="s">
        <v>22</v>
      </c>
      <c r="U1243" t="str">
        <f t="shared" si="19"/>
        <v>1</v>
      </c>
      <c r="V1243" t="str">
        <f>IF(Table1[appointment_status]="Attended","1","0")</f>
        <v>1</v>
      </c>
      <c r="W1243" t="str">
        <f>IF(Table1[appointment_status]="Cancelled","1","0")</f>
        <v>0</v>
      </c>
    </row>
    <row r="1244" spans="1:23">
      <c r="A1244" t="s">
        <v>2161</v>
      </c>
      <c r="B1244" t="s">
        <v>173</v>
      </c>
      <c r="C1244">
        <v>40</v>
      </c>
      <c r="D1244" t="str" cm="1">
        <f t="array" ref="D1244">_xlfn.IFS(Table1[[#This Row],[age]]&lt;=17,"0-17",C1244&lt;=29,"18-29",C1244&lt;=44,"30-44",C1244&lt;=59,"45-59",C1244&lt;=74,"60-74",TRUE,"75+")</f>
        <v>30-44</v>
      </c>
      <c r="E1244" t="s">
        <v>29</v>
      </c>
      <c r="F1244">
        <v>6</v>
      </c>
      <c r="G1244" t="str" cm="1">
        <f t="array" ref="G1244">_xlfn.IFS(_xlfn.SINGLE(Table1[imd_decile])&lt;=3,"Most Deprived",F1244&lt;=7,"Moderately Deprived",F1244&lt;=10,"Least Deprived")</f>
        <v>Moderately Deprived</v>
      </c>
      <c r="H1244">
        <v>13.9</v>
      </c>
      <c r="I1244" t="s">
        <v>155</v>
      </c>
      <c r="J1244" t="s">
        <v>19</v>
      </c>
      <c r="K1244" s="1">
        <v>45813</v>
      </c>
      <c r="L1244" s="1">
        <v>45847</v>
      </c>
      <c r="M1244" s="1" t="str">
        <f>TEXT(Table1[[#This Row],[appointment_date]],"MM/YYYY")</f>
        <v>07/2025</v>
      </c>
      <c r="N1244">
        <v>34</v>
      </c>
      <c r="O1244" t="str" cm="1">
        <f t="array" ref="O1244">_xlfn.IFS(Table1[[#This Row],[lead_time_days]]&lt;=7,"0-7 days",N1244&lt;=14,"8-14 days",N1244&lt;=30,"15-30 days",N1244&lt;=60,"31-60 days",TRUE,"61+ days")</f>
        <v>31-60 days</v>
      </c>
      <c r="P1244" t="s">
        <v>80</v>
      </c>
      <c r="Q1244" t="s">
        <v>32</v>
      </c>
      <c r="R1244">
        <v>0</v>
      </c>
      <c r="S1244" t="str">
        <f>IF(Table1[prior_dna_count]&gt;=1,"Has prior DNA history","No prior DNA history")</f>
        <v>No prior DNA history</v>
      </c>
      <c r="T1244" t="s">
        <v>46</v>
      </c>
      <c r="U1244" t="str">
        <f t="shared" si="19"/>
        <v>1</v>
      </c>
      <c r="V1244" t="str">
        <f>IF(Table1[appointment_status]="Attended","1","0")</f>
        <v>0</v>
      </c>
      <c r="W1244" t="str">
        <f>IF(Table1[appointment_status]="Cancelled","1","0")</f>
        <v>1</v>
      </c>
    </row>
    <row r="1245" spans="1:23">
      <c r="A1245" t="s">
        <v>2162</v>
      </c>
      <c r="B1245" t="s">
        <v>1197</v>
      </c>
      <c r="C1245">
        <v>11</v>
      </c>
      <c r="D1245" t="str" cm="1">
        <f t="array" ref="D1245">_xlfn.IFS(Table1[[#This Row],[age]]&lt;=17,"0-17",C1245&lt;=29,"18-29",C1245&lt;=44,"30-44",C1245&lt;=59,"45-59",C1245&lt;=74,"60-74",TRUE,"75+")</f>
        <v>0-17</v>
      </c>
      <c r="E1245" t="s">
        <v>17</v>
      </c>
      <c r="F1245">
        <v>2</v>
      </c>
      <c r="G1245" t="str" cm="1">
        <f t="array" ref="G1245">_xlfn.IFS(_xlfn.SINGLE(Table1[imd_decile])&lt;=3,"Most Deprived",F1245&lt;=7,"Moderately Deprived",F1245&lt;=10,"Least Deprived")</f>
        <v>Most Deprived</v>
      </c>
      <c r="H1245">
        <v>4.5999999999999996</v>
      </c>
      <c r="I1245" t="s">
        <v>49</v>
      </c>
      <c r="J1245" t="s">
        <v>26</v>
      </c>
      <c r="K1245" s="1">
        <v>45815</v>
      </c>
      <c r="L1245" s="1">
        <v>45847</v>
      </c>
      <c r="M1245" s="1" t="str">
        <f>TEXT(Table1[[#This Row],[appointment_date]],"MM/YYYY")</f>
        <v>07/2025</v>
      </c>
      <c r="N1245">
        <v>32</v>
      </c>
      <c r="O1245" t="str" cm="1">
        <f t="array" ref="O1245">_xlfn.IFS(Table1[[#This Row],[lead_time_days]]&lt;=7,"0-7 days",N1245&lt;=14,"8-14 days",N1245&lt;=30,"15-30 days",N1245&lt;=60,"31-60 days",TRUE,"61+ days")</f>
        <v>31-60 days</v>
      </c>
      <c r="P1245" t="s">
        <v>80</v>
      </c>
      <c r="Q1245" t="s">
        <v>21</v>
      </c>
      <c r="R1245">
        <v>0</v>
      </c>
      <c r="S1245" t="str">
        <f>IF(Table1[prior_dna_count]&gt;=1,"Has prior DNA history","No prior DNA history")</f>
        <v>No prior DNA history</v>
      </c>
      <c r="T1245" t="s">
        <v>22</v>
      </c>
      <c r="U1245" t="str">
        <f t="shared" si="19"/>
        <v>0</v>
      </c>
      <c r="V1245" t="str">
        <f>IF(Table1[appointment_status]="Attended","1","0")</f>
        <v>1</v>
      </c>
      <c r="W1245" t="str">
        <f>IF(Table1[appointment_status]="Cancelled","1","0")</f>
        <v>0</v>
      </c>
    </row>
    <row r="1246" spans="1:23">
      <c r="A1246" t="s">
        <v>2163</v>
      </c>
      <c r="B1246" t="s">
        <v>1044</v>
      </c>
      <c r="C1246">
        <v>53</v>
      </c>
      <c r="D1246" t="str" cm="1">
        <f t="array" ref="D1246">_xlfn.IFS(Table1[[#This Row],[age]]&lt;=17,"0-17",C1246&lt;=29,"18-29",C1246&lt;=44,"30-44",C1246&lt;=59,"45-59",C1246&lt;=74,"60-74",TRUE,"75+")</f>
        <v>45-59</v>
      </c>
      <c r="E1246" t="s">
        <v>17</v>
      </c>
      <c r="F1246">
        <v>7</v>
      </c>
      <c r="G1246" t="str" cm="1">
        <f t="array" ref="G1246">_xlfn.IFS(_xlfn.SINGLE(Table1[imd_decile])&lt;=3,"Most Deprived",F1246&lt;=7,"Moderately Deprived",F1246&lt;=10,"Least Deprived")</f>
        <v>Moderately Deprived</v>
      </c>
      <c r="H1246">
        <v>12.6</v>
      </c>
      <c r="I1246" t="s">
        <v>49</v>
      </c>
      <c r="J1246" t="s">
        <v>19</v>
      </c>
      <c r="K1246" s="1">
        <v>45827</v>
      </c>
      <c r="L1246" s="1">
        <v>45847</v>
      </c>
      <c r="M1246" s="1" t="str">
        <f>TEXT(Table1[[#This Row],[appointment_date]],"MM/YYYY")</f>
        <v>07/2025</v>
      </c>
      <c r="N1246">
        <v>20</v>
      </c>
      <c r="O1246" t="str" cm="1">
        <f t="array" ref="O1246">_xlfn.IFS(Table1[[#This Row],[lead_time_days]]&lt;=7,"0-7 days",N1246&lt;=14,"8-14 days",N1246&lt;=30,"15-30 days",N1246&lt;=60,"31-60 days",TRUE,"61+ days")</f>
        <v>15-30 days</v>
      </c>
      <c r="P1246" t="s">
        <v>80</v>
      </c>
      <c r="Q1246" t="s">
        <v>21</v>
      </c>
      <c r="R1246">
        <v>0</v>
      </c>
      <c r="S1246" t="str">
        <f>IF(Table1[prior_dna_count]&gt;=1,"Has prior DNA history","No prior DNA history")</f>
        <v>No prior DNA history</v>
      </c>
      <c r="T1246" t="s">
        <v>46</v>
      </c>
      <c r="U1246" t="str">
        <f t="shared" si="19"/>
        <v>1</v>
      </c>
      <c r="V1246" t="str">
        <f>IF(Table1[appointment_status]="Attended","1","0")</f>
        <v>0</v>
      </c>
      <c r="W1246" t="str">
        <f>IF(Table1[appointment_status]="Cancelled","1","0")</f>
        <v>1</v>
      </c>
    </row>
    <row r="1247" spans="1:23">
      <c r="A1247" t="s">
        <v>2164</v>
      </c>
      <c r="B1247" t="s">
        <v>762</v>
      </c>
      <c r="C1247">
        <v>29</v>
      </c>
      <c r="D1247" t="str" cm="1">
        <f t="array" ref="D1247">_xlfn.IFS(Table1[[#This Row],[age]]&lt;=17,"0-17",C1247&lt;=29,"18-29",C1247&lt;=44,"30-44",C1247&lt;=59,"45-59",C1247&lt;=74,"60-74",TRUE,"75+")</f>
        <v>18-29</v>
      </c>
      <c r="E1247" t="s">
        <v>29</v>
      </c>
      <c r="F1247">
        <v>3</v>
      </c>
      <c r="G1247" t="str" cm="1">
        <f t="array" ref="G1247">_xlfn.IFS(_xlfn.SINGLE(Table1[imd_decile])&lt;=3,"Most Deprived",F1247&lt;=7,"Moderately Deprived",F1247&lt;=10,"Least Deprived")</f>
        <v>Most Deprived</v>
      </c>
      <c r="H1247">
        <v>5.2</v>
      </c>
      <c r="I1247" t="s">
        <v>38</v>
      </c>
      <c r="J1247" t="s">
        <v>26</v>
      </c>
      <c r="K1247" s="1">
        <v>45833</v>
      </c>
      <c r="L1247" s="1">
        <v>45847</v>
      </c>
      <c r="M1247" s="1" t="str">
        <f>TEXT(Table1[[#This Row],[appointment_date]],"MM/YYYY")</f>
        <v>07/2025</v>
      </c>
      <c r="N1247">
        <v>14</v>
      </c>
      <c r="O1247" t="str" cm="1">
        <f t="array" ref="O1247">_xlfn.IFS(Table1[[#This Row],[lead_time_days]]&lt;=7,"0-7 days",N1247&lt;=14,"8-14 days",N1247&lt;=30,"15-30 days",N1247&lt;=60,"31-60 days",TRUE,"61+ days")</f>
        <v>8-14 days</v>
      </c>
      <c r="P1247" t="s">
        <v>80</v>
      </c>
      <c r="Q1247" t="s">
        <v>32</v>
      </c>
      <c r="R1247">
        <v>0</v>
      </c>
      <c r="S1247" t="str">
        <f>IF(Table1[prior_dna_count]&gt;=1,"Has prior DNA history","No prior DNA history")</f>
        <v>No prior DNA history</v>
      </c>
      <c r="T1247" t="s">
        <v>39</v>
      </c>
      <c r="U1247" t="str">
        <f t="shared" si="19"/>
        <v>0</v>
      </c>
      <c r="V1247" t="str">
        <f>IF(Table1[appointment_status]="Attended","1","0")</f>
        <v>0</v>
      </c>
      <c r="W1247" t="str">
        <f>IF(Table1[appointment_status]="Cancelled","1","0")</f>
        <v>0</v>
      </c>
    </row>
    <row r="1248" spans="1:23">
      <c r="A1248" t="s">
        <v>2165</v>
      </c>
      <c r="B1248" t="s">
        <v>2166</v>
      </c>
      <c r="C1248">
        <v>56</v>
      </c>
      <c r="D1248" t="str" cm="1">
        <f t="array" ref="D1248">_xlfn.IFS(Table1[[#This Row],[age]]&lt;=17,"0-17",C1248&lt;=29,"18-29",C1248&lt;=44,"30-44",C1248&lt;=59,"45-59",C1248&lt;=74,"60-74",TRUE,"75+")</f>
        <v>45-59</v>
      </c>
      <c r="E1248" t="s">
        <v>29</v>
      </c>
      <c r="F1248">
        <v>7</v>
      </c>
      <c r="G1248" t="str" cm="1">
        <f t="array" ref="G1248">_xlfn.IFS(_xlfn.SINGLE(Table1[imd_decile])&lt;=3,"Most Deprived",F1248&lt;=7,"Moderately Deprived",F1248&lt;=10,"Least Deprived")</f>
        <v>Moderately Deprived</v>
      </c>
      <c r="H1248">
        <v>6.5</v>
      </c>
      <c r="I1248" t="s">
        <v>45</v>
      </c>
      <c r="J1248" t="s">
        <v>19</v>
      </c>
      <c r="K1248" s="1">
        <v>45804</v>
      </c>
      <c r="L1248" s="1">
        <v>45847</v>
      </c>
      <c r="M1248" s="1" t="str">
        <f>TEXT(Table1[[#This Row],[appointment_date]],"MM/YYYY")</f>
        <v>07/2025</v>
      </c>
      <c r="N1248">
        <v>43</v>
      </c>
      <c r="O1248" t="str" cm="1">
        <f t="array" ref="O1248">_xlfn.IFS(Table1[[#This Row],[lead_time_days]]&lt;=7,"0-7 days",N1248&lt;=14,"8-14 days",N1248&lt;=30,"15-30 days",N1248&lt;=60,"31-60 days",TRUE,"61+ days")</f>
        <v>31-60 days</v>
      </c>
      <c r="P1248" t="s">
        <v>80</v>
      </c>
      <c r="Q1248" t="s">
        <v>32</v>
      </c>
      <c r="R1248">
        <v>0</v>
      </c>
      <c r="S1248" t="str">
        <f>IF(Table1[prior_dna_count]&gt;=1,"Has prior DNA history","No prior DNA history")</f>
        <v>No prior DNA history</v>
      </c>
      <c r="T1248" t="s">
        <v>22</v>
      </c>
      <c r="U1248" t="str">
        <f t="shared" si="19"/>
        <v>0</v>
      </c>
      <c r="V1248" t="str">
        <f>IF(Table1[appointment_status]="Attended","1","0")</f>
        <v>1</v>
      </c>
      <c r="W1248" t="str">
        <f>IF(Table1[appointment_status]="Cancelled","1","0")</f>
        <v>0</v>
      </c>
    </row>
    <row r="1249" spans="1:23">
      <c r="A1249" t="s">
        <v>2167</v>
      </c>
      <c r="B1249" t="s">
        <v>2168</v>
      </c>
      <c r="C1249">
        <v>68</v>
      </c>
      <c r="D1249" t="str" cm="1">
        <f t="array" ref="D1249">_xlfn.IFS(Table1[[#This Row],[age]]&lt;=17,"0-17",C1249&lt;=29,"18-29",C1249&lt;=44,"30-44",C1249&lt;=59,"45-59",C1249&lt;=74,"60-74",TRUE,"75+")</f>
        <v>60-74</v>
      </c>
      <c r="E1249" t="s">
        <v>29</v>
      </c>
      <c r="F1249">
        <v>9</v>
      </c>
      <c r="G1249" t="str" cm="1">
        <f t="array" ref="G1249">_xlfn.IFS(_xlfn.SINGLE(Table1[imd_decile])&lt;=3,"Most Deprived",F1249&lt;=7,"Moderately Deprived",F1249&lt;=10,"Least Deprived")</f>
        <v>Least Deprived</v>
      </c>
      <c r="H1249">
        <v>5.9</v>
      </c>
      <c r="I1249" t="s">
        <v>91</v>
      </c>
      <c r="J1249" t="s">
        <v>26</v>
      </c>
      <c r="K1249" s="1">
        <v>45842</v>
      </c>
      <c r="L1249" s="1">
        <v>45847</v>
      </c>
      <c r="M1249" s="1" t="str">
        <f>TEXT(Table1[[#This Row],[appointment_date]],"MM/YYYY")</f>
        <v>07/2025</v>
      </c>
      <c r="N1249">
        <v>5</v>
      </c>
      <c r="O1249" t="str" cm="1">
        <f t="array" ref="O1249">_xlfn.IFS(Table1[[#This Row],[lead_time_days]]&lt;=7,"0-7 days",N1249&lt;=14,"8-14 days",N1249&lt;=30,"15-30 days",N1249&lt;=60,"31-60 days",TRUE,"61+ days")</f>
        <v>0-7 days</v>
      </c>
      <c r="P1249" t="s">
        <v>80</v>
      </c>
      <c r="Q1249" t="s">
        <v>21</v>
      </c>
      <c r="R1249">
        <v>0</v>
      </c>
      <c r="S1249" t="str">
        <f>IF(Table1[prior_dna_count]&gt;=1,"Has prior DNA history","No prior DNA history")</f>
        <v>No prior DNA history</v>
      </c>
      <c r="T1249" t="s">
        <v>22</v>
      </c>
      <c r="U1249" t="str">
        <f t="shared" si="19"/>
        <v>1</v>
      </c>
      <c r="V1249" t="str">
        <f>IF(Table1[appointment_status]="Attended","1","0")</f>
        <v>1</v>
      </c>
      <c r="W1249" t="str">
        <f>IF(Table1[appointment_status]="Cancelled","1","0")</f>
        <v>0</v>
      </c>
    </row>
    <row r="1250" spans="1:23">
      <c r="A1250" t="s">
        <v>2169</v>
      </c>
      <c r="B1250" t="s">
        <v>2170</v>
      </c>
      <c r="C1250">
        <v>1</v>
      </c>
      <c r="D1250" t="str" cm="1">
        <f t="array" ref="D1250">_xlfn.IFS(Table1[[#This Row],[age]]&lt;=17,"0-17",C1250&lt;=29,"18-29",C1250&lt;=44,"30-44",C1250&lt;=59,"45-59",C1250&lt;=74,"60-74",TRUE,"75+")</f>
        <v>0-17</v>
      </c>
      <c r="E1250" t="s">
        <v>29</v>
      </c>
      <c r="F1250">
        <v>9</v>
      </c>
      <c r="G1250" t="str" cm="1">
        <f t="array" ref="G1250">_xlfn.IFS(_xlfn.SINGLE(Table1[imd_decile])&lt;=3,"Most Deprived",F1250&lt;=7,"Moderately Deprived",F1250&lt;=10,"Least Deprived")</f>
        <v>Least Deprived</v>
      </c>
      <c r="H1250">
        <v>10.5</v>
      </c>
      <c r="I1250" t="s">
        <v>155</v>
      </c>
      <c r="J1250" t="s">
        <v>19</v>
      </c>
      <c r="K1250" s="1">
        <v>45809</v>
      </c>
      <c r="L1250" s="1">
        <v>45848</v>
      </c>
      <c r="M1250" s="1" t="str">
        <f>TEXT(Table1[[#This Row],[appointment_date]],"MM/YYYY")</f>
        <v>07/2025</v>
      </c>
      <c r="N1250">
        <v>39</v>
      </c>
      <c r="O1250" t="str" cm="1">
        <f t="array" ref="O1250">_xlfn.IFS(Table1[[#This Row],[lead_time_days]]&lt;=7,"0-7 days",N1250&lt;=14,"8-14 days",N1250&lt;=30,"15-30 days",N1250&lt;=60,"31-60 days",TRUE,"61+ days")</f>
        <v>31-60 days</v>
      </c>
      <c r="P1250" t="s">
        <v>20</v>
      </c>
      <c r="Q1250" t="s">
        <v>32</v>
      </c>
      <c r="R1250">
        <v>0</v>
      </c>
      <c r="S1250" t="str">
        <f>IF(Table1[prior_dna_count]&gt;=1,"Has prior DNA history","No prior DNA history")</f>
        <v>No prior DNA history</v>
      </c>
      <c r="T1250" t="s">
        <v>22</v>
      </c>
      <c r="U1250" t="str">
        <f t="shared" si="19"/>
        <v>1</v>
      </c>
      <c r="V1250" t="str">
        <f>IF(Table1[appointment_status]="Attended","1","0")</f>
        <v>1</v>
      </c>
      <c r="W1250" t="str">
        <f>IF(Table1[appointment_status]="Cancelled","1","0")</f>
        <v>0</v>
      </c>
    </row>
    <row r="1251" spans="1:23">
      <c r="A1251" t="s">
        <v>2171</v>
      </c>
      <c r="B1251" t="s">
        <v>1343</v>
      </c>
      <c r="C1251">
        <v>73</v>
      </c>
      <c r="D1251" t="str" cm="1">
        <f t="array" ref="D1251">_xlfn.IFS(Table1[[#This Row],[age]]&lt;=17,"0-17",C1251&lt;=29,"18-29",C1251&lt;=44,"30-44",C1251&lt;=59,"45-59",C1251&lt;=74,"60-74",TRUE,"75+")</f>
        <v>60-74</v>
      </c>
      <c r="E1251" t="s">
        <v>17</v>
      </c>
      <c r="F1251">
        <v>1</v>
      </c>
      <c r="G1251" t="str" cm="1">
        <f t="array" ref="G1251">_xlfn.IFS(_xlfn.SINGLE(Table1[imd_decile])&lt;=3,"Most Deprived",F1251&lt;=7,"Moderately Deprived",F1251&lt;=10,"Least Deprived")</f>
        <v>Most Deprived</v>
      </c>
      <c r="H1251">
        <v>4.5</v>
      </c>
      <c r="I1251" t="s">
        <v>91</v>
      </c>
      <c r="J1251" t="s">
        <v>19</v>
      </c>
      <c r="K1251" s="1">
        <v>45815</v>
      </c>
      <c r="L1251" s="1">
        <v>45848</v>
      </c>
      <c r="M1251" s="1" t="str">
        <f>TEXT(Table1[[#This Row],[appointment_date]],"MM/YYYY")</f>
        <v>07/2025</v>
      </c>
      <c r="N1251">
        <v>33</v>
      </c>
      <c r="O1251" t="str" cm="1">
        <f t="array" ref="O1251">_xlfn.IFS(Table1[[#This Row],[lead_time_days]]&lt;=7,"0-7 days",N1251&lt;=14,"8-14 days",N1251&lt;=30,"15-30 days",N1251&lt;=60,"31-60 days",TRUE,"61+ days")</f>
        <v>31-60 days</v>
      </c>
      <c r="P1251" t="s">
        <v>20</v>
      </c>
      <c r="Q1251" t="s">
        <v>32</v>
      </c>
      <c r="R1251">
        <v>0</v>
      </c>
      <c r="S1251" t="str">
        <f>IF(Table1[prior_dna_count]&gt;=1,"Has prior DNA history","No prior DNA history")</f>
        <v>No prior DNA history</v>
      </c>
      <c r="T1251" t="s">
        <v>22</v>
      </c>
      <c r="U1251" t="str">
        <f t="shared" si="19"/>
        <v>1</v>
      </c>
      <c r="V1251" t="str">
        <f>IF(Table1[appointment_status]="Attended","1","0")</f>
        <v>1</v>
      </c>
      <c r="W1251" t="str">
        <f>IF(Table1[appointment_status]="Cancelled","1","0")</f>
        <v>0</v>
      </c>
    </row>
    <row r="1252" spans="1:23">
      <c r="A1252" t="s">
        <v>2172</v>
      </c>
      <c r="B1252" t="s">
        <v>2173</v>
      </c>
      <c r="C1252">
        <v>54</v>
      </c>
      <c r="D1252" t="str" cm="1">
        <f t="array" ref="D1252">_xlfn.IFS(Table1[[#This Row],[age]]&lt;=17,"0-17",C1252&lt;=29,"18-29",C1252&lt;=44,"30-44",C1252&lt;=59,"45-59",C1252&lt;=74,"60-74",TRUE,"75+")</f>
        <v>45-59</v>
      </c>
      <c r="E1252" t="s">
        <v>17</v>
      </c>
      <c r="F1252">
        <v>5</v>
      </c>
      <c r="G1252" t="str" cm="1">
        <f t="array" ref="G1252">_xlfn.IFS(_xlfn.SINGLE(Table1[imd_decile])&lt;=3,"Most Deprived",F1252&lt;=7,"Moderately Deprived",F1252&lt;=10,"Least Deprived")</f>
        <v>Moderately Deprived</v>
      </c>
      <c r="H1252">
        <v>8.1</v>
      </c>
      <c r="I1252" t="s">
        <v>45</v>
      </c>
      <c r="J1252" t="s">
        <v>19</v>
      </c>
      <c r="K1252" s="1">
        <v>45832</v>
      </c>
      <c r="L1252" s="1">
        <v>45848</v>
      </c>
      <c r="M1252" s="1" t="str">
        <f>TEXT(Table1[[#This Row],[appointment_date]],"MM/YYYY")</f>
        <v>07/2025</v>
      </c>
      <c r="N1252">
        <v>16</v>
      </c>
      <c r="O1252" t="str" cm="1">
        <f t="array" ref="O1252">_xlfn.IFS(Table1[[#This Row],[lead_time_days]]&lt;=7,"0-7 days",N1252&lt;=14,"8-14 days",N1252&lt;=30,"15-30 days",N1252&lt;=60,"31-60 days",TRUE,"61+ days")</f>
        <v>15-30 days</v>
      </c>
      <c r="P1252" t="s">
        <v>20</v>
      </c>
      <c r="Q1252" t="s">
        <v>21</v>
      </c>
      <c r="R1252">
        <v>0</v>
      </c>
      <c r="S1252" t="str">
        <f>IF(Table1[prior_dna_count]&gt;=1,"Has prior DNA history","No prior DNA history")</f>
        <v>No prior DNA history</v>
      </c>
      <c r="T1252" t="s">
        <v>22</v>
      </c>
      <c r="U1252" t="str">
        <f t="shared" si="19"/>
        <v>1</v>
      </c>
      <c r="V1252" t="str">
        <f>IF(Table1[appointment_status]="Attended","1","0")</f>
        <v>1</v>
      </c>
      <c r="W1252" t="str">
        <f>IF(Table1[appointment_status]="Cancelled","1","0")</f>
        <v>0</v>
      </c>
    </row>
    <row r="1253" spans="1:23">
      <c r="A1253" t="s">
        <v>2174</v>
      </c>
      <c r="B1253" t="s">
        <v>2175</v>
      </c>
      <c r="C1253">
        <v>25</v>
      </c>
      <c r="D1253" t="str" cm="1">
        <f t="array" ref="D1253">_xlfn.IFS(Table1[[#This Row],[age]]&lt;=17,"0-17",C1253&lt;=29,"18-29",C1253&lt;=44,"30-44",C1253&lt;=59,"45-59",C1253&lt;=74,"60-74",TRUE,"75+")</f>
        <v>18-29</v>
      </c>
      <c r="E1253" t="s">
        <v>29</v>
      </c>
      <c r="F1253">
        <v>7</v>
      </c>
      <c r="G1253" t="str" cm="1">
        <f t="array" ref="G1253">_xlfn.IFS(_xlfn.SINGLE(Table1[imd_decile])&lt;=3,"Most Deprived",F1253&lt;=7,"Moderately Deprived",F1253&lt;=10,"Least Deprived")</f>
        <v>Moderately Deprived</v>
      </c>
      <c r="H1253">
        <v>13.6</v>
      </c>
      <c r="I1253" t="s">
        <v>91</v>
      </c>
      <c r="J1253" t="s">
        <v>26</v>
      </c>
      <c r="K1253" s="1">
        <v>45821</v>
      </c>
      <c r="L1253" s="1">
        <v>45848</v>
      </c>
      <c r="M1253" s="1" t="str">
        <f>TEXT(Table1[[#This Row],[appointment_date]],"MM/YYYY")</f>
        <v>07/2025</v>
      </c>
      <c r="N1253">
        <v>27</v>
      </c>
      <c r="O1253" t="str" cm="1">
        <f t="array" ref="O1253">_xlfn.IFS(Table1[[#This Row],[lead_time_days]]&lt;=7,"0-7 days",N1253&lt;=14,"8-14 days",N1253&lt;=30,"15-30 days",N1253&lt;=60,"31-60 days",TRUE,"61+ days")</f>
        <v>15-30 days</v>
      </c>
      <c r="P1253" t="s">
        <v>20</v>
      </c>
      <c r="Q1253" t="s">
        <v>32</v>
      </c>
      <c r="R1253">
        <v>0</v>
      </c>
      <c r="S1253" t="str">
        <f>IF(Table1[prior_dna_count]&gt;=1,"Has prior DNA history","No prior DNA history")</f>
        <v>No prior DNA history</v>
      </c>
      <c r="T1253" t="s">
        <v>22</v>
      </c>
      <c r="U1253" t="str">
        <f t="shared" si="19"/>
        <v>1</v>
      </c>
      <c r="V1253" t="str">
        <f>IF(Table1[appointment_status]="Attended","1","0")</f>
        <v>1</v>
      </c>
      <c r="W1253" t="str">
        <f>IF(Table1[appointment_status]="Cancelled","1","0")</f>
        <v>0</v>
      </c>
    </row>
    <row r="1254" spans="1:23">
      <c r="A1254" t="s">
        <v>2176</v>
      </c>
      <c r="B1254" t="s">
        <v>1649</v>
      </c>
      <c r="C1254">
        <v>47</v>
      </c>
      <c r="D1254" t="str" cm="1">
        <f t="array" ref="D1254">_xlfn.IFS(Table1[[#This Row],[age]]&lt;=17,"0-17",C1254&lt;=29,"18-29",C1254&lt;=44,"30-44",C1254&lt;=59,"45-59",C1254&lt;=74,"60-74",TRUE,"75+")</f>
        <v>45-59</v>
      </c>
      <c r="E1254" t="s">
        <v>29</v>
      </c>
      <c r="F1254">
        <v>6</v>
      </c>
      <c r="G1254" t="str" cm="1">
        <f t="array" ref="G1254">_xlfn.IFS(_xlfn.SINGLE(Table1[imd_decile])&lt;=3,"Most Deprived",F1254&lt;=7,"Moderately Deprived",F1254&lt;=10,"Least Deprived")</f>
        <v>Moderately Deprived</v>
      </c>
      <c r="H1254">
        <v>13</v>
      </c>
      <c r="I1254" t="s">
        <v>155</v>
      </c>
      <c r="J1254" t="s">
        <v>26</v>
      </c>
      <c r="K1254" s="1">
        <v>45845</v>
      </c>
      <c r="L1254" s="1">
        <v>45848</v>
      </c>
      <c r="M1254" s="1" t="str">
        <f>TEXT(Table1[[#This Row],[appointment_date]],"MM/YYYY")</f>
        <v>07/2025</v>
      </c>
      <c r="N1254">
        <v>3</v>
      </c>
      <c r="O1254" t="str" cm="1">
        <f t="array" ref="O1254">_xlfn.IFS(Table1[[#This Row],[lead_time_days]]&lt;=7,"0-7 days",N1254&lt;=14,"8-14 days",N1254&lt;=30,"15-30 days",N1254&lt;=60,"31-60 days",TRUE,"61+ days")</f>
        <v>0-7 days</v>
      </c>
      <c r="P1254" t="s">
        <v>20</v>
      </c>
      <c r="Q1254" t="s">
        <v>21</v>
      </c>
      <c r="R1254">
        <v>0</v>
      </c>
      <c r="S1254" t="str">
        <f>IF(Table1[prior_dna_count]&gt;=1,"Has prior DNA history","No prior DNA history")</f>
        <v>No prior DNA history</v>
      </c>
      <c r="T1254" t="s">
        <v>39</v>
      </c>
      <c r="U1254" t="str">
        <f t="shared" si="19"/>
        <v>1</v>
      </c>
      <c r="V1254" t="str">
        <f>IF(Table1[appointment_status]="Attended","1","0")</f>
        <v>0</v>
      </c>
      <c r="W1254" t="str">
        <f>IF(Table1[appointment_status]="Cancelled","1","0")</f>
        <v>0</v>
      </c>
    </row>
    <row r="1255" spans="1:23">
      <c r="A1255" t="s">
        <v>2177</v>
      </c>
      <c r="B1255" t="s">
        <v>2148</v>
      </c>
      <c r="C1255">
        <v>29</v>
      </c>
      <c r="D1255" t="str" cm="1">
        <f t="array" ref="D1255">_xlfn.IFS(Table1[[#This Row],[age]]&lt;=17,"0-17",C1255&lt;=29,"18-29",C1255&lt;=44,"30-44",C1255&lt;=59,"45-59",C1255&lt;=74,"60-74",TRUE,"75+")</f>
        <v>18-29</v>
      </c>
      <c r="E1255" t="s">
        <v>17</v>
      </c>
      <c r="F1255">
        <v>2</v>
      </c>
      <c r="G1255" t="str" cm="1">
        <f t="array" ref="G1255">_xlfn.IFS(_xlfn.SINGLE(Table1[imd_decile])&lt;=3,"Most Deprived",F1255&lt;=7,"Moderately Deprived",F1255&lt;=10,"Least Deprived")</f>
        <v>Most Deprived</v>
      </c>
      <c r="H1255">
        <v>7.5</v>
      </c>
      <c r="I1255" t="s">
        <v>155</v>
      </c>
      <c r="J1255" t="s">
        <v>19</v>
      </c>
      <c r="K1255" s="1">
        <v>45815</v>
      </c>
      <c r="L1255" s="1">
        <v>45848</v>
      </c>
      <c r="M1255" s="1" t="str">
        <f>TEXT(Table1[[#This Row],[appointment_date]],"MM/YYYY")</f>
        <v>07/2025</v>
      </c>
      <c r="N1255">
        <v>33</v>
      </c>
      <c r="O1255" t="str" cm="1">
        <f t="array" ref="O1255">_xlfn.IFS(Table1[[#This Row],[lead_time_days]]&lt;=7,"0-7 days",N1255&lt;=14,"8-14 days",N1255&lt;=30,"15-30 days",N1255&lt;=60,"31-60 days",TRUE,"61+ days")</f>
        <v>31-60 days</v>
      </c>
      <c r="P1255" t="s">
        <v>20</v>
      </c>
      <c r="Q1255" t="s">
        <v>21</v>
      </c>
      <c r="R1255">
        <v>0</v>
      </c>
      <c r="S1255" t="str">
        <f>IF(Table1[prior_dna_count]&gt;=1,"Has prior DNA history","No prior DNA history")</f>
        <v>No prior DNA history</v>
      </c>
      <c r="T1255" t="s">
        <v>22</v>
      </c>
      <c r="U1255" t="str">
        <f t="shared" si="19"/>
        <v>0</v>
      </c>
      <c r="V1255" t="str">
        <f>IF(Table1[appointment_status]="Attended","1","0")</f>
        <v>1</v>
      </c>
      <c r="W1255" t="str">
        <f>IF(Table1[appointment_status]="Cancelled","1","0")</f>
        <v>0</v>
      </c>
    </row>
    <row r="1256" spans="1:23">
      <c r="A1256" t="s">
        <v>2178</v>
      </c>
      <c r="B1256" t="s">
        <v>1752</v>
      </c>
      <c r="C1256">
        <v>44</v>
      </c>
      <c r="D1256" t="str" cm="1">
        <f t="array" ref="D1256">_xlfn.IFS(Table1[[#This Row],[age]]&lt;=17,"0-17",C1256&lt;=29,"18-29",C1256&lt;=44,"30-44",C1256&lt;=59,"45-59",C1256&lt;=74,"60-74",TRUE,"75+")</f>
        <v>30-44</v>
      </c>
      <c r="E1256" t="s">
        <v>17</v>
      </c>
      <c r="F1256">
        <v>3</v>
      </c>
      <c r="G1256" t="str" cm="1">
        <f t="array" ref="G1256">_xlfn.IFS(_xlfn.SINGLE(Table1[imd_decile])&lt;=3,"Most Deprived",F1256&lt;=7,"Moderately Deprived",F1256&lt;=10,"Least Deprived")</f>
        <v>Most Deprived</v>
      </c>
      <c r="H1256">
        <v>7.1</v>
      </c>
      <c r="I1256" t="s">
        <v>25</v>
      </c>
      <c r="J1256" t="s">
        <v>19</v>
      </c>
      <c r="K1256" s="1">
        <v>45784</v>
      </c>
      <c r="L1256" s="1">
        <v>45848</v>
      </c>
      <c r="M1256" s="1" t="str">
        <f>TEXT(Table1[[#This Row],[appointment_date]],"MM/YYYY")</f>
        <v>07/2025</v>
      </c>
      <c r="N1256">
        <v>64</v>
      </c>
      <c r="O1256" t="str" cm="1">
        <f t="array" ref="O1256">_xlfn.IFS(Table1[[#This Row],[lead_time_days]]&lt;=7,"0-7 days",N1256&lt;=14,"8-14 days",N1256&lt;=30,"15-30 days",N1256&lt;=60,"31-60 days",TRUE,"61+ days")</f>
        <v>61+ days</v>
      </c>
      <c r="P1256" t="s">
        <v>20</v>
      </c>
      <c r="Q1256" t="s">
        <v>32</v>
      </c>
      <c r="R1256">
        <v>0</v>
      </c>
      <c r="S1256" t="str">
        <f>IF(Table1[prior_dna_count]&gt;=1,"Has prior DNA history","No prior DNA history")</f>
        <v>No prior DNA history</v>
      </c>
      <c r="T1256" t="s">
        <v>22</v>
      </c>
      <c r="U1256" t="str">
        <f t="shared" si="19"/>
        <v>1</v>
      </c>
      <c r="V1256" t="str">
        <f>IF(Table1[appointment_status]="Attended","1","0")</f>
        <v>1</v>
      </c>
      <c r="W1256" t="str">
        <f>IF(Table1[appointment_status]="Cancelled","1","0")</f>
        <v>0</v>
      </c>
    </row>
    <row r="1257" spans="1:23">
      <c r="A1257" t="s">
        <v>2179</v>
      </c>
      <c r="B1257" t="s">
        <v>2180</v>
      </c>
      <c r="C1257">
        <v>39</v>
      </c>
      <c r="D1257" t="str" cm="1">
        <f t="array" ref="D1257">_xlfn.IFS(Table1[[#This Row],[age]]&lt;=17,"0-17",C1257&lt;=29,"18-29",C1257&lt;=44,"30-44",C1257&lt;=59,"45-59",C1257&lt;=74,"60-74",TRUE,"75+")</f>
        <v>30-44</v>
      </c>
      <c r="E1257" t="s">
        <v>17</v>
      </c>
      <c r="F1257">
        <v>7</v>
      </c>
      <c r="G1257" t="str" cm="1">
        <f t="array" ref="G1257">_xlfn.IFS(_xlfn.SINGLE(Table1[imd_decile])&lt;=3,"Most Deprived",F1257&lt;=7,"Moderately Deprived",F1257&lt;=10,"Least Deprived")</f>
        <v>Moderately Deprived</v>
      </c>
      <c r="H1257">
        <v>8</v>
      </c>
      <c r="I1257" t="s">
        <v>58</v>
      </c>
      <c r="J1257" t="s">
        <v>19</v>
      </c>
      <c r="K1257" s="1">
        <v>45786</v>
      </c>
      <c r="L1257" s="1">
        <v>45848</v>
      </c>
      <c r="M1257" s="1" t="str">
        <f>TEXT(Table1[[#This Row],[appointment_date]],"MM/YYYY")</f>
        <v>07/2025</v>
      </c>
      <c r="N1257">
        <v>62</v>
      </c>
      <c r="O1257" t="str" cm="1">
        <f t="array" ref="O1257">_xlfn.IFS(Table1[[#This Row],[lead_time_days]]&lt;=7,"0-7 days",N1257&lt;=14,"8-14 days",N1257&lt;=30,"15-30 days",N1257&lt;=60,"31-60 days",TRUE,"61+ days")</f>
        <v>61+ days</v>
      </c>
      <c r="P1257" t="s">
        <v>20</v>
      </c>
      <c r="Q1257" t="s">
        <v>32</v>
      </c>
      <c r="R1257">
        <v>0</v>
      </c>
      <c r="S1257" t="str">
        <f>IF(Table1[prior_dna_count]&gt;=1,"Has prior DNA history","No prior DNA history")</f>
        <v>No prior DNA history</v>
      </c>
      <c r="T1257" t="s">
        <v>22</v>
      </c>
      <c r="U1257" t="str">
        <f t="shared" si="19"/>
        <v>1</v>
      </c>
      <c r="V1257" t="str">
        <f>IF(Table1[appointment_status]="Attended","1","0")</f>
        <v>1</v>
      </c>
      <c r="W1257" t="str">
        <f>IF(Table1[appointment_status]="Cancelled","1","0")</f>
        <v>0</v>
      </c>
    </row>
    <row r="1258" spans="1:23">
      <c r="A1258" t="s">
        <v>2181</v>
      </c>
      <c r="B1258" t="s">
        <v>2182</v>
      </c>
      <c r="C1258">
        <v>42</v>
      </c>
      <c r="D1258" t="str" cm="1">
        <f t="array" ref="D1258">_xlfn.IFS(Table1[[#This Row],[age]]&lt;=17,"0-17",C1258&lt;=29,"18-29",C1258&lt;=44,"30-44",C1258&lt;=59,"45-59",C1258&lt;=74,"60-74",TRUE,"75+")</f>
        <v>30-44</v>
      </c>
      <c r="E1258" t="s">
        <v>29</v>
      </c>
      <c r="F1258">
        <v>5</v>
      </c>
      <c r="G1258" t="str" cm="1">
        <f t="array" ref="G1258">_xlfn.IFS(_xlfn.SINGLE(Table1[imd_decile])&lt;=3,"Most Deprived",F1258&lt;=7,"Moderately Deprived",F1258&lt;=10,"Least Deprived")</f>
        <v>Moderately Deprived</v>
      </c>
      <c r="H1258">
        <v>6.4</v>
      </c>
      <c r="I1258" t="s">
        <v>18</v>
      </c>
      <c r="J1258" t="s">
        <v>19</v>
      </c>
      <c r="K1258" s="1">
        <v>45826</v>
      </c>
      <c r="L1258" s="1">
        <v>45848</v>
      </c>
      <c r="M1258" s="1" t="str">
        <f>TEXT(Table1[[#This Row],[appointment_date]],"MM/YYYY")</f>
        <v>07/2025</v>
      </c>
      <c r="N1258">
        <v>22</v>
      </c>
      <c r="O1258" t="str" cm="1">
        <f t="array" ref="O1258">_xlfn.IFS(Table1[[#This Row],[lead_time_days]]&lt;=7,"0-7 days",N1258&lt;=14,"8-14 days",N1258&lt;=30,"15-30 days",N1258&lt;=60,"31-60 days",TRUE,"61+ days")</f>
        <v>15-30 days</v>
      </c>
      <c r="P1258" t="s">
        <v>20</v>
      </c>
      <c r="Q1258" t="s">
        <v>21</v>
      </c>
      <c r="R1258">
        <v>0</v>
      </c>
      <c r="S1258" t="str">
        <f>IF(Table1[prior_dna_count]&gt;=1,"Has prior DNA history","No prior DNA history")</f>
        <v>No prior DNA history</v>
      </c>
      <c r="T1258" t="s">
        <v>46</v>
      </c>
      <c r="U1258" t="str">
        <f t="shared" si="19"/>
        <v>1</v>
      </c>
      <c r="V1258" t="str">
        <f>IF(Table1[appointment_status]="Attended","1","0")</f>
        <v>0</v>
      </c>
      <c r="W1258" t="str">
        <f>IF(Table1[appointment_status]="Cancelled","1","0")</f>
        <v>1</v>
      </c>
    </row>
    <row r="1259" spans="1:23">
      <c r="A1259" t="s">
        <v>2183</v>
      </c>
      <c r="B1259" t="s">
        <v>2184</v>
      </c>
      <c r="C1259">
        <v>64</v>
      </c>
      <c r="D1259" t="str" cm="1">
        <f t="array" ref="D1259">_xlfn.IFS(Table1[[#This Row],[age]]&lt;=17,"0-17",C1259&lt;=29,"18-29",C1259&lt;=44,"30-44",C1259&lt;=59,"45-59",C1259&lt;=74,"60-74",TRUE,"75+")</f>
        <v>60-74</v>
      </c>
      <c r="E1259" t="s">
        <v>17</v>
      </c>
      <c r="F1259">
        <v>4</v>
      </c>
      <c r="G1259" t="str" cm="1">
        <f t="array" ref="G1259">_xlfn.IFS(_xlfn.SINGLE(Table1[imd_decile])&lt;=3,"Most Deprived",F1259&lt;=7,"Moderately Deprived",F1259&lt;=10,"Least Deprived")</f>
        <v>Moderately Deprived</v>
      </c>
      <c r="H1259">
        <v>5</v>
      </c>
      <c r="I1259" t="s">
        <v>18</v>
      </c>
      <c r="J1259" t="s">
        <v>26</v>
      </c>
      <c r="K1259" s="1">
        <v>45834</v>
      </c>
      <c r="L1259" s="1">
        <v>45848</v>
      </c>
      <c r="M1259" s="1" t="str">
        <f>TEXT(Table1[[#This Row],[appointment_date]],"MM/YYYY")</f>
        <v>07/2025</v>
      </c>
      <c r="N1259">
        <v>14</v>
      </c>
      <c r="O1259" t="str" cm="1">
        <f t="array" ref="O1259">_xlfn.IFS(Table1[[#This Row],[lead_time_days]]&lt;=7,"0-7 days",N1259&lt;=14,"8-14 days",N1259&lt;=30,"15-30 days",N1259&lt;=60,"31-60 days",TRUE,"61+ days")</f>
        <v>8-14 days</v>
      </c>
      <c r="P1259" t="s">
        <v>20</v>
      </c>
      <c r="Q1259" t="s">
        <v>21</v>
      </c>
      <c r="R1259">
        <v>0</v>
      </c>
      <c r="S1259" t="str">
        <f>IF(Table1[prior_dna_count]&gt;=1,"Has prior DNA history","No prior DNA history")</f>
        <v>No prior DNA history</v>
      </c>
      <c r="T1259" t="s">
        <v>22</v>
      </c>
      <c r="U1259" t="str">
        <f t="shared" si="19"/>
        <v>0</v>
      </c>
      <c r="V1259" t="str">
        <f>IF(Table1[appointment_status]="Attended","1","0")</f>
        <v>1</v>
      </c>
      <c r="W1259" t="str">
        <f>IF(Table1[appointment_status]="Cancelled","1","0")</f>
        <v>0</v>
      </c>
    </row>
    <row r="1260" spans="1:23">
      <c r="A1260" t="s">
        <v>2185</v>
      </c>
      <c r="B1260" t="s">
        <v>2186</v>
      </c>
      <c r="C1260">
        <v>78</v>
      </c>
      <c r="D1260" t="str" cm="1">
        <f t="array" ref="D1260">_xlfn.IFS(Table1[[#This Row],[age]]&lt;=17,"0-17",C1260&lt;=29,"18-29",C1260&lt;=44,"30-44",C1260&lt;=59,"45-59",C1260&lt;=74,"60-74",TRUE,"75+")</f>
        <v>75+</v>
      </c>
      <c r="E1260" t="s">
        <v>29</v>
      </c>
      <c r="F1260">
        <v>8</v>
      </c>
      <c r="G1260" t="str" cm="1">
        <f t="array" ref="G1260">_xlfn.IFS(_xlfn.SINGLE(Table1[imd_decile])&lt;=3,"Most Deprived",F1260&lt;=7,"Moderately Deprived",F1260&lt;=10,"Least Deprived")</f>
        <v>Least Deprived</v>
      </c>
      <c r="H1260">
        <v>6.7</v>
      </c>
      <c r="I1260" t="s">
        <v>45</v>
      </c>
      <c r="J1260" t="s">
        <v>19</v>
      </c>
      <c r="K1260" s="1">
        <v>45822</v>
      </c>
      <c r="L1260" s="1">
        <v>45849</v>
      </c>
      <c r="M1260" s="1" t="str">
        <f>TEXT(Table1[[#This Row],[appointment_date]],"MM/YYYY")</f>
        <v>07/2025</v>
      </c>
      <c r="N1260">
        <v>27</v>
      </c>
      <c r="O1260" t="str" cm="1">
        <f t="array" ref="O1260">_xlfn.IFS(Table1[[#This Row],[lead_time_days]]&lt;=7,"0-7 days",N1260&lt;=14,"8-14 days",N1260&lt;=30,"15-30 days",N1260&lt;=60,"31-60 days",TRUE,"61+ days")</f>
        <v>15-30 days</v>
      </c>
      <c r="P1260" t="s">
        <v>52</v>
      </c>
      <c r="Q1260" t="s">
        <v>21</v>
      </c>
      <c r="R1260">
        <v>0</v>
      </c>
      <c r="S1260" t="str">
        <f>IF(Table1[prior_dna_count]&gt;=1,"Has prior DNA history","No prior DNA history")</f>
        <v>No prior DNA history</v>
      </c>
      <c r="T1260" t="s">
        <v>22</v>
      </c>
      <c r="U1260" t="str">
        <f t="shared" si="19"/>
        <v>1</v>
      </c>
      <c r="V1260" t="str">
        <f>IF(Table1[appointment_status]="Attended","1","0")</f>
        <v>1</v>
      </c>
      <c r="W1260" t="str">
        <f>IF(Table1[appointment_status]="Cancelled","1","0")</f>
        <v>0</v>
      </c>
    </row>
    <row r="1261" spans="1:23">
      <c r="A1261" t="s">
        <v>2187</v>
      </c>
      <c r="B1261" t="s">
        <v>987</v>
      </c>
      <c r="C1261">
        <v>75</v>
      </c>
      <c r="D1261" t="str" cm="1">
        <f t="array" ref="D1261">_xlfn.IFS(Table1[[#This Row],[age]]&lt;=17,"0-17",C1261&lt;=29,"18-29",C1261&lt;=44,"30-44",C1261&lt;=59,"45-59",C1261&lt;=74,"60-74",TRUE,"75+")</f>
        <v>75+</v>
      </c>
      <c r="E1261" t="s">
        <v>29</v>
      </c>
      <c r="F1261">
        <v>7</v>
      </c>
      <c r="G1261" t="str" cm="1">
        <f t="array" ref="G1261">_xlfn.IFS(_xlfn.SINGLE(Table1[imd_decile])&lt;=3,"Most Deprived",F1261&lt;=7,"Moderately Deprived",F1261&lt;=10,"Least Deprived")</f>
        <v>Moderately Deprived</v>
      </c>
      <c r="H1261">
        <v>8.9</v>
      </c>
      <c r="I1261" t="s">
        <v>45</v>
      </c>
      <c r="J1261" t="s">
        <v>26</v>
      </c>
      <c r="K1261" s="1">
        <v>45838</v>
      </c>
      <c r="L1261" s="1">
        <v>45849</v>
      </c>
      <c r="M1261" s="1" t="str">
        <f>TEXT(Table1[[#This Row],[appointment_date]],"MM/YYYY")</f>
        <v>07/2025</v>
      </c>
      <c r="N1261">
        <v>11</v>
      </c>
      <c r="O1261" t="str" cm="1">
        <f t="array" ref="O1261">_xlfn.IFS(Table1[[#This Row],[lead_time_days]]&lt;=7,"0-7 days",N1261&lt;=14,"8-14 days",N1261&lt;=30,"15-30 days",N1261&lt;=60,"31-60 days",TRUE,"61+ days")</f>
        <v>8-14 days</v>
      </c>
      <c r="P1261" t="s">
        <v>52</v>
      </c>
      <c r="Q1261" t="s">
        <v>21</v>
      </c>
      <c r="R1261">
        <v>1</v>
      </c>
      <c r="S1261" t="str">
        <f>IF(Table1[prior_dna_count]&gt;=1,"Has prior DNA history","No prior DNA history")</f>
        <v>Has prior DNA history</v>
      </c>
      <c r="T1261" t="s">
        <v>22</v>
      </c>
      <c r="U1261" t="str">
        <f t="shared" si="19"/>
        <v>1</v>
      </c>
      <c r="V1261" t="str">
        <f>IF(Table1[appointment_status]="Attended","1","0")</f>
        <v>1</v>
      </c>
      <c r="W1261" t="str">
        <f>IF(Table1[appointment_status]="Cancelled","1","0")</f>
        <v>0</v>
      </c>
    </row>
    <row r="1262" spans="1:23">
      <c r="A1262" t="s">
        <v>2188</v>
      </c>
      <c r="B1262" t="s">
        <v>237</v>
      </c>
      <c r="C1262">
        <v>55</v>
      </c>
      <c r="D1262" t="str" cm="1">
        <f t="array" ref="D1262">_xlfn.IFS(Table1[[#This Row],[age]]&lt;=17,"0-17",C1262&lt;=29,"18-29",C1262&lt;=44,"30-44",C1262&lt;=59,"45-59",C1262&lt;=74,"60-74",TRUE,"75+")</f>
        <v>45-59</v>
      </c>
      <c r="E1262" t="s">
        <v>17</v>
      </c>
      <c r="F1262">
        <v>6</v>
      </c>
      <c r="G1262" t="str" cm="1">
        <f t="array" ref="G1262">_xlfn.IFS(_xlfn.SINGLE(Table1[imd_decile])&lt;=3,"Most Deprived",F1262&lt;=7,"Moderately Deprived",F1262&lt;=10,"Least Deprived")</f>
        <v>Moderately Deprived</v>
      </c>
      <c r="H1262">
        <v>14.5</v>
      </c>
      <c r="I1262" t="s">
        <v>30</v>
      </c>
      <c r="J1262" t="s">
        <v>26</v>
      </c>
      <c r="K1262" s="1">
        <v>45838</v>
      </c>
      <c r="L1262" s="1">
        <v>45849</v>
      </c>
      <c r="M1262" s="1" t="str">
        <f>TEXT(Table1[[#This Row],[appointment_date]],"MM/YYYY")</f>
        <v>07/2025</v>
      </c>
      <c r="N1262">
        <v>11</v>
      </c>
      <c r="O1262" t="str" cm="1">
        <f t="array" ref="O1262">_xlfn.IFS(Table1[[#This Row],[lead_time_days]]&lt;=7,"0-7 days",N1262&lt;=14,"8-14 days",N1262&lt;=30,"15-30 days",N1262&lt;=60,"31-60 days",TRUE,"61+ days")</f>
        <v>8-14 days</v>
      </c>
      <c r="P1262" t="s">
        <v>52</v>
      </c>
      <c r="Q1262" t="s">
        <v>21</v>
      </c>
      <c r="R1262">
        <v>0</v>
      </c>
      <c r="S1262" t="str">
        <f>IF(Table1[prior_dna_count]&gt;=1,"Has prior DNA history","No prior DNA history")</f>
        <v>No prior DNA history</v>
      </c>
      <c r="T1262" t="s">
        <v>22</v>
      </c>
      <c r="U1262" t="str">
        <f t="shared" si="19"/>
        <v>1</v>
      </c>
      <c r="V1262" t="str">
        <f>IF(Table1[appointment_status]="Attended","1","0")</f>
        <v>1</v>
      </c>
      <c r="W1262" t="str">
        <f>IF(Table1[appointment_status]="Cancelled","1","0")</f>
        <v>0</v>
      </c>
    </row>
    <row r="1263" spans="1:23">
      <c r="A1263" t="s">
        <v>2189</v>
      </c>
      <c r="B1263" t="s">
        <v>2190</v>
      </c>
      <c r="C1263">
        <v>56</v>
      </c>
      <c r="D1263" t="str" cm="1">
        <f t="array" ref="D1263">_xlfn.IFS(Table1[[#This Row],[age]]&lt;=17,"0-17",C1263&lt;=29,"18-29",C1263&lt;=44,"30-44",C1263&lt;=59,"45-59",C1263&lt;=74,"60-74",TRUE,"75+")</f>
        <v>45-59</v>
      </c>
      <c r="E1263" t="s">
        <v>29</v>
      </c>
      <c r="F1263">
        <v>9</v>
      </c>
      <c r="G1263" t="str" cm="1">
        <f t="array" ref="G1263">_xlfn.IFS(_xlfn.SINGLE(Table1[imd_decile])&lt;=3,"Most Deprived",F1263&lt;=7,"Moderately Deprived",F1263&lt;=10,"Least Deprived")</f>
        <v>Least Deprived</v>
      </c>
      <c r="H1263">
        <v>7.8</v>
      </c>
      <c r="I1263" t="s">
        <v>45</v>
      </c>
      <c r="J1263" t="s">
        <v>19</v>
      </c>
      <c r="K1263" s="1">
        <v>45833</v>
      </c>
      <c r="L1263" s="1">
        <v>45849</v>
      </c>
      <c r="M1263" s="1" t="str">
        <f>TEXT(Table1[[#This Row],[appointment_date]],"MM/YYYY")</f>
        <v>07/2025</v>
      </c>
      <c r="N1263">
        <v>16</v>
      </c>
      <c r="O1263" t="str" cm="1">
        <f t="array" ref="O1263">_xlfn.IFS(Table1[[#This Row],[lead_time_days]]&lt;=7,"0-7 days",N1263&lt;=14,"8-14 days",N1263&lt;=30,"15-30 days",N1263&lt;=60,"31-60 days",TRUE,"61+ days")</f>
        <v>15-30 days</v>
      </c>
      <c r="P1263" t="s">
        <v>52</v>
      </c>
      <c r="Q1263" t="s">
        <v>21</v>
      </c>
      <c r="R1263">
        <v>0</v>
      </c>
      <c r="S1263" t="str">
        <f>IF(Table1[prior_dna_count]&gt;=1,"Has prior DNA history","No prior DNA history")</f>
        <v>No prior DNA history</v>
      </c>
      <c r="T1263" t="s">
        <v>22</v>
      </c>
      <c r="U1263" t="str">
        <f t="shared" si="19"/>
        <v>1</v>
      </c>
      <c r="V1263" t="str">
        <f>IF(Table1[appointment_status]="Attended","1","0")</f>
        <v>1</v>
      </c>
      <c r="W1263" t="str">
        <f>IF(Table1[appointment_status]="Cancelled","1","0")</f>
        <v>0</v>
      </c>
    </row>
    <row r="1264" spans="1:23">
      <c r="A1264" t="s">
        <v>2191</v>
      </c>
      <c r="B1264" t="s">
        <v>2192</v>
      </c>
      <c r="C1264">
        <v>60</v>
      </c>
      <c r="D1264" t="str" cm="1">
        <f t="array" ref="D1264">_xlfn.IFS(Table1[[#This Row],[age]]&lt;=17,"0-17",C1264&lt;=29,"18-29",C1264&lt;=44,"30-44",C1264&lt;=59,"45-59",C1264&lt;=74,"60-74",TRUE,"75+")</f>
        <v>60-74</v>
      </c>
      <c r="E1264" t="s">
        <v>29</v>
      </c>
      <c r="F1264">
        <v>7</v>
      </c>
      <c r="G1264" t="str" cm="1">
        <f t="array" ref="G1264">_xlfn.IFS(_xlfn.SINGLE(Table1[imd_decile])&lt;=3,"Most Deprived",F1264&lt;=7,"Moderately Deprived",F1264&lt;=10,"Least Deprived")</f>
        <v>Moderately Deprived</v>
      </c>
      <c r="H1264">
        <v>18.5</v>
      </c>
      <c r="I1264" t="s">
        <v>49</v>
      </c>
      <c r="J1264" t="s">
        <v>26</v>
      </c>
      <c r="K1264" s="1">
        <v>45812</v>
      </c>
      <c r="L1264" s="1">
        <v>45850</v>
      </c>
      <c r="M1264" s="1" t="str">
        <f>TEXT(Table1[[#This Row],[appointment_date]],"MM/YYYY")</f>
        <v>07/2025</v>
      </c>
      <c r="N1264">
        <v>38</v>
      </c>
      <c r="O1264" t="str" cm="1">
        <f t="array" ref="O1264">_xlfn.IFS(Table1[[#This Row],[lead_time_days]]&lt;=7,"0-7 days",N1264&lt;=14,"8-14 days",N1264&lt;=30,"15-30 days",N1264&lt;=60,"31-60 days",TRUE,"61+ days")</f>
        <v>31-60 days</v>
      </c>
      <c r="P1264" t="s">
        <v>55</v>
      </c>
      <c r="Q1264" t="s">
        <v>21</v>
      </c>
      <c r="R1264">
        <v>0</v>
      </c>
      <c r="S1264" t="str">
        <f>IF(Table1[prior_dna_count]&gt;=1,"Has prior DNA history","No prior DNA history")</f>
        <v>No prior DNA history</v>
      </c>
      <c r="T1264" t="s">
        <v>22</v>
      </c>
      <c r="U1264" t="str">
        <f t="shared" si="19"/>
        <v>1</v>
      </c>
      <c r="V1264" t="str">
        <f>IF(Table1[appointment_status]="Attended","1","0")</f>
        <v>1</v>
      </c>
      <c r="W1264" t="str">
        <f>IF(Table1[appointment_status]="Cancelled","1","0")</f>
        <v>0</v>
      </c>
    </row>
    <row r="1265" spans="1:23">
      <c r="A1265" t="s">
        <v>2193</v>
      </c>
      <c r="B1265" t="s">
        <v>2194</v>
      </c>
      <c r="C1265">
        <v>42</v>
      </c>
      <c r="D1265" t="str" cm="1">
        <f t="array" ref="D1265">_xlfn.IFS(Table1[[#This Row],[age]]&lt;=17,"0-17",C1265&lt;=29,"18-29",C1265&lt;=44,"30-44",C1265&lt;=59,"45-59",C1265&lt;=74,"60-74",TRUE,"75+")</f>
        <v>30-44</v>
      </c>
      <c r="E1265" t="s">
        <v>17</v>
      </c>
      <c r="F1265">
        <v>6</v>
      </c>
      <c r="G1265" t="str" cm="1">
        <f t="array" ref="G1265">_xlfn.IFS(_xlfn.SINGLE(Table1[imd_decile])&lt;=3,"Most Deprived",F1265&lt;=7,"Moderately Deprived",F1265&lt;=10,"Least Deprived")</f>
        <v>Moderately Deprived</v>
      </c>
      <c r="H1265">
        <v>5.9</v>
      </c>
      <c r="I1265" t="s">
        <v>42</v>
      </c>
      <c r="J1265" t="s">
        <v>19</v>
      </c>
      <c r="K1265" s="1">
        <v>45804</v>
      </c>
      <c r="L1265" s="1">
        <v>45850</v>
      </c>
      <c r="M1265" s="1" t="str">
        <f>TEXT(Table1[[#This Row],[appointment_date]],"MM/YYYY")</f>
        <v>07/2025</v>
      </c>
      <c r="N1265">
        <v>46</v>
      </c>
      <c r="O1265" t="str" cm="1">
        <f t="array" ref="O1265">_xlfn.IFS(Table1[[#This Row],[lead_time_days]]&lt;=7,"0-7 days",N1265&lt;=14,"8-14 days",N1265&lt;=30,"15-30 days",N1265&lt;=60,"31-60 days",TRUE,"61+ days")</f>
        <v>31-60 days</v>
      </c>
      <c r="P1265" t="s">
        <v>55</v>
      </c>
      <c r="Q1265" t="s">
        <v>21</v>
      </c>
      <c r="R1265">
        <v>0</v>
      </c>
      <c r="S1265" t="str">
        <f>IF(Table1[prior_dna_count]&gt;=1,"Has prior DNA history","No prior DNA history")</f>
        <v>No prior DNA history</v>
      </c>
      <c r="T1265" t="s">
        <v>22</v>
      </c>
      <c r="U1265" t="str">
        <f t="shared" si="19"/>
        <v>1</v>
      </c>
      <c r="V1265" t="str">
        <f>IF(Table1[appointment_status]="Attended","1","0")</f>
        <v>1</v>
      </c>
      <c r="W1265" t="str">
        <f>IF(Table1[appointment_status]="Cancelled","1","0")</f>
        <v>0</v>
      </c>
    </row>
    <row r="1266" spans="1:23">
      <c r="A1266" t="s">
        <v>2195</v>
      </c>
      <c r="B1266" t="s">
        <v>2196</v>
      </c>
      <c r="C1266">
        <v>41</v>
      </c>
      <c r="D1266" t="str" cm="1">
        <f t="array" ref="D1266">_xlfn.IFS(Table1[[#This Row],[age]]&lt;=17,"0-17",C1266&lt;=29,"18-29",C1266&lt;=44,"30-44",C1266&lt;=59,"45-59",C1266&lt;=74,"60-74",TRUE,"75+")</f>
        <v>30-44</v>
      </c>
      <c r="E1266" t="s">
        <v>17</v>
      </c>
      <c r="F1266">
        <v>3</v>
      </c>
      <c r="G1266" t="str" cm="1">
        <f t="array" ref="G1266">_xlfn.IFS(_xlfn.SINGLE(Table1[imd_decile])&lt;=3,"Most Deprived",F1266&lt;=7,"Moderately Deprived",F1266&lt;=10,"Least Deprived")</f>
        <v>Most Deprived</v>
      </c>
      <c r="H1266">
        <v>4.5999999999999996</v>
      </c>
      <c r="I1266" t="s">
        <v>58</v>
      </c>
      <c r="J1266" t="s">
        <v>19</v>
      </c>
      <c r="K1266" s="1">
        <v>45846</v>
      </c>
      <c r="L1266" s="1">
        <v>45850</v>
      </c>
      <c r="M1266" s="1" t="str">
        <f>TEXT(Table1[[#This Row],[appointment_date]],"MM/YYYY")</f>
        <v>07/2025</v>
      </c>
      <c r="N1266">
        <v>4</v>
      </c>
      <c r="O1266" t="str" cm="1">
        <f t="array" ref="O1266">_xlfn.IFS(Table1[[#This Row],[lead_time_days]]&lt;=7,"0-7 days",N1266&lt;=14,"8-14 days",N1266&lt;=30,"15-30 days",N1266&lt;=60,"31-60 days",TRUE,"61+ days")</f>
        <v>0-7 days</v>
      </c>
      <c r="P1266" t="s">
        <v>55</v>
      </c>
      <c r="Q1266" t="s">
        <v>32</v>
      </c>
      <c r="R1266">
        <v>0</v>
      </c>
      <c r="S1266" t="str">
        <f>IF(Table1[prior_dna_count]&gt;=1,"Has prior DNA history","No prior DNA history")</f>
        <v>No prior DNA history</v>
      </c>
      <c r="T1266" t="s">
        <v>39</v>
      </c>
      <c r="U1266" t="str">
        <f t="shared" si="19"/>
        <v>1</v>
      </c>
      <c r="V1266" t="str">
        <f>IF(Table1[appointment_status]="Attended","1","0")</f>
        <v>0</v>
      </c>
      <c r="W1266" t="str">
        <f>IF(Table1[appointment_status]="Cancelled","1","0")</f>
        <v>0</v>
      </c>
    </row>
    <row r="1267" spans="1:23">
      <c r="A1267" t="s">
        <v>2197</v>
      </c>
      <c r="B1267" t="s">
        <v>506</v>
      </c>
      <c r="C1267">
        <v>83</v>
      </c>
      <c r="D1267" t="str" cm="1">
        <f t="array" ref="D1267">_xlfn.IFS(Table1[[#This Row],[age]]&lt;=17,"0-17",C1267&lt;=29,"18-29",C1267&lt;=44,"30-44",C1267&lt;=59,"45-59",C1267&lt;=74,"60-74",TRUE,"75+")</f>
        <v>75+</v>
      </c>
      <c r="E1267" t="s">
        <v>17</v>
      </c>
      <c r="F1267">
        <v>6</v>
      </c>
      <c r="G1267" t="str" cm="1">
        <f t="array" ref="G1267">_xlfn.IFS(_xlfn.SINGLE(Table1[imd_decile])&lt;=3,"Most Deprived",F1267&lt;=7,"Moderately Deprived",F1267&lt;=10,"Least Deprived")</f>
        <v>Moderately Deprived</v>
      </c>
      <c r="H1267">
        <v>5.3</v>
      </c>
      <c r="I1267" t="s">
        <v>25</v>
      </c>
      <c r="J1267" t="s">
        <v>26</v>
      </c>
      <c r="K1267" s="1">
        <v>45848</v>
      </c>
      <c r="L1267" s="1">
        <v>45850</v>
      </c>
      <c r="M1267" s="1" t="str">
        <f>TEXT(Table1[[#This Row],[appointment_date]],"MM/YYYY")</f>
        <v>07/2025</v>
      </c>
      <c r="N1267">
        <v>2</v>
      </c>
      <c r="O1267" t="str" cm="1">
        <f t="array" ref="O1267">_xlfn.IFS(Table1[[#This Row],[lead_time_days]]&lt;=7,"0-7 days",N1267&lt;=14,"8-14 days",N1267&lt;=30,"15-30 days",N1267&lt;=60,"31-60 days",TRUE,"61+ days")</f>
        <v>0-7 days</v>
      </c>
      <c r="P1267" t="s">
        <v>55</v>
      </c>
      <c r="Q1267" t="s">
        <v>21</v>
      </c>
      <c r="R1267">
        <v>0</v>
      </c>
      <c r="S1267" t="str">
        <f>IF(Table1[prior_dna_count]&gt;=1,"Has prior DNA history","No prior DNA history")</f>
        <v>No prior DNA history</v>
      </c>
      <c r="T1267" t="s">
        <v>22</v>
      </c>
      <c r="U1267" t="str">
        <f t="shared" si="19"/>
        <v>0</v>
      </c>
      <c r="V1267" t="str">
        <f>IF(Table1[appointment_status]="Attended","1","0")</f>
        <v>1</v>
      </c>
      <c r="W1267" t="str">
        <f>IF(Table1[appointment_status]="Cancelled","1","0")</f>
        <v>0</v>
      </c>
    </row>
    <row r="1268" spans="1:23">
      <c r="A1268" t="s">
        <v>2198</v>
      </c>
      <c r="B1268" t="s">
        <v>2199</v>
      </c>
      <c r="C1268">
        <v>71</v>
      </c>
      <c r="D1268" t="str" cm="1">
        <f t="array" ref="D1268">_xlfn.IFS(Table1[[#This Row],[age]]&lt;=17,"0-17",C1268&lt;=29,"18-29",C1268&lt;=44,"30-44",C1268&lt;=59,"45-59",C1268&lt;=74,"60-74",TRUE,"75+")</f>
        <v>60-74</v>
      </c>
      <c r="E1268" t="s">
        <v>17</v>
      </c>
      <c r="F1268">
        <v>1</v>
      </c>
      <c r="G1268" t="str" cm="1">
        <f t="array" ref="G1268">_xlfn.IFS(_xlfn.SINGLE(Table1[imd_decile])&lt;=3,"Most Deprived",F1268&lt;=7,"Moderately Deprived",F1268&lt;=10,"Least Deprived")</f>
        <v>Most Deprived</v>
      </c>
      <c r="H1268">
        <v>9.9</v>
      </c>
      <c r="I1268" t="s">
        <v>155</v>
      </c>
      <c r="J1268" t="s">
        <v>19</v>
      </c>
      <c r="K1268" s="1">
        <v>45822</v>
      </c>
      <c r="L1268" s="1">
        <v>45850</v>
      </c>
      <c r="M1268" s="1" t="str">
        <f>TEXT(Table1[[#This Row],[appointment_date]],"MM/YYYY")</f>
        <v>07/2025</v>
      </c>
      <c r="N1268">
        <v>28</v>
      </c>
      <c r="O1268" t="str" cm="1">
        <f t="array" ref="O1268">_xlfn.IFS(Table1[[#This Row],[lead_time_days]]&lt;=7,"0-7 days",N1268&lt;=14,"8-14 days",N1268&lt;=30,"15-30 days",N1268&lt;=60,"31-60 days",TRUE,"61+ days")</f>
        <v>15-30 days</v>
      </c>
      <c r="P1268" t="s">
        <v>55</v>
      </c>
      <c r="Q1268" t="s">
        <v>21</v>
      </c>
      <c r="R1268">
        <v>0</v>
      </c>
      <c r="S1268" t="str">
        <f>IF(Table1[prior_dna_count]&gt;=1,"Has prior DNA history","No prior DNA history")</f>
        <v>No prior DNA history</v>
      </c>
      <c r="T1268" t="s">
        <v>22</v>
      </c>
      <c r="U1268" t="str">
        <f t="shared" si="19"/>
        <v>1</v>
      </c>
      <c r="V1268" t="str">
        <f>IF(Table1[appointment_status]="Attended","1","0")</f>
        <v>1</v>
      </c>
      <c r="W1268" t="str">
        <f>IF(Table1[appointment_status]="Cancelled","1","0")</f>
        <v>0</v>
      </c>
    </row>
    <row r="1269" spans="1:23">
      <c r="A1269" t="s">
        <v>2200</v>
      </c>
      <c r="B1269" t="s">
        <v>2157</v>
      </c>
      <c r="C1269">
        <v>58</v>
      </c>
      <c r="D1269" t="str" cm="1">
        <f t="array" ref="D1269">_xlfn.IFS(Table1[[#This Row],[age]]&lt;=17,"0-17",C1269&lt;=29,"18-29",C1269&lt;=44,"30-44",C1269&lt;=59,"45-59",C1269&lt;=74,"60-74",TRUE,"75+")</f>
        <v>45-59</v>
      </c>
      <c r="E1269" t="s">
        <v>17</v>
      </c>
      <c r="F1269">
        <v>9</v>
      </c>
      <c r="G1269" t="str" cm="1">
        <f t="array" ref="G1269">_xlfn.IFS(_xlfn.SINGLE(Table1[imd_decile])&lt;=3,"Most Deprived",F1269&lt;=7,"Moderately Deprived",F1269&lt;=10,"Least Deprived")</f>
        <v>Least Deprived</v>
      </c>
      <c r="H1269">
        <v>1.2</v>
      </c>
      <c r="I1269" t="s">
        <v>42</v>
      </c>
      <c r="J1269" t="s">
        <v>26</v>
      </c>
      <c r="K1269" s="1">
        <v>45835</v>
      </c>
      <c r="L1269" s="1">
        <v>45850</v>
      </c>
      <c r="M1269" s="1" t="str">
        <f>TEXT(Table1[[#This Row],[appointment_date]],"MM/YYYY")</f>
        <v>07/2025</v>
      </c>
      <c r="N1269">
        <v>15</v>
      </c>
      <c r="O1269" t="str" cm="1">
        <f t="array" ref="O1269">_xlfn.IFS(Table1[[#This Row],[lead_time_days]]&lt;=7,"0-7 days",N1269&lt;=14,"8-14 days",N1269&lt;=30,"15-30 days",N1269&lt;=60,"31-60 days",TRUE,"61+ days")</f>
        <v>15-30 days</v>
      </c>
      <c r="P1269" t="s">
        <v>55</v>
      </c>
      <c r="Q1269" t="s">
        <v>21</v>
      </c>
      <c r="R1269">
        <v>1</v>
      </c>
      <c r="S1269" t="str">
        <f>IF(Table1[prior_dna_count]&gt;=1,"Has prior DNA history","No prior DNA history")</f>
        <v>Has prior DNA history</v>
      </c>
      <c r="T1269" t="s">
        <v>22</v>
      </c>
      <c r="U1269" t="str">
        <f t="shared" si="19"/>
        <v>1</v>
      </c>
      <c r="V1269" t="str">
        <f>IF(Table1[appointment_status]="Attended","1","0")</f>
        <v>1</v>
      </c>
      <c r="W1269" t="str">
        <f>IF(Table1[appointment_status]="Cancelled","1","0")</f>
        <v>0</v>
      </c>
    </row>
    <row r="1270" spans="1:23">
      <c r="A1270" t="s">
        <v>2201</v>
      </c>
      <c r="B1270" t="s">
        <v>257</v>
      </c>
      <c r="C1270">
        <v>34</v>
      </c>
      <c r="D1270" t="str" cm="1">
        <f t="array" ref="D1270">_xlfn.IFS(Table1[[#This Row],[age]]&lt;=17,"0-17",C1270&lt;=29,"18-29",C1270&lt;=44,"30-44",C1270&lt;=59,"45-59",C1270&lt;=74,"60-74",TRUE,"75+")</f>
        <v>30-44</v>
      </c>
      <c r="E1270" t="s">
        <v>29</v>
      </c>
      <c r="F1270">
        <v>6</v>
      </c>
      <c r="G1270" t="str" cm="1">
        <f t="array" ref="G1270">_xlfn.IFS(_xlfn.SINGLE(Table1[imd_decile])&lt;=3,"Most Deprived",F1270&lt;=7,"Moderately Deprived",F1270&lt;=10,"Least Deprived")</f>
        <v>Moderately Deprived</v>
      </c>
      <c r="H1270">
        <v>5.9</v>
      </c>
      <c r="I1270" t="s">
        <v>91</v>
      </c>
      <c r="J1270" t="s">
        <v>26</v>
      </c>
      <c r="K1270" s="1">
        <v>45849</v>
      </c>
      <c r="L1270" s="1">
        <v>45850</v>
      </c>
      <c r="M1270" s="1" t="str">
        <f>TEXT(Table1[[#This Row],[appointment_date]],"MM/YYYY")</f>
        <v>07/2025</v>
      </c>
      <c r="N1270">
        <v>1</v>
      </c>
      <c r="O1270" t="str" cm="1">
        <f t="array" ref="O1270">_xlfn.IFS(Table1[[#This Row],[lead_time_days]]&lt;=7,"0-7 days",N1270&lt;=14,"8-14 days",N1270&lt;=30,"15-30 days",N1270&lt;=60,"31-60 days",TRUE,"61+ days")</f>
        <v>0-7 days</v>
      </c>
      <c r="P1270" t="s">
        <v>55</v>
      </c>
      <c r="Q1270" t="s">
        <v>21</v>
      </c>
      <c r="R1270">
        <v>0</v>
      </c>
      <c r="S1270" t="str">
        <f>IF(Table1[prior_dna_count]&gt;=1,"Has prior DNA history","No prior DNA history")</f>
        <v>No prior DNA history</v>
      </c>
      <c r="T1270" t="s">
        <v>22</v>
      </c>
      <c r="U1270" t="str">
        <f t="shared" si="19"/>
        <v>1</v>
      </c>
      <c r="V1270" t="str">
        <f>IF(Table1[appointment_status]="Attended","1","0")</f>
        <v>1</v>
      </c>
      <c r="W1270" t="str">
        <f>IF(Table1[appointment_status]="Cancelled","1","0")</f>
        <v>0</v>
      </c>
    </row>
    <row r="1271" spans="1:23">
      <c r="A1271" t="s">
        <v>2202</v>
      </c>
      <c r="B1271" t="s">
        <v>2203</v>
      </c>
      <c r="C1271">
        <v>66</v>
      </c>
      <c r="D1271" t="str" cm="1">
        <f t="array" ref="D1271">_xlfn.IFS(Table1[[#This Row],[age]]&lt;=17,"0-17",C1271&lt;=29,"18-29",C1271&lt;=44,"30-44",C1271&lt;=59,"45-59",C1271&lt;=74,"60-74",TRUE,"75+")</f>
        <v>60-74</v>
      </c>
      <c r="E1271" t="s">
        <v>29</v>
      </c>
      <c r="F1271">
        <v>8</v>
      </c>
      <c r="G1271" t="str" cm="1">
        <f t="array" ref="G1271">_xlfn.IFS(_xlfn.SINGLE(Table1[imd_decile])&lt;=3,"Most Deprived",F1271&lt;=7,"Moderately Deprived",F1271&lt;=10,"Least Deprived")</f>
        <v>Least Deprived</v>
      </c>
      <c r="H1271">
        <v>5.4</v>
      </c>
      <c r="I1271" t="s">
        <v>42</v>
      </c>
      <c r="J1271" t="s">
        <v>26</v>
      </c>
      <c r="K1271" s="1">
        <v>45841</v>
      </c>
      <c r="L1271" s="1">
        <v>45850</v>
      </c>
      <c r="M1271" s="1" t="str">
        <f>TEXT(Table1[[#This Row],[appointment_date]],"MM/YYYY")</f>
        <v>07/2025</v>
      </c>
      <c r="N1271">
        <v>9</v>
      </c>
      <c r="O1271" t="str" cm="1">
        <f t="array" ref="O1271">_xlfn.IFS(Table1[[#This Row],[lead_time_days]]&lt;=7,"0-7 days",N1271&lt;=14,"8-14 days",N1271&lt;=30,"15-30 days",N1271&lt;=60,"31-60 days",TRUE,"61+ days")</f>
        <v>8-14 days</v>
      </c>
      <c r="P1271" t="s">
        <v>55</v>
      </c>
      <c r="Q1271" t="s">
        <v>21</v>
      </c>
      <c r="R1271">
        <v>0</v>
      </c>
      <c r="S1271" t="str">
        <f>IF(Table1[prior_dna_count]&gt;=1,"Has prior DNA history","No prior DNA history")</f>
        <v>No prior DNA history</v>
      </c>
      <c r="T1271" t="s">
        <v>22</v>
      </c>
      <c r="U1271" t="str">
        <f t="shared" si="19"/>
        <v>1</v>
      </c>
      <c r="V1271" t="str">
        <f>IF(Table1[appointment_status]="Attended","1","0")</f>
        <v>1</v>
      </c>
      <c r="W1271" t="str">
        <f>IF(Table1[appointment_status]="Cancelled","1","0")</f>
        <v>0</v>
      </c>
    </row>
    <row r="1272" spans="1:23">
      <c r="A1272" t="s">
        <v>2204</v>
      </c>
      <c r="B1272" t="s">
        <v>764</v>
      </c>
      <c r="C1272">
        <v>30</v>
      </c>
      <c r="D1272" t="str" cm="1">
        <f t="array" ref="D1272">_xlfn.IFS(Table1[[#This Row],[age]]&lt;=17,"0-17",C1272&lt;=29,"18-29",C1272&lt;=44,"30-44",C1272&lt;=59,"45-59",C1272&lt;=74,"60-74",TRUE,"75+")</f>
        <v>30-44</v>
      </c>
      <c r="E1272" t="s">
        <v>17</v>
      </c>
      <c r="F1272">
        <v>6</v>
      </c>
      <c r="G1272" t="str" cm="1">
        <f t="array" ref="G1272">_xlfn.IFS(_xlfn.SINGLE(Table1[imd_decile])&lt;=3,"Most Deprived",F1272&lt;=7,"Moderately Deprived",F1272&lt;=10,"Least Deprived")</f>
        <v>Moderately Deprived</v>
      </c>
      <c r="H1272">
        <v>5</v>
      </c>
      <c r="I1272" t="s">
        <v>155</v>
      </c>
      <c r="J1272" t="s">
        <v>26</v>
      </c>
      <c r="K1272" s="1">
        <v>45833</v>
      </c>
      <c r="L1272" s="1">
        <v>45851</v>
      </c>
      <c r="M1272" s="1" t="str">
        <f>TEXT(Table1[[#This Row],[appointment_date]],"MM/YYYY")</f>
        <v>07/2025</v>
      </c>
      <c r="N1272">
        <v>18</v>
      </c>
      <c r="O1272" t="str" cm="1">
        <f t="array" ref="O1272">_xlfn.IFS(Table1[[#This Row],[lead_time_days]]&lt;=7,"0-7 days",N1272&lt;=14,"8-14 days",N1272&lt;=30,"15-30 days",N1272&lt;=60,"31-60 days",TRUE,"61+ days")</f>
        <v>15-30 days</v>
      </c>
      <c r="P1272" t="s">
        <v>31</v>
      </c>
      <c r="Q1272" t="s">
        <v>21</v>
      </c>
      <c r="R1272">
        <v>1</v>
      </c>
      <c r="S1272" t="str">
        <f>IF(Table1[prior_dna_count]&gt;=1,"Has prior DNA history","No prior DNA history")</f>
        <v>Has prior DNA history</v>
      </c>
      <c r="T1272" t="s">
        <v>22</v>
      </c>
      <c r="U1272" t="str">
        <f t="shared" si="19"/>
        <v>1</v>
      </c>
      <c r="V1272" t="str">
        <f>IF(Table1[appointment_status]="Attended","1","0")</f>
        <v>1</v>
      </c>
      <c r="W1272" t="str">
        <f>IF(Table1[appointment_status]="Cancelled","1","0")</f>
        <v>0</v>
      </c>
    </row>
    <row r="1273" spans="1:23">
      <c r="A1273" t="s">
        <v>2205</v>
      </c>
      <c r="B1273" t="s">
        <v>2206</v>
      </c>
      <c r="C1273">
        <v>39</v>
      </c>
      <c r="D1273" t="str" cm="1">
        <f t="array" ref="D1273">_xlfn.IFS(Table1[[#This Row],[age]]&lt;=17,"0-17",C1273&lt;=29,"18-29",C1273&lt;=44,"30-44",C1273&lt;=59,"45-59",C1273&lt;=74,"60-74",TRUE,"75+")</f>
        <v>30-44</v>
      </c>
      <c r="E1273" t="s">
        <v>29</v>
      </c>
      <c r="F1273">
        <v>8</v>
      </c>
      <c r="G1273" t="str" cm="1">
        <f t="array" ref="G1273">_xlfn.IFS(_xlfn.SINGLE(Table1[imd_decile])&lt;=3,"Most Deprived",F1273&lt;=7,"Moderately Deprived",F1273&lt;=10,"Least Deprived")</f>
        <v>Least Deprived</v>
      </c>
      <c r="H1273">
        <v>6.9</v>
      </c>
      <c r="I1273" t="s">
        <v>49</v>
      </c>
      <c r="J1273" t="s">
        <v>19</v>
      </c>
      <c r="K1273" s="1">
        <v>45826</v>
      </c>
      <c r="L1273" s="1">
        <v>45851</v>
      </c>
      <c r="M1273" s="1" t="str">
        <f>TEXT(Table1[[#This Row],[appointment_date]],"MM/YYYY")</f>
        <v>07/2025</v>
      </c>
      <c r="N1273">
        <v>25</v>
      </c>
      <c r="O1273" t="str" cm="1">
        <f t="array" ref="O1273">_xlfn.IFS(Table1[[#This Row],[lead_time_days]]&lt;=7,"0-7 days",N1273&lt;=14,"8-14 days",N1273&lt;=30,"15-30 days",N1273&lt;=60,"31-60 days",TRUE,"61+ days")</f>
        <v>15-30 days</v>
      </c>
      <c r="P1273" t="s">
        <v>31</v>
      </c>
      <c r="Q1273" t="s">
        <v>21</v>
      </c>
      <c r="R1273">
        <v>0</v>
      </c>
      <c r="S1273" t="str">
        <f>IF(Table1[prior_dna_count]&gt;=1,"Has prior DNA history","No prior DNA history")</f>
        <v>No prior DNA history</v>
      </c>
      <c r="T1273" t="s">
        <v>22</v>
      </c>
      <c r="U1273" t="str">
        <f t="shared" si="19"/>
        <v>1</v>
      </c>
      <c r="V1273" t="str">
        <f>IF(Table1[appointment_status]="Attended","1","0")</f>
        <v>1</v>
      </c>
      <c r="W1273" t="str">
        <f>IF(Table1[appointment_status]="Cancelled","1","0")</f>
        <v>0</v>
      </c>
    </row>
    <row r="1274" spans="1:23">
      <c r="A1274" t="s">
        <v>2207</v>
      </c>
      <c r="B1274" t="s">
        <v>1957</v>
      </c>
      <c r="C1274">
        <v>75</v>
      </c>
      <c r="D1274" t="str" cm="1">
        <f t="array" ref="D1274">_xlfn.IFS(Table1[[#This Row],[age]]&lt;=17,"0-17",C1274&lt;=29,"18-29",C1274&lt;=44,"30-44",C1274&lt;=59,"45-59",C1274&lt;=74,"60-74",TRUE,"75+")</f>
        <v>75+</v>
      </c>
      <c r="E1274" t="s">
        <v>17</v>
      </c>
      <c r="F1274">
        <v>5</v>
      </c>
      <c r="G1274" t="str" cm="1">
        <f t="array" ref="G1274">_xlfn.IFS(_xlfn.SINGLE(Table1[imd_decile])&lt;=3,"Most Deprived",F1274&lt;=7,"Moderately Deprived",F1274&lt;=10,"Least Deprived")</f>
        <v>Moderately Deprived</v>
      </c>
      <c r="H1274">
        <v>2.5</v>
      </c>
      <c r="I1274" t="s">
        <v>42</v>
      </c>
      <c r="J1274" t="s">
        <v>26</v>
      </c>
      <c r="K1274" s="1">
        <v>45845</v>
      </c>
      <c r="L1274" s="1">
        <v>45851</v>
      </c>
      <c r="M1274" s="1" t="str">
        <f>TEXT(Table1[[#This Row],[appointment_date]],"MM/YYYY")</f>
        <v>07/2025</v>
      </c>
      <c r="N1274">
        <v>6</v>
      </c>
      <c r="O1274" t="str" cm="1">
        <f t="array" ref="O1274">_xlfn.IFS(Table1[[#This Row],[lead_time_days]]&lt;=7,"0-7 days",N1274&lt;=14,"8-14 days",N1274&lt;=30,"15-30 days",N1274&lt;=60,"31-60 days",TRUE,"61+ days")</f>
        <v>0-7 days</v>
      </c>
      <c r="P1274" t="s">
        <v>31</v>
      </c>
      <c r="Q1274" t="s">
        <v>21</v>
      </c>
      <c r="R1274">
        <v>0</v>
      </c>
      <c r="S1274" t="str">
        <f>IF(Table1[prior_dna_count]&gt;=1,"Has prior DNA history","No prior DNA history")</f>
        <v>No prior DNA history</v>
      </c>
      <c r="T1274" t="s">
        <v>46</v>
      </c>
      <c r="U1274" t="str">
        <f t="shared" si="19"/>
        <v>1</v>
      </c>
      <c r="V1274" t="str">
        <f>IF(Table1[appointment_status]="Attended","1","0")</f>
        <v>0</v>
      </c>
      <c r="W1274" t="str">
        <f>IF(Table1[appointment_status]="Cancelled","1","0")</f>
        <v>1</v>
      </c>
    </row>
    <row r="1275" spans="1:23">
      <c r="A1275" t="s">
        <v>2208</v>
      </c>
      <c r="B1275" t="s">
        <v>945</v>
      </c>
      <c r="C1275">
        <v>80</v>
      </c>
      <c r="D1275" t="str" cm="1">
        <f t="array" ref="D1275">_xlfn.IFS(Table1[[#This Row],[age]]&lt;=17,"0-17",C1275&lt;=29,"18-29",C1275&lt;=44,"30-44",C1275&lt;=59,"45-59",C1275&lt;=74,"60-74",TRUE,"75+")</f>
        <v>75+</v>
      </c>
      <c r="E1275" t="s">
        <v>29</v>
      </c>
      <c r="F1275">
        <v>4</v>
      </c>
      <c r="G1275" t="str" cm="1">
        <f t="array" ref="G1275">_xlfn.IFS(_xlfn.SINGLE(Table1[imd_decile])&lt;=3,"Most Deprived",F1275&lt;=7,"Moderately Deprived",F1275&lt;=10,"Least Deprived")</f>
        <v>Moderately Deprived</v>
      </c>
      <c r="H1275">
        <v>5.2</v>
      </c>
      <c r="I1275" t="s">
        <v>42</v>
      </c>
      <c r="J1275" t="s">
        <v>19</v>
      </c>
      <c r="K1275" s="1">
        <v>45836</v>
      </c>
      <c r="L1275" s="1">
        <v>45851</v>
      </c>
      <c r="M1275" s="1" t="str">
        <f>TEXT(Table1[[#This Row],[appointment_date]],"MM/YYYY")</f>
        <v>07/2025</v>
      </c>
      <c r="N1275">
        <v>15</v>
      </c>
      <c r="O1275" t="str" cm="1">
        <f t="array" ref="O1275">_xlfn.IFS(Table1[[#This Row],[lead_time_days]]&lt;=7,"0-7 days",N1275&lt;=14,"8-14 days",N1275&lt;=30,"15-30 days",N1275&lt;=60,"31-60 days",TRUE,"61+ days")</f>
        <v>15-30 days</v>
      </c>
      <c r="P1275" t="s">
        <v>31</v>
      </c>
      <c r="Q1275" t="s">
        <v>32</v>
      </c>
      <c r="R1275">
        <v>0</v>
      </c>
      <c r="S1275" t="str">
        <f>IF(Table1[prior_dna_count]&gt;=1,"Has prior DNA history","No prior DNA history")</f>
        <v>No prior DNA history</v>
      </c>
      <c r="T1275" t="s">
        <v>22</v>
      </c>
      <c r="U1275" t="str">
        <f t="shared" si="19"/>
        <v>0</v>
      </c>
      <c r="V1275" t="str">
        <f>IF(Table1[appointment_status]="Attended","1","0")</f>
        <v>1</v>
      </c>
      <c r="W1275" t="str">
        <f>IF(Table1[appointment_status]="Cancelled","1","0")</f>
        <v>0</v>
      </c>
    </row>
    <row r="1276" spans="1:23">
      <c r="A1276" t="s">
        <v>2209</v>
      </c>
      <c r="B1276" t="s">
        <v>1935</v>
      </c>
      <c r="C1276">
        <v>46</v>
      </c>
      <c r="D1276" t="str" cm="1">
        <f t="array" ref="D1276">_xlfn.IFS(Table1[[#This Row],[age]]&lt;=17,"0-17",C1276&lt;=29,"18-29",C1276&lt;=44,"30-44",C1276&lt;=59,"45-59",C1276&lt;=74,"60-74",TRUE,"75+")</f>
        <v>45-59</v>
      </c>
      <c r="E1276" t="s">
        <v>29</v>
      </c>
      <c r="F1276">
        <v>9</v>
      </c>
      <c r="G1276" t="str" cm="1">
        <f t="array" ref="G1276">_xlfn.IFS(_xlfn.SINGLE(Table1[imd_decile])&lt;=3,"Most Deprived",F1276&lt;=7,"Moderately Deprived",F1276&lt;=10,"Least Deprived")</f>
        <v>Least Deprived</v>
      </c>
      <c r="H1276">
        <v>1</v>
      </c>
      <c r="I1276" t="s">
        <v>49</v>
      </c>
      <c r="J1276" t="s">
        <v>26</v>
      </c>
      <c r="K1276" s="1">
        <v>45838</v>
      </c>
      <c r="L1276" s="1">
        <v>45851</v>
      </c>
      <c r="M1276" s="1" t="str">
        <f>TEXT(Table1[[#This Row],[appointment_date]],"MM/YYYY")</f>
        <v>07/2025</v>
      </c>
      <c r="N1276">
        <v>13</v>
      </c>
      <c r="O1276" t="str" cm="1">
        <f t="array" ref="O1276">_xlfn.IFS(Table1[[#This Row],[lead_time_days]]&lt;=7,"0-7 days",N1276&lt;=14,"8-14 days",N1276&lt;=30,"15-30 days",N1276&lt;=60,"31-60 days",TRUE,"61+ days")</f>
        <v>8-14 days</v>
      </c>
      <c r="P1276" t="s">
        <v>31</v>
      </c>
      <c r="Q1276" t="s">
        <v>32</v>
      </c>
      <c r="R1276">
        <v>0</v>
      </c>
      <c r="S1276" t="str">
        <f>IF(Table1[prior_dna_count]&gt;=1,"Has prior DNA history","No prior DNA history")</f>
        <v>No prior DNA history</v>
      </c>
      <c r="T1276" t="s">
        <v>22</v>
      </c>
      <c r="U1276" t="str">
        <f t="shared" si="19"/>
        <v>1</v>
      </c>
      <c r="V1276" t="str">
        <f>IF(Table1[appointment_status]="Attended","1","0")</f>
        <v>1</v>
      </c>
      <c r="W1276" t="str">
        <f>IF(Table1[appointment_status]="Cancelled","1","0")</f>
        <v>0</v>
      </c>
    </row>
    <row r="1277" spans="1:23">
      <c r="A1277" t="s">
        <v>2210</v>
      </c>
      <c r="B1277" t="s">
        <v>874</v>
      </c>
      <c r="C1277">
        <v>49</v>
      </c>
      <c r="D1277" t="str" cm="1">
        <f t="array" ref="D1277">_xlfn.IFS(Table1[[#This Row],[age]]&lt;=17,"0-17",C1277&lt;=29,"18-29",C1277&lt;=44,"30-44",C1277&lt;=59,"45-59",C1277&lt;=74,"60-74",TRUE,"75+")</f>
        <v>45-59</v>
      </c>
      <c r="E1277" t="s">
        <v>17</v>
      </c>
      <c r="F1277">
        <v>1</v>
      </c>
      <c r="G1277" t="str" cm="1">
        <f t="array" ref="G1277">_xlfn.IFS(_xlfn.SINGLE(Table1[imd_decile])&lt;=3,"Most Deprived",F1277&lt;=7,"Moderately Deprived",F1277&lt;=10,"Least Deprived")</f>
        <v>Most Deprived</v>
      </c>
      <c r="H1277">
        <v>8.3000000000000007</v>
      </c>
      <c r="I1277" t="s">
        <v>155</v>
      </c>
      <c r="J1277" t="s">
        <v>26</v>
      </c>
      <c r="K1277" s="1">
        <v>45800</v>
      </c>
      <c r="L1277" s="1">
        <v>45851</v>
      </c>
      <c r="M1277" s="1" t="str">
        <f>TEXT(Table1[[#This Row],[appointment_date]],"MM/YYYY")</f>
        <v>07/2025</v>
      </c>
      <c r="N1277">
        <v>51</v>
      </c>
      <c r="O1277" t="str" cm="1">
        <f t="array" ref="O1277">_xlfn.IFS(Table1[[#This Row],[lead_time_days]]&lt;=7,"0-7 days",N1277&lt;=14,"8-14 days",N1277&lt;=30,"15-30 days",N1277&lt;=60,"31-60 days",TRUE,"61+ days")</f>
        <v>31-60 days</v>
      </c>
      <c r="P1277" t="s">
        <v>31</v>
      </c>
      <c r="Q1277" t="s">
        <v>32</v>
      </c>
      <c r="R1277">
        <v>0</v>
      </c>
      <c r="S1277" t="str">
        <f>IF(Table1[prior_dna_count]&gt;=1,"Has prior DNA history","No prior DNA history")</f>
        <v>No prior DNA history</v>
      </c>
      <c r="T1277" t="s">
        <v>22</v>
      </c>
      <c r="U1277" t="str">
        <f t="shared" si="19"/>
        <v>1</v>
      </c>
      <c r="V1277" t="str">
        <f>IF(Table1[appointment_status]="Attended","1","0")</f>
        <v>1</v>
      </c>
      <c r="W1277" t="str">
        <f>IF(Table1[appointment_status]="Cancelled","1","0")</f>
        <v>0</v>
      </c>
    </row>
    <row r="1278" spans="1:23">
      <c r="A1278" t="s">
        <v>2211</v>
      </c>
      <c r="B1278" t="s">
        <v>2212</v>
      </c>
      <c r="C1278">
        <v>67</v>
      </c>
      <c r="D1278" t="str" cm="1">
        <f t="array" ref="D1278">_xlfn.IFS(Table1[[#This Row],[age]]&lt;=17,"0-17",C1278&lt;=29,"18-29",C1278&lt;=44,"30-44",C1278&lt;=59,"45-59",C1278&lt;=74,"60-74",TRUE,"75+")</f>
        <v>60-74</v>
      </c>
      <c r="E1278" t="s">
        <v>29</v>
      </c>
      <c r="F1278">
        <v>6</v>
      </c>
      <c r="G1278" t="str" cm="1">
        <f t="array" ref="G1278">_xlfn.IFS(_xlfn.SINGLE(Table1[imd_decile])&lt;=3,"Most Deprived",F1278&lt;=7,"Moderately Deprived",F1278&lt;=10,"Least Deprived")</f>
        <v>Moderately Deprived</v>
      </c>
      <c r="H1278">
        <v>2.4</v>
      </c>
      <c r="I1278" t="s">
        <v>25</v>
      </c>
      <c r="J1278" t="s">
        <v>19</v>
      </c>
      <c r="K1278" s="1">
        <v>45812</v>
      </c>
      <c r="L1278" s="1">
        <v>45851</v>
      </c>
      <c r="M1278" s="1" t="str">
        <f>TEXT(Table1[[#This Row],[appointment_date]],"MM/YYYY")</f>
        <v>07/2025</v>
      </c>
      <c r="N1278">
        <v>39</v>
      </c>
      <c r="O1278" t="str" cm="1">
        <f t="array" ref="O1278">_xlfn.IFS(Table1[[#This Row],[lead_time_days]]&lt;=7,"0-7 days",N1278&lt;=14,"8-14 days",N1278&lt;=30,"15-30 days",N1278&lt;=60,"31-60 days",TRUE,"61+ days")</f>
        <v>31-60 days</v>
      </c>
      <c r="P1278" t="s">
        <v>31</v>
      </c>
      <c r="Q1278" t="s">
        <v>32</v>
      </c>
      <c r="R1278">
        <v>0</v>
      </c>
      <c r="S1278" t="str">
        <f>IF(Table1[prior_dna_count]&gt;=1,"Has prior DNA history","No prior DNA history")</f>
        <v>No prior DNA history</v>
      </c>
      <c r="T1278" t="s">
        <v>22</v>
      </c>
      <c r="U1278" t="str">
        <f t="shared" si="19"/>
        <v>1</v>
      </c>
      <c r="V1278" t="str">
        <f>IF(Table1[appointment_status]="Attended","1","0")</f>
        <v>1</v>
      </c>
      <c r="W1278" t="str">
        <f>IF(Table1[appointment_status]="Cancelled","1","0")</f>
        <v>0</v>
      </c>
    </row>
    <row r="1279" spans="1:23">
      <c r="A1279" t="s">
        <v>2213</v>
      </c>
      <c r="B1279" t="s">
        <v>2214</v>
      </c>
      <c r="C1279">
        <v>37</v>
      </c>
      <c r="D1279" t="str" cm="1">
        <f t="array" ref="D1279">_xlfn.IFS(Table1[[#This Row],[age]]&lt;=17,"0-17",C1279&lt;=29,"18-29",C1279&lt;=44,"30-44",C1279&lt;=59,"45-59",C1279&lt;=74,"60-74",TRUE,"75+")</f>
        <v>30-44</v>
      </c>
      <c r="E1279" t="s">
        <v>29</v>
      </c>
      <c r="F1279">
        <v>1</v>
      </c>
      <c r="G1279" t="str" cm="1">
        <f t="array" ref="G1279">_xlfn.IFS(_xlfn.SINGLE(Table1[imd_decile])&lt;=3,"Most Deprived",F1279&lt;=7,"Moderately Deprived",F1279&lt;=10,"Least Deprived")</f>
        <v>Most Deprived</v>
      </c>
      <c r="H1279">
        <v>8.8000000000000007</v>
      </c>
      <c r="I1279" t="s">
        <v>25</v>
      </c>
      <c r="J1279" t="s">
        <v>19</v>
      </c>
      <c r="K1279" s="1">
        <v>45828</v>
      </c>
      <c r="L1279" s="1">
        <v>45851</v>
      </c>
      <c r="M1279" s="1" t="str">
        <f>TEXT(Table1[[#This Row],[appointment_date]],"MM/YYYY")</f>
        <v>07/2025</v>
      </c>
      <c r="N1279">
        <v>23</v>
      </c>
      <c r="O1279" t="str" cm="1">
        <f t="array" ref="O1279">_xlfn.IFS(Table1[[#This Row],[lead_time_days]]&lt;=7,"0-7 days",N1279&lt;=14,"8-14 days",N1279&lt;=30,"15-30 days",N1279&lt;=60,"31-60 days",TRUE,"61+ days")</f>
        <v>15-30 days</v>
      </c>
      <c r="P1279" t="s">
        <v>31</v>
      </c>
      <c r="Q1279" t="s">
        <v>21</v>
      </c>
      <c r="R1279">
        <v>0</v>
      </c>
      <c r="S1279" t="str">
        <f>IF(Table1[prior_dna_count]&gt;=1,"Has prior DNA history","No prior DNA history")</f>
        <v>No prior DNA history</v>
      </c>
      <c r="T1279" t="s">
        <v>22</v>
      </c>
      <c r="U1279" t="str">
        <f t="shared" si="19"/>
        <v>1</v>
      </c>
      <c r="V1279" t="str">
        <f>IF(Table1[appointment_status]="Attended","1","0")</f>
        <v>1</v>
      </c>
      <c r="W1279" t="str">
        <f>IF(Table1[appointment_status]="Cancelled","1","0")</f>
        <v>0</v>
      </c>
    </row>
    <row r="1280" spans="1:23">
      <c r="A1280" t="s">
        <v>2215</v>
      </c>
      <c r="B1280" t="s">
        <v>1726</v>
      </c>
      <c r="C1280">
        <v>73</v>
      </c>
      <c r="D1280" t="str" cm="1">
        <f t="array" ref="D1280">_xlfn.IFS(Table1[[#This Row],[age]]&lt;=17,"0-17",C1280&lt;=29,"18-29",C1280&lt;=44,"30-44",C1280&lt;=59,"45-59",C1280&lt;=74,"60-74",TRUE,"75+")</f>
        <v>60-74</v>
      </c>
      <c r="E1280" t="s">
        <v>17</v>
      </c>
      <c r="F1280">
        <v>6</v>
      </c>
      <c r="G1280" t="str" cm="1">
        <f t="array" ref="G1280">_xlfn.IFS(_xlfn.SINGLE(Table1[imd_decile])&lt;=3,"Most Deprived",F1280&lt;=7,"Moderately Deprived",F1280&lt;=10,"Least Deprived")</f>
        <v>Moderately Deprived</v>
      </c>
      <c r="H1280">
        <v>8.1999999999999993</v>
      </c>
      <c r="I1280" t="s">
        <v>38</v>
      </c>
      <c r="J1280" t="s">
        <v>19</v>
      </c>
      <c r="K1280" s="1">
        <v>45721</v>
      </c>
      <c r="L1280" s="1">
        <v>45851</v>
      </c>
      <c r="M1280" s="1" t="str">
        <f>TEXT(Table1[[#This Row],[appointment_date]],"MM/YYYY")</f>
        <v>07/2025</v>
      </c>
      <c r="N1280">
        <v>130</v>
      </c>
      <c r="O1280" t="str" cm="1">
        <f t="array" ref="O1280">_xlfn.IFS(Table1[[#This Row],[lead_time_days]]&lt;=7,"0-7 days",N1280&lt;=14,"8-14 days",N1280&lt;=30,"15-30 days",N1280&lt;=60,"31-60 days",TRUE,"61+ days")</f>
        <v>61+ days</v>
      </c>
      <c r="P1280" t="s">
        <v>31</v>
      </c>
      <c r="Q1280" t="s">
        <v>32</v>
      </c>
      <c r="R1280">
        <v>0</v>
      </c>
      <c r="S1280" t="str">
        <f>IF(Table1[prior_dna_count]&gt;=1,"Has prior DNA history","No prior DNA history")</f>
        <v>No prior DNA history</v>
      </c>
      <c r="T1280" t="s">
        <v>22</v>
      </c>
      <c r="U1280" t="str">
        <f t="shared" si="19"/>
        <v>1</v>
      </c>
      <c r="V1280" t="str">
        <f>IF(Table1[appointment_status]="Attended","1","0")</f>
        <v>1</v>
      </c>
      <c r="W1280" t="str">
        <f>IF(Table1[appointment_status]="Cancelled","1","0")</f>
        <v>0</v>
      </c>
    </row>
    <row r="1281" spans="1:23">
      <c r="A1281" t="s">
        <v>2216</v>
      </c>
      <c r="B1281" t="s">
        <v>2217</v>
      </c>
      <c r="C1281">
        <v>28</v>
      </c>
      <c r="D1281" t="str" cm="1">
        <f t="array" ref="D1281">_xlfn.IFS(Table1[[#This Row],[age]]&lt;=17,"0-17",C1281&lt;=29,"18-29",C1281&lt;=44,"30-44",C1281&lt;=59,"45-59",C1281&lt;=74,"60-74",TRUE,"75+")</f>
        <v>18-29</v>
      </c>
      <c r="E1281" t="s">
        <v>29</v>
      </c>
      <c r="F1281">
        <v>7</v>
      </c>
      <c r="G1281" t="str" cm="1">
        <f t="array" ref="G1281">_xlfn.IFS(_xlfn.SINGLE(Table1[imd_decile])&lt;=3,"Most Deprived",F1281&lt;=7,"Moderately Deprived",F1281&lt;=10,"Least Deprived")</f>
        <v>Moderately Deprived</v>
      </c>
      <c r="H1281">
        <v>10.7</v>
      </c>
      <c r="I1281" t="s">
        <v>49</v>
      </c>
      <c r="J1281" t="s">
        <v>19</v>
      </c>
      <c r="K1281" s="1">
        <v>45816</v>
      </c>
      <c r="L1281" s="1">
        <v>45851</v>
      </c>
      <c r="M1281" s="1" t="str">
        <f>TEXT(Table1[[#This Row],[appointment_date]],"MM/YYYY")</f>
        <v>07/2025</v>
      </c>
      <c r="N1281">
        <v>35</v>
      </c>
      <c r="O1281" t="str" cm="1">
        <f t="array" ref="O1281">_xlfn.IFS(Table1[[#This Row],[lead_time_days]]&lt;=7,"0-7 days",N1281&lt;=14,"8-14 days",N1281&lt;=30,"15-30 days",N1281&lt;=60,"31-60 days",TRUE,"61+ days")</f>
        <v>31-60 days</v>
      </c>
      <c r="P1281" t="s">
        <v>31</v>
      </c>
      <c r="Q1281" t="s">
        <v>21</v>
      </c>
      <c r="R1281">
        <v>0</v>
      </c>
      <c r="S1281" t="str">
        <f>IF(Table1[prior_dna_count]&gt;=1,"Has prior DNA history","No prior DNA history")</f>
        <v>No prior DNA history</v>
      </c>
      <c r="T1281" t="s">
        <v>39</v>
      </c>
      <c r="U1281" t="str">
        <f t="shared" si="19"/>
        <v>1</v>
      </c>
      <c r="V1281" t="str">
        <f>IF(Table1[appointment_status]="Attended","1","0")</f>
        <v>0</v>
      </c>
      <c r="W1281" t="str">
        <f>IF(Table1[appointment_status]="Cancelled","1","0")</f>
        <v>0</v>
      </c>
    </row>
    <row r="1282" spans="1:23">
      <c r="A1282" t="s">
        <v>2218</v>
      </c>
      <c r="B1282" t="s">
        <v>1959</v>
      </c>
      <c r="C1282">
        <v>69</v>
      </c>
      <c r="D1282" t="str" cm="1">
        <f t="array" ref="D1282">_xlfn.IFS(Table1[[#This Row],[age]]&lt;=17,"0-17",C1282&lt;=29,"18-29",C1282&lt;=44,"30-44",C1282&lt;=59,"45-59",C1282&lt;=74,"60-74",TRUE,"75+")</f>
        <v>60-74</v>
      </c>
      <c r="E1282" t="s">
        <v>29</v>
      </c>
      <c r="F1282">
        <v>2</v>
      </c>
      <c r="G1282" t="str" cm="1">
        <f t="array" ref="G1282">_xlfn.IFS(_xlfn.SINGLE(Table1[imd_decile])&lt;=3,"Most Deprived",F1282&lt;=7,"Moderately Deprived",F1282&lt;=10,"Least Deprived")</f>
        <v>Most Deprived</v>
      </c>
      <c r="H1282">
        <v>6.6</v>
      </c>
      <c r="I1282" t="s">
        <v>30</v>
      </c>
      <c r="J1282" t="s">
        <v>19</v>
      </c>
      <c r="K1282" s="1">
        <v>45828</v>
      </c>
      <c r="L1282" s="1">
        <v>45852</v>
      </c>
      <c r="M1282" s="1" t="str">
        <f>TEXT(Table1[[#This Row],[appointment_date]],"MM/YYYY")</f>
        <v>07/2025</v>
      </c>
      <c r="N1282">
        <v>24</v>
      </c>
      <c r="O1282" t="str" cm="1">
        <f t="array" ref="O1282">_xlfn.IFS(Table1[[#This Row],[lead_time_days]]&lt;=7,"0-7 days",N1282&lt;=14,"8-14 days",N1282&lt;=30,"15-30 days",N1282&lt;=60,"31-60 days",TRUE,"61+ days")</f>
        <v>15-30 days</v>
      </c>
      <c r="P1282" t="s">
        <v>35</v>
      </c>
      <c r="Q1282" t="s">
        <v>32</v>
      </c>
      <c r="R1282">
        <v>0</v>
      </c>
      <c r="S1282" t="str">
        <f>IF(Table1[prior_dna_count]&gt;=1,"Has prior DNA history","No prior DNA history")</f>
        <v>No prior DNA history</v>
      </c>
      <c r="T1282" t="s">
        <v>22</v>
      </c>
      <c r="U1282" t="str">
        <f t="shared" ref="U1282:U1345" si="20">V1281</f>
        <v>0</v>
      </c>
      <c r="V1282" t="str">
        <f>IF(Table1[appointment_status]="Attended","1","0")</f>
        <v>1</v>
      </c>
      <c r="W1282" t="str">
        <f>IF(Table1[appointment_status]="Cancelled","1","0")</f>
        <v>0</v>
      </c>
    </row>
    <row r="1283" spans="1:23">
      <c r="A1283" t="s">
        <v>2219</v>
      </c>
      <c r="B1283" t="s">
        <v>2220</v>
      </c>
      <c r="C1283">
        <v>47</v>
      </c>
      <c r="D1283" t="str" cm="1">
        <f t="array" ref="D1283">_xlfn.IFS(Table1[[#This Row],[age]]&lt;=17,"0-17",C1283&lt;=29,"18-29",C1283&lt;=44,"30-44",C1283&lt;=59,"45-59",C1283&lt;=74,"60-74",TRUE,"75+")</f>
        <v>45-59</v>
      </c>
      <c r="E1283" t="s">
        <v>17</v>
      </c>
      <c r="F1283">
        <v>7</v>
      </c>
      <c r="G1283" t="str" cm="1">
        <f t="array" ref="G1283">_xlfn.IFS(_xlfn.SINGLE(Table1[imd_decile])&lt;=3,"Most Deprived",F1283&lt;=7,"Moderately Deprived",F1283&lt;=10,"Least Deprived")</f>
        <v>Moderately Deprived</v>
      </c>
      <c r="H1283">
        <v>16.899999999999999</v>
      </c>
      <c r="I1283" t="s">
        <v>38</v>
      </c>
      <c r="J1283" t="s">
        <v>19</v>
      </c>
      <c r="K1283" s="1">
        <v>45845</v>
      </c>
      <c r="L1283" s="1">
        <v>45852</v>
      </c>
      <c r="M1283" s="1" t="str">
        <f>TEXT(Table1[[#This Row],[appointment_date]],"MM/YYYY")</f>
        <v>07/2025</v>
      </c>
      <c r="N1283">
        <v>7</v>
      </c>
      <c r="O1283" t="str" cm="1">
        <f t="array" ref="O1283">_xlfn.IFS(Table1[[#This Row],[lead_time_days]]&lt;=7,"0-7 days",N1283&lt;=14,"8-14 days",N1283&lt;=30,"15-30 days",N1283&lt;=60,"31-60 days",TRUE,"61+ days")</f>
        <v>0-7 days</v>
      </c>
      <c r="P1283" t="s">
        <v>35</v>
      </c>
      <c r="Q1283" t="s">
        <v>21</v>
      </c>
      <c r="R1283">
        <v>0</v>
      </c>
      <c r="S1283" t="str">
        <f>IF(Table1[prior_dna_count]&gt;=1,"Has prior DNA history","No prior DNA history")</f>
        <v>No prior DNA history</v>
      </c>
      <c r="T1283" t="s">
        <v>22</v>
      </c>
      <c r="U1283" t="str">
        <f t="shared" si="20"/>
        <v>1</v>
      </c>
      <c r="V1283" t="str">
        <f>IF(Table1[appointment_status]="Attended","1","0")</f>
        <v>1</v>
      </c>
      <c r="W1283" t="str">
        <f>IF(Table1[appointment_status]="Cancelled","1","0")</f>
        <v>0</v>
      </c>
    </row>
    <row r="1284" spans="1:23">
      <c r="A1284" t="s">
        <v>2221</v>
      </c>
      <c r="B1284" t="s">
        <v>1057</v>
      </c>
      <c r="C1284">
        <v>46</v>
      </c>
      <c r="D1284" t="str" cm="1">
        <f t="array" ref="D1284">_xlfn.IFS(Table1[[#This Row],[age]]&lt;=17,"0-17",C1284&lt;=29,"18-29",C1284&lt;=44,"30-44",C1284&lt;=59,"45-59",C1284&lt;=74,"60-74",TRUE,"75+")</f>
        <v>45-59</v>
      </c>
      <c r="E1284" t="s">
        <v>17</v>
      </c>
      <c r="F1284">
        <v>6</v>
      </c>
      <c r="G1284" t="str" cm="1">
        <f t="array" ref="G1284">_xlfn.IFS(_xlfn.SINGLE(Table1[imd_decile])&lt;=3,"Most Deprived",F1284&lt;=7,"Moderately Deprived",F1284&lt;=10,"Least Deprived")</f>
        <v>Moderately Deprived</v>
      </c>
      <c r="H1284">
        <v>6.8</v>
      </c>
      <c r="I1284" t="s">
        <v>42</v>
      </c>
      <c r="J1284" t="s">
        <v>26</v>
      </c>
      <c r="K1284" s="1">
        <v>45824</v>
      </c>
      <c r="L1284" s="1">
        <v>45852</v>
      </c>
      <c r="M1284" s="1" t="str">
        <f>TEXT(Table1[[#This Row],[appointment_date]],"MM/YYYY")</f>
        <v>07/2025</v>
      </c>
      <c r="N1284">
        <v>28</v>
      </c>
      <c r="O1284" t="str" cm="1">
        <f t="array" ref="O1284">_xlfn.IFS(Table1[[#This Row],[lead_time_days]]&lt;=7,"0-7 days",N1284&lt;=14,"8-14 days",N1284&lt;=30,"15-30 days",N1284&lt;=60,"31-60 days",TRUE,"61+ days")</f>
        <v>15-30 days</v>
      </c>
      <c r="P1284" t="s">
        <v>35</v>
      </c>
      <c r="Q1284" t="s">
        <v>21</v>
      </c>
      <c r="R1284">
        <v>0</v>
      </c>
      <c r="S1284" t="str">
        <f>IF(Table1[prior_dna_count]&gt;=1,"Has prior DNA history","No prior DNA history")</f>
        <v>No prior DNA history</v>
      </c>
      <c r="T1284" t="s">
        <v>22</v>
      </c>
      <c r="U1284" t="str">
        <f t="shared" si="20"/>
        <v>1</v>
      </c>
      <c r="V1284" t="str">
        <f>IF(Table1[appointment_status]="Attended","1","0")</f>
        <v>1</v>
      </c>
      <c r="W1284" t="str">
        <f>IF(Table1[appointment_status]="Cancelled","1","0")</f>
        <v>0</v>
      </c>
    </row>
    <row r="1285" spans="1:23">
      <c r="A1285" t="s">
        <v>2222</v>
      </c>
      <c r="B1285" t="s">
        <v>2223</v>
      </c>
      <c r="C1285">
        <v>34</v>
      </c>
      <c r="D1285" t="str" cm="1">
        <f t="array" ref="D1285">_xlfn.IFS(Table1[[#This Row],[age]]&lt;=17,"0-17",C1285&lt;=29,"18-29",C1285&lt;=44,"30-44",C1285&lt;=59,"45-59",C1285&lt;=74,"60-74",TRUE,"75+")</f>
        <v>30-44</v>
      </c>
      <c r="E1285" t="s">
        <v>17</v>
      </c>
      <c r="F1285">
        <v>4</v>
      </c>
      <c r="G1285" t="str" cm="1">
        <f t="array" ref="G1285">_xlfn.IFS(_xlfn.SINGLE(Table1[imd_decile])&lt;=3,"Most Deprived",F1285&lt;=7,"Moderately Deprived",F1285&lt;=10,"Least Deprived")</f>
        <v>Moderately Deprived</v>
      </c>
      <c r="H1285">
        <v>7.5</v>
      </c>
      <c r="I1285" t="s">
        <v>30</v>
      </c>
      <c r="J1285" t="s">
        <v>26</v>
      </c>
      <c r="K1285" s="1">
        <v>45829</v>
      </c>
      <c r="L1285" s="1">
        <v>45852</v>
      </c>
      <c r="M1285" s="1" t="str">
        <f>TEXT(Table1[[#This Row],[appointment_date]],"MM/YYYY")</f>
        <v>07/2025</v>
      </c>
      <c r="N1285">
        <v>23</v>
      </c>
      <c r="O1285" t="str" cm="1">
        <f t="array" ref="O1285">_xlfn.IFS(Table1[[#This Row],[lead_time_days]]&lt;=7,"0-7 days",N1285&lt;=14,"8-14 days",N1285&lt;=30,"15-30 days",N1285&lt;=60,"31-60 days",TRUE,"61+ days")</f>
        <v>15-30 days</v>
      </c>
      <c r="P1285" t="s">
        <v>35</v>
      </c>
      <c r="Q1285" t="s">
        <v>21</v>
      </c>
      <c r="R1285">
        <v>0</v>
      </c>
      <c r="S1285" t="str">
        <f>IF(Table1[prior_dna_count]&gt;=1,"Has prior DNA history","No prior DNA history")</f>
        <v>No prior DNA history</v>
      </c>
      <c r="T1285" t="s">
        <v>46</v>
      </c>
      <c r="U1285" t="str">
        <f t="shared" si="20"/>
        <v>1</v>
      </c>
      <c r="V1285" t="str">
        <f>IF(Table1[appointment_status]="Attended","1","0")</f>
        <v>0</v>
      </c>
      <c r="W1285" t="str">
        <f>IF(Table1[appointment_status]="Cancelled","1","0")</f>
        <v>1</v>
      </c>
    </row>
    <row r="1286" spans="1:23">
      <c r="A1286" t="s">
        <v>2224</v>
      </c>
      <c r="B1286" t="s">
        <v>1059</v>
      </c>
      <c r="C1286">
        <v>78</v>
      </c>
      <c r="D1286" t="str" cm="1">
        <f t="array" ref="D1286">_xlfn.IFS(Table1[[#This Row],[age]]&lt;=17,"0-17",C1286&lt;=29,"18-29",C1286&lt;=44,"30-44",C1286&lt;=59,"45-59",C1286&lt;=74,"60-74",TRUE,"75+")</f>
        <v>75+</v>
      </c>
      <c r="E1286" t="s">
        <v>29</v>
      </c>
      <c r="F1286">
        <v>2</v>
      </c>
      <c r="G1286" t="str" cm="1">
        <f t="array" ref="G1286">_xlfn.IFS(_xlfn.SINGLE(Table1[imd_decile])&lt;=3,"Most Deprived",F1286&lt;=7,"Moderately Deprived",F1286&lt;=10,"Least Deprived")</f>
        <v>Most Deprived</v>
      </c>
      <c r="H1286">
        <v>7.1</v>
      </c>
      <c r="I1286" t="s">
        <v>25</v>
      </c>
      <c r="J1286" t="s">
        <v>19</v>
      </c>
      <c r="K1286" s="1">
        <v>45824</v>
      </c>
      <c r="L1286" s="1">
        <v>45852</v>
      </c>
      <c r="M1286" s="1" t="str">
        <f>TEXT(Table1[[#This Row],[appointment_date]],"MM/YYYY")</f>
        <v>07/2025</v>
      </c>
      <c r="N1286">
        <v>28</v>
      </c>
      <c r="O1286" t="str" cm="1">
        <f t="array" ref="O1286">_xlfn.IFS(Table1[[#This Row],[lead_time_days]]&lt;=7,"0-7 days",N1286&lt;=14,"8-14 days",N1286&lt;=30,"15-30 days",N1286&lt;=60,"31-60 days",TRUE,"61+ days")</f>
        <v>15-30 days</v>
      </c>
      <c r="P1286" t="s">
        <v>35</v>
      </c>
      <c r="Q1286" t="s">
        <v>21</v>
      </c>
      <c r="R1286">
        <v>0</v>
      </c>
      <c r="S1286" t="str">
        <f>IF(Table1[prior_dna_count]&gt;=1,"Has prior DNA history","No prior DNA history")</f>
        <v>No prior DNA history</v>
      </c>
      <c r="T1286" t="s">
        <v>22</v>
      </c>
      <c r="U1286" t="str">
        <f t="shared" si="20"/>
        <v>0</v>
      </c>
      <c r="V1286" t="str">
        <f>IF(Table1[appointment_status]="Attended","1","0")</f>
        <v>1</v>
      </c>
      <c r="W1286" t="str">
        <f>IF(Table1[appointment_status]="Cancelled","1","0")</f>
        <v>0</v>
      </c>
    </row>
    <row r="1287" spans="1:23">
      <c r="A1287" t="s">
        <v>2225</v>
      </c>
      <c r="B1287" t="s">
        <v>819</v>
      </c>
      <c r="C1287">
        <v>49</v>
      </c>
      <c r="D1287" t="str" cm="1">
        <f t="array" ref="D1287">_xlfn.IFS(Table1[[#This Row],[age]]&lt;=17,"0-17",C1287&lt;=29,"18-29",C1287&lt;=44,"30-44",C1287&lt;=59,"45-59",C1287&lt;=74,"60-74",TRUE,"75+")</f>
        <v>45-59</v>
      </c>
      <c r="E1287" t="s">
        <v>17</v>
      </c>
      <c r="F1287">
        <v>4</v>
      </c>
      <c r="G1287" t="str" cm="1">
        <f t="array" ref="G1287">_xlfn.IFS(_xlfn.SINGLE(Table1[imd_decile])&lt;=3,"Most Deprived",F1287&lt;=7,"Moderately Deprived",F1287&lt;=10,"Least Deprived")</f>
        <v>Moderately Deprived</v>
      </c>
      <c r="H1287">
        <v>10.4</v>
      </c>
      <c r="I1287" t="s">
        <v>42</v>
      </c>
      <c r="J1287" t="s">
        <v>19</v>
      </c>
      <c r="K1287" s="1">
        <v>45809</v>
      </c>
      <c r="L1287" s="1">
        <v>45852</v>
      </c>
      <c r="M1287" s="1" t="str">
        <f>TEXT(Table1[[#This Row],[appointment_date]],"MM/YYYY")</f>
        <v>07/2025</v>
      </c>
      <c r="N1287">
        <v>43</v>
      </c>
      <c r="O1287" t="str" cm="1">
        <f t="array" ref="O1287">_xlfn.IFS(Table1[[#This Row],[lead_time_days]]&lt;=7,"0-7 days",N1287&lt;=14,"8-14 days",N1287&lt;=30,"15-30 days",N1287&lt;=60,"31-60 days",TRUE,"61+ days")</f>
        <v>31-60 days</v>
      </c>
      <c r="P1287" t="s">
        <v>35</v>
      </c>
      <c r="Q1287" t="s">
        <v>32</v>
      </c>
      <c r="R1287">
        <v>1</v>
      </c>
      <c r="S1287" t="str">
        <f>IF(Table1[prior_dna_count]&gt;=1,"Has prior DNA history","No prior DNA history")</f>
        <v>Has prior DNA history</v>
      </c>
      <c r="T1287" t="s">
        <v>22</v>
      </c>
      <c r="U1287" t="str">
        <f t="shared" si="20"/>
        <v>1</v>
      </c>
      <c r="V1287" t="str">
        <f>IF(Table1[appointment_status]="Attended","1","0")</f>
        <v>1</v>
      </c>
      <c r="W1287" t="str">
        <f>IF(Table1[appointment_status]="Cancelled","1","0")</f>
        <v>0</v>
      </c>
    </row>
    <row r="1288" spans="1:23">
      <c r="A1288" t="s">
        <v>2226</v>
      </c>
      <c r="B1288" t="s">
        <v>2227</v>
      </c>
      <c r="C1288">
        <v>44</v>
      </c>
      <c r="D1288" t="str" cm="1">
        <f t="array" ref="D1288">_xlfn.IFS(Table1[[#This Row],[age]]&lt;=17,"0-17",C1288&lt;=29,"18-29",C1288&lt;=44,"30-44",C1288&lt;=59,"45-59",C1288&lt;=74,"60-74",TRUE,"75+")</f>
        <v>30-44</v>
      </c>
      <c r="E1288" t="s">
        <v>29</v>
      </c>
      <c r="F1288">
        <v>5</v>
      </c>
      <c r="G1288" t="str" cm="1">
        <f t="array" ref="G1288">_xlfn.IFS(_xlfn.SINGLE(Table1[imd_decile])&lt;=3,"Most Deprived",F1288&lt;=7,"Moderately Deprived",F1288&lt;=10,"Least Deprived")</f>
        <v>Moderately Deprived</v>
      </c>
      <c r="H1288">
        <v>2.6</v>
      </c>
      <c r="I1288" t="s">
        <v>91</v>
      </c>
      <c r="J1288" t="s">
        <v>19</v>
      </c>
      <c r="K1288" s="1">
        <v>45844</v>
      </c>
      <c r="L1288" s="1">
        <v>45852</v>
      </c>
      <c r="M1288" s="1" t="str">
        <f>TEXT(Table1[[#This Row],[appointment_date]],"MM/YYYY")</f>
        <v>07/2025</v>
      </c>
      <c r="N1288">
        <v>8</v>
      </c>
      <c r="O1288" t="str" cm="1">
        <f t="array" ref="O1288">_xlfn.IFS(Table1[[#This Row],[lead_time_days]]&lt;=7,"0-7 days",N1288&lt;=14,"8-14 days",N1288&lt;=30,"15-30 days",N1288&lt;=60,"31-60 days",TRUE,"61+ days")</f>
        <v>8-14 days</v>
      </c>
      <c r="P1288" t="s">
        <v>35</v>
      </c>
      <c r="Q1288" t="s">
        <v>21</v>
      </c>
      <c r="R1288">
        <v>0</v>
      </c>
      <c r="S1288" t="str">
        <f>IF(Table1[prior_dna_count]&gt;=1,"Has prior DNA history","No prior DNA history")</f>
        <v>No prior DNA history</v>
      </c>
      <c r="T1288" t="s">
        <v>22</v>
      </c>
      <c r="U1288" t="str">
        <f t="shared" si="20"/>
        <v>1</v>
      </c>
      <c r="V1288" t="str">
        <f>IF(Table1[appointment_status]="Attended","1","0")</f>
        <v>1</v>
      </c>
      <c r="W1288" t="str">
        <f>IF(Table1[appointment_status]="Cancelled","1","0")</f>
        <v>0</v>
      </c>
    </row>
    <row r="1289" spans="1:23">
      <c r="A1289" t="s">
        <v>2228</v>
      </c>
      <c r="B1289" t="s">
        <v>95</v>
      </c>
      <c r="C1289">
        <v>51</v>
      </c>
      <c r="D1289" t="str" cm="1">
        <f t="array" ref="D1289">_xlfn.IFS(Table1[[#This Row],[age]]&lt;=17,"0-17",C1289&lt;=29,"18-29",C1289&lt;=44,"30-44",C1289&lt;=59,"45-59",C1289&lt;=74,"60-74",TRUE,"75+")</f>
        <v>45-59</v>
      </c>
      <c r="E1289" t="s">
        <v>17</v>
      </c>
      <c r="F1289">
        <v>4</v>
      </c>
      <c r="G1289" t="str" cm="1">
        <f t="array" ref="G1289">_xlfn.IFS(_xlfn.SINGLE(Table1[imd_decile])&lt;=3,"Most Deprived",F1289&lt;=7,"Moderately Deprived",F1289&lt;=10,"Least Deprived")</f>
        <v>Moderately Deprived</v>
      </c>
      <c r="H1289">
        <v>1.5</v>
      </c>
      <c r="I1289" t="s">
        <v>91</v>
      </c>
      <c r="J1289" t="s">
        <v>26</v>
      </c>
      <c r="K1289" s="1">
        <v>45844</v>
      </c>
      <c r="L1289" s="1">
        <v>45852</v>
      </c>
      <c r="M1289" s="1" t="str">
        <f>TEXT(Table1[[#This Row],[appointment_date]],"MM/YYYY")</f>
        <v>07/2025</v>
      </c>
      <c r="N1289">
        <v>8</v>
      </c>
      <c r="O1289" t="str" cm="1">
        <f t="array" ref="O1289">_xlfn.IFS(Table1[[#This Row],[lead_time_days]]&lt;=7,"0-7 days",N1289&lt;=14,"8-14 days",N1289&lt;=30,"15-30 days",N1289&lt;=60,"31-60 days",TRUE,"61+ days")</f>
        <v>8-14 days</v>
      </c>
      <c r="P1289" t="s">
        <v>35</v>
      </c>
      <c r="Q1289" t="s">
        <v>32</v>
      </c>
      <c r="R1289">
        <v>0</v>
      </c>
      <c r="S1289" t="str">
        <f>IF(Table1[prior_dna_count]&gt;=1,"Has prior DNA history","No prior DNA history")</f>
        <v>No prior DNA history</v>
      </c>
      <c r="T1289" t="s">
        <v>22</v>
      </c>
      <c r="U1289" t="str">
        <f t="shared" si="20"/>
        <v>1</v>
      </c>
      <c r="V1289" t="str">
        <f>IF(Table1[appointment_status]="Attended","1","0")</f>
        <v>1</v>
      </c>
      <c r="W1289" t="str">
        <f>IF(Table1[appointment_status]="Cancelled","1","0")</f>
        <v>0</v>
      </c>
    </row>
    <row r="1290" spans="1:23">
      <c r="A1290" t="s">
        <v>2229</v>
      </c>
      <c r="B1290" t="s">
        <v>2230</v>
      </c>
      <c r="C1290">
        <v>18</v>
      </c>
      <c r="D1290" t="str" cm="1">
        <f t="array" ref="D1290">_xlfn.IFS(Table1[[#This Row],[age]]&lt;=17,"0-17",C1290&lt;=29,"18-29",C1290&lt;=44,"30-44",C1290&lt;=59,"45-59",C1290&lt;=74,"60-74",TRUE,"75+")</f>
        <v>18-29</v>
      </c>
      <c r="E1290" t="s">
        <v>29</v>
      </c>
      <c r="F1290">
        <v>6</v>
      </c>
      <c r="G1290" t="str" cm="1">
        <f t="array" ref="G1290">_xlfn.IFS(_xlfn.SINGLE(Table1[imd_decile])&lt;=3,"Most Deprived",F1290&lt;=7,"Moderately Deprived",F1290&lt;=10,"Least Deprived")</f>
        <v>Moderately Deprived</v>
      </c>
      <c r="H1290">
        <v>14.3</v>
      </c>
      <c r="I1290" t="s">
        <v>38</v>
      </c>
      <c r="J1290" t="s">
        <v>19</v>
      </c>
      <c r="K1290" s="1">
        <v>45826</v>
      </c>
      <c r="L1290" s="1">
        <v>45852</v>
      </c>
      <c r="M1290" s="1" t="str">
        <f>TEXT(Table1[[#This Row],[appointment_date]],"MM/YYYY")</f>
        <v>07/2025</v>
      </c>
      <c r="N1290">
        <v>26</v>
      </c>
      <c r="O1290" t="str" cm="1">
        <f t="array" ref="O1290">_xlfn.IFS(Table1[[#This Row],[lead_time_days]]&lt;=7,"0-7 days",N1290&lt;=14,"8-14 days",N1290&lt;=30,"15-30 days",N1290&lt;=60,"31-60 days",TRUE,"61+ days")</f>
        <v>15-30 days</v>
      </c>
      <c r="P1290" t="s">
        <v>35</v>
      </c>
      <c r="Q1290" t="s">
        <v>32</v>
      </c>
      <c r="R1290">
        <v>0</v>
      </c>
      <c r="S1290" t="str">
        <f>IF(Table1[prior_dna_count]&gt;=1,"Has prior DNA history","No prior DNA history")</f>
        <v>No prior DNA history</v>
      </c>
      <c r="T1290" t="s">
        <v>46</v>
      </c>
      <c r="U1290" t="str">
        <f t="shared" si="20"/>
        <v>1</v>
      </c>
      <c r="V1290" t="str">
        <f>IF(Table1[appointment_status]="Attended","1","0")</f>
        <v>0</v>
      </c>
      <c r="W1290" t="str">
        <f>IF(Table1[appointment_status]="Cancelled","1","0")</f>
        <v>1</v>
      </c>
    </row>
    <row r="1291" spans="1:23">
      <c r="A1291" t="s">
        <v>2231</v>
      </c>
      <c r="B1291" t="s">
        <v>2186</v>
      </c>
      <c r="C1291">
        <v>78</v>
      </c>
      <c r="D1291" t="str" cm="1">
        <f t="array" ref="D1291">_xlfn.IFS(Table1[[#This Row],[age]]&lt;=17,"0-17",C1291&lt;=29,"18-29",C1291&lt;=44,"30-44",C1291&lt;=59,"45-59",C1291&lt;=74,"60-74",TRUE,"75+")</f>
        <v>75+</v>
      </c>
      <c r="E1291" t="s">
        <v>29</v>
      </c>
      <c r="F1291">
        <v>8</v>
      </c>
      <c r="G1291" t="str" cm="1">
        <f t="array" ref="G1291">_xlfn.IFS(_xlfn.SINGLE(Table1[imd_decile])&lt;=3,"Most Deprived",F1291&lt;=7,"Moderately Deprived",F1291&lt;=10,"Least Deprived")</f>
        <v>Least Deprived</v>
      </c>
      <c r="H1291">
        <v>6.7</v>
      </c>
      <c r="I1291" t="s">
        <v>18</v>
      </c>
      <c r="J1291" t="s">
        <v>26</v>
      </c>
      <c r="K1291" s="1">
        <v>45830</v>
      </c>
      <c r="L1291" s="1">
        <v>45852</v>
      </c>
      <c r="M1291" s="1" t="str">
        <f>TEXT(Table1[[#This Row],[appointment_date]],"MM/YYYY")</f>
        <v>07/2025</v>
      </c>
      <c r="N1291">
        <v>22</v>
      </c>
      <c r="O1291" t="str" cm="1">
        <f t="array" ref="O1291">_xlfn.IFS(Table1[[#This Row],[lead_time_days]]&lt;=7,"0-7 days",N1291&lt;=14,"8-14 days",N1291&lt;=30,"15-30 days",N1291&lt;=60,"31-60 days",TRUE,"61+ days")</f>
        <v>15-30 days</v>
      </c>
      <c r="P1291" t="s">
        <v>35</v>
      </c>
      <c r="Q1291" t="s">
        <v>21</v>
      </c>
      <c r="R1291">
        <v>0</v>
      </c>
      <c r="S1291" t="str">
        <f>IF(Table1[prior_dna_count]&gt;=1,"Has prior DNA history","No prior DNA history")</f>
        <v>No prior DNA history</v>
      </c>
      <c r="T1291" t="s">
        <v>22</v>
      </c>
      <c r="U1291" t="str">
        <f t="shared" si="20"/>
        <v>0</v>
      </c>
      <c r="V1291" t="str">
        <f>IF(Table1[appointment_status]="Attended","1","0")</f>
        <v>1</v>
      </c>
      <c r="W1291" t="str">
        <f>IF(Table1[appointment_status]="Cancelled","1","0")</f>
        <v>0</v>
      </c>
    </row>
    <row r="1292" spans="1:23">
      <c r="A1292" t="s">
        <v>2232</v>
      </c>
      <c r="B1292" t="s">
        <v>549</v>
      </c>
      <c r="C1292">
        <v>50</v>
      </c>
      <c r="D1292" t="str" cm="1">
        <f t="array" ref="D1292">_xlfn.IFS(Table1[[#This Row],[age]]&lt;=17,"0-17",C1292&lt;=29,"18-29",C1292&lt;=44,"30-44",C1292&lt;=59,"45-59",C1292&lt;=74,"60-74",TRUE,"75+")</f>
        <v>45-59</v>
      </c>
      <c r="E1292" t="s">
        <v>29</v>
      </c>
      <c r="F1292">
        <v>8</v>
      </c>
      <c r="G1292" t="str" cm="1">
        <f t="array" ref="G1292">_xlfn.IFS(_xlfn.SINGLE(Table1[imd_decile])&lt;=3,"Most Deprived",F1292&lt;=7,"Moderately Deprived",F1292&lt;=10,"Least Deprived")</f>
        <v>Least Deprived</v>
      </c>
      <c r="H1292">
        <v>6.1</v>
      </c>
      <c r="I1292" t="s">
        <v>18</v>
      </c>
      <c r="J1292" t="s">
        <v>26</v>
      </c>
      <c r="K1292" s="1">
        <v>45831</v>
      </c>
      <c r="L1292" s="1">
        <v>45852</v>
      </c>
      <c r="M1292" s="1" t="str">
        <f>TEXT(Table1[[#This Row],[appointment_date]],"MM/YYYY")</f>
        <v>07/2025</v>
      </c>
      <c r="N1292">
        <v>21</v>
      </c>
      <c r="O1292" t="str" cm="1">
        <f t="array" ref="O1292">_xlfn.IFS(Table1[[#This Row],[lead_time_days]]&lt;=7,"0-7 days",N1292&lt;=14,"8-14 days",N1292&lt;=30,"15-30 days",N1292&lt;=60,"31-60 days",TRUE,"61+ days")</f>
        <v>15-30 days</v>
      </c>
      <c r="P1292" t="s">
        <v>35</v>
      </c>
      <c r="Q1292" t="s">
        <v>21</v>
      </c>
      <c r="R1292">
        <v>0</v>
      </c>
      <c r="S1292" t="str">
        <f>IF(Table1[prior_dna_count]&gt;=1,"Has prior DNA history","No prior DNA history")</f>
        <v>No prior DNA history</v>
      </c>
      <c r="T1292" t="s">
        <v>22</v>
      </c>
      <c r="U1292" t="str">
        <f t="shared" si="20"/>
        <v>1</v>
      </c>
      <c r="V1292" t="str">
        <f>IF(Table1[appointment_status]="Attended","1","0")</f>
        <v>1</v>
      </c>
      <c r="W1292" t="str">
        <f>IF(Table1[appointment_status]="Cancelled","1","0")</f>
        <v>0</v>
      </c>
    </row>
    <row r="1293" spans="1:23">
      <c r="A1293" t="s">
        <v>2233</v>
      </c>
      <c r="B1293" t="s">
        <v>1235</v>
      </c>
      <c r="C1293">
        <v>56</v>
      </c>
      <c r="D1293" t="str" cm="1">
        <f t="array" ref="D1293">_xlfn.IFS(Table1[[#This Row],[age]]&lt;=17,"0-17",C1293&lt;=29,"18-29",C1293&lt;=44,"30-44",C1293&lt;=59,"45-59",C1293&lt;=74,"60-74",TRUE,"75+")</f>
        <v>45-59</v>
      </c>
      <c r="E1293" t="s">
        <v>29</v>
      </c>
      <c r="F1293">
        <v>6</v>
      </c>
      <c r="G1293" t="str" cm="1">
        <f t="array" ref="G1293">_xlfn.IFS(_xlfn.SINGLE(Table1[imd_decile])&lt;=3,"Most Deprived",F1293&lt;=7,"Moderately Deprived",F1293&lt;=10,"Least Deprived")</f>
        <v>Moderately Deprived</v>
      </c>
      <c r="H1293">
        <v>3.2</v>
      </c>
      <c r="I1293" t="s">
        <v>155</v>
      </c>
      <c r="J1293" t="s">
        <v>26</v>
      </c>
      <c r="K1293" s="1">
        <v>45833</v>
      </c>
      <c r="L1293" s="1">
        <v>45852</v>
      </c>
      <c r="M1293" s="1" t="str">
        <f>TEXT(Table1[[#This Row],[appointment_date]],"MM/YYYY")</f>
        <v>07/2025</v>
      </c>
      <c r="N1293">
        <v>19</v>
      </c>
      <c r="O1293" t="str" cm="1">
        <f t="array" ref="O1293">_xlfn.IFS(Table1[[#This Row],[lead_time_days]]&lt;=7,"0-7 days",N1293&lt;=14,"8-14 days",N1293&lt;=30,"15-30 days",N1293&lt;=60,"31-60 days",TRUE,"61+ days")</f>
        <v>15-30 days</v>
      </c>
      <c r="P1293" t="s">
        <v>35</v>
      </c>
      <c r="Q1293" t="s">
        <v>21</v>
      </c>
      <c r="R1293">
        <v>0</v>
      </c>
      <c r="S1293" t="str">
        <f>IF(Table1[prior_dna_count]&gt;=1,"Has prior DNA history","No prior DNA history")</f>
        <v>No prior DNA history</v>
      </c>
      <c r="T1293" t="s">
        <v>22</v>
      </c>
      <c r="U1293" t="str">
        <f t="shared" si="20"/>
        <v>1</v>
      </c>
      <c r="V1293" t="str">
        <f>IF(Table1[appointment_status]="Attended","1","0")</f>
        <v>1</v>
      </c>
      <c r="W1293" t="str">
        <f>IF(Table1[appointment_status]="Cancelled","1","0")</f>
        <v>0</v>
      </c>
    </row>
    <row r="1294" spans="1:23">
      <c r="A1294" t="s">
        <v>2234</v>
      </c>
      <c r="B1294" t="s">
        <v>460</v>
      </c>
      <c r="C1294">
        <v>68</v>
      </c>
      <c r="D1294" t="str" cm="1">
        <f t="array" ref="D1294">_xlfn.IFS(Table1[[#This Row],[age]]&lt;=17,"0-17",C1294&lt;=29,"18-29",C1294&lt;=44,"30-44",C1294&lt;=59,"45-59",C1294&lt;=74,"60-74",TRUE,"75+")</f>
        <v>60-74</v>
      </c>
      <c r="E1294" t="s">
        <v>29</v>
      </c>
      <c r="F1294">
        <v>9</v>
      </c>
      <c r="G1294" t="str" cm="1">
        <f t="array" ref="G1294">_xlfn.IFS(_xlfn.SINGLE(Table1[imd_decile])&lt;=3,"Most Deprived",F1294&lt;=7,"Moderately Deprived",F1294&lt;=10,"Least Deprived")</f>
        <v>Least Deprived</v>
      </c>
      <c r="H1294">
        <v>10.9</v>
      </c>
      <c r="I1294" t="s">
        <v>45</v>
      </c>
      <c r="J1294" t="s">
        <v>19</v>
      </c>
      <c r="K1294" s="1">
        <v>45818</v>
      </c>
      <c r="L1294" s="1">
        <v>45852</v>
      </c>
      <c r="M1294" s="1" t="str">
        <f>TEXT(Table1[[#This Row],[appointment_date]],"MM/YYYY")</f>
        <v>07/2025</v>
      </c>
      <c r="N1294">
        <v>34</v>
      </c>
      <c r="O1294" t="str" cm="1">
        <f t="array" ref="O1294">_xlfn.IFS(Table1[[#This Row],[lead_time_days]]&lt;=7,"0-7 days",N1294&lt;=14,"8-14 days",N1294&lt;=30,"15-30 days",N1294&lt;=60,"31-60 days",TRUE,"61+ days")</f>
        <v>31-60 days</v>
      </c>
      <c r="P1294" t="s">
        <v>35</v>
      </c>
      <c r="Q1294" t="s">
        <v>21</v>
      </c>
      <c r="R1294">
        <v>0</v>
      </c>
      <c r="S1294" t="str">
        <f>IF(Table1[prior_dna_count]&gt;=1,"Has prior DNA history","No prior DNA history")</f>
        <v>No prior DNA history</v>
      </c>
      <c r="T1294" t="s">
        <v>22</v>
      </c>
      <c r="U1294" t="str">
        <f t="shared" si="20"/>
        <v>1</v>
      </c>
      <c r="V1294" t="str">
        <f>IF(Table1[appointment_status]="Attended","1","0")</f>
        <v>1</v>
      </c>
      <c r="W1294" t="str">
        <f>IF(Table1[appointment_status]="Cancelled","1","0")</f>
        <v>0</v>
      </c>
    </row>
    <row r="1295" spans="1:23">
      <c r="A1295" t="s">
        <v>2235</v>
      </c>
      <c r="B1295" t="s">
        <v>405</v>
      </c>
      <c r="C1295">
        <v>12</v>
      </c>
      <c r="D1295" t="str" cm="1">
        <f t="array" ref="D1295">_xlfn.IFS(Table1[[#This Row],[age]]&lt;=17,"0-17",C1295&lt;=29,"18-29",C1295&lt;=44,"30-44",C1295&lt;=59,"45-59",C1295&lt;=74,"60-74",TRUE,"75+")</f>
        <v>0-17</v>
      </c>
      <c r="E1295" t="s">
        <v>17</v>
      </c>
      <c r="F1295">
        <v>4</v>
      </c>
      <c r="G1295" t="str" cm="1">
        <f t="array" ref="G1295">_xlfn.IFS(_xlfn.SINGLE(Table1[imd_decile])&lt;=3,"Most Deprived",F1295&lt;=7,"Moderately Deprived",F1295&lt;=10,"Least Deprived")</f>
        <v>Moderately Deprived</v>
      </c>
      <c r="H1295">
        <v>10.4</v>
      </c>
      <c r="I1295" t="s">
        <v>25</v>
      </c>
      <c r="J1295" t="s">
        <v>19</v>
      </c>
      <c r="K1295" s="1">
        <v>45741</v>
      </c>
      <c r="L1295" s="1">
        <v>45853</v>
      </c>
      <c r="M1295" s="1" t="str">
        <f>TEXT(Table1[[#This Row],[appointment_date]],"MM/YYYY")</f>
        <v>07/2025</v>
      </c>
      <c r="N1295">
        <v>112</v>
      </c>
      <c r="O1295" t="str" cm="1">
        <f t="array" ref="O1295">_xlfn.IFS(Table1[[#This Row],[lead_time_days]]&lt;=7,"0-7 days",N1295&lt;=14,"8-14 days",N1295&lt;=30,"15-30 days",N1295&lt;=60,"31-60 days",TRUE,"61+ days")</f>
        <v>61+ days</v>
      </c>
      <c r="P1295" t="s">
        <v>71</v>
      </c>
      <c r="Q1295" t="s">
        <v>21</v>
      </c>
      <c r="R1295">
        <v>1</v>
      </c>
      <c r="S1295" t="str">
        <f>IF(Table1[prior_dna_count]&gt;=1,"Has prior DNA history","No prior DNA history")</f>
        <v>Has prior DNA history</v>
      </c>
      <c r="T1295" t="s">
        <v>22</v>
      </c>
      <c r="U1295" t="str">
        <f t="shared" si="20"/>
        <v>1</v>
      </c>
      <c r="V1295" t="str">
        <f>IF(Table1[appointment_status]="Attended","1","0")</f>
        <v>1</v>
      </c>
      <c r="W1295" t="str">
        <f>IF(Table1[appointment_status]="Cancelled","1","0")</f>
        <v>0</v>
      </c>
    </row>
    <row r="1296" spans="1:23">
      <c r="A1296" t="s">
        <v>2236</v>
      </c>
      <c r="B1296" t="s">
        <v>1796</v>
      </c>
      <c r="C1296">
        <v>43</v>
      </c>
      <c r="D1296" t="str" cm="1">
        <f t="array" ref="D1296">_xlfn.IFS(Table1[[#This Row],[age]]&lt;=17,"0-17",C1296&lt;=29,"18-29",C1296&lt;=44,"30-44",C1296&lt;=59,"45-59",C1296&lt;=74,"60-74",TRUE,"75+")</f>
        <v>30-44</v>
      </c>
      <c r="E1296" t="s">
        <v>17</v>
      </c>
      <c r="F1296">
        <v>4</v>
      </c>
      <c r="G1296" t="str" cm="1">
        <f t="array" ref="G1296">_xlfn.IFS(_xlfn.SINGLE(Table1[imd_decile])&lt;=3,"Most Deprived",F1296&lt;=7,"Moderately Deprived",F1296&lt;=10,"Least Deprived")</f>
        <v>Moderately Deprived</v>
      </c>
      <c r="H1296">
        <v>6.7</v>
      </c>
      <c r="I1296" t="s">
        <v>91</v>
      </c>
      <c r="J1296" t="s">
        <v>19</v>
      </c>
      <c r="K1296" s="1">
        <v>45824</v>
      </c>
      <c r="L1296" s="1">
        <v>45853</v>
      </c>
      <c r="M1296" s="1" t="str">
        <f>TEXT(Table1[[#This Row],[appointment_date]],"MM/YYYY")</f>
        <v>07/2025</v>
      </c>
      <c r="N1296">
        <v>29</v>
      </c>
      <c r="O1296" t="str" cm="1">
        <f t="array" ref="O1296">_xlfn.IFS(Table1[[#This Row],[lead_time_days]]&lt;=7,"0-7 days",N1296&lt;=14,"8-14 days",N1296&lt;=30,"15-30 days",N1296&lt;=60,"31-60 days",TRUE,"61+ days")</f>
        <v>15-30 days</v>
      </c>
      <c r="P1296" t="s">
        <v>71</v>
      </c>
      <c r="Q1296" t="s">
        <v>21</v>
      </c>
      <c r="R1296">
        <v>0</v>
      </c>
      <c r="S1296" t="str">
        <f>IF(Table1[prior_dna_count]&gt;=1,"Has prior DNA history","No prior DNA history")</f>
        <v>No prior DNA history</v>
      </c>
      <c r="T1296" t="s">
        <v>22</v>
      </c>
      <c r="U1296" t="str">
        <f t="shared" si="20"/>
        <v>1</v>
      </c>
      <c r="V1296" t="str">
        <f>IF(Table1[appointment_status]="Attended","1","0")</f>
        <v>1</v>
      </c>
      <c r="W1296" t="str">
        <f>IF(Table1[appointment_status]="Cancelled","1","0")</f>
        <v>0</v>
      </c>
    </row>
    <row r="1297" spans="1:23">
      <c r="A1297" t="s">
        <v>2237</v>
      </c>
      <c r="B1297" t="s">
        <v>811</v>
      </c>
      <c r="C1297">
        <v>43</v>
      </c>
      <c r="D1297" t="str" cm="1">
        <f t="array" ref="D1297">_xlfn.IFS(Table1[[#This Row],[age]]&lt;=17,"0-17",C1297&lt;=29,"18-29",C1297&lt;=44,"30-44",C1297&lt;=59,"45-59",C1297&lt;=74,"60-74",TRUE,"75+")</f>
        <v>30-44</v>
      </c>
      <c r="E1297" t="s">
        <v>17</v>
      </c>
      <c r="F1297">
        <v>3</v>
      </c>
      <c r="G1297" t="str" cm="1">
        <f t="array" ref="G1297">_xlfn.IFS(_xlfn.SINGLE(Table1[imd_decile])&lt;=3,"Most Deprived",F1297&lt;=7,"Moderately Deprived",F1297&lt;=10,"Least Deprived")</f>
        <v>Most Deprived</v>
      </c>
      <c r="H1297">
        <v>0.8</v>
      </c>
      <c r="I1297" t="s">
        <v>42</v>
      </c>
      <c r="J1297" t="s">
        <v>19</v>
      </c>
      <c r="K1297" s="1">
        <v>45810</v>
      </c>
      <c r="L1297" s="1">
        <v>45853</v>
      </c>
      <c r="M1297" s="1" t="str">
        <f>TEXT(Table1[[#This Row],[appointment_date]],"MM/YYYY")</f>
        <v>07/2025</v>
      </c>
      <c r="N1297">
        <v>43</v>
      </c>
      <c r="O1297" t="str" cm="1">
        <f t="array" ref="O1297">_xlfn.IFS(Table1[[#This Row],[lead_time_days]]&lt;=7,"0-7 days",N1297&lt;=14,"8-14 days",N1297&lt;=30,"15-30 days",N1297&lt;=60,"31-60 days",TRUE,"61+ days")</f>
        <v>31-60 days</v>
      </c>
      <c r="P1297" t="s">
        <v>71</v>
      </c>
      <c r="Q1297" t="s">
        <v>21</v>
      </c>
      <c r="R1297">
        <v>0</v>
      </c>
      <c r="S1297" t="str">
        <f>IF(Table1[prior_dna_count]&gt;=1,"Has prior DNA history","No prior DNA history")</f>
        <v>No prior DNA history</v>
      </c>
      <c r="T1297" t="s">
        <v>22</v>
      </c>
      <c r="U1297" t="str">
        <f t="shared" si="20"/>
        <v>1</v>
      </c>
      <c r="V1297" t="str">
        <f>IF(Table1[appointment_status]="Attended","1","0")</f>
        <v>1</v>
      </c>
      <c r="W1297" t="str">
        <f>IF(Table1[appointment_status]="Cancelled","1","0")</f>
        <v>0</v>
      </c>
    </row>
    <row r="1298" spans="1:23">
      <c r="A1298" t="s">
        <v>2238</v>
      </c>
      <c r="B1298" t="s">
        <v>2239</v>
      </c>
      <c r="C1298">
        <v>40</v>
      </c>
      <c r="D1298" t="str" cm="1">
        <f t="array" ref="D1298">_xlfn.IFS(Table1[[#This Row],[age]]&lt;=17,"0-17",C1298&lt;=29,"18-29",C1298&lt;=44,"30-44",C1298&lt;=59,"45-59",C1298&lt;=74,"60-74",TRUE,"75+")</f>
        <v>30-44</v>
      </c>
      <c r="E1298" t="s">
        <v>17</v>
      </c>
      <c r="F1298">
        <v>5</v>
      </c>
      <c r="G1298" t="str" cm="1">
        <f t="array" ref="G1298">_xlfn.IFS(_xlfn.SINGLE(Table1[imd_decile])&lt;=3,"Most Deprived",F1298&lt;=7,"Moderately Deprived",F1298&lt;=10,"Least Deprived")</f>
        <v>Moderately Deprived</v>
      </c>
      <c r="H1298">
        <v>1</v>
      </c>
      <c r="I1298" t="s">
        <v>42</v>
      </c>
      <c r="J1298" t="s">
        <v>26</v>
      </c>
      <c r="K1298" s="1">
        <v>45848</v>
      </c>
      <c r="L1298" s="1">
        <v>45853</v>
      </c>
      <c r="M1298" s="1" t="str">
        <f>TEXT(Table1[[#This Row],[appointment_date]],"MM/YYYY")</f>
        <v>07/2025</v>
      </c>
      <c r="N1298">
        <v>5</v>
      </c>
      <c r="O1298" t="str" cm="1">
        <f t="array" ref="O1298">_xlfn.IFS(Table1[[#This Row],[lead_time_days]]&lt;=7,"0-7 days",N1298&lt;=14,"8-14 days",N1298&lt;=30,"15-30 days",N1298&lt;=60,"31-60 days",TRUE,"61+ days")</f>
        <v>0-7 days</v>
      </c>
      <c r="P1298" t="s">
        <v>71</v>
      </c>
      <c r="Q1298" t="s">
        <v>21</v>
      </c>
      <c r="R1298">
        <v>0</v>
      </c>
      <c r="S1298" t="str">
        <f>IF(Table1[prior_dna_count]&gt;=1,"Has prior DNA history","No prior DNA history")</f>
        <v>No prior DNA history</v>
      </c>
      <c r="T1298" t="s">
        <v>22</v>
      </c>
      <c r="U1298" t="str">
        <f t="shared" si="20"/>
        <v>1</v>
      </c>
      <c r="V1298" t="str">
        <f>IF(Table1[appointment_status]="Attended","1","0")</f>
        <v>1</v>
      </c>
      <c r="W1298" t="str">
        <f>IF(Table1[appointment_status]="Cancelled","1","0")</f>
        <v>0</v>
      </c>
    </row>
    <row r="1299" spans="1:23">
      <c r="A1299" t="s">
        <v>2240</v>
      </c>
      <c r="B1299" t="s">
        <v>2241</v>
      </c>
      <c r="C1299">
        <v>44</v>
      </c>
      <c r="D1299" t="str" cm="1">
        <f t="array" ref="D1299">_xlfn.IFS(Table1[[#This Row],[age]]&lt;=17,"0-17",C1299&lt;=29,"18-29",C1299&lt;=44,"30-44",C1299&lt;=59,"45-59",C1299&lt;=74,"60-74",TRUE,"75+")</f>
        <v>30-44</v>
      </c>
      <c r="E1299" t="s">
        <v>17</v>
      </c>
      <c r="F1299">
        <v>1</v>
      </c>
      <c r="G1299" t="str" cm="1">
        <f t="array" ref="G1299">_xlfn.IFS(_xlfn.SINGLE(Table1[imd_decile])&lt;=3,"Most Deprived",F1299&lt;=7,"Moderately Deprived",F1299&lt;=10,"Least Deprived")</f>
        <v>Most Deprived</v>
      </c>
      <c r="H1299">
        <v>4.5</v>
      </c>
      <c r="I1299" t="s">
        <v>18</v>
      </c>
      <c r="J1299" t="s">
        <v>19</v>
      </c>
      <c r="K1299" s="1">
        <v>45824</v>
      </c>
      <c r="L1299" s="1">
        <v>45853</v>
      </c>
      <c r="M1299" s="1" t="str">
        <f>TEXT(Table1[[#This Row],[appointment_date]],"MM/YYYY")</f>
        <v>07/2025</v>
      </c>
      <c r="N1299">
        <v>29</v>
      </c>
      <c r="O1299" t="str" cm="1">
        <f t="array" ref="O1299">_xlfn.IFS(Table1[[#This Row],[lead_time_days]]&lt;=7,"0-7 days",N1299&lt;=14,"8-14 days",N1299&lt;=30,"15-30 days",N1299&lt;=60,"31-60 days",TRUE,"61+ days")</f>
        <v>15-30 days</v>
      </c>
      <c r="P1299" t="s">
        <v>71</v>
      </c>
      <c r="Q1299" t="s">
        <v>21</v>
      </c>
      <c r="R1299">
        <v>0</v>
      </c>
      <c r="S1299" t="str">
        <f>IF(Table1[prior_dna_count]&gt;=1,"Has prior DNA history","No prior DNA history")</f>
        <v>No prior DNA history</v>
      </c>
      <c r="T1299" t="s">
        <v>22</v>
      </c>
      <c r="U1299" t="str">
        <f t="shared" si="20"/>
        <v>1</v>
      </c>
      <c r="V1299" t="str">
        <f>IF(Table1[appointment_status]="Attended","1","0")</f>
        <v>1</v>
      </c>
      <c r="W1299" t="str">
        <f>IF(Table1[appointment_status]="Cancelled","1","0")</f>
        <v>0</v>
      </c>
    </row>
    <row r="1300" spans="1:23">
      <c r="A1300" t="s">
        <v>2242</v>
      </c>
      <c r="B1300" t="s">
        <v>2243</v>
      </c>
      <c r="C1300">
        <v>71</v>
      </c>
      <c r="D1300" t="str" cm="1">
        <f t="array" ref="D1300">_xlfn.IFS(Table1[[#This Row],[age]]&lt;=17,"0-17",C1300&lt;=29,"18-29",C1300&lt;=44,"30-44",C1300&lt;=59,"45-59",C1300&lt;=74,"60-74",TRUE,"75+")</f>
        <v>60-74</v>
      </c>
      <c r="E1300" t="s">
        <v>29</v>
      </c>
      <c r="F1300">
        <v>6</v>
      </c>
      <c r="G1300" t="str" cm="1">
        <f t="array" ref="G1300">_xlfn.IFS(_xlfn.SINGLE(Table1[imd_decile])&lt;=3,"Most Deprived",F1300&lt;=7,"Moderately Deprived",F1300&lt;=10,"Least Deprived")</f>
        <v>Moderately Deprived</v>
      </c>
      <c r="H1300">
        <v>3.8</v>
      </c>
      <c r="I1300" t="s">
        <v>38</v>
      </c>
      <c r="J1300" t="s">
        <v>19</v>
      </c>
      <c r="K1300" s="1">
        <v>45806</v>
      </c>
      <c r="L1300" s="1">
        <v>45853</v>
      </c>
      <c r="M1300" s="1" t="str">
        <f>TEXT(Table1[[#This Row],[appointment_date]],"MM/YYYY")</f>
        <v>07/2025</v>
      </c>
      <c r="N1300">
        <v>47</v>
      </c>
      <c r="O1300" t="str" cm="1">
        <f t="array" ref="O1300">_xlfn.IFS(Table1[[#This Row],[lead_time_days]]&lt;=7,"0-7 days",N1300&lt;=14,"8-14 days",N1300&lt;=30,"15-30 days",N1300&lt;=60,"31-60 days",TRUE,"61+ days")</f>
        <v>31-60 days</v>
      </c>
      <c r="P1300" t="s">
        <v>71</v>
      </c>
      <c r="Q1300" t="s">
        <v>21</v>
      </c>
      <c r="R1300">
        <v>0</v>
      </c>
      <c r="S1300" t="str">
        <f>IF(Table1[prior_dna_count]&gt;=1,"Has prior DNA history","No prior DNA history")</f>
        <v>No prior DNA history</v>
      </c>
      <c r="T1300" t="s">
        <v>22</v>
      </c>
      <c r="U1300" t="str">
        <f t="shared" si="20"/>
        <v>1</v>
      </c>
      <c r="V1300" t="str">
        <f>IF(Table1[appointment_status]="Attended","1","0")</f>
        <v>1</v>
      </c>
      <c r="W1300" t="str">
        <f>IF(Table1[appointment_status]="Cancelled","1","0")</f>
        <v>0</v>
      </c>
    </row>
    <row r="1301" spans="1:23">
      <c r="A1301" t="s">
        <v>2244</v>
      </c>
      <c r="B1301" t="s">
        <v>1959</v>
      </c>
      <c r="C1301">
        <v>69</v>
      </c>
      <c r="D1301" t="str" cm="1">
        <f t="array" ref="D1301">_xlfn.IFS(Table1[[#This Row],[age]]&lt;=17,"0-17",C1301&lt;=29,"18-29",C1301&lt;=44,"30-44",C1301&lt;=59,"45-59",C1301&lt;=74,"60-74",TRUE,"75+")</f>
        <v>60-74</v>
      </c>
      <c r="E1301" t="s">
        <v>29</v>
      </c>
      <c r="F1301">
        <v>2</v>
      </c>
      <c r="G1301" t="str" cm="1">
        <f t="array" ref="G1301">_xlfn.IFS(_xlfn.SINGLE(Table1[imd_decile])&lt;=3,"Most Deprived",F1301&lt;=7,"Moderately Deprived",F1301&lt;=10,"Least Deprived")</f>
        <v>Most Deprived</v>
      </c>
      <c r="H1301">
        <v>6.6</v>
      </c>
      <c r="I1301" t="s">
        <v>38</v>
      </c>
      <c r="J1301" t="s">
        <v>19</v>
      </c>
      <c r="K1301" s="1">
        <v>45830</v>
      </c>
      <c r="L1301" s="1">
        <v>45853</v>
      </c>
      <c r="M1301" s="1" t="str">
        <f>TEXT(Table1[[#This Row],[appointment_date]],"MM/YYYY")</f>
        <v>07/2025</v>
      </c>
      <c r="N1301">
        <v>23</v>
      </c>
      <c r="O1301" t="str" cm="1">
        <f t="array" ref="O1301">_xlfn.IFS(Table1[[#This Row],[lead_time_days]]&lt;=7,"0-7 days",N1301&lt;=14,"8-14 days",N1301&lt;=30,"15-30 days",N1301&lt;=60,"31-60 days",TRUE,"61+ days")</f>
        <v>15-30 days</v>
      </c>
      <c r="P1301" t="s">
        <v>71</v>
      </c>
      <c r="Q1301" t="s">
        <v>32</v>
      </c>
      <c r="R1301">
        <v>0</v>
      </c>
      <c r="S1301" t="str">
        <f>IF(Table1[prior_dna_count]&gt;=1,"Has prior DNA history","No prior DNA history")</f>
        <v>No prior DNA history</v>
      </c>
      <c r="T1301" t="s">
        <v>46</v>
      </c>
      <c r="U1301" t="str">
        <f t="shared" si="20"/>
        <v>1</v>
      </c>
      <c r="V1301" t="str">
        <f>IF(Table1[appointment_status]="Attended","1","0")</f>
        <v>0</v>
      </c>
      <c r="W1301" t="str">
        <f>IF(Table1[appointment_status]="Cancelled","1","0")</f>
        <v>1</v>
      </c>
    </row>
    <row r="1302" spans="1:23">
      <c r="A1302" t="s">
        <v>2245</v>
      </c>
      <c r="B1302" t="s">
        <v>2138</v>
      </c>
      <c r="C1302">
        <v>24</v>
      </c>
      <c r="D1302" t="str" cm="1">
        <f t="array" ref="D1302">_xlfn.IFS(Table1[[#This Row],[age]]&lt;=17,"0-17",C1302&lt;=29,"18-29",C1302&lt;=44,"30-44",C1302&lt;=59,"45-59",C1302&lt;=74,"60-74",TRUE,"75+")</f>
        <v>18-29</v>
      </c>
      <c r="E1302" t="s">
        <v>17</v>
      </c>
      <c r="F1302">
        <v>6</v>
      </c>
      <c r="G1302" t="str" cm="1">
        <f t="array" ref="G1302">_xlfn.IFS(_xlfn.SINGLE(Table1[imd_decile])&lt;=3,"Most Deprived",F1302&lt;=7,"Moderately Deprived",F1302&lt;=10,"Least Deprived")</f>
        <v>Moderately Deprived</v>
      </c>
      <c r="H1302">
        <v>13.9</v>
      </c>
      <c r="I1302" t="s">
        <v>58</v>
      </c>
      <c r="J1302" t="s">
        <v>26</v>
      </c>
      <c r="K1302" s="1">
        <v>45850</v>
      </c>
      <c r="L1302" s="1">
        <v>45853</v>
      </c>
      <c r="M1302" s="1" t="str">
        <f>TEXT(Table1[[#This Row],[appointment_date]],"MM/YYYY")</f>
        <v>07/2025</v>
      </c>
      <c r="N1302">
        <v>3</v>
      </c>
      <c r="O1302" t="str" cm="1">
        <f t="array" ref="O1302">_xlfn.IFS(Table1[[#This Row],[lead_time_days]]&lt;=7,"0-7 days",N1302&lt;=14,"8-14 days",N1302&lt;=30,"15-30 days",N1302&lt;=60,"31-60 days",TRUE,"61+ days")</f>
        <v>0-7 days</v>
      </c>
      <c r="P1302" t="s">
        <v>71</v>
      </c>
      <c r="Q1302" t="s">
        <v>21</v>
      </c>
      <c r="R1302">
        <v>0</v>
      </c>
      <c r="S1302" t="str">
        <f>IF(Table1[prior_dna_count]&gt;=1,"Has prior DNA history","No prior DNA history")</f>
        <v>No prior DNA history</v>
      </c>
      <c r="T1302" t="s">
        <v>22</v>
      </c>
      <c r="U1302" t="str">
        <f t="shared" si="20"/>
        <v>0</v>
      </c>
      <c r="V1302" t="str">
        <f>IF(Table1[appointment_status]="Attended","1","0")</f>
        <v>1</v>
      </c>
      <c r="W1302" t="str">
        <f>IF(Table1[appointment_status]="Cancelled","1","0")</f>
        <v>0</v>
      </c>
    </row>
    <row r="1303" spans="1:23">
      <c r="A1303" t="s">
        <v>2246</v>
      </c>
      <c r="B1303" t="s">
        <v>1617</v>
      </c>
      <c r="C1303">
        <v>46</v>
      </c>
      <c r="D1303" t="str" cm="1">
        <f t="array" ref="D1303">_xlfn.IFS(Table1[[#This Row],[age]]&lt;=17,"0-17",C1303&lt;=29,"18-29",C1303&lt;=44,"30-44",C1303&lt;=59,"45-59",C1303&lt;=74,"60-74",TRUE,"75+")</f>
        <v>45-59</v>
      </c>
      <c r="E1303" t="s">
        <v>29</v>
      </c>
      <c r="F1303">
        <v>4</v>
      </c>
      <c r="G1303" t="str" cm="1">
        <f t="array" ref="G1303">_xlfn.IFS(_xlfn.SINGLE(Table1[imd_decile])&lt;=3,"Most Deprived",F1303&lt;=7,"Moderately Deprived",F1303&lt;=10,"Least Deprived")</f>
        <v>Moderately Deprived</v>
      </c>
      <c r="H1303">
        <v>2.7</v>
      </c>
      <c r="I1303" t="s">
        <v>49</v>
      </c>
      <c r="J1303" t="s">
        <v>26</v>
      </c>
      <c r="K1303" s="1">
        <v>45812</v>
      </c>
      <c r="L1303" s="1">
        <v>45853</v>
      </c>
      <c r="M1303" s="1" t="str">
        <f>TEXT(Table1[[#This Row],[appointment_date]],"MM/YYYY")</f>
        <v>07/2025</v>
      </c>
      <c r="N1303">
        <v>41</v>
      </c>
      <c r="O1303" t="str" cm="1">
        <f t="array" ref="O1303">_xlfn.IFS(Table1[[#This Row],[lead_time_days]]&lt;=7,"0-7 days",N1303&lt;=14,"8-14 days",N1303&lt;=30,"15-30 days",N1303&lt;=60,"31-60 days",TRUE,"61+ days")</f>
        <v>31-60 days</v>
      </c>
      <c r="P1303" t="s">
        <v>71</v>
      </c>
      <c r="Q1303" t="s">
        <v>21</v>
      </c>
      <c r="R1303">
        <v>0</v>
      </c>
      <c r="S1303" t="str">
        <f>IF(Table1[prior_dna_count]&gt;=1,"Has prior DNA history","No prior DNA history")</f>
        <v>No prior DNA history</v>
      </c>
      <c r="T1303" t="s">
        <v>46</v>
      </c>
      <c r="U1303" t="str">
        <f t="shared" si="20"/>
        <v>1</v>
      </c>
      <c r="V1303" t="str">
        <f>IF(Table1[appointment_status]="Attended","1","0")</f>
        <v>0</v>
      </c>
      <c r="W1303" t="str">
        <f>IF(Table1[appointment_status]="Cancelled","1","0")</f>
        <v>1</v>
      </c>
    </row>
    <row r="1304" spans="1:23">
      <c r="A1304" t="s">
        <v>2247</v>
      </c>
      <c r="B1304" t="s">
        <v>2248</v>
      </c>
      <c r="C1304">
        <v>14</v>
      </c>
      <c r="D1304" t="str" cm="1">
        <f t="array" ref="D1304">_xlfn.IFS(Table1[[#This Row],[age]]&lt;=17,"0-17",C1304&lt;=29,"18-29",C1304&lt;=44,"30-44",C1304&lt;=59,"45-59",C1304&lt;=74,"60-74",TRUE,"75+")</f>
        <v>0-17</v>
      </c>
      <c r="E1304" t="s">
        <v>17</v>
      </c>
      <c r="F1304">
        <v>5</v>
      </c>
      <c r="G1304" t="str" cm="1">
        <f t="array" ref="G1304">_xlfn.IFS(_xlfn.SINGLE(Table1[imd_decile])&lt;=3,"Most Deprived",F1304&lt;=7,"Moderately Deprived",F1304&lt;=10,"Least Deprived")</f>
        <v>Moderately Deprived</v>
      </c>
      <c r="H1304">
        <v>10</v>
      </c>
      <c r="I1304" t="s">
        <v>45</v>
      </c>
      <c r="J1304" t="s">
        <v>19</v>
      </c>
      <c r="K1304" s="1">
        <v>45830</v>
      </c>
      <c r="L1304" s="1">
        <v>45853</v>
      </c>
      <c r="M1304" s="1" t="str">
        <f>TEXT(Table1[[#This Row],[appointment_date]],"MM/YYYY")</f>
        <v>07/2025</v>
      </c>
      <c r="N1304">
        <v>23</v>
      </c>
      <c r="O1304" t="str" cm="1">
        <f t="array" ref="O1304">_xlfn.IFS(Table1[[#This Row],[lead_time_days]]&lt;=7,"0-7 days",N1304&lt;=14,"8-14 days",N1304&lt;=30,"15-30 days",N1304&lt;=60,"31-60 days",TRUE,"61+ days")</f>
        <v>15-30 days</v>
      </c>
      <c r="P1304" t="s">
        <v>71</v>
      </c>
      <c r="Q1304" t="s">
        <v>21</v>
      </c>
      <c r="R1304">
        <v>0</v>
      </c>
      <c r="S1304" t="str">
        <f>IF(Table1[prior_dna_count]&gt;=1,"Has prior DNA history","No prior DNA history")</f>
        <v>No prior DNA history</v>
      </c>
      <c r="T1304" t="s">
        <v>22</v>
      </c>
      <c r="U1304" t="str">
        <f t="shared" si="20"/>
        <v>0</v>
      </c>
      <c r="V1304" t="str">
        <f>IF(Table1[appointment_status]="Attended","1","0")</f>
        <v>1</v>
      </c>
      <c r="W1304" t="str">
        <f>IF(Table1[appointment_status]="Cancelled","1","0")</f>
        <v>0</v>
      </c>
    </row>
    <row r="1305" spans="1:23">
      <c r="A1305" t="s">
        <v>2249</v>
      </c>
      <c r="B1305" t="s">
        <v>2250</v>
      </c>
      <c r="C1305">
        <v>63</v>
      </c>
      <c r="D1305" t="str" cm="1">
        <f t="array" ref="D1305">_xlfn.IFS(Table1[[#This Row],[age]]&lt;=17,"0-17",C1305&lt;=29,"18-29",C1305&lt;=44,"30-44",C1305&lt;=59,"45-59",C1305&lt;=74,"60-74",TRUE,"75+")</f>
        <v>60-74</v>
      </c>
      <c r="E1305" t="s">
        <v>17</v>
      </c>
      <c r="F1305">
        <v>5</v>
      </c>
      <c r="G1305" t="str" cm="1">
        <f t="array" ref="G1305">_xlfn.IFS(_xlfn.SINGLE(Table1[imd_decile])&lt;=3,"Most Deprived",F1305&lt;=7,"Moderately Deprived",F1305&lt;=10,"Least Deprived")</f>
        <v>Moderately Deprived</v>
      </c>
      <c r="H1305">
        <v>1.5</v>
      </c>
      <c r="I1305" t="s">
        <v>42</v>
      </c>
      <c r="J1305" t="s">
        <v>26</v>
      </c>
      <c r="K1305" s="1">
        <v>45841</v>
      </c>
      <c r="L1305" s="1">
        <v>45853</v>
      </c>
      <c r="M1305" s="1" t="str">
        <f>TEXT(Table1[[#This Row],[appointment_date]],"MM/YYYY")</f>
        <v>07/2025</v>
      </c>
      <c r="N1305">
        <v>12</v>
      </c>
      <c r="O1305" t="str" cm="1">
        <f t="array" ref="O1305">_xlfn.IFS(Table1[[#This Row],[lead_time_days]]&lt;=7,"0-7 days",N1305&lt;=14,"8-14 days",N1305&lt;=30,"15-30 days",N1305&lt;=60,"31-60 days",TRUE,"61+ days")</f>
        <v>8-14 days</v>
      </c>
      <c r="P1305" t="s">
        <v>71</v>
      </c>
      <c r="Q1305" t="s">
        <v>21</v>
      </c>
      <c r="R1305">
        <v>0</v>
      </c>
      <c r="S1305" t="str">
        <f>IF(Table1[prior_dna_count]&gt;=1,"Has prior DNA history","No prior DNA history")</f>
        <v>No prior DNA history</v>
      </c>
      <c r="T1305" t="s">
        <v>22</v>
      </c>
      <c r="U1305" t="str">
        <f t="shared" si="20"/>
        <v>1</v>
      </c>
      <c r="V1305" t="str">
        <f>IF(Table1[appointment_status]="Attended","1","0")</f>
        <v>1</v>
      </c>
      <c r="W1305" t="str">
        <f>IF(Table1[appointment_status]="Cancelled","1","0")</f>
        <v>0</v>
      </c>
    </row>
    <row r="1306" spans="1:23">
      <c r="A1306" t="s">
        <v>2251</v>
      </c>
      <c r="B1306" t="s">
        <v>2252</v>
      </c>
      <c r="C1306">
        <v>58</v>
      </c>
      <c r="D1306" t="str" cm="1">
        <f t="array" ref="D1306">_xlfn.IFS(Table1[[#This Row],[age]]&lt;=17,"0-17",C1306&lt;=29,"18-29",C1306&lt;=44,"30-44",C1306&lt;=59,"45-59",C1306&lt;=74,"60-74",TRUE,"75+")</f>
        <v>45-59</v>
      </c>
      <c r="E1306" t="s">
        <v>29</v>
      </c>
      <c r="F1306">
        <v>3</v>
      </c>
      <c r="G1306" t="str" cm="1">
        <f t="array" ref="G1306">_xlfn.IFS(_xlfn.SINGLE(Table1[imd_decile])&lt;=3,"Most Deprived",F1306&lt;=7,"Moderately Deprived",F1306&lt;=10,"Least Deprived")</f>
        <v>Most Deprived</v>
      </c>
      <c r="H1306">
        <v>8.6</v>
      </c>
      <c r="I1306" t="s">
        <v>18</v>
      </c>
      <c r="J1306" t="s">
        <v>19</v>
      </c>
      <c r="K1306" s="1">
        <v>45834</v>
      </c>
      <c r="L1306" s="1">
        <v>45853</v>
      </c>
      <c r="M1306" s="1" t="str">
        <f>TEXT(Table1[[#This Row],[appointment_date]],"MM/YYYY")</f>
        <v>07/2025</v>
      </c>
      <c r="N1306">
        <v>19</v>
      </c>
      <c r="O1306" t="str" cm="1">
        <f t="array" ref="O1306">_xlfn.IFS(Table1[[#This Row],[lead_time_days]]&lt;=7,"0-7 days",N1306&lt;=14,"8-14 days",N1306&lt;=30,"15-30 days",N1306&lt;=60,"31-60 days",TRUE,"61+ days")</f>
        <v>15-30 days</v>
      </c>
      <c r="P1306" t="s">
        <v>71</v>
      </c>
      <c r="Q1306" t="s">
        <v>21</v>
      </c>
      <c r="R1306">
        <v>0</v>
      </c>
      <c r="S1306" t="str">
        <f>IF(Table1[prior_dna_count]&gt;=1,"Has prior DNA history","No prior DNA history")</f>
        <v>No prior DNA history</v>
      </c>
      <c r="T1306" t="s">
        <v>22</v>
      </c>
      <c r="U1306" t="str">
        <f t="shared" si="20"/>
        <v>1</v>
      </c>
      <c r="V1306" t="str">
        <f>IF(Table1[appointment_status]="Attended","1","0")</f>
        <v>1</v>
      </c>
      <c r="W1306" t="str">
        <f>IF(Table1[appointment_status]="Cancelled","1","0")</f>
        <v>0</v>
      </c>
    </row>
    <row r="1307" spans="1:23">
      <c r="A1307" t="s">
        <v>2253</v>
      </c>
      <c r="B1307" t="s">
        <v>960</v>
      </c>
      <c r="C1307">
        <v>29</v>
      </c>
      <c r="D1307" t="str" cm="1">
        <f t="array" ref="D1307">_xlfn.IFS(Table1[[#This Row],[age]]&lt;=17,"0-17",C1307&lt;=29,"18-29",C1307&lt;=44,"30-44",C1307&lt;=59,"45-59",C1307&lt;=74,"60-74",TRUE,"75+")</f>
        <v>18-29</v>
      </c>
      <c r="E1307" t="s">
        <v>17</v>
      </c>
      <c r="F1307">
        <v>6</v>
      </c>
      <c r="G1307" t="str" cm="1">
        <f t="array" ref="G1307">_xlfn.IFS(_xlfn.SINGLE(Table1[imd_decile])&lt;=3,"Most Deprived",F1307&lt;=7,"Moderately Deprived",F1307&lt;=10,"Least Deprived")</f>
        <v>Moderately Deprived</v>
      </c>
      <c r="H1307">
        <v>2.2000000000000002</v>
      </c>
      <c r="I1307" t="s">
        <v>91</v>
      </c>
      <c r="J1307" t="s">
        <v>26</v>
      </c>
      <c r="K1307" s="1">
        <v>45822</v>
      </c>
      <c r="L1307" s="1">
        <v>45854</v>
      </c>
      <c r="M1307" s="1" t="str">
        <f>TEXT(Table1[[#This Row],[appointment_date]],"MM/YYYY")</f>
        <v>07/2025</v>
      </c>
      <c r="N1307">
        <v>32</v>
      </c>
      <c r="O1307" t="str" cm="1">
        <f t="array" ref="O1307">_xlfn.IFS(Table1[[#This Row],[lead_time_days]]&lt;=7,"0-7 days",N1307&lt;=14,"8-14 days",N1307&lt;=30,"15-30 days",N1307&lt;=60,"31-60 days",TRUE,"61+ days")</f>
        <v>31-60 days</v>
      </c>
      <c r="P1307" t="s">
        <v>80</v>
      </c>
      <c r="Q1307" t="s">
        <v>21</v>
      </c>
      <c r="R1307">
        <v>2</v>
      </c>
      <c r="S1307" t="str">
        <f>IF(Table1[prior_dna_count]&gt;=1,"Has prior DNA history","No prior DNA history")</f>
        <v>Has prior DNA history</v>
      </c>
      <c r="T1307" t="s">
        <v>22</v>
      </c>
      <c r="U1307" t="str">
        <f t="shared" si="20"/>
        <v>1</v>
      </c>
      <c r="V1307" t="str">
        <f>IF(Table1[appointment_status]="Attended","1","0")</f>
        <v>1</v>
      </c>
      <c r="W1307" t="str">
        <f>IF(Table1[appointment_status]="Cancelled","1","0")</f>
        <v>0</v>
      </c>
    </row>
    <row r="1308" spans="1:23">
      <c r="A1308" t="s">
        <v>2254</v>
      </c>
      <c r="B1308" t="s">
        <v>2255</v>
      </c>
      <c r="C1308">
        <v>58</v>
      </c>
      <c r="D1308" t="str" cm="1">
        <f t="array" ref="D1308">_xlfn.IFS(Table1[[#This Row],[age]]&lt;=17,"0-17",C1308&lt;=29,"18-29",C1308&lt;=44,"30-44",C1308&lt;=59,"45-59",C1308&lt;=74,"60-74",TRUE,"75+")</f>
        <v>45-59</v>
      </c>
      <c r="E1308" t="s">
        <v>17</v>
      </c>
      <c r="F1308">
        <v>8</v>
      </c>
      <c r="G1308" t="str" cm="1">
        <f t="array" ref="G1308">_xlfn.IFS(_xlfn.SINGLE(Table1[imd_decile])&lt;=3,"Most Deprived",F1308&lt;=7,"Moderately Deprived",F1308&lt;=10,"Least Deprived")</f>
        <v>Least Deprived</v>
      </c>
      <c r="H1308">
        <v>4</v>
      </c>
      <c r="I1308" t="s">
        <v>155</v>
      </c>
      <c r="J1308" t="s">
        <v>19</v>
      </c>
      <c r="K1308" s="1">
        <v>45785</v>
      </c>
      <c r="L1308" s="1">
        <v>45854</v>
      </c>
      <c r="M1308" s="1" t="str">
        <f>TEXT(Table1[[#This Row],[appointment_date]],"MM/YYYY")</f>
        <v>07/2025</v>
      </c>
      <c r="N1308">
        <v>69</v>
      </c>
      <c r="O1308" t="str" cm="1">
        <f t="array" ref="O1308">_xlfn.IFS(Table1[[#This Row],[lead_time_days]]&lt;=7,"0-7 days",N1308&lt;=14,"8-14 days",N1308&lt;=30,"15-30 days",N1308&lt;=60,"31-60 days",TRUE,"61+ days")</f>
        <v>61+ days</v>
      </c>
      <c r="P1308" t="s">
        <v>80</v>
      </c>
      <c r="Q1308" t="s">
        <v>21</v>
      </c>
      <c r="R1308">
        <v>0</v>
      </c>
      <c r="S1308" t="str">
        <f>IF(Table1[prior_dna_count]&gt;=1,"Has prior DNA history","No prior DNA history")</f>
        <v>No prior DNA history</v>
      </c>
      <c r="T1308" t="s">
        <v>22</v>
      </c>
      <c r="U1308" t="str">
        <f t="shared" si="20"/>
        <v>1</v>
      </c>
      <c r="V1308" t="str">
        <f>IF(Table1[appointment_status]="Attended","1","0")</f>
        <v>1</v>
      </c>
      <c r="W1308" t="str">
        <f>IF(Table1[appointment_status]="Cancelled","1","0")</f>
        <v>0</v>
      </c>
    </row>
    <row r="1309" spans="1:23">
      <c r="A1309" t="s">
        <v>2256</v>
      </c>
      <c r="B1309" t="s">
        <v>592</v>
      </c>
      <c r="C1309">
        <v>59</v>
      </c>
      <c r="D1309" t="str" cm="1">
        <f t="array" ref="D1309">_xlfn.IFS(Table1[[#This Row],[age]]&lt;=17,"0-17",C1309&lt;=29,"18-29",C1309&lt;=44,"30-44",C1309&lt;=59,"45-59",C1309&lt;=74,"60-74",TRUE,"75+")</f>
        <v>45-59</v>
      </c>
      <c r="E1309" t="s">
        <v>29</v>
      </c>
      <c r="F1309">
        <v>3</v>
      </c>
      <c r="G1309" t="str" cm="1">
        <f t="array" ref="G1309">_xlfn.IFS(_xlfn.SINGLE(Table1[imd_decile])&lt;=3,"Most Deprived",F1309&lt;=7,"Moderately Deprived",F1309&lt;=10,"Least Deprived")</f>
        <v>Most Deprived</v>
      </c>
      <c r="H1309">
        <v>2.6</v>
      </c>
      <c r="I1309" t="s">
        <v>91</v>
      </c>
      <c r="J1309" t="s">
        <v>26</v>
      </c>
      <c r="K1309" s="1">
        <v>45836</v>
      </c>
      <c r="L1309" s="1">
        <v>45854</v>
      </c>
      <c r="M1309" s="1" t="str">
        <f>TEXT(Table1[[#This Row],[appointment_date]],"MM/YYYY")</f>
        <v>07/2025</v>
      </c>
      <c r="N1309">
        <v>18</v>
      </c>
      <c r="O1309" t="str" cm="1">
        <f t="array" ref="O1309">_xlfn.IFS(Table1[[#This Row],[lead_time_days]]&lt;=7,"0-7 days",N1309&lt;=14,"8-14 days",N1309&lt;=30,"15-30 days",N1309&lt;=60,"31-60 days",TRUE,"61+ days")</f>
        <v>15-30 days</v>
      </c>
      <c r="P1309" t="s">
        <v>80</v>
      </c>
      <c r="Q1309" t="s">
        <v>32</v>
      </c>
      <c r="R1309">
        <v>0</v>
      </c>
      <c r="S1309" t="str">
        <f>IF(Table1[prior_dna_count]&gt;=1,"Has prior DNA history","No prior DNA history")</f>
        <v>No prior DNA history</v>
      </c>
      <c r="T1309" t="s">
        <v>22</v>
      </c>
      <c r="U1309" t="str">
        <f t="shared" si="20"/>
        <v>1</v>
      </c>
      <c r="V1309" t="str">
        <f>IF(Table1[appointment_status]="Attended","1","0")</f>
        <v>1</v>
      </c>
      <c r="W1309" t="str">
        <f>IF(Table1[appointment_status]="Cancelled","1","0")</f>
        <v>0</v>
      </c>
    </row>
    <row r="1310" spans="1:23">
      <c r="A1310" t="s">
        <v>2257</v>
      </c>
      <c r="B1310" t="s">
        <v>924</v>
      </c>
      <c r="C1310">
        <v>30</v>
      </c>
      <c r="D1310" t="str" cm="1">
        <f t="array" ref="D1310">_xlfn.IFS(Table1[[#This Row],[age]]&lt;=17,"0-17",C1310&lt;=29,"18-29",C1310&lt;=44,"30-44",C1310&lt;=59,"45-59",C1310&lt;=74,"60-74",TRUE,"75+")</f>
        <v>30-44</v>
      </c>
      <c r="E1310" t="s">
        <v>29</v>
      </c>
      <c r="F1310">
        <v>5</v>
      </c>
      <c r="G1310" t="str" cm="1">
        <f t="array" ref="G1310">_xlfn.IFS(_xlfn.SINGLE(Table1[imd_decile])&lt;=3,"Most Deprived",F1310&lt;=7,"Moderately Deprived",F1310&lt;=10,"Least Deprived")</f>
        <v>Moderately Deprived</v>
      </c>
      <c r="H1310">
        <v>4.9000000000000004</v>
      </c>
      <c r="I1310" t="s">
        <v>58</v>
      </c>
      <c r="J1310" t="s">
        <v>19</v>
      </c>
      <c r="K1310" s="1">
        <v>45816</v>
      </c>
      <c r="L1310" s="1">
        <v>45854</v>
      </c>
      <c r="M1310" s="1" t="str">
        <f>TEXT(Table1[[#This Row],[appointment_date]],"MM/YYYY")</f>
        <v>07/2025</v>
      </c>
      <c r="N1310">
        <v>38</v>
      </c>
      <c r="O1310" t="str" cm="1">
        <f t="array" ref="O1310">_xlfn.IFS(Table1[[#This Row],[lead_time_days]]&lt;=7,"0-7 days",N1310&lt;=14,"8-14 days",N1310&lt;=30,"15-30 days",N1310&lt;=60,"31-60 days",TRUE,"61+ days")</f>
        <v>31-60 days</v>
      </c>
      <c r="P1310" t="s">
        <v>80</v>
      </c>
      <c r="Q1310" t="s">
        <v>21</v>
      </c>
      <c r="R1310">
        <v>0</v>
      </c>
      <c r="S1310" t="str">
        <f>IF(Table1[prior_dna_count]&gt;=1,"Has prior DNA history","No prior DNA history")</f>
        <v>No prior DNA history</v>
      </c>
      <c r="T1310" t="s">
        <v>22</v>
      </c>
      <c r="U1310" t="str">
        <f t="shared" si="20"/>
        <v>1</v>
      </c>
      <c r="V1310" t="str">
        <f>IF(Table1[appointment_status]="Attended","1","0")</f>
        <v>1</v>
      </c>
      <c r="W1310" t="str">
        <f>IF(Table1[appointment_status]="Cancelled","1","0")</f>
        <v>0</v>
      </c>
    </row>
    <row r="1311" spans="1:23">
      <c r="A1311" t="s">
        <v>2258</v>
      </c>
      <c r="B1311" t="s">
        <v>2184</v>
      </c>
      <c r="C1311">
        <v>64</v>
      </c>
      <c r="D1311" t="str" cm="1">
        <f t="array" ref="D1311">_xlfn.IFS(Table1[[#This Row],[age]]&lt;=17,"0-17",C1311&lt;=29,"18-29",C1311&lt;=44,"30-44",C1311&lt;=59,"45-59",C1311&lt;=74,"60-74",TRUE,"75+")</f>
        <v>60-74</v>
      </c>
      <c r="E1311" t="s">
        <v>17</v>
      </c>
      <c r="F1311">
        <v>4</v>
      </c>
      <c r="G1311" t="str" cm="1">
        <f t="array" ref="G1311">_xlfn.IFS(_xlfn.SINGLE(Table1[imd_decile])&lt;=3,"Most Deprived",F1311&lt;=7,"Moderately Deprived",F1311&lt;=10,"Least Deprived")</f>
        <v>Moderately Deprived</v>
      </c>
      <c r="H1311">
        <v>5</v>
      </c>
      <c r="I1311" t="s">
        <v>18</v>
      </c>
      <c r="J1311" t="s">
        <v>19</v>
      </c>
      <c r="K1311" s="1">
        <v>45833</v>
      </c>
      <c r="L1311" s="1">
        <v>45855</v>
      </c>
      <c r="M1311" s="1" t="str">
        <f>TEXT(Table1[[#This Row],[appointment_date]],"MM/YYYY")</f>
        <v>07/2025</v>
      </c>
      <c r="N1311">
        <v>22</v>
      </c>
      <c r="O1311" t="str" cm="1">
        <f t="array" ref="O1311">_xlfn.IFS(Table1[[#This Row],[lead_time_days]]&lt;=7,"0-7 days",N1311&lt;=14,"8-14 days",N1311&lt;=30,"15-30 days",N1311&lt;=60,"31-60 days",TRUE,"61+ days")</f>
        <v>15-30 days</v>
      </c>
      <c r="P1311" t="s">
        <v>20</v>
      </c>
      <c r="Q1311" t="s">
        <v>32</v>
      </c>
      <c r="R1311">
        <v>0</v>
      </c>
      <c r="S1311" t="str">
        <f>IF(Table1[prior_dna_count]&gt;=1,"Has prior DNA history","No prior DNA history")</f>
        <v>No prior DNA history</v>
      </c>
      <c r="T1311" t="s">
        <v>22</v>
      </c>
      <c r="U1311" t="str">
        <f t="shared" si="20"/>
        <v>1</v>
      </c>
      <c r="V1311" t="str">
        <f>IF(Table1[appointment_status]="Attended","1","0")</f>
        <v>1</v>
      </c>
      <c r="W1311" t="str">
        <f>IF(Table1[appointment_status]="Cancelled","1","0")</f>
        <v>0</v>
      </c>
    </row>
    <row r="1312" spans="1:23">
      <c r="A1312" t="s">
        <v>2259</v>
      </c>
      <c r="B1312" t="s">
        <v>2159</v>
      </c>
      <c r="C1312">
        <v>26</v>
      </c>
      <c r="D1312" t="str" cm="1">
        <f t="array" ref="D1312">_xlfn.IFS(Table1[[#This Row],[age]]&lt;=17,"0-17",C1312&lt;=29,"18-29",C1312&lt;=44,"30-44",C1312&lt;=59,"45-59",C1312&lt;=74,"60-74",TRUE,"75+")</f>
        <v>18-29</v>
      </c>
      <c r="E1312" t="s">
        <v>17</v>
      </c>
      <c r="F1312">
        <v>5</v>
      </c>
      <c r="G1312" t="str" cm="1">
        <f t="array" ref="G1312">_xlfn.IFS(_xlfn.SINGLE(Table1[imd_decile])&lt;=3,"Most Deprived",F1312&lt;=7,"Moderately Deprived",F1312&lt;=10,"Least Deprived")</f>
        <v>Moderately Deprived</v>
      </c>
      <c r="H1312">
        <v>23.9</v>
      </c>
      <c r="I1312" t="s">
        <v>25</v>
      </c>
      <c r="J1312" t="s">
        <v>19</v>
      </c>
      <c r="K1312" s="1">
        <v>45794</v>
      </c>
      <c r="L1312" s="1">
        <v>45855</v>
      </c>
      <c r="M1312" s="1" t="str">
        <f>TEXT(Table1[[#This Row],[appointment_date]],"MM/YYYY")</f>
        <v>07/2025</v>
      </c>
      <c r="N1312">
        <v>61</v>
      </c>
      <c r="O1312" t="str" cm="1">
        <f t="array" ref="O1312">_xlfn.IFS(Table1[[#This Row],[lead_time_days]]&lt;=7,"0-7 days",N1312&lt;=14,"8-14 days",N1312&lt;=30,"15-30 days",N1312&lt;=60,"31-60 days",TRUE,"61+ days")</f>
        <v>61+ days</v>
      </c>
      <c r="P1312" t="s">
        <v>20</v>
      </c>
      <c r="Q1312" t="s">
        <v>21</v>
      </c>
      <c r="R1312">
        <v>0</v>
      </c>
      <c r="S1312" t="str">
        <f>IF(Table1[prior_dna_count]&gt;=1,"Has prior DNA history","No prior DNA history")</f>
        <v>No prior DNA history</v>
      </c>
      <c r="T1312" t="s">
        <v>22</v>
      </c>
      <c r="U1312" t="str">
        <f t="shared" si="20"/>
        <v>1</v>
      </c>
      <c r="V1312" t="str">
        <f>IF(Table1[appointment_status]="Attended","1","0")</f>
        <v>1</v>
      </c>
      <c r="W1312" t="str">
        <f>IF(Table1[appointment_status]="Cancelled","1","0")</f>
        <v>0</v>
      </c>
    </row>
    <row r="1313" spans="1:23">
      <c r="A1313" t="s">
        <v>2260</v>
      </c>
      <c r="B1313" t="s">
        <v>1462</v>
      </c>
      <c r="C1313">
        <v>41</v>
      </c>
      <c r="D1313" t="str" cm="1">
        <f t="array" ref="D1313">_xlfn.IFS(Table1[[#This Row],[age]]&lt;=17,"0-17",C1313&lt;=29,"18-29",C1313&lt;=44,"30-44",C1313&lt;=59,"45-59",C1313&lt;=74,"60-74",TRUE,"75+")</f>
        <v>30-44</v>
      </c>
      <c r="E1313" t="s">
        <v>17</v>
      </c>
      <c r="F1313">
        <v>6</v>
      </c>
      <c r="G1313" t="str" cm="1">
        <f t="array" ref="G1313">_xlfn.IFS(_xlfn.SINGLE(Table1[imd_decile])&lt;=3,"Most Deprived",F1313&lt;=7,"Moderately Deprived",F1313&lt;=10,"Least Deprived")</f>
        <v>Moderately Deprived</v>
      </c>
      <c r="H1313">
        <v>7.3</v>
      </c>
      <c r="I1313" t="s">
        <v>42</v>
      </c>
      <c r="J1313" t="s">
        <v>26</v>
      </c>
      <c r="K1313" s="1">
        <v>45839</v>
      </c>
      <c r="L1313" s="1">
        <v>45855</v>
      </c>
      <c r="M1313" s="1" t="str">
        <f>TEXT(Table1[[#This Row],[appointment_date]],"MM/YYYY")</f>
        <v>07/2025</v>
      </c>
      <c r="N1313">
        <v>16</v>
      </c>
      <c r="O1313" t="str" cm="1">
        <f t="array" ref="O1313">_xlfn.IFS(Table1[[#This Row],[lead_time_days]]&lt;=7,"0-7 days",N1313&lt;=14,"8-14 days",N1313&lt;=30,"15-30 days",N1313&lt;=60,"31-60 days",TRUE,"61+ days")</f>
        <v>15-30 days</v>
      </c>
      <c r="P1313" t="s">
        <v>20</v>
      </c>
      <c r="Q1313" t="s">
        <v>21</v>
      </c>
      <c r="R1313">
        <v>0</v>
      </c>
      <c r="S1313" t="str">
        <f>IF(Table1[prior_dna_count]&gt;=1,"Has prior DNA history","No prior DNA history")</f>
        <v>No prior DNA history</v>
      </c>
      <c r="T1313" t="s">
        <v>22</v>
      </c>
      <c r="U1313" t="str">
        <f t="shared" si="20"/>
        <v>1</v>
      </c>
      <c r="V1313" t="str">
        <f>IF(Table1[appointment_status]="Attended","1","0")</f>
        <v>1</v>
      </c>
      <c r="W1313" t="str">
        <f>IF(Table1[appointment_status]="Cancelled","1","0")</f>
        <v>0</v>
      </c>
    </row>
    <row r="1314" spans="1:23">
      <c r="A1314" t="s">
        <v>2261</v>
      </c>
      <c r="B1314" t="s">
        <v>2092</v>
      </c>
      <c r="C1314">
        <v>32</v>
      </c>
      <c r="D1314" t="str" cm="1">
        <f t="array" ref="D1314">_xlfn.IFS(Table1[[#This Row],[age]]&lt;=17,"0-17",C1314&lt;=29,"18-29",C1314&lt;=44,"30-44",C1314&lt;=59,"45-59",C1314&lt;=74,"60-74",TRUE,"75+")</f>
        <v>30-44</v>
      </c>
      <c r="E1314" t="s">
        <v>29</v>
      </c>
      <c r="F1314">
        <v>2</v>
      </c>
      <c r="G1314" t="str" cm="1">
        <f t="array" ref="G1314">_xlfn.IFS(_xlfn.SINGLE(Table1[imd_decile])&lt;=3,"Most Deprived",F1314&lt;=7,"Moderately Deprived",F1314&lt;=10,"Least Deprived")</f>
        <v>Most Deprived</v>
      </c>
      <c r="H1314">
        <v>1.8</v>
      </c>
      <c r="I1314" t="s">
        <v>25</v>
      </c>
      <c r="J1314" t="s">
        <v>26</v>
      </c>
      <c r="K1314" s="1">
        <v>45825</v>
      </c>
      <c r="L1314" s="1">
        <v>45855</v>
      </c>
      <c r="M1314" s="1" t="str">
        <f>TEXT(Table1[[#This Row],[appointment_date]],"MM/YYYY")</f>
        <v>07/2025</v>
      </c>
      <c r="N1314">
        <v>30</v>
      </c>
      <c r="O1314" t="str" cm="1">
        <f t="array" ref="O1314">_xlfn.IFS(Table1[[#This Row],[lead_time_days]]&lt;=7,"0-7 days",N1314&lt;=14,"8-14 days",N1314&lt;=30,"15-30 days",N1314&lt;=60,"31-60 days",TRUE,"61+ days")</f>
        <v>15-30 days</v>
      </c>
      <c r="P1314" t="s">
        <v>20</v>
      </c>
      <c r="Q1314" t="s">
        <v>21</v>
      </c>
      <c r="R1314">
        <v>0</v>
      </c>
      <c r="S1314" t="str">
        <f>IF(Table1[prior_dna_count]&gt;=1,"Has prior DNA history","No prior DNA history")</f>
        <v>No prior DNA history</v>
      </c>
      <c r="T1314" t="s">
        <v>22</v>
      </c>
      <c r="U1314" t="str">
        <f t="shared" si="20"/>
        <v>1</v>
      </c>
      <c r="V1314" t="str">
        <f>IF(Table1[appointment_status]="Attended","1","0")</f>
        <v>1</v>
      </c>
      <c r="W1314" t="str">
        <f>IF(Table1[appointment_status]="Cancelled","1","0")</f>
        <v>0</v>
      </c>
    </row>
    <row r="1315" spans="1:23">
      <c r="A1315" t="s">
        <v>2262</v>
      </c>
      <c r="B1315" t="s">
        <v>383</v>
      </c>
      <c r="C1315">
        <v>66</v>
      </c>
      <c r="D1315" t="str" cm="1">
        <f t="array" ref="D1315">_xlfn.IFS(Table1[[#This Row],[age]]&lt;=17,"0-17",C1315&lt;=29,"18-29",C1315&lt;=44,"30-44",C1315&lt;=59,"45-59",C1315&lt;=74,"60-74",TRUE,"75+")</f>
        <v>60-74</v>
      </c>
      <c r="E1315" t="s">
        <v>17</v>
      </c>
      <c r="F1315">
        <v>4</v>
      </c>
      <c r="G1315" t="str" cm="1">
        <f t="array" ref="G1315">_xlfn.IFS(_xlfn.SINGLE(Table1[imd_decile])&lt;=3,"Most Deprived",F1315&lt;=7,"Moderately Deprived",F1315&lt;=10,"Least Deprived")</f>
        <v>Moderately Deprived</v>
      </c>
      <c r="H1315">
        <v>5.8</v>
      </c>
      <c r="I1315" t="s">
        <v>45</v>
      </c>
      <c r="J1315" t="s">
        <v>19</v>
      </c>
      <c r="K1315" s="1">
        <v>45821</v>
      </c>
      <c r="L1315" s="1">
        <v>45855</v>
      </c>
      <c r="M1315" s="1" t="str">
        <f>TEXT(Table1[[#This Row],[appointment_date]],"MM/YYYY")</f>
        <v>07/2025</v>
      </c>
      <c r="N1315">
        <v>34</v>
      </c>
      <c r="O1315" t="str" cm="1">
        <f t="array" ref="O1315">_xlfn.IFS(Table1[[#This Row],[lead_time_days]]&lt;=7,"0-7 days",N1315&lt;=14,"8-14 days",N1315&lt;=30,"15-30 days",N1315&lt;=60,"31-60 days",TRUE,"61+ days")</f>
        <v>31-60 days</v>
      </c>
      <c r="P1315" t="s">
        <v>20</v>
      </c>
      <c r="Q1315" t="s">
        <v>21</v>
      </c>
      <c r="R1315">
        <v>0</v>
      </c>
      <c r="S1315" t="str">
        <f>IF(Table1[prior_dna_count]&gt;=1,"Has prior DNA history","No prior DNA history")</f>
        <v>No prior DNA history</v>
      </c>
      <c r="T1315" t="s">
        <v>22</v>
      </c>
      <c r="U1315" t="str">
        <f t="shared" si="20"/>
        <v>1</v>
      </c>
      <c r="V1315" t="str">
        <f>IF(Table1[appointment_status]="Attended","1","0")</f>
        <v>1</v>
      </c>
      <c r="W1315" t="str">
        <f>IF(Table1[appointment_status]="Cancelled","1","0")</f>
        <v>0</v>
      </c>
    </row>
    <row r="1316" spans="1:23">
      <c r="A1316" t="s">
        <v>2263</v>
      </c>
      <c r="B1316" t="s">
        <v>1273</v>
      </c>
      <c r="C1316">
        <v>55</v>
      </c>
      <c r="D1316" t="str" cm="1">
        <f t="array" ref="D1316">_xlfn.IFS(Table1[[#This Row],[age]]&lt;=17,"0-17",C1316&lt;=29,"18-29",C1316&lt;=44,"30-44",C1316&lt;=59,"45-59",C1316&lt;=74,"60-74",TRUE,"75+")</f>
        <v>45-59</v>
      </c>
      <c r="E1316" t="s">
        <v>17</v>
      </c>
      <c r="F1316">
        <v>7</v>
      </c>
      <c r="G1316" t="str" cm="1">
        <f t="array" ref="G1316">_xlfn.IFS(_xlfn.SINGLE(Table1[imd_decile])&lt;=3,"Most Deprived",F1316&lt;=7,"Moderately Deprived",F1316&lt;=10,"Least Deprived")</f>
        <v>Moderately Deprived</v>
      </c>
      <c r="H1316">
        <v>8.1999999999999993</v>
      </c>
      <c r="I1316" t="s">
        <v>49</v>
      </c>
      <c r="J1316" t="s">
        <v>19</v>
      </c>
      <c r="K1316" s="1">
        <v>45805</v>
      </c>
      <c r="L1316" s="1">
        <v>45855</v>
      </c>
      <c r="M1316" s="1" t="str">
        <f>TEXT(Table1[[#This Row],[appointment_date]],"MM/YYYY")</f>
        <v>07/2025</v>
      </c>
      <c r="N1316">
        <v>50</v>
      </c>
      <c r="O1316" t="str" cm="1">
        <f t="array" ref="O1316">_xlfn.IFS(Table1[[#This Row],[lead_time_days]]&lt;=7,"0-7 days",N1316&lt;=14,"8-14 days",N1316&lt;=30,"15-30 days",N1316&lt;=60,"31-60 days",TRUE,"61+ days")</f>
        <v>31-60 days</v>
      </c>
      <c r="P1316" t="s">
        <v>20</v>
      </c>
      <c r="Q1316" t="s">
        <v>32</v>
      </c>
      <c r="R1316">
        <v>0</v>
      </c>
      <c r="S1316" t="str">
        <f>IF(Table1[prior_dna_count]&gt;=1,"Has prior DNA history","No prior DNA history")</f>
        <v>No prior DNA history</v>
      </c>
      <c r="T1316" t="s">
        <v>22</v>
      </c>
      <c r="U1316" t="str">
        <f t="shared" si="20"/>
        <v>1</v>
      </c>
      <c r="V1316" t="str">
        <f>IF(Table1[appointment_status]="Attended","1","0")</f>
        <v>1</v>
      </c>
      <c r="W1316" t="str">
        <f>IF(Table1[appointment_status]="Cancelled","1","0")</f>
        <v>0</v>
      </c>
    </row>
    <row r="1317" spans="1:23">
      <c r="A1317" t="s">
        <v>2264</v>
      </c>
      <c r="B1317" t="s">
        <v>1126</v>
      </c>
      <c r="C1317">
        <v>22</v>
      </c>
      <c r="D1317" t="str" cm="1">
        <f t="array" ref="D1317">_xlfn.IFS(Table1[[#This Row],[age]]&lt;=17,"0-17",C1317&lt;=29,"18-29",C1317&lt;=44,"30-44",C1317&lt;=59,"45-59",C1317&lt;=74,"60-74",TRUE,"75+")</f>
        <v>18-29</v>
      </c>
      <c r="E1317" t="s">
        <v>29</v>
      </c>
      <c r="F1317">
        <v>9</v>
      </c>
      <c r="G1317" t="str" cm="1">
        <f t="array" ref="G1317">_xlfn.IFS(_xlfn.SINGLE(Table1[imd_decile])&lt;=3,"Most Deprived",F1317&lt;=7,"Moderately Deprived",F1317&lt;=10,"Least Deprived")</f>
        <v>Least Deprived</v>
      </c>
      <c r="H1317">
        <v>3.8</v>
      </c>
      <c r="I1317" t="s">
        <v>49</v>
      </c>
      <c r="J1317" t="s">
        <v>19</v>
      </c>
      <c r="K1317" s="1">
        <v>45826</v>
      </c>
      <c r="L1317" s="1">
        <v>45855</v>
      </c>
      <c r="M1317" s="1" t="str">
        <f>TEXT(Table1[[#This Row],[appointment_date]],"MM/YYYY")</f>
        <v>07/2025</v>
      </c>
      <c r="N1317">
        <v>29</v>
      </c>
      <c r="O1317" t="str" cm="1">
        <f t="array" ref="O1317">_xlfn.IFS(Table1[[#This Row],[lead_time_days]]&lt;=7,"0-7 days",N1317&lt;=14,"8-14 days",N1317&lt;=30,"15-30 days",N1317&lt;=60,"31-60 days",TRUE,"61+ days")</f>
        <v>15-30 days</v>
      </c>
      <c r="P1317" t="s">
        <v>20</v>
      </c>
      <c r="Q1317" t="s">
        <v>21</v>
      </c>
      <c r="R1317">
        <v>0</v>
      </c>
      <c r="S1317" t="str">
        <f>IF(Table1[prior_dna_count]&gt;=1,"Has prior DNA history","No prior DNA history")</f>
        <v>No prior DNA history</v>
      </c>
      <c r="T1317" t="s">
        <v>22</v>
      </c>
      <c r="U1317" t="str">
        <f t="shared" si="20"/>
        <v>1</v>
      </c>
      <c r="V1317" t="str">
        <f>IF(Table1[appointment_status]="Attended","1","0")</f>
        <v>1</v>
      </c>
      <c r="W1317" t="str">
        <f>IF(Table1[appointment_status]="Cancelled","1","0")</f>
        <v>0</v>
      </c>
    </row>
    <row r="1318" spans="1:23">
      <c r="A1318" t="s">
        <v>2265</v>
      </c>
      <c r="B1318" t="s">
        <v>2266</v>
      </c>
      <c r="C1318">
        <v>40</v>
      </c>
      <c r="D1318" t="str" cm="1">
        <f t="array" ref="D1318">_xlfn.IFS(Table1[[#This Row],[age]]&lt;=17,"0-17",C1318&lt;=29,"18-29",C1318&lt;=44,"30-44",C1318&lt;=59,"45-59",C1318&lt;=74,"60-74",TRUE,"75+")</f>
        <v>30-44</v>
      </c>
      <c r="E1318" t="s">
        <v>29</v>
      </c>
      <c r="F1318">
        <v>3</v>
      </c>
      <c r="G1318" t="str" cm="1">
        <f t="array" ref="G1318">_xlfn.IFS(_xlfn.SINGLE(Table1[imd_decile])&lt;=3,"Most Deprived",F1318&lt;=7,"Moderately Deprived",F1318&lt;=10,"Least Deprived")</f>
        <v>Most Deprived</v>
      </c>
      <c r="H1318">
        <v>5.0999999999999996</v>
      </c>
      <c r="I1318" t="s">
        <v>18</v>
      </c>
      <c r="J1318" t="s">
        <v>26</v>
      </c>
      <c r="K1318" s="1">
        <v>45845</v>
      </c>
      <c r="L1318" s="1">
        <v>45855</v>
      </c>
      <c r="M1318" s="1" t="str">
        <f>TEXT(Table1[[#This Row],[appointment_date]],"MM/YYYY")</f>
        <v>07/2025</v>
      </c>
      <c r="N1318">
        <v>10</v>
      </c>
      <c r="O1318" t="str" cm="1">
        <f t="array" ref="O1318">_xlfn.IFS(Table1[[#This Row],[lead_time_days]]&lt;=7,"0-7 days",N1318&lt;=14,"8-14 days",N1318&lt;=30,"15-30 days",N1318&lt;=60,"31-60 days",TRUE,"61+ days")</f>
        <v>8-14 days</v>
      </c>
      <c r="P1318" t="s">
        <v>20</v>
      </c>
      <c r="Q1318" t="s">
        <v>21</v>
      </c>
      <c r="R1318">
        <v>0</v>
      </c>
      <c r="S1318" t="str">
        <f>IF(Table1[prior_dna_count]&gt;=1,"Has prior DNA history","No prior DNA history")</f>
        <v>No prior DNA history</v>
      </c>
      <c r="T1318" t="s">
        <v>22</v>
      </c>
      <c r="U1318" t="str">
        <f t="shared" si="20"/>
        <v>1</v>
      </c>
      <c r="V1318" t="str">
        <f>IF(Table1[appointment_status]="Attended","1","0")</f>
        <v>1</v>
      </c>
      <c r="W1318" t="str">
        <f>IF(Table1[appointment_status]="Cancelled","1","0")</f>
        <v>0</v>
      </c>
    </row>
    <row r="1319" spans="1:23">
      <c r="A1319" t="s">
        <v>2267</v>
      </c>
      <c r="B1319" t="s">
        <v>691</v>
      </c>
      <c r="C1319">
        <v>24</v>
      </c>
      <c r="D1319" t="str" cm="1">
        <f t="array" ref="D1319">_xlfn.IFS(Table1[[#This Row],[age]]&lt;=17,"0-17",C1319&lt;=29,"18-29",C1319&lt;=44,"30-44",C1319&lt;=59,"45-59",C1319&lt;=74,"60-74",TRUE,"75+")</f>
        <v>18-29</v>
      </c>
      <c r="E1319" t="s">
        <v>29</v>
      </c>
      <c r="F1319">
        <v>1</v>
      </c>
      <c r="G1319" t="str" cm="1">
        <f t="array" ref="G1319">_xlfn.IFS(_xlfn.SINGLE(Table1[imd_decile])&lt;=3,"Most Deprived",F1319&lt;=7,"Moderately Deprived",F1319&lt;=10,"Least Deprived")</f>
        <v>Most Deprived</v>
      </c>
      <c r="H1319">
        <v>1.5</v>
      </c>
      <c r="I1319" t="s">
        <v>58</v>
      </c>
      <c r="J1319" t="s">
        <v>19</v>
      </c>
      <c r="K1319" s="1">
        <v>45823</v>
      </c>
      <c r="L1319" s="1">
        <v>45855</v>
      </c>
      <c r="M1319" s="1" t="str">
        <f>TEXT(Table1[[#This Row],[appointment_date]],"MM/YYYY")</f>
        <v>07/2025</v>
      </c>
      <c r="N1319">
        <v>32</v>
      </c>
      <c r="O1319" t="str" cm="1">
        <f t="array" ref="O1319">_xlfn.IFS(Table1[[#This Row],[lead_time_days]]&lt;=7,"0-7 days",N1319&lt;=14,"8-14 days",N1319&lt;=30,"15-30 days",N1319&lt;=60,"31-60 days",TRUE,"61+ days")</f>
        <v>31-60 days</v>
      </c>
      <c r="P1319" t="s">
        <v>20</v>
      </c>
      <c r="Q1319" t="s">
        <v>32</v>
      </c>
      <c r="R1319">
        <v>0</v>
      </c>
      <c r="S1319" t="str">
        <f>IF(Table1[prior_dna_count]&gt;=1,"Has prior DNA history","No prior DNA history")</f>
        <v>No prior DNA history</v>
      </c>
      <c r="T1319" t="s">
        <v>46</v>
      </c>
      <c r="U1319" t="str">
        <f t="shared" si="20"/>
        <v>1</v>
      </c>
      <c r="V1319" t="str">
        <f>IF(Table1[appointment_status]="Attended","1","0")</f>
        <v>0</v>
      </c>
      <c r="W1319" t="str">
        <f>IF(Table1[appointment_status]="Cancelled","1","0")</f>
        <v>1</v>
      </c>
    </row>
    <row r="1320" spans="1:23">
      <c r="A1320" t="s">
        <v>2268</v>
      </c>
      <c r="B1320" t="s">
        <v>377</v>
      </c>
      <c r="C1320">
        <v>56</v>
      </c>
      <c r="D1320" t="str" cm="1">
        <f t="array" ref="D1320">_xlfn.IFS(Table1[[#This Row],[age]]&lt;=17,"0-17",C1320&lt;=29,"18-29",C1320&lt;=44,"30-44",C1320&lt;=59,"45-59",C1320&lt;=74,"60-74",TRUE,"75+")</f>
        <v>45-59</v>
      </c>
      <c r="E1320" t="s">
        <v>29</v>
      </c>
      <c r="F1320">
        <v>9</v>
      </c>
      <c r="G1320" t="str" cm="1">
        <f t="array" ref="G1320">_xlfn.IFS(_xlfn.SINGLE(Table1[imd_decile])&lt;=3,"Most Deprived",F1320&lt;=7,"Moderately Deprived",F1320&lt;=10,"Least Deprived")</f>
        <v>Least Deprived</v>
      </c>
      <c r="H1320">
        <v>3.3</v>
      </c>
      <c r="I1320" t="s">
        <v>30</v>
      </c>
      <c r="J1320" t="s">
        <v>19</v>
      </c>
      <c r="K1320" s="1">
        <v>45818</v>
      </c>
      <c r="L1320" s="1">
        <v>45855</v>
      </c>
      <c r="M1320" s="1" t="str">
        <f>TEXT(Table1[[#This Row],[appointment_date]],"MM/YYYY")</f>
        <v>07/2025</v>
      </c>
      <c r="N1320">
        <v>37</v>
      </c>
      <c r="O1320" t="str" cm="1">
        <f t="array" ref="O1320">_xlfn.IFS(Table1[[#This Row],[lead_time_days]]&lt;=7,"0-7 days",N1320&lt;=14,"8-14 days",N1320&lt;=30,"15-30 days",N1320&lt;=60,"31-60 days",TRUE,"61+ days")</f>
        <v>31-60 days</v>
      </c>
      <c r="P1320" t="s">
        <v>20</v>
      </c>
      <c r="Q1320" t="s">
        <v>32</v>
      </c>
      <c r="R1320">
        <v>1</v>
      </c>
      <c r="S1320" t="str">
        <f>IF(Table1[prior_dna_count]&gt;=1,"Has prior DNA history","No prior DNA history")</f>
        <v>Has prior DNA history</v>
      </c>
      <c r="T1320" t="s">
        <v>22</v>
      </c>
      <c r="U1320" t="str">
        <f t="shared" si="20"/>
        <v>0</v>
      </c>
      <c r="V1320" t="str">
        <f>IF(Table1[appointment_status]="Attended","1","0")</f>
        <v>1</v>
      </c>
      <c r="W1320" t="str">
        <f>IF(Table1[appointment_status]="Cancelled","1","0")</f>
        <v>0</v>
      </c>
    </row>
    <row r="1321" spans="1:23">
      <c r="A1321" t="s">
        <v>2269</v>
      </c>
      <c r="B1321" t="s">
        <v>143</v>
      </c>
      <c r="C1321">
        <v>63</v>
      </c>
      <c r="D1321" t="str" cm="1">
        <f t="array" ref="D1321">_xlfn.IFS(Table1[[#This Row],[age]]&lt;=17,"0-17",C1321&lt;=29,"18-29",C1321&lt;=44,"30-44",C1321&lt;=59,"45-59",C1321&lt;=74,"60-74",TRUE,"75+")</f>
        <v>60-74</v>
      </c>
      <c r="E1321" t="s">
        <v>29</v>
      </c>
      <c r="F1321">
        <v>8</v>
      </c>
      <c r="G1321" t="str" cm="1">
        <f t="array" ref="G1321">_xlfn.IFS(_xlfn.SINGLE(Table1[imd_decile])&lt;=3,"Most Deprived",F1321&lt;=7,"Moderately Deprived",F1321&lt;=10,"Least Deprived")</f>
        <v>Least Deprived</v>
      </c>
      <c r="H1321">
        <v>8.1</v>
      </c>
      <c r="I1321" t="s">
        <v>155</v>
      </c>
      <c r="J1321" t="s">
        <v>19</v>
      </c>
      <c r="K1321" s="1">
        <v>45839</v>
      </c>
      <c r="L1321" s="1">
        <v>45855</v>
      </c>
      <c r="M1321" s="1" t="str">
        <f>TEXT(Table1[[#This Row],[appointment_date]],"MM/YYYY")</f>
        <v>07/2025</v>
      </c>
      <c r="N1321">
        <v>16</v>
      </c>
      <c r="O1321" t="str" cm="1">
        <f t="array" ref="O1321">_xlfn.IFS(Table1[[#This Row],[lead_time_days]]&lt;=7,"0-7 days",N1321&lt;=14,"8-14 days",N1321&lt;=30,"15-30 days",N1321&lt;=60,"31-60 days",TRUE,"61+ days")</f>
        <v>15-30 days</v>
      </c>
      <c r="P1321" t="s">
        <v>20</v>
      </c>
      <c r="Q1321" t="s">
        <v>32</v>
      </c>
      <c r="R1321">
        <v>0</v>
      </c>
      <c r="S1321" t="str">
        <f>IF(Table1[prior_dna_count]&gt;=1,"Has prior DNA history","No prior DNA history")</f>
        <v>No prior DNA history</v>
      </c>
      <c r="T1321" t="s">
        <v>46</v>
      </c>
      <c r="U1321" t="str">
        <f t="shared" si="20"/>
        <v>1</v>
      </c>
      <c r="V1321" t="str">
        <f>IF(Table1[appointment_status]="Attended","1","0")</f>
        <v>0</v>
      </c>
      <c r="W1321" t="str">
        <f>IF(Table1[appointment_status]="Cancelled","1","0")</f>
        <v>1</v>
      </c>
    </row>
    <row r="1322" spans="1:23">
      <c r="A1322" t="s">
        <v>2270</v>
      </c>
      <c r="B1322" t="s">
        <v>1490</v>
      </c>
      <c r="C1322">
        <v>50</v>
      </c>
      <c r="D1322" t="str" cm="1">
        <f t="array" ref="D1322">_xlfn.IFS(Table1[[#This Row],[age]]&lt;=17,"0-17",C1322&lt;=29,"18-29",C1322&lt;=44,"30-44",C1322&lt;=59,"45-59",C1322&lt;=74,"60-74",TRUE,"75+")</f>
        <v>45-59</v>
      </c>
      <c r="E1322" t="s">
        <v>29</v>
      </c>
      <c r="F1322">
        <v>9</v>
      </c>
      <c r="G1322" t="str" cm="1">
        <f t="array" ref="G1322">_xlfn.IFS(_xlfn.SINGLE(Table1[imd_decile])&lt;=3,"Most Deprived",F1322&lt;=7,"Moderately Deprived",F1322&lt;=10,"Least Deprived")</f>
        <v>Least Deprived</v>
      </c>
      <c r="H1322">
        <v>24.9</v>
      </c>
      <c r="I1322" t="s">
        <v>58</v>
      </c>
      <c r="J1322" t="s">
        <v>19</v>
      </c>
      <c r="K1322" s="1">
        <v>45795</v>
      </c>
      <c r="L1322" s="1">
        <v>45856</v>
      </c>
      <c r="M1322" s="1" t="str">
        <f>TEXT(Table1[[#This Row],[appointment_date]],"MM/YYYY")</f>
        <v>07/2025</v>
      </c>
      <c r="N1322">
        <v>61</v>
      </c>
      <c r="O1322" t="str" cm="1">
        <f t="array" ref="O1322">_xlfn.IFS(Table1[[#This Row],[lead_time_days]]&lt;=7,"0-7 days",N1322&lt;=14,"8-14 days",N1322&lt;=30,"15-30 days",N1322&lt;=60,"31-60 days",TRUE,"61+ days")</f>
        <v>61+ days</v>
      </c>
      <c r="P1322" t="s">
        <v>52</v>
      </c>
      <c r="Q1322" t="s">
        <v>32</v>
      </c>
      <c r="R1322">
        <v>0</v>
      </c>
      <c r="S1322" t="str">
        <f>IF(Table1[prior_dna_count]&gt;=1,"Has prior DNA history","No prior DNA history")</f>
        <v>No prior DNA history</v>
      </c>
      <c r="T1322" t="s">
        <v>22</v>
      </c>
      <c r="U1322" t="str">
        <f t="shared" si="20"/>
        <v>0</v>
      </c>
      <c r="V1322" t="str">
        <f>IF(Table1[appointment_status]="Attended","1","0")</f>
        <v>1</v>
      </c>
      <c r="W1322" t="str">
        <f>IF(Table1[appointment_status]="Cancelled","1","0")</f>
        <v>0</v>
      </c>
    </row>
    <row r="1323" spans="1:23">
      <c r="A1323" t="s">
        <v>2271</v>
      </c>
      <c r="B1323" t="s">
        <v>897</v>
      </c>
      <c r="C1323">
        <v>36</v>
      </c>
      <c r="D1323" t="str" cm="1">
        <f t="array" ref="D1323">_xlfn.IFS(Table1[[#This Row],[age]]&lt;=17,"0-17",C1323&lt;=29,"18-29",C1323&lt;=44,"30-44",C1323&lt;=59,"45-59",C1323&lt;=74,"60-74",TRUE,"75+")</f>
        <v>30-44</v>
      </c>
      <c r="E1323" t="s">
        <v>29</v>
      </c>
      <c r="F1323">
        <v>10</v>
      </c>
      <c r="G1323" t="str" cm="1">
        <f t="array" ref="G1323">_xlfn.IFS(_xlfn.SINGLE(Table1[imd_decile])&lt;=3,"Most Deprived",F1323&lt;=7,"Moderately Deprived",F1323&lt;=10,"Least Deprived")</f>
        <v>Least Deprived</v>
      </c>
      <c r="H1323">
        <v>6.6</v>
      </c>
      <c r="I1323" t="s">
        <v>42</v>
      </c>
      <c r="J1323" t="s">
        <v>26</v>
      </c>
      <c r="K1323" s="1">
        <v>45851</v>
      </c>
      <c r="L1323" s="1">
        <v>45856</v>
      </c>
      <c r="M1323" s="1" t="str">
        <f>TEXT(Table1[[#This Row],[appointment_date]],"MM/YYYY")</f>
        <v>07/2025</v>
      </c>
      <c r="N1323">
        <v>5</v>
      </c>
      <c r="O1323" t="str" cm="1">
        <f t="array" ref="O1323">_xlfn.IFS(Table1[[#This Row],[lead_time_days]]&lt;=7,"0-7 days",N1323&lt;=14,"8-14 days",N1323&lt;=30,"15-30 days",N1323&lt;=60,"31-60 days",TRUE,"61+ days")</f>
        <v>0-7 days</v>
      </c>
      <c r="P1323" t="s">
        <v>52</v>
      </c>
      <c r="Q1323" t="s">
        <v>21</v>
      </c>
      <c r="R1323">
        <v>0</v>
      </c>
      <c r="S1323" t="str">
        <f>IF(Table1[prior_dna_count]&gt;=1,"Has prior DNA history","No prior DNA history")</f>
        <v>No prior DNA history</v>
      </c>
      <c r="T1323" t="s">
        <v>22</v>
      </c>
      <c r="U1323" t="str">
        <f t="shared" si="20"/>
        <v>1</v>
      </c>
      <c r="V1323" t="str">
        <f>IF(Table1[appointment_status]="Attended","1","0")</f>
        <v>1</v>
      </c>
      <c r="W1323" t="str">
        <f>IF(Table1[appointment_status]="Cancelled","1","0")</f>
        <v>0</v>
      </c>
    </row>
    <row r="1324" spans="1:23">
      <c r="A1324" t="s">
        <v>2272</v>
      </c>
      <c r="B1324" t="s">
        <v>2273</v>
      </c>
      <c r="C1324">
        <v>47</v>
      </c>
      <c r="D1324" t="str" cm="1">
        <f t="array" ref="D1324">_xlfn.IFS(Table1[[#This Row],[age]]&lt;=17,"0-17",C1324&lt;=29,"18-29",C1324&lt;=44,"30-44",C1324&lt;=59,"45-59",C1324&lt;=74,"60-74",TRUE,"75+")</f>
        <v>45-59</v>
      </c>
      <c r="E1324" t="s">
        <v>17</v>
      </c>
      <c r="F1324">
        <v>10</v>
      </c>
      <c r="G1324" t="str" cm="1">
        <f t="array" ref="G1324">_xlfn.IFS(_xlfn.SINGLE(Table1[imd_decile])&lt;=3,"Most Deprived",F1324&lt;=7,"Moderately Deprived",F1324&lt;=10,"Least Deprived")</f>
        <v>Least Deprived</v>
      </c>
      <c r="H1324">
        <v>5.0999999999999996</v>
      </c>
      <c r="I1324" t="s">
        <v>45</v>
      </c>
      <c r="J1324" t="s">
        <v>19</v>
      </c>
      <c r="K1324" s="1">
        <v>45824</v>
      </c>
      <c r="L1324" s="1">
        <v>45856</v>
      </c>
      <c r="M1324" s="1" t="str">
        <f>TEXT(Table1[[#This Row],[appointment_date]],"MM/YYYY")</f>
        <v>07/2025</v>
      </c>
      <c r="N1324">
        <v>32</v>
      </c>
      <c r="O1324" t="str" cm="1">
        <f t="array" ref="O1324">_xlfn.IFS(Table1[[#This Row],[lead_time_days]]&lt;=7,"0-7 days",N1324&lt;=14,"8-14 days",N1324&lt;=30,"15-30 days",N1324&lt;=60,"31-60 days",TRUE,"61+ days")</f>
        <v>31-60 days</v>
      </c>
      <c r="P1324" t="s">
        <v>52</v>
      </c>
      <c r="Q1324" t="s">
        <v>32</v>
      </c>
      <c r="R1324">
        <v>0</v>
      </c>
      <c r="S1324" t="str">
        <f>IF(Table1[prior_dna_count]&gt;=1,"Has prior DNA history","No prior DNA history")</f>
        <v>No prior DNA history</v>
      </c>
      <c r="T1324" t="s">
        <v>22</v>
      </c>
      <c r="U1324" t="str">
        <f t="shared" si="20"/>
        <v>1</v>
      </c>
      <c r="V1324" t="str">
        <f>IF(Table1[appointment_status]="Attended","1","0")</f>
        <v>1</v>
      </c>
      <c r="W1324" t="str">
        <f>IF(Table1[appointment_status]="Cancelled","1","0")</f>
        <v>0</v>
      </c>
    </row>
    <row r="1325" spans="1:23">
      <c r="A1325" t="s">
        <v>2274</v>
      </c>
      <c r="B1325" t="s">
        <v>2275</v>
      </c>
      <c r="C1325">
        <v>55</v>
      </c>
      <c r="D1325" t="str" cm="1">
        <f t="array" ref="D1325">_xlfn.IFS(Table1[[#This Row],[age]]&lt;=17,"0-17",C1325&lt;=29,"18-29",C1325&lt;=44,"30-44",C1325&lt;=59,"45-59",C1325&lt;=74,"60-74",TRUE,"75+")</f>
        <v>45-59</v>
      </c>
      <c r="E1325" t="s">
        <v>29</v>
      </c>
      <c r="F1325">
        <v>1</v>
      </c>
      <c r="G1325" t="str" cm="1">
        <f t="array" ref="G1325">_xlfn.IFS(_xlfn.SINGLE(Table1[imd_decile])&lt;=3,"Most Deprived",F1325&lt;=7,"Moderately Deprived",F1325&lt;=10,"Least Deprived")</f>
        <v>Most Deprived</v>
      </c>
      <c r="H1325">
        <v>13.7</v>
      </c>
      <c r="I1325" t="s">
        <v>18</v>
      </c>
      <c r="J1325" t="s">
        <v>26</v>
      </c>
      <c r="K1325" s="1">
        <v>45829</v>
      </c>
      <c r="L1325" s="1">
        <v>45856</v>
      </c>
      <c r="M1325" s="1" t="str">
        <f>TEXT(Table1[[#This Row],[appointment_date]],"MM/YYYY")</f>
        <v>07/2025</v>
      </c>
      <c r="N1325">
        <v>27</v>
      </c>
      <c r="O1325" t="str" cm="1">
        <f t="array" ref="O1325">_xlfn.IFS(Table1[[#This Row],[lead_time_days]]&lt;=7,"0-7 days",N1325&lt;=14,"8-14 days",N1325&lt;=30,"15-30 days",N1325&lt;=60,"31-60 days",TRUE,"61+ days")</f>
        <v>15-30 days</v>
      </c>
      <c r="P1325" t="s">
        <v>52</v>
      </c>
      <c r="Q1325" t="s">
        <v>21</v>
      </c>
      <c r="R1325">
        <v>0</v>
      </c>
      <c r="S1325" t="str">
        <f>IF(Table1[prior_dna_count]&gt;=1,"Has prior DNA history","No prior DNA history")</f>
        <v>No prior DNA history</v>
      </c>
      <c r="T1325" t="s">
        <v>22</v>
      </c>
      <c r="U1325" t="str">
        <f t="shared" si="20"/>
        <v>1</v>
      </c>
      <c r="V1325" t="str">
        <f>IF(Table1[appointment_status]="Attended","1","0")</f>
        <v>1</v>
      </c>
      <c r="W1325" t="str">
        <f>IF(Table1[appointment_status]="Cancelled","1","0")</f>
        <v>0</v>
      </c>
    </row>
    <row r="1326" spans="1:23">
      <c r="A1326" t="s">
        <v>2276</v>
      </c>
      <c r="B1326" t="s">
        <v>2277</v>
      </c>
      <c r="C1326">
        <v>28</v>
      </c>
      <c r="D1326" t="str" cm="1">
        <f t="array" ref="D1326">_xlfn.IFS(Table1[[#This Row],[age]]&lt;=17,"0-17",C1326&lt;=29,"18-29",C1326&lt;=44,"30-44",C1326&lt;=59,"45-59",C1326&lt;=74,"60-74",TRUE,"75+")</f>
        <v>18-29</v>
      </c>
      <c r="E1326" t="s">
        <v>17</v>
      </c>
      <c r="F1326">
        <v>6</v>
      </c>
      <c r="G1326" t="str" cm="1">
        <f t="array" ref="G1326">_xlfn.IFS(_xlfn.SINGLE(Table1[imd_decile])&lt;=3,"Most Deprived",F1326&lt;=7,"Moderately Deprived",F1326&lt;=10,"Least Deprived")</f>
        <v>Moderately Deprived</v>
      </c>
      <c r="H1326">
        <v>6.4</v>
      </c>
      <c r="I1326" t="s">
        <v>45</v>
      </c>
      <c r="J1326" t="s">
        <v>26</v>
      </c>
      <c r="K1326" s="1">
        <v>45855</v>
      </c>
      <c r="L1326" s="1">
        <v>45856</v>
      </c>
      <c r="M1326" s="1" t="str">
        <f>TEXT(Table1[[#This Row],[appointment_date]],"MM/YYYY")</f>
        <v>07/2025</v>
      </c>
      <c r="N1326">
        <v>1</v>
      </c>
      <c r="O1326" t="str" cm="1">
        <f t="array" ref="O1326">_xlfn.IFS(Table1[[#This Row],[lead_time_days]]&lt;=7,"0-7 days",N1326&lt;=14,"8-14 days",N1326&lt;=30,"15-30 days",N1326&lt;=60,"31-60 days",TRUE,"61+ days")</f>
        <v>0-7 days</v>
      </c>
      <c r="P1326" t="s">
        <v>52</v>
      </c>
      <c r="Q1326" t="s">
        <v>32</v>
      </c>
      <c r="R1326">
        <v>0</v>
      </c>
      <c r="S1326" t="str">
        <f>IF(Table1[prior_dna_count]&gt;=1,"Has prior DNA history","No prior DNA history")</f>
        <v>No prior DNA history</v>
      </c>
      <c r="T1326" t="s">
        <v>22</v>
      </c>
      <c r="U1326" t="str">
        <f t="shared" si="20"/>
        <v>1</v>
      </c>
      <c r="V1326" t="str">
        <f>IF(Table1[appointment_status]="Attended","1","0")</f>
        <v>1</v>
      </c>
      <c r="W1326" t="str">
        <f>IF(Table1[appointment_status]="Cancelled","1","0")</f>
        <v>0</v>
      </c>
    </row>
    <row r="1327" spans="1:23">
      <c r="A1327" t="s">
        <v>2278</v>
      </c>
      <c r="B1327" t="s">
        <v>179</v>
      </c>
      <c r="C1327">
        <v>72</v>
      </c>
      <c r="D1327" t="str" cm="1">
        <f t="array" ref="D1327">_xlfn.IFS(Table1[[#This Row],[age]]&lt;=17,"0-17",C1327&lt;=29,"18-29",C1327&lt;=44,"30-44",C1327&lt;=59,"45-59",C1327&lt;=74,"60-74",TRUE,"75+")</f>
        <v>60-74</v>
      </c>
      <c r="E1327" t="s">
        <v>17</v>
      </c>
      <c r="F1327">
        <v>4</v>
      </c>
      <c r="G1327" t="str" cm="1">
        <f t="array" ref="G1327">_xlfn.IFS(_xlfn.SINGLE(Table1[imd_decile])&lt;=3,"Most Deprived",F1327&lt;=7,"Moderately Deprived",F1327&lt;=10,"Least Deprived")</f>
        <v>Moderately Deprived</v>
      </c>
      <c r="H1327">
        <v>22.9</v>
      </c>
      <c r="I1327" t="s">
        <v>42</v>
      </c>
      <c r="J1327" t="s">
        <v>19</v>
      </c>
      <c r="K1327" s="1">
        <v>45805</v>
      </c>
      <c r="L1327" s="1">
        <v>45856</v>
      </c>
      <c r="M1327" s="1" t="str">
        <f>TEXT(Table1[[#This Row],[appointment_date]],"MM/YYYY")</f>
        <v>07/2025</v>
      </c>
      <c r="N1327">
        <v>51</v>
      </c>
      <c r="O1327" t="str" cm="1">
        <f t="array" ref="O1327">_xlfn.IFS(Table1[[#This Row],[lead_time_days]]&lt;=7,"0-7 days",N1327&lt;=14,"8-14 days",N1327&lt;=30,"15-30 days",N1327&lt;=60,"31-60 days",TRUE,"61+ days")</f>
        <v>31-60 days</v>
      </c>
      <c r="P1327" t="s">
        <v>52</v>
      </c>
      <c r="Q1327" t="s">
        <v>32</v>
      </c>
      <c r="R1327">
        <v>0</v>
      </c>
      <c r="S1327" t="str">
        <f>IF(Table1[prior_dna_count]&gt;=1,"Has prior DNA history","No prior DNA history")</f>
        <v>No prior DNA history</v>
      </c>
      <c r="T1327" t="s">
        <v>22</v>
      </c>
      <c r="U1327" t="str">
        <f t="shared" si="20"/>
        <v>1</v>
      </c>
      <c r="V1327" t="str">
        <f>IF(Table1[appointment_status]="Attended","1","0")</f>
        <v>1</v>
      </c>
      <c r="W1327" t="str">
        <f>IF(Table1[appointment_status]="Cancelled","1","0")</f>
        <v>0</v>
      </c>
    </row>
    <row r="1328" spans="1:23">
      <c r="A1328" t="s">
        <v>2279</v>
      </c>
      <c r="B1328" t="s">
        <v>1524</v>
      </c>
      <c r="C1328">
        <v>73</v>
      </c>
      <c r="D1328" t="str" cm="1">
        <f t="array" ref="D1328">_xlfn.IFS(Table1[[#This Row],[age]]&lt;=17,"0-17",C1328&lt;=29,"18-29",C1328&lt;=44,"30-44",C1328&lt;=59,"45-59",C1328&lt;=74,"60-74",TRUE,"75+")</f>
        <v>60-74</v>
      </c>
      <c r="E1328" t="s">
        <v>29</v>
      </c>
      <c r="F1328">
        <v>8</v>
      </c>
      <c r="G1328" t="str" cm="1">
        <f t="array" ref="G1328">_xlfn.IFS(_xlfn.SINGLE(Table1[imd_decile])&lt;=3,"Most Deprived",F1328&lt;=7,"Moderately Deprived",F1328&lt;=10,"Least Deprived")</f>
        <v>Least Deprived</v>
      </c>
      <c r="H1328">
        <v>9.6999999999999993</v>
      </c>
      <c r="I1328" t="s">
        <v>58</v>
      </c>
      <c r="J1328" t="s">
        <v>26</v>
      </c>
      <c r="K1328" s="1">
        <v>45823</v>
      </c>
      <c r="L1328" s="1">
        <v>45856</v>
      </c>
      <c r="M1328" s="1" t="str">
        <f>TEXT(Table1[[#This Row],[appointment_date]],"MM/YYYY")</f>
        <v>07/2025</v>
      </c>
      <c r="N1328">
        <v>33</v>
      </c>
      <c r="O1328" t="str" cm="1">
        <f t="array" ref="O1328">_xlfn.IFS(Table1[[#This Row],[lead_time_days]]&lt;=7,"0-7 days",N1328&lt;=14,"8-14 days",N1328&lt;=30,"15-30 days",N1328&lt;=60,"31-60 days",TRUE,"61+ days")</f>
        <v>31-60 days</v>
      </c>
      <c r="P1328" t="s">
        <v>52</v>
      </c>
      <c r="Q1328" t="s">
        <v>21</v>
      </c>
      <c r="R1328">
        <v>0</v>
      </c>
      <c r="S1328" t="str">
        <f>IF(Table1[prior_dna_count]&gt;=1,"Has prior DNA history","No prior DNA history")</f>
        <v>No prior DNA history</v>
      </c>
      <c r="T1328" t="s">
        <v>22</v>
      </c>
      <c r="U1328" t="str">
        <f t="shared" si="20"/>
        <v>1</v>
      </c>
      <c r="V1328" t="str">
        <f>IF(Table1[appointment_status]="Attended","1","0")</f>
        <v>1</v>
      </c>
      <c r="W1328" t="str">
        <f>IF(Table1[appointment_status]="Cancelled","1","0")</f>
        <v>0</v>
      </c>
    </row>
    <row r="1329" spans="1:23">
      <c r="A1329" t="s">
        <v>2280</v>
      </c>
      <c r="B1329" t="s">
        <v>2281</v>
      </c>
      <c r="C1329">
        <v>48</v>
      </c>
      <c r="D1329" t="str" cm="1">
        <f t="array" ref="D1329">_xlfn.IFS(Table1[[#This Row],[age]]&lt;=17,"0-17",C1329&lt;=29,"18-29",C1329&lt;=44,"30-44",C1329&lt;=59,"45-59",C1329&lt;=74,"60-74",TRUE,"75+")</f>
        <v>45-59</v>
      </c>
      <c r="E1329" t="s">
        <v>17</v>
      </c>
      <c r="F1329">
        <v>4</v>
      </c>
      <c r="G1329" t="str" cm="1">
        <f t="array" ref="G1329">_xlfn.IFS(_xlfn.SINGLE(Table1[imd_decile])&lt;=3,"Most Deprived",F1329&lt;=7,"Moderately Deprived",F1329&lt;=10,"Least Deprived")</f>
        <v>Moderately Deprived</v>
      </c>
      <c r="H1329">
        <v>6.6</v>
      </c>
      <c r="I1329" t="s">
        <v>49</v>
      </c>
      <c r="J1329" t="s">
        <v>19</v>
      </c>
      <c r="K1329" s="1">
        <v>45818</v>
      </c>
      <c r="L1329" s="1">
        <v>45856</v>
      </c>
      <c r="M1329" s="1" t="str">
        <f>TEXT(Table1[[#This Row],[appointment_date]],"MM/YYYY")</f>
        <v>07/2025</v>
      </c>
      <c r="N1329">
        <v>38</v>
      </c>
      <c r="O1329" t="str" cm="1">
        <f t="array" ref="O1329">_xlfn.IFS(Table1[[#This Row],[lead_time_days]]&lt;=7,"0-7 days",N1329&lt;=14,"8-14 days",N1329&lt;=30,"15-30 days",N1329&lt;=60,"31-60 days",TRUE,"61+ days")</f>
        <v>31-60 days</v>
      </c>
      <c r="P1329" t="s">
        <v>52</v>
      </c>
      <c r="Q1329" t="s">
        <v>32</v>
      </c>
      <c r="R1329">
        <v>1</v>
      </c>
      <c r="S1329" t="str">
        <f>IF(Table1[prior_dna_count]&gt;=1,"Has prior DNA history","No prior DNA history")</f>
        <v>Has prior DNA history</v>
      </c>
      <c r="T1329" t="s">
        <v>39</v>
      </c>
      <c r="U1329" t="str">
        <f t="shared" si="20"/>
        <v>1</v>
      </c>
      <c r="V1329" t="str">
        <f>IF(Table1[appointment_status]="Attended","1","0")</f>
        <v>0</v>
      </c>
      <c r="W1329" t="str">
        <f>IF(Table1[appointment_status]="Cancelled","1","0")</f>
        <v>0</v>
      </c>
    </row>
    <row r="1330" spans="1:23">
      <c r="A1330" t="s">
        <v>2282</v>
      </c>
      <c r="B1330" t="s">
        <v>2283</v>
      </c>
      <c r="C1330">
        <v>64</v>
      </c>
      <c r="D1330" t="str" cm="1">
        <f t="array" ref="D1330">_xlfn.IFS(Table1[[#This Row],[age]]&lt;=17,"0-17",C1330&lt;=29,"18-29",C1330&lt;=44,"30-44",C1330&lt;=59,"45-59",C1330&lt;=74,"60-74",TRUE,"75+")</f>
        <v>60-74</v>
      </c>
      <c r="E1330" t="s">
        <v>29</v>
      </c>
      <c r="F1330">
        <v>3</v>
      </c>
      <c r="G1330" t="str" cm="1">
        <f t="array" ref="G1330">_xlfn.IFS(_xlfn.SINGLE(Table1[imd_decile])&lt;=3,"Most Deprived",F1330&lt;=7,"Moderately Deprived",F1330&lt;=10,"Least Deprived")</f>
        <v>Most Deprived</v>
      </c>
      <c r="H1330">
        <v>10.9</v>
      </c>
      <c r="I1330" t="s">
        <v>25</v>
      </c>
      <c r="J1330" t="s">
        <v>19</v>
      </c>
      <c r="K1330" s="1">
        <v>45787</v>
      </c>
      <c r="L1330" s="1">
        <v>45856</v>
      </c>
      <c r="M1330" s="1" t="str">
        <f>TEXT(Table1[[#This Row],[appointment_date]],"MM/YYYY")</f>
        <v>07/2025</v>
      </c>
      <c r="N1330">
        <v>69</v>
      </c>
      <c r="O1330" t="str" cm="1">
        <f t="array" ref="O1330">_xlfn.IFS(Table1[[#This Row],[lead_time_days]]&lt;=7,"0-7 days",N1330&lt;=14,"8-14 days",N1330&lt;=30,"15-30 days",N1330&lt;=60,"31-60 days",TRUE,"61+ days")</f>
        <v>61+ days</v>
      </c>
      <c r="P1330" t="s">
        <v>52</v>
      </c>
      <c r="Q1330" t="s">
        <v>32</v>
      </c>
      <c r="R1330">
        <v>0</v>
      </c>
      <c r="S1330" t="str">
        <f>IF(Table1[prior_dna_count]&gt;=1,"Has prior DNA history","No prior DNA history")</f>
        <v>No prior DNA history</v>
      </c>
      <c r="T1330" t="s">
        <v>39</v>
      </c>
      <c r="U1330" t="str">
        <f t="shared" si="20"/>
        <v>0</v>
      </c>
      <c r="V1330" t="str">
        <f>IF(Table1[appointment_status]="Attended","1","0")</f>
        <v>0</v>
      </c>
      <c r="W1330" t="str">
        <f>IF(Table1[appointment_status]="Cancelled","1","0")</f>
        <v>0</v>
      </c>
    </row>
    <row r="1331" spans="1:23">
      <c r="A1331" t="s">
        <v>2284</v>
      </c>
      <c r="B1331" t="s">
        <v>2285</v>
      </c>
      <c r="C1331">
        <v>36</v>
      </c>
      <c r="D1331" t="str" cm="1">
        <f t="array" ref="D1331">_xlfn.IFS(Table1[[#This Row],[age]]&lt;=17,"0-17",C1331&lt;=29,"18-29",C1331&lt;=44,"30-44",C1331&lt;=59,"45-59",C1331&lt;=74,"60-74",TRUE,"75+")</f>
        <v>30-44</v>
      </c>
      <c r="E1331" t="s">
        <v>17</v>
      </c>
      <c r="F1331">
        <v>5</v>
      </c>
      <c r="G1331" t="str" cm="1">
        <f t="array" ref="G1331">_xlfn.IFS(_xlfn.SINGLE(Table1[imd_decile])&lt;=3,"Most Deprived",F1331&lt;=7,"Moderately Deprived",F1331&lt;=10,"Least Deprived")</f>
        <v>Moderately Deprived</v>
      </c>
      <c r="H1331">
        <v>22.8</v>
      </c>
      <c r="I1331" t="s">
        <v>49</v>
      </c>
      <c r="J1331" t="s">
        <v>19</v>
      </c>
      <c r="K1331" s="1">
        <v>45790</v>
      </c>
      <c r="L1331" s="1">
        <v>45856</v>
      </c>
      <c r="M1331" s="1" t="str">
        <f>TEXT(Table1[[#This Row],[appointment_date]],"MM/YYYY")</f>
        <v>07/2025</v>
      </c>
      <c r="N1331">
        <v>66</v>
      </c>
      <c r="O1331" t="str" cm="1">
        <f t="array" ref="O1331">_xlfn.IFS(Table1[[#This Row],[lead_time_days]]&lt;=7,"0-7 days",N1331&lt;=14,"8-14 days",N1331&lt;=30,"15-30 days",N1331&lt;=60,"31-60 days",TRUE,"61+ days")</f>
        <v>61+ days</v>
      </c>
      <c r="P1331" t="s">
        <v>52</v>
      </c>
      <c r="Q1331" t="s">
        <v>21</v>
      </c>
      <c r="R1331">
        <v>0</v>
      </c>
      <c r="S1331" t="str">
        <f>IF(Table1[prior_dna_count]&gt;=1,"Has prior DNA history","No prior DNA history")</f>
        <v>No prior DNA history</v>
      </c>
      <c r="T1331" t="s">
        <v>39</v>
      </c>
      <c r="U1331" t="str">
        <f t="shared" si="20"/>
        <v>0</v>
      </c>
      <c r="V1331" t="str">
        <f>IF(Table1[appointment_status]="Attended","1","0")</f>
        <v>0</v>
      </c>
      <c r="W1331" t="str">
        <f>IF(Table1[appointment_status]="Cancelled","1","0")</f>
        <v>0</v>
      </c>
    </row>
    <row r="1332" spans="1:23">
      <c r="A1332" t="s">
        <v>2286</v>
      </c>
      <c r="B1332" t="s">
        <v>821</v>
      </c>
      <c r="C1332">
        <v>44</v>
      </c>
      <c r="D1332" t="str" cm="1">
        <f t="array" ref="D1332">_xlfn.IFS(Table1[[#This Row],[age]]&lt;=17,"0-17",C1332&lt;=29,"18-29",C1332&lt;=44,"30-44",C1332&lt;=59,"45-59",C1332&lt;=74,"60-74",TRUE,"75+")</f>
        <v>30-44</v>
      </c>
      <c r="E1332" t="s">
        <v>29</v>
      </c>
      <c r="F1332">
        <v>6</v>
      </c>
      <c r="G1332" t="str" cm="1">
        <f t="array" ref="G1332">_xlfn.IFS(_xlfn.SINGLE(Table1[imd_decile])&lt;=3,"Most Deprived",F1332&lt;=7,"Moderately Deprived",F1332&lt;=10,"Least Deprived")</f>
        <v>Moderately Deprived</v>
      </c>
      <c r="H1332">
        <v>5.5</v>
      </c>
      <c r="I1332" t="s">
        <v>155</v>
      </c>
      <c r="J1332" t="s">
        <v>26</v>
      </c>
      <c r="K1332" s="1">
        <v>45850</v>
      </c>
      <c r="L1332" s="1">
        <v>45856</v>
      </c>
      <c r="M1332" s="1" t="str">
        <f>TEXT(Table1[[#This Row],[appointment_date]],"MM/YYYY")</f>
        <v>07/2025</v>
      </c>
      <c r="N1332">
        <v>6</v>
      </c>
      <c r="O1332" t="str" cm="1">
        <f t="array" ref="O1332">_xlfn.IFS(Table1[[#This Row],[lead_time_days]]&lt;=7,"0-7 days",N1332&lt;=14,"8-14 days",N1332&lt;=30,"15-30 days",N1332&lt;=60,"31-60 days",TRUE,"61+ days")</f>
        <v>0-7 days</v>
      </c>
      <c r="P1332" t="s">
        <v>52</v>
      </c>
      <c r="Q1332" t="s">
        <v>32</v>
      </c>
      <c r="R1332">
        <v>0</v>
      </c>
      <c r="S1332" t="str">
        <f>IF(Table1[prior_dna_count]&gt;=1,"Has prior DNA history","No prior DNA history")</f>
        <v>No prior DNA history</v>
      </c>
      <c r="T1332" t="s">
        <v>22</v>
      </c>
      <c r="U1332" t="str">
        <f t="shared" si="20"/>
        <v>0</v>
      </c>
      <c r="V1332" t="str">
        <f>IF(Table1[appointment_status]="Attended","1","0")</f>
        <v>1</v>
      </c>
      <c r="W1332" t="str">
        <f>IF(Table1[appointment_status]="Cancelled","1","0")</f>
        <v>0</v>
      </c>
    </row>
    <row r="1333" spans="1:23">
      <c r="A1333" t="s">
        <v>2287</v>
      </c>
      <c r="B1333" t="s">
        <v>2288</v>
      </c>
      <c r="C1333">
        <v>46</v>
      </c>
      <c r="D1333" t="str" cm="1">
        <f t="array" ref="D1333">_xlfn.IFS(Table1[[#This Row],[age]]&lt;=17,"0-17",C1333&lt;=29,"18-29",C1333&lt;=44,"30-44",C1333&lt;=59,"45-59",C1333&lt;=74,"60-74",TRUE,"75+")</f>
        <v>45-59</v>
      </c>
      <c r="E1333" t="s">
        <v>17</v>
      </c>
      <c r="F1333">
        <v>7</v>
      </c>
      <c r="G1333" t="str" cm="1">
        <f t="array" ref="G1333">_xlfn.IFS(_xlfn.SINGLE(Table1[imd_decile])&lt;=3,"Most Deprived",F1333&lt;=7,"Moderately Deprived",F1333&lt;=10,"Least Deprived")</f>
        <v>Moderately Deprived</v>
      </c>
      <c r="H1333">
        <v>5.6</v>
      </c>
      <c r="I1333" t="s">
        <v>18</v>
      </c>
      <c r="J1333" t="s">
        <v>19</v>
      </c>
      <c r="K1333" s="1">
        <v>45829</v>
      </c>
      <c r="L1333" s="1">
        <v>45856</v>
      </c>
      <c r="M1333" s="1" t="str">
        <f>TEXT(Table1[[#This Row],[appointment_date]],"MM/YYYY")</f>
        <v>07/2025</v>
      </c>
      <c r="N1333">
        <v>27</v>
      </c>
      <c r="O1333" t="str" cm="1">
        <f t="array" ref="O1333">_xlfn.IFS(Table1[[#This Row],[lead_time_days]]&lt;=7,"0-7 days",N1333&lt;=14,"8-14 days",N1333&lt;=30,"15-30 days",N1333&lt;=60,"31-60 days",TRUE,"61+ days")</f>
        <v>15-30 days</v>
      </c>
      <c r="P1333" t="s">
        <v>52</v>
      </c>
      <c r="Q1333" t="s">
        <v>21</v>
      </c>
      <c r="R1333">
        <v>0</v>
      </c>
      <c r="S1333" t="str">
        <f>IF(Table1[prior_dna_count]&gt;=1,"Has prior DNA history","No prior DNA history")</f>
        <v>No prior DNA history</v>
      </c>
      <c r="T1333" t="s">
        <v>22</v>
      </c>
      <c r="U1333" t="str">
        <f t="shared" si="20"/>
        <v>1</v>
      </c>
      <c r="V1333" t="str">
        <f>IF(Table1[appointment_status]="Attended","1","0")</f>
        <v>1</v>
      </c>
      <c r="W1333" t="str">
        <f>IF(Table1[appointment_status]="Cancelled","1","0")</f>
        <v>0</v>
      </c>
    </row>
    <row r="1334" spans="1:23">
      <c r="A1334" t="s">
        <v>2289</v>
      </c>
      <c r="B1334" t="s">
        <v>1167</v>
      </c>
      <c r="C1334">
        <v>50</v>
      </c>
      <c r="D1334" t="str" cm="1">
        <f t="array" ref="D1334">_xlfn.IFS(Table1[[#This Row],[age]]&lt;=17,"0-17",C1334&lt;=29,"18-29",C1334&lt;=44,"30-44",C1334&lt;=59,"45-59",C1334&lt;=74,"60-74",TRUE,"75+")</f>
        <v>45-59</v>
      </c>
      <c r="E1334" t="s">
        <v>17</v>
      </c>
      <c r="F1334">
        <v>7</v>
      </c>
      <c r="G1334" t="str" cm="1">
        <f t="array" ref="G1334">_xlfn.IFS(_xlfn.SINGLE(Table1[imd_decile])&lt;=3,"Most Deprived",F1334&lt;=7,"Moderately Deprived",F1334&lt;=10,"Least Deprived")</f>
        <v>Moderately Deprived</v>
      </c>
      <c r="H1334">
        <v>4.4000000000000004</v>
      </c>
      <c r="I1334" t="s">
        <v>25</v>
      </c>
      <c r="J1334" t="s">
        <v>26</v>
      </c>
      <c r="K1334" s="1">
        <v>45845</v>
      </c>
      <c r="L1334" s="1">
        <v>45857</v>
      </c>
      <c r="M1334" s="1" t="str">
        <f>TEXT(Table1[[#This Row],[appointment_date]],"MM/YYYY")</f>
        <v>07/2025</v>
      </c>
      <c r="N1334">
        <v>12</v>
      </c>
      <c r="O1334" t="str" cm="1">
        <f t="array" ref="O1334">_xlfn.IFS(Table1[[#This Row],[lead_time_days]]&lt;=7,"0-7 days",N1334&lt;=14,"8-14 days",N1334&lt;=30,"15-30 days",N1334&lt;=60,"31-60 days",TRUE,"61+ days")</f>
        <v>8-14 days</v>
      </c>
      <c r="P1334" t="s">
        <v>55</v>
      </c>
      <c r="Q1334" t="s">
        <v>21</v>
      </c>
      <c r="R1334">
        <v>0</v>
      </c>
      <c r="S1334" t="str">
        <f>IF(Table1[prior_dna_count]&gt;=1,"Has prior DNA history","No prior DNA history")</f>
        <v>No prior DNA history</v>
      </c>
      <c r="T1334" t="s">
        <v>22</v>
      </c>
      <c r="U1334" t="str">
        <f t="shared" si="20"/>
        <v>1</v>
      </c>
      <c r="V1334" t="str">
        <f>IF(Table1[appointment_status]="Attended","1","0")</f>
        <v>1</v>
      </c>
      <c r="W1334" t="str">
        <f>IF(Table1[appointment_status]="Cancelled","1","0")</f>
        <v>0</v>
      </c>
    </row>
    <row r="1335" spans="1:23">
      <c r="A1335" t="s">
        <v>2290</v>
      </c>
      <c r="B1335" t="s">
        <v>1497</v>
      </c>
      <c r="C1335">
        <v>57</v>
      </c>
      <c r="D1335" t="str" cm="1">
        <f t="array" ref="D1335">_xlfn.IFS(Table1[[#This Row],[age]]&lt;=17,"0-17",C1335&lt;=29,"18-29",C1335&lt;=44,"30-44",C1335&lt;=59,"45-59",C1335&lt;=74,"60-74",TRUE,"75+")</f>
        <v>45-59</v>
      </c>
      <c r="E1335" t="s">
        <v>17</v>
      </c>
      <c r="F1335">
        <v>4</v>
      </c>
      <c r="G1335" t="str" cm="1">
        <f t="array" ref="G1335">_xlfn.IFS(_xlfn.SINGLE(Table1[imd_decile])&lt;=3,"Most Deprived",F1335&lt;=7,"Moderately Deprived",F1335&lt;=10,"Least Deprived")</f>
        <v>Moderately Deprived</v>
      </c>
      <c r="H1335">
        <v>4.3</v>
      </c>
      <c r="I1335" t="s">
        <v>155</v>
      </c>
      <c r="J1335" t="s">
        <v>19</v>
      </c>
      <c r="K1335" s="1">
        <v>45795</v>
      </c>
      <c r="L1335" s="1">
        <v>45857</v>
      </c>
      <c r="M1335" s="1" t="str">
        <f>TEXT(Table1[[#This Row],[appointment_date]],"MM/YYYY")</f>
        <v>07/2025</v>
      </c>
      <c r="N1335">
        <v>62</v>
      </c>
      <c r="O1335" t="str" cm="1">
        <f t="array" ref="O1335">_xlfn.IFS(Table1[[#This Row],[lead_time_days]]&lt;=7,"0-7 days",N1335&lt;=14,"8-14 days",N1335&lt;=30,"15-30 days",N1335&lt;=60,"31-60 days",TRUE,"61+ days")</f>
        <v>61+ days</v>
      </c>
      <c r="P1335" t="s">
        <v>55</v>
      </c>
      <c r="Q1335" t="s">
        <v>21</v>
      </c>
      <c r="R1335">
        <v>0</v>
      </c>
      <c r="S1335" t="str">
        <f>IF(Table1[prior_dna_count]&gt;=1,"Has prior DNA history","No prior DNA history")</f>
        <v>No prior DNA history</v>
      </c>
      <c r="T1335" t="s">
        <v>22</v>
      </c>
      <c r="U1335" t="str">
        <f t="shared" si="20"/>
        <v>1</v>
      </c>
      <c r="V1335" t="str">
        <f>IF(Table1[appointment_status]="Attended","1","0")</f>
        <v>1</v>
      </c>
      <c r="W1335" t="str">
        <f>IF(Table1[appointment_status]="Cancelled","1","0")</f>
        <v>0</v>
      </c>
    </row>
    <row r="1336" spans="1:23">
      <c r="A1336" t="s">
        <v>2291</v>
      </c>
      <c r="B1336" t="s">
        <v>1481</v>
      </c>
      <c r="C1336">
        <v>54</v>
      </c>
      <c r="D1336" t="str" cm="1">
        <f t="array" ref="D1336">_xlfn.IFS(Table1[[#This Row],[age]]&lt;=17,"0-17",C1336&lt;=29,"18-29",C1336&lt;=44,"30-44",C1336&lt;=59,"45-59",C1336&lt;=74,"60-74",TRUE,"75+")</f>
        <v>45-59</v>
      </c>
      <c r="E1336" t="s">
        <v>17</v>
      </c>
      <c r="F1336">
        <v>3</v>
      </c>
      <c r="G1336" t="str" cm="1">
        <f t="array" ref="G1336">_xlfn.IFS(_xlfn.SINGLE(Table1[imd_decile])&lt;=3,"Most Deprived",F1336&lt;=7,"Moderately Deprived",F1336&lt;=10,"Least Deprived")</f>
        <v>Most Deprived</v>
      </c>
      <c r="H1336">
        <v>7.1</v>
      </c>
      <c r="I1336" t="s">
        <v>155</v>
      </c>
      <c r="J1336" t="s">
        <v>26</v>
      </c>
      <c r="K1336" s="1">
        <v>45841</v>
      </c>
      <c r="L1336" s="1">
        <v>45857</v>
      </c>
      <c r="M1336" s="1" t="str">
        <f>TEXT(Table1[[#This Row],[appointment_date]],"MM/YYYY")</f>
        <v>07/2025</v>
      </c>
      <c r="N1336">
        <v>16</v>
      </c>
      <c r="O1336" t="str" cm="1">
        <f t="array" ref="O1336">_xlfn.IFS(Table1[[#This Row],[lead_time_days]]&lt;=7,"0-7 days",N1336&lt;=14,"8-14 days",N1336&lt;=30,"15-30 days",N1336&lt;=60,"31-60 days",TRUE,"61+ days")</f>
        <v>15-30 days</v>
      </c>
      <c r="P1336" t="s">
        <v>55</v>
      </c>
      <c r="Q1336" t="s">
        <v>32</v>
      </c>
      <c r="R1336">
        <v>0</v>
      </c>
      <c r="S1336" t="str">
        <f>IF(Table1[prior_dna_count]&gt;=1,"Has prior DNA history","No prior DNA history")</f>
        <v>No prior DNA history</v>
      </c>
      <c r="T1336" t="s">
        <v>22</v>
      </c>
      <c r="U1336" t="str">
        <f t="shared" si="20"/>
        <v>1</v>
      </c>
      <c r="V1336" t="str">
        <f>IF(Table1[appointment_status]="Attended","1","0")</f>
        <v>1</v>
      </c>
      <c r="W1336" t="str">
        <f>IF(Table1[appointment_status]="Cancelled","1","0")</f>
        <v>0</v>
      </c>
    </row>
    <row r="1337" spans="1:23">
      <c r="A1337" t="s">
        <v>2292</v>
      </c>
      <c r="B1337" t="s">
        <v>66</v>
      </c>
      <c r="C1337">
        <v>40</v>
      </c>
      <c r="D1337" t="str" cm="1">
        <f t="array" ref="D1337">_xlfn.IFS(Table1[[#This Row],[age]]&lt;=17,"0-17",C1337&lt;=29,"18-29",C1337&lt;=44,"30-44",C1337&lt;=59,"45-59",C1337&lt;=74,"60-74",TRUE,"75+")</f>
        <v>30-44</v>
      </c>
      <c r="E1337" t="s">
        <v>29</v>
      </c>
      <c r="F1337">
        <v>5</v>
      </c>
      <c r="G1337" t="str" cm="1">
        <f t="array" ref="G1337">_xlfn.IFS(_xlfn.SINGLE(Table1[imd_decile])&lt;=3,"Most Deprived",F1337&lt;=7,"Moderately Deprived",F1337&lt;=10,"Least Deprived")</f>
        <v>Moderately Deprived</v>
      </c>
      <c r="H1337">
        <v>15.3</v>
      </c>
      <c r="I1337" t="s">
        <v>91</v>
      </c>
      <c r="J1337" t="s">
        <v>26</v>
      </c>
      <c r="K1337" s="1">
        <v>45830</v>
      </c>
      <c r="L1337" s="1">
        <v>45857</v>
      </c>
      <c r="M1337" s="1" t="str">
        <f>TEXT(Table1[[#This Row],[appointment_date]],"MM/YYYY")</f>
        <v>07/2025</v>
      </c>
      <c r="N1337">
        <v>27</v>
      </c>
      <c r="O1337" t="str" cm="1">
        <f t="array" ref="O1337">_xlfn.IFS(Table1[[#This Row],[lead_time_days]]&lt;=7,"0-7 days",N1337&lt;=14,"8-14 days",N1337&lt;=30,"15-30 days",N1337&lt;=60,"31-60 days",TRUE,"61+ days")</f>
        <v>15-30 days</v>
      </c>
      <c r="P1337" t="s">
        <v>55</v>
      </c>
      <c r="Q1337" t="s">
        <v>21</v>
      </c>
      <c r="R1337">
        <v>0</v>
      </c>
      <c r="S1337" t="str">
        <f>IF(Table1[prior_dna_count]&gt;=1,"Has prior DNA history","No prior DNA history")</f>
        <v>No prior DNA history</v>
      </c>
      <c r="T1337" t="s">
        <v>22</v>
      </c>
      <c r="U1337" t="str">
        <f t="shared" si="20"/>
        <v>1</v>
      </c>
      <c r="V1337" t="str">
        <f>IF(Table1[appointment_status]="Attended","1","0")</f>
        <v>1</v>
      </c>
      <c r="W1337" t="str">
        <f>IF(Table1[appointment_status]="Cancelled","1","0")</f>
        <v>0</v>
      </c>
    </row>
    <row r="1338" spans="1:23">
      <c r="A1338" t="s">
        <v>2293</v>
      </c>
      <c r="B1338" t="s">
        <v>2004</v>
      </c>
      <c r="C1338">
        <v>58</v>
      </c>
      <c r="D1338" t="str" cm="1">
        <f t="array" ref="D1338">_xlfn.IFS(Table1[[#This Row],[age]]&lt;=17,"0-17",C1338&lt;=29,"18-29",C1338&lt;=44,"30-44",C1338&lt;=59,"45-59",C1338&lt;=74,"60-74",TRUE,"75+")</f>
        <v>45-59</v>
      </c>
      <c r="E1338" t="s">
        <v>29</v>
      </c>
      <c r="F1338">
        <v>1</v>
      </c>
      <c r="G1338" t="str" cm="1">
        <f t="array" ref="G1338">_xlfn.IFS(_xlfn.SINGLE(Table1[imd_decile])&lt;=3,"Most Deprived",F1338&lt;=7,"Moderately Deprived",F1338&lt;=10,"Least Deprived")</f>
        <v>Most Deprived</v>
      </c>
      <c r="H1338">
        <v>2.2000000000000002</v>
      </c>
      <c r="I1338" t="s">
        <v>42</v>
      </c>
      <c r="J1338" t="s">
        <v>19</v>
      </c>
      <c r="K1338" s="1">
        <v>45811</v>
      </c>
      <c r="L1338" s="1">
        <v>45857</v>
      </c>
      <c r="M1338" s="1" t="str">
        <f>TEXT(Table1[[#This Row],[appointment_date]],"MM/YYYY")</f>
        <v>07/2025</v>
      </c>
      <c r="N1338">
        <v>46</v>
      </c>
      <c r="O1338" t="str" cm="1">
        <f t="array" ref="O1338">_xlfn.IFS(Table1[[#This Row],[lead_time_days]]&lt;=7,"0-7 days",N1338&lt;=14,"8-14 days",N1338&lt;=30,"15-30 days",N1338&lt;=60,"31-60 days",TRUE,"61+ days")</f>
        <v>31-60 days</v>
      </c>
      <c r="P1338" t="s">
        <v>55</v>
      </c>
      <c r="Q1338" t="s">
        <v>32</v>
      </c>
      <c r="R1338">
        <v>0</v>
      </c>
      <c r="S1338" t="str">
        <f>IF(Table1[prior_dna_count]&gt;=1,"Has prior DNA history","No prior DNA history")</f>
        <v>No prior DNA history</v>
      </c>
      <c r="T1338" t="s">
        <v>46</v>
      </c>
      <c r="U1338" t="str">
        <f t="shared" si="20"/>
        <v>1</v>
      </c>
      <c r="V1338" t="str">
        <f>IF(Table1[appointment_status]="Attended","1","0")</f>
        <v>0</v>
      </c>
      <c r="W1338" t="str">
        <f>IF(Table1[appointment_status]="Cancelled","1","0")</f>
        <v>1</v>
      </c>
    </row>
    <row r="1339" spans="1:23">
      <c r="A1339" t="s">
        <v>2294</v>
      </c>
      <c r="B1339" t="s">
        <v>93</v>
      </c>
      <c r="C1339">
        <v>39</v>
      </c>
      <c r="D1339" t="str" cm="1">
        <f t="array" ref="D1339">_xlfn.IFS(Table1[[#This Row],[age]]&lt;=17,"0-17",C1339&lt;=29,"18-29",C1339&lt;=44,"30-44",C1339&lt;=59,"45-59",C1339&lt;=74,"60-74",TRUE,"75+")</f>
        <v>30-44</v>
      </c>
      <c r="E1339" t="s">
        <v>29</v>
      </c>
      <c r="F1339">
        <v>5</v>
      </c>
      <c r="G1339" t="str" cm="1">
        <f t="array" ref="G1339">_xlfn.IFS(_xlfn.SINGLE(Table1[imd_decile])&lt;=3,"Most Deprived",F1339&lt;=7,"Moderately Deprived",F1339&lt;=10,"Least Deprived")</f>
        <v>Moderately Deprived</v>
      </c>
      <c r="H1339">
        <v>2.7</v>
      </c>
      <c r="I1339" t="s">
        <v>49</v>
      </c>
      <c r="J1339" t="s">
        <v>26</v>
      </c>
      <c r="K1339" s="1">
        <v>45823</v>
      </c>
      <c r="L1339" s="1">
        <v>45857</v>
      </c>
      <c r="M1339" s="1" t="str">
        <f>TEXT(Table1[[#This Row],[appointment_date]],"MM/YYYY")</f>
        <v>07/2025</v>
      </c>
      <c r="N1339">
        <v>34</v>
      </c>
      <c r="O1339" t="str" cm="1">
        <f t="array" ref="O1339">_xlfn.IFS(Table1[[#This Row],[lead_time_days]]&lt;=7,"0-7 days",N1339&lt;=14,"8-14 days",N1339&lt;=30,"15-30 days",N1339&lt;=60,"31-60 days",TRUE,"61+ days")</f>
        <v>31-60 days</v>
      </c>
      <c r="P1339" t="s">
        <v>55</v>
      </c>
      <c r="Q1339" t="s">
        <v>21</v>
      </c>
      <c r="R1339">
        <v>0</v>
      </c>
      <c r="S1339" t="str">
        <f>IF(Table1[prior_dna_count]&gt;=1,"Has prior DNA history","No prior DNA history")</f>
        <v>No prior DNA history</v>
      </c>
      <c r="T1339" t="s">
        <v>22</v>
      </c>
      <c r="U1339" t="str">
        <f t="shared" si="20"/>
        <v>0</v>
      </c>
      <c r="V1339" t="str">
        <f>IF(Table1[appointment_status]="Attended","1","0")</f>
        <v>1</v>
      </c>
      <c r="W1339" t="str">
        <f>IF(Table1[appointment_status]="Cancelled","1","0")</f>
        <v>0</v>
      </c>
    </row>
    <row r="1340" spans="1:23">
      <c r="A1340" t="s">
        <v>2295</v>
      </c>
      <c r="B1340" t="s">
        <v>2296</v>
      </c>
      <c r="C1340">
        <v>28</v>
      </c>
      <c r="D1340" t="str" cm="1">
        <f t="array" ref="D1340">_xlfn.IFS(Table1[[#This Row],[age]]&lt;=17,"0-17",C1340&lt;=29,"18-29",C1340&lt;=44,"30-44",C1340&lt;=59,"45-59",C1340&lt;=74,"60-74",TRUE,"75+")</f>
        <v>18-29</v>
      </c>
      <c r="E1340" t="s">
        <v>29</v>
      </c>
      <c r="F1340">
        <v>1</v>
      </c>
      <c r="G1340" t="str" cm="1">
        <f t="array" ref="G1340">_xlfn.IFS(_xlfn.SINGLE(Table1[imd_decile])&lt;=3,"Most Deprived",F1340&lt;=7,"Moderately Deprived",F1340&lt;=10,"Least Deprived")</f>
        <v>Most Deprived</v>
      </c>
      <c r="H1340">
        <v>11.7</v>
      </c>
      <c r="I1340" t="s">
        <v>25</v>
      </c>
      <c r="J1340" t="s">
        <v>26</v>
      </c>
      <c r="K1340" s="1">
        <v>45850</v>
      </c>
      <c r="L1340" s="1">
        <v>45857</v>
      </c>
      <c r="M1340" s="1" t="str">
        <f>TEXT(Table1[[#This Row],[appointment_date]],"MM/YYYY")</f>
        <v>07/2025</v>
      </c>
      <c r="N1340">
        <v>7</v>
      </c>
      <c r="O1340" t="str" cm="1">
        <f t="array" ref="O1340">_xlfn.IFS(Table1[[#This Row],[lead_time_days]]&lt;=7,"0-7 days",N1340&lt;=14,"8-14 days",N1340&lt;=30,"15-30 days",N1340&lt;=60,"31-60 days",TRUE,"61+ days")</f>
        <v>0-7 days</v>
      </c>
      <c r="P1340" t="s">
        <v>55</v>
      </c>
      <c r="Q1340" t="s">
        <v>21</v>
      </c>
      <c r="R1340">
        <v>0</v>
      </c>
      <c r="S1340" t="str">
        <f>IF(Table1[prior_dna_count]&gt;=1,"Has prior DNA history","No prior DNA history")</f>
        <v>No prior DNA history</v>
      </c>
      <c r="T1340" t="s">
        <v>22</v>
      </c>
      <c r="U1340" t="str">
        <f t="shared" si="20"/>
        <v>1</v>
      </c>
      <c r="V1340" t="str">
        <f>IF(Table1[appointment_status]="Attended","1","0")</f>
        <v>1</v>
      </c>
      <c r="W1340" t="str">
        <f>IF(Table1[appointment_status]="Cancelled","1","0")</f>
        <v>0</v>
      </c>
    </row>
    <row r="1341" spans="1:23">
      <c r="A1341" t="s">
        <v>2297</v>
      </c>
      <c r="B1341" t="s">
        <v>2298</v>
      </c>
      <c r="C1341">
        <v>82</v>
      </c>
      <c r="D1341" t="str" cm="1">
        <f t="array" ref="D1341">_xlfn.IFS(Table1[[#This Row],[age]]&lt;=17,"0-17",C1341&lt;=29,"18-29",C1341&lt;=44,"30-44",C1341&lt;=59,"45-59",C1341&lt;=74,"60-74",TRUE,"75+")</f>
        <v>75+</v>
      </c>
      <c r="E1341" t="s">
        <v>17</v>
      </c>
      <c r="F1341">
        <v>6</v>
      </c>
      <c r="G1341" t="str" cm="1">
        <f t="array" ref="G1341">_xlfn.IFS(_xlfn.SINGLE(Table1[imd_decile])&lt;=3,"Most Deprived",F1341&lt;=7,"Moderately Deprived",F1341&lt;=10,"Least Deprived")</f>
        <v>Moderately Deprived</v>
      </c>
      <c r="H1341">
        <v>5.6</v>
      </c>
      <c r="I1341" t="s">
        <v>25</v>
      </c>
      <c r="J1341" t="s">
        <v>19</v>
      </c>
      <c r="K1341" s="1">
        <v>45825</v>
      </c>
      <c r="L1341" s="1">
        <v>45857</v>
      </c>
      <c r="M1341" s="1" t="str">
        <f>TEXT(Table1[[#This Row],[appointment_date]],"MM/YYYY")</f>
        <v>07/2025</v>
      </c>
      <c r="N1341">
        <v>32</v>
      </c>
      <c r="O1341" t="str" cm="1">
        <f t="array" ref="O1341">_xlfn.IFS(Table1[[#This Row],[lead_time_days]]&lt;=7,"0-7 days",N1341&lt;=14,"8-14 days",N1341&lt;=30,"15-30 days",N1341&lt;=60,"31-60 days",TRUE,"61+ days")</f>
        <v>31-60 days</v>
      </c>
      <c r="P1341" t="s">
        <v>55</v>
      </c>
      <c r="Q1341" t="s">
        <v>21</v>
      </c>
      <c r="R1341">
        <v>0</v>
      </c>
      <c r="S1341" t="str">
        <f>IF(Table1[prior_dna_count]&gt;=1,"Has prior DNA history","No prior DNA history")</f>
        <v>No prior DNA history</v>
      </c>
      <c r="T1341" t="s">
        <v>46</v>
      </c>
      <c r="U1341" t="str">
        <f t="shared" si="20"/>
        <v>1</v>
      </c>
      <c r="V1341" t="str">
        <f>IF(Table1[appointment_status]="Attended","1","0")</f>
        <v>0</v>
      </c>
      <c r="W1341" t="str">
        <f>IF(Table1[appointment_status]="Cancelled","1","0")</f>
        <v>1</v>
      </c>
    </row>
    <row r="1342" spans="1:23">
      <c r="A1342" t="s">
        <v>2299</v>
      </c>
      <c r="B1342" t="s">
        <v>1719</v>
      </c>
      <c r="C1342">
        <v>93</v>
      </c>
      <c r="D1342" t="str" cm="1">
        <f t="array" ref="D1342">_xlfn.IFS(Table1[[#This Row],[age]]&lt;=17,"0-17",C1342&lt;=29,"18-29",C1342&lt;=44,"30-44",C1342&lt;=59,"45-59",C1342&lt;=74,"60-74",TRUE,"75+")</f>
        <v>75+</v>
      </c>
      <c r="E1342" t="s">
        <v>17</v>
      </c>
      <c r="F1342">
        <v>8</v>
      </c>
      <c r="G1342" t="str" cm="1">
        <f t="array" ref="G1342">_xlfn.IFS(_xlfn.SINGLE(Table1[imd_decile])&lt;=3,"Most Deprived",F1342&lt;=7,"Moderately Deprived",F1342&lt;=10,"Least Deprived")</f>
        <v>Least Deprived</v>
      </c>
      <c r="H1342">
        <v>8.3000000000000007</v>
      </c>
      <c r="I1342" t="s">
        <v>91</v>
      </c>
      <c r="J1342" t="s">
        <v>19</v>
      </c>
      <c r="K1342" s="1">
        <v>45830</v>
      </c>
      <c r="L1342" s="1">
        <v>45858</v>
      </c>
      <c r="M1342" s="1" t="str">
        <f>TEXT(Table1[[#This Row],[appointment_date]],"MM/YYYY")</f>
        <v>07/2025</v>
      </c>
      <c r="N1342">
        <v>28</v>
      </c>
      <c r="O1342" t="str" cm="1">
        <f t="array" ref="O1342">_xlfn.IFS(Table1[[#This Row],[lead_time_days]]&lt;=7,"0-7 days",N1342&lt;=14,"8-14 days",N1342&lt;=30,"15-30 days",N1342&lt;=60,"31-60 days",TRUE,"61+ days")</f>
        <v>15-30 days</v>
      </c>
      <c r="P1342" t="s">
        <v>31</v>
      </c>
      <c r="Q1342" t="s">
        <v>32</v>
      </c>
      <c r="R1342">
        <v>0</v>
      </c>
      <c r="S1342" t="str">
        <f>IF(Table1[prior_dna_count]&gt;=1,"Has prior DNA history","No prior DNA history")</f>
        <v>No prior DNA history</v>
      </c>
      <c r="T1342" t="s">
        <v>22</v>
      </c>
      <c r="U1342" t="str">
        <f t="shared" si="20"/>
        <v>0</v>
      </c>
      <c r="V1342" t="str">
        <f>IF(Table1[appointment_status]="Attended","1","0")</f>
        <v>1</v>
      </c>
      <c r="W1342" t="str">
        <f>IF(Table1[appointment_status]="Cancelled","1","0")</f>
        <v>0</v>
      </c>
    </row>
    <row r="1343" spans="1:23">
      <c r="A1343" t="s">
        <v>2300</v>
      </c>
      <c r="B1343" t="s">
        <v>1042</v>
      </c>
      <c r="C1343">
        <v>37</v>
      </c>
      <c r="D1343" t="str" cm="1">
        <f t="array" ref="D1343">_xlfn.IFS(Table1[[#This Row],[age]]&lt;=17,"0-17",C1343&lt;=29,"18-29",C1343&lt;=44,"30-44",C1343&lt;=59,"45-59",C1343&lt;=74,"60-74",TRUE,"75+")</f>
        <v>30-44</v>
      </c>
      <c r="E1343" t="s">
        <v>17</v>
      </c>
      <c r="F1343">
        <v>9</v>
      </c>
      <c r="G1343" t="str" cm="1">
        <f t="array" ref="G1343">_xlfn.IFS(_xlfn.SINGLE(Table1[imd_decile])&lt;=3,"Most Deprived",F1343&lt;=7,"Moderately Deprived",F1343&lt;=10,"Least Deprived")</f>
        <v>Least Deprived</v>
      </c>
      <c r="H1343">
        <v>3.2</v>
      </c>
      <c r="I1343" t="s">
        <v>49</v>
      </c>
      <c r="J1343" t="s">
        <v>19</v>
      </c>
      <c r="K1343" s="1">
        <v>45847</v>
      </c>
      <c r="L1343" s="1">
        <v>45858</v>
      </c>
      <c r="M1343" s="1" t="str">
        <f>TEXT(Table1[[#This Row],[appointment_date]],"MM/YYYY")</f>
        <v>07/2025</v>
      </c>
      <c r="N1343">
        <v>11</v>
      </c>
      <c r="O1343" t="str" cm="1">
        <f t="array" ref="O1343">_xlfn.IFS(Table1[[#This Row],[lead_time_days]]&lt;=7,"0-7 days",N1343&lt;=14,"8-14 days",N1343&lt;=30,"15-30 days",N1343&lt;=60,"31-60 days",TRUE,"61+ days")</f>
        <v>8-14 days</v>
      </c>
      <c r="P1343" t="s">
        <v>31</v>
      </c>
      <c r="Q1343" t="s">
        <v>21</v>
      </c>
      <c r="R1343">
        <v>0</v>
      </c>
      <c r="S1343" t="str">
        <f>IF(Table1[prior_dna_count]&gt;=1,"Has prior DNA history","No prior DNA history")</f>
        <v>No prior DNA history</v>
      </c>
      <c r="T1343" t="s">
        <v>22</v>
      </c>
      <c r="U1343" t="str">
        <f t="shared" si="20"/>
        <v>1</v>
      </c>
      <c r="V1343" t="str">
        <f>IF(Table1[appointment_status]="Attended","1","0")</f>
        <v>1</v>
      </c>
      <c r="W1343" t="str">
        <f>IF(Table1[appointment_status]="Cancelled","1","0")</f>
        <v>0</v>
      </c>
    </row>
    <row r="1344" spans="1:23">
      <c r="A1344" t="s">
        <v>2301</v>
      </c>
      <c r="B1344" t="s">
        <v>2302</v>
      </c>
      <c r="C1344">
        <v>40</v>
      </c>
      <c r="D1344" t="str" cm="1">
        <f t="array" ref="D1344">_xlfn.IFS(Table1[[#This Row],[age]]&lt;=17,"0-17",C1344&lt;=29,"18-29",C1344&lt;=44,"30-44",C1344&lt;=59,"45-59",C1344&lt;=74,"60-74",TRUE,"75+")</f>
        <v>30-44</v>
      </c>
      <c r="E1344" t="s">
        <v>29</v>
      </c>
      <c r="F1344">
        <v>4</v>
      </c>
      <c r="G1344" t="str" cm="1">
        <f t="array" ref="G1344">_xlfn.IFS(_xlfn.SINGLE(Table1[imd_decile])&lt;=3,"Most Deprived",F1344&lt;=7,"Moderately Deprived",F1344&lt;=10,"Least Deprived")</f>
        <v>Moderately Deprived</v>
      </c>
      <c r="H1344">
        <v>13.3</v>
      </c>
      <c r="I1344" t="s">
        <v>58</v>
      </c>
      <c r="J1344" t="s">
        <v>26</v>
      </c>
      <c r="K1344" s="1">
        <v>45817</v>
      </c>
      <c r="L1344" s="1">
        <v>45858</v>
      </c>
      <c r="M1344" s="1" t="str">
        <f>TEXT(Table1[[#This Row],[appointment_date]],"MM/YYYY")</f>
        <v>07/2025</v>
      </c>
      <c r="N1344">
        <v>41</v>
      </c>
      <c r="O1344" t="str" cm="1">
        <f t="array" ref="O1344">_xlfn.IFS(Table1[[#This Row],[lead_time_days]]&lt;=7,"0-7 days",N1344&lt;=14,"8-14 days",N1344&lt;=30,"15-30 days",N1344&lt;=60,"31-60 days",TRUE,"61+ days")</f>
        <v>31-60 days</v>
      </c>
      <c r="P1344" t="s">
        <v>31</v>
      </c>
      <c r="Q1344" t="s">
        <v>21</v>
      </c>
      <c r="R1344">
        <v>0</v>
      </c>
      <c r="S1344" t="str">
        <f>IF(Table1[prior_dna_count]&gt;=1,"Has prior DNA history","No prior DNA history")</f>
        <v>No prior DNA history</v>
      </c>
      <c r="T1344" t="s">
        <v>22</v>
      </c>
      <c r="U1344" t="str">
        <f t="shared" si="20"/>
        <v>1</v>
      </c>
      <c r="V1344" t="str">
        <f>IF(Table1[appointment_status]="Attended","1","0")</f>
        <v>1</v>
      </c>
      <c r="W1344" t="str">
        <f>IF(Table1[appointment_status]="Cancelled","1","0")</f>
        <v>0</v>
      </c>
    </row>
    <row r="1345" spans="1:23">
      <c r="A1345" t="s">
        <v>2303</v>
      </c>
      <c r="B1345" t="s">
        <v>2304</v>
      </c>
      <c r="C1345">
        <v>56</v>
      </c>
      <c r="D1345" t="str" cm="1">
        <f t="array" ref="D1345">_xlfn.IFS(Table1[[#This Row],[age]]&lt;=17,"0-17",C1345&lt;=29,"18-29",C1345&lt;=44,"30-44",C1345&lt;=59,"45-59",C1345&lt;=74,"60-74",TRUE,"75+")</f>
        <v>45-59</v>
      </c>
      <c r="E1345" t="s">
        <v>29</v>
      </c>
      <c r="F1345">
        <v>8</v>
      </c>
      <c r="G1345" t="str" cm="1">
        <f t="array" ref="G1345">_xlfn.IFS(_xlfn.SINGLE(Table1[imd_decile])&lt;=3,"Most Deprived",F1345&lt;=7,"Moderately Deprived",F1345&lt;=10,"Least Deprived")</f>
        <v>Least Deprived</v>
      </c>
      <c r="H1345">
        <v>8.8000000000000007</v>
      </c>
      <c r="I1345" t="s">
        <v>45</v>
      </c>
      <c r="J1345" t="s">
        <v>19</v>
      </c>
      <c r="K1345" s="1">
        <v>45822</v>
      </c>
      <c r="L1345" s="1">
        <v>45858</v>
      </c>
      <c r="M1345" s="1" t="str">
        <f>TEXT(Table1[[#This Row],[appointment_date]],"MM/YYYY")</f>
        <v>07/2025</v>
      </c>
      <c r="N1345">
        <v>36</v>
      </c>
      <c r="O1345" t="str" cm="1">
        <f t="array" ref="O1345">_xlfn.IFS(Table1[[#This Row],[lead_time_days]]&lt;=7,"0-7 days",N1345&lt;=14,"8-14 days",N1345&lt;=30,"15-30 days",N1345&lt;=60,"31-60 days",TRUE,"61+ days")</f>
        <v>31-60 days</v>
      </c>
      <c r="P1345" t="s">
        <v>31</v>
      </c>
      <c r="Q1345" t="s">
        <v>21</v>
      </c>
      <c r="R1345">
        <v>0</v>
      </c>
      <c r="S1345" t="str">
        <f>IF(Table1[prior_dna_count]&gt;=1,"Has prior DNA history","No prior DNA history")</f>
        <v>No prior DNA history</v>
      </c>
      <c r="T1345" t="s">
        <v>22</v>
      </c>
      <c r="U1345" t="str">
        <f t="shared" si="20"/>
        <v>1</v>
      </c>
      <c r="V1345" t="str">
        <f>IF(Table1[appointment_status]="Attended","1","0")</f>
        <v>1</v>
      </c>
      <c r="W1345" t="str">
        <f>IF(Table1[appointment_status]="Cancelled","1","0")</f>
        <v>0</v>
      </c>
    </row>
    <row r="1346" spans="1:23">
      <c r="A1346" t="s">
        <v>2305</v>
      </c>
      <c r="B1346" t="s">
        <v>1561</v>
      </c>
      <c r="C1346">
        <v>15</v>
      </c>
      <c r="D1346" t="str" cm="1">
        <f t="array" ref="D1346">_xlfn.IFS(Table1[[#This Row],[age]]&lt;=17,"0-17",C1346&lt;=29,"18-29",C1346&lt;=44,"30-44",C1346&lt;=59,"45-59",C1346&lt;=74,"60-74",TRUE,"75+")</f>
        <v>0-17</v>
      </c>
      <c r="E1346" t="s">
        <v>29</v>
      </c>
      <c r="F1346">
        <v>2</v>
      </c>
      <c r="G1346" t="str" cm="1">
        <f t="array" ref="G1346">_xlfn.IFS(_xlfn.SINGLE(Table1[imd_decile])&lt;=3,"Most Deprived",F1346&lt;=7,"Moderately Deprived",F1346&lt;=10,"Least Deprived")</f>
        <v>Most Deprived</v>
      </c>
      <c r="H1346">
        <v>7.6</v>
      </c>
      <c r="I1346" t="s">
        <v>58</v>
      </c>
      <c r="J1346" t="s">
        <v>26</v>
      </c>
      <c r="K1346" s="1">
        <v>45849</v>
      </c>
      <c r="L1346" s="1">
        <v>45858</v>
      </c>
      <c r="M1346" s="1" t="str">
        <f>TEXT(Table1[[#This Row],[appointment_date]],"MM/YYYY")</f>
        <v>07/2025</v>
      </c>
      <c r="N1346">
        <v>9</v>
      </c>
      <c r="O1346" t="str" cm="1">
        <f t="array" ref="O1346">_xlfn.IFS(Table1[[#This Row],[lead_time_days]]&lt;=7,"0-7 days",N1346&lt;=14,"8-14 days",N1346&lt;=30,"15-30 days",N1346&lt;=60,"31-60 days",TRUE,"61+ days")</f>
        <v>8-14 days</v>
      </c>
      <c r="P1346" t="s">
        <v>31</v>
      </c>
      <c r="Q1346" t="s">
        <v>21</v>
      </c>
      <c r="R1346">
        <v>0</v>
      </c>
      <c r="S1346" t="str">
        <f>IF(Table1[prior_dna_count]&gt;=1,"Has prior DNA history","No prior DNA history")</f>
        <v>No prior DNA history</v>
      </c>
      <c r="T1346" t="s">
        <v>22</v>
      </c>
      <c r="U1346" t="str">
        <f t="shared" ref="U1346:U1409" si="21">V1345</f>
        <v>1</v>
      </c>
      <c r="V1346" t="str">
        <f>IF(Table1[appointment_status]="Attended","1","0")</f>
        <v>1</v>
      </c>
      <c r="W1346" t="str">
        <f>IF(Table1[appointment_status]="Cancelled","1","0")</f>
        <v>0</v>
      </c>
    </row>
    <row r="1347" spans="1:23">
      <c r="A1347" t="s">
        <v>2306</v>
      </c>
      <c r="B1347" t="s">
        <v>1393</v>
      </c>
      <c r="C1347">
        <v>5</v>
      </c>
      <c r="D1347" t="str" cm="1">
        <f t="array" ref="D1347">_xlfn.IFS(Table1[[#This Row],[age]]&lt;=17,"0-17",C1347&lt;=29,"18-29",C1347&lt;=44,"30-44",C1347&lt;=59,"45-59",C1347&lt;=74,"60-74",TRUE,"75+")</f>
        <v>0-17</v>
      </c>
      <c r="E1347" t="s">
        <v>17</v>
      </c>
      <c r="F1347">
        <v>4</v>
      </c>
      <c r="G1347" t="str" cm="1">
        <f t="array" ref="G1347">_xlfn.IFS(_xlfn.SINGLE(Table1[imd_decile])&lt;=3,"Most Deprived",F1347&lt;=7,"Moderately Deprived",F1347&lt;=10,"Least Deprived")</f>
        <v>Moderately Deprived</v>
      </c>
      <c r="H1347">
        <v>0.8</v>
      </c>
      <c r="I1347" t="s">
        <v>25</v>
      </c>
      <c r="J1347" t="s">
        <v>26</v>
      </c>
      <c r="K1347" s="1">
        <v>45830</v>
      </c>
      <c r="L1347" s="1">
        <v>45858</v>
      </c>
      <c r="M1347" s="1" t="str">
        <f>TEXT(Table1[[#This Row],[appointment_date]],"MM/YYYY")</f>
        <v>07/2025</v>
      </c>
      <c r="N1347">
        <v>28</v>
      </c>
      <c r="O1347" t="str" cm="1">
        <f t="array" ref="O1347">_xlfn.IFS(Table1[[#This Row],[lead_time_days]]&lt;=7,"0-7 days",N1347&lt;=14,"8-14 days",N1347&lt;=30,"15-30 days",N1347&lt;=60,"31-60 days",TRUE,"61+ days")</f>
        <v>15-30 days</v>
      </c>
      <c r="P1347" t="s">
        <v>31</v>
      </c>
      <c r="Q1347" t="s">
        <v>21</v>
      </c>
      <c r="R1347">
        <v>0</v>
      </c>
      <c r="S1347" t="str">
        <f>IF(Table1[prior_dna_count]&gt;=1,"Has prior DNA history","No prior DNA history")</f>
        <v>No prior DNA history</v>
      </c>
      <c r="T1347" t="s">
        <v>46</v>
      </c>
      <c r="U1347" t="str">
        <f t="shared" si="21"/>
        <v>1</v>
      </c>
      <c r="V1347" t="str">
        <f>IF(Table1[appointment_status]="Attended","1","0")</f>
        <v>0</v>
      </c>
      <c r="W1347" t="str">
        <f>IF(Table1[appointment_status]="Cancelled","1","0")</f>
        <v>1</v>
      </c>
    </row>
    <row r="1348" spans="1:23">
      <c r="A1348" t="s">
        <v>2307</v>
      </c>
      <c r="B1348" t="s">
        <v>115</v>
      </c>
      <c r="C1348">
        <v>2</v>
      </c>
      <c r="D1348" t="str" cm="1">
        <f t="array" ref="D1348">_xlfn.IFS(Table1[[#This Row],[age]]&lt;=17,"0-17",C1348&lt;=29,"18-29",C1348&lt;=44,"30-44",C1348&lt;=59,"45-59",C1348&lt;=74,"60-74",TRUE,"75+")</f>
        <v>0-17</v>
      </c>
      <c r="E1348" t="s">
        <v>17</v>
      </c>
      <c r="F1348">
        <v>5</v>
      </c>
      <c r="G1348" t="str" cm="1">
        <f t="array" ref="G1348">_xlfn.IFS(_xlfn.SINGLE(Table1[imd_decile])&lt;=3,"Most Deprived",F1348&lt;=7,"Moderately Deprived",F1348&lt;=10,"Least Deprived")</f>
        <v>Moderately Deprived</v>
      </c>
      <c r="H1348">
        <v>9.6999999999999993</v>
      </c>
      <c r="I1348" t="s">
        <v>155</v>
      </c>
      <c r="J1348" t="s">
        <v>19</v>
      </c>
      <c r="K1348" s="1">
        <v>45810</v>
      </c>
      <c r="L1348" s="1">
        <v>45858</v>
      </c>
      <c r="M1348" s="1" t="str">
        <f>TEXT(Table1[[#This Row],[appointment_date]],"MM/YYYY")</f>
        <v>07/2025</v>
      </c>
      <c r="N1348">
        <v>48</v>
      </c>
      <c r="O1348" t="str" cm="1">
        <f t="array" ref="O1348">_xlfn.IFS(Table1[[#This Row],[lead_time_days]]&lt;=7,"0-7 days",N1348&lt;=14,"8-14 days",N1348&lt;=30,"15-30 days",N1348&lt;=60,"31-60 days",TRUE,"61+ days")</f>
        <v>31-60 days</v>
      </c>
      <c r="P1348" t="s">
        <v>31</v>
      </c>
      <c r="Q1348" t="s">
        <v>21</v>
      </c>
      <c r="R1348">
        <v>0</v>
      </c>
      <c r="S1348" t="str">
        <f>IF(Table1[prior_dna_count]&gt;=1,"Has prior DNA history","No prior DNA history")</f>
        <v>No prior DNA history</v>
      </c>
      <c r="T1348" t="s">
        <v>22</v>
      </c>
      <c r="U1348" t="str">
        <f t="shared" si="21"/>
        <v>0</v>
      </c>
      <c r="V1348" t="str">
        <f>IF(Table1[appointment_status]="Attended","1","0")</f>
        <v>1</v>
      </c>
      <c r="W1348" t="str">
        <f>IF(Table1[appointment_status]="Cancelled","1","0")</f>
        <v>0</v>
      </c>
    </row>
    <row r="1349" spans="1:23">
      <c r="A1349" t="s">
        <v>2308</v>
      </c>
      <c r="B1349" t="s">
        <v>2309</v>
      </c>
      <c r="C1349">
        <v>90</v>
      </c>
      <c r="D1349" t="str" cm="1">
        <f t="array" ref="D1349">_xlfn.IFS(Table1[[#This Row],[age]]&lt;=17,"0-17",C1349&lt;=29,"18-29",C1349&lt;=44,"30-44",C1349&lt;=59,"45-59",C1349&lt;=74,"60-74",TRUE,"75+")</f>
        <v>75+</v>
      </c>
      <c r="E1349" t="s">
        <v>17</v>
      </c>
      <c r="F1349">
        <v>10</v>
      </c>
      <c r="G1349" t="str" cm="1">
        <f t="array" ref="G1349">_xlfn.IFS(_xlfn.SINGLE(Table1[imd_decile])&lt;=3,"Most Deprived",F1349&lt;=7,"Moderately Deprived",F1349&lt;=10,"Least Deprived")</f>
        <v>Least Deprived</v>
      </c>
      <c r="H1349">
        <v>17.2</v>
      </c>
      <c r="I1349" t="s">
        <v>45</v>
      </c>
      <c r="J1349" t="s">
        <v>19</v>
      </c>
      <c r="K1349" s="1">
        <v>45822</v>
      </c>
      <c r="L1349" s="1">
        <v>45858</v>
      </c>
      <c r="M1349" s="1" t="str">
        <f>TEXT(Table1[[#This Row],[appointment_date]],"MM/YYYY")</f>
        <v>07/2025</v>
      </c>
      <c r="N1349">
        <v>36</v>
      </c>
      <c r="O1349" t="str" cm="1">
        <f t="array" ref="O1349">_xlfn.IFS(Table1[[#This Row],[lead_time_days]]&lt;=7,"0-7 days",N1349&lt;=14,"8-14 days",N1349&lt;=30,"15-30 days",N1349&lt;=60,"31-60 days",TRUE,"61+ days")</f>
        <v>31-60 days</v>
      </c>
      <c r="P1349" t="s">
        <v>31</v>
      </c>
      <c r="Q1349" t="s">
        <v>21</v>
      </c>
      <c r="R1349">
        <v>0</v>
      </c>
      <c r="S1349" t="str">
        <f>IF(Table1[prior_dna_count]&gt;=1,"Has prior DNA history","No prior DNA history")</f>
        <v>No prior DNA history</v>
      </c>
      <c r="T1349" t="s">
        <v>22</v>
      </c>
      <c r="U1349" t="str">
        <f t="shared" si="21"/>
        <v>1</v>
      </c>
      <c r="V1349" t="str">
        <f>IF(Table1[appointment_status]="Attended","1","0")</f>
        <v>1</v>
      </c>
      <c r="W1349" t="str">
        <f>IF(Table1[appointment_status]="Cancelled","1","0")</f>
        <v>0</v>
      </c>
    </row>
    <row r="1350" spans="1:23">
      <c r="A1350" t="s">
        <v>2310</v>
      </c>
      <c r="B1350" t="s">
        <v>1313</v>
      </c>
      <c r="C1350">
        <v>59</v>
      </c>
      <c r="D1350" t="str" cm="1">
        <f t="array" ref="D1350">_xlfn.IFS(Table1[[#This Row],[age]]&lt;=17,"0-17",C1350&lt;=29,"18-29",C1350&lt;=44,"30-44",C1350&lt;=59,"45-59",C1350&lt;=74,"60-74",TRUE,"75+")</f>
        <v>45-59</v>
      </c>
      <c r="E1350" t="s">
        <v>29</v>
      </c>
      <c r="F1350">
        <v>6</v>
      </c>
      <c r="G1350" t="str" cm="1">
        <f t="array" ref="G1350">_xlfn.IFS(_xlfn.SINGLE(Table1[imd_decile])&lt;=3,"Most Deprived",F1350&lt;=7,"Moderately Deprived",F1350&lt;=10,"Least Deprived")</f>
        <v>Moderately Deprived</v>
      </c>
      <c r="H1350">
        <v>3.6</v>
      </c>
      <c r="I1350" t="s">
        <v>38</v>
      </c>
      <c r="J1350" t="s">
        <v>19</v>
      </c>
      <c r="K1350" s="1">
        <v>45782</v>
      </c>
      <c r="L1350" s="1">
        <v>45858</v>
      </c>
      <c r="M1350" s="1" t="str">
        <f>TEXT(Table1[[#This Row],[appointment_date]],"MM/YYYY")</f>
        <v>07/2025</v>
      </c>
      <c r="N1350">
        <v>76</v>
      </c>
      <c r="O1350" t="str" cm="1">
        <f t="array" ref="O1350">_xlfn.IFS(Table1[[#This Row],[lead_time_days]]&lt;=7,"0-7 days",N1350&lt;=14,"8-14 days",N1350&lt;=30,"15-30 days",N1350&lt;=60,"31-60 days",TRUE,"61+ days")</f>
        <v>61+ days</v>
      </c>
      <c r="P1350" t="s">
        <v>31</v>
      </c>
      <c r="Q1350" t="s">
        <v>21</v>
      </c>
      <c r="R1350">
        <v>0</v>
      </c>
      <c r="S1350" t="str">
        <f>IF(Table1[prior_dna_count]&gt;=1,"Has prior DNA history","No prior DNA history")</f>
        <v>No prior DNA history</v>
      </c>
      <c r="T1350" t="s">
        <v>22</v>
      </c>
      <c r="U1350" t="str">
        <f t="shared" si="21"/>
        <v>1</v>
      </c>
      <c r="V1350" t="str">
        <f>IF(Table1[appointment_status]="Attended","1","0")</f>
        <v>1</v>
      </c>
      <c r="W1350" t="str">
        <f>IF(Table1[appointment_status]="Cancelled","1","0")</f>
        <v>0</v>
      </c>
    </row>
    <row r="1351" spans="1:23">
      <c r="A1351" t="s">
        <v>2311</v>
      </c>
      <c r="B1351" t="s">
        <v>1044</v>
      </c>
      <c r="C1351">
        <v>53</v>
      </c>
      <c r="D1351" t="str" cm="1">
        <f t="array" ref="D1351">_xlfn.IFS(Table1[[#This Row],[age]]&lt;=17,"0-17",C1351&lt;=29,"18-29",C1351&lt;=44,"30-44",C1351&lt;=59,"45-59",C1351&lt;=74,"60-74",TRUE,"75+")</f>
        <v>45-59</v>
      </c>
      <c r="E1351" t="s">
        <v>17</v>
      </c>
      <c r="F1351">
        <v>7</v>
      </c>
      <c r="G1351" t="str" cm="1">
        <f t="array" ref="G1351">_xlfn.IFS(_xlfn.SINGLE(Table1[imd_decile])&lt;=3,"Most Deprived",F1351&lt;=7,"Moderately Deprived",F1351&lt;=10,"Least Deprived")</f>
        <v>Moderately Deprived</v>
      </c>
      <c r="H1351">
        <v>12.6</v>
      </c>
      <c r="I1351" t="s">
        <v>42</v>
      </c>
      <c r="J1351" t="s">
        <v>26</v>
      </c>
      <c r="K1351" s="1">
        <v>45856</v>
      </c>
      <c r="L1351" s="1">
        <v>45858</v>
      </c>
      <c r="M1351" s="1" t="str">
        <f>TEXT(Table1[[#This Row],[appointment_date]],"MM/YYYY")</f>
        <v>07/2025</v>
      </c>
      <c r="N1351">
        <v>2</v>
      </c>
      <c r="O1351" t="str" cm="1">
        <f t="array" ref="O1351">_xlfn.IFS(Table1[[#This Row],[lead_time_days]]&lt;=7,"0-7 days",N1351&lt;=14,"8-14 days",N1351&lt;=30,"15-30 days",N1351&lt;=60,"31-60 days",TRUE,"61+ days")</f>
        <v>0-7 days</v>
      </c>
      <c r="P1351" t="s">
        <v>31</v>
      </c>
      <c r="Q1351" t="s">
        <v>21</v>
      </c>
      <c r="R1351">
        <v>0</v>
      </c>
      <c r="S1351" t="str">
        <f>IF(Table1[prior_dna_count]&gt;=1,"Has prior DNA history","No prior DNA history")</f>
        <v>No prior DNA history</v>
      </c>
      <c r="T1351" t="s">
        <v>22</v>
      </c>
      <c r="U1351" t="str">
        <f t="shared" si="21"/>
        <v>1</v>
      </c>
      <c r="V1351" t="str">
        <f>IF(Table1[appointment_status]="Attended","1","0")</f>
        <v>1</v>
      </c>
      <c r="W1351" t="str">
        <f>IF(Table1[appointment_status]="Cancelled","1","0")</f>
        <v>0</v>
      </c>
    </row>
    <row r="1352" spans="1:23">
      <c r="A1352" t="s">
        <v>2312</v>
      </c>
      <c r="B1352" t="s">
        <v>588</v>
      </c>
      <c r="C1352">
        <v>75</v>
      </c>
      <c r="D1352" t="str" cm="1">
        <f t="array" ref="D1352">_xlfn.IFS(Table1[[#This Row],[age]]&lt;=17,"0-17",C1352&lt;=29,"18-29",C1352&lt;=44,"30-44",C1352&lt;=59,"45-59",C1352&lt;=74,"60-74",TRUE,"75+")</f>
        <v>75+</v>
      </c>
      <c r="E1352" t="s">
        <v>17</v>
      </c>
      <c r="F1352">
        <v>8</v>
      </c>
      <c r="G1352" t="str" cm="1">
        <f t="array" ref="G1352">_xlfn.IFS(_xlfn.SINGLE(Table1[imd_decile])&lt;=3,"Most Deprived",F1352&lt;=7,"Moderately Deprived",F1352&lt;=10,"Least Deprived")</f>
        <v>Least Deprived</v>
      </c>
      <c r="H1352">
        <v>5.7</v>
      </c>
      <c r="I1352" t="s">
        <v>30</v>
      </c>
      <c r="J1352" t="s">
        <v>19</v>
      </c>
      <c r="K1352" s="1">
        <v>45847</v>
      </c>
      <c r="L1352" s="1">
        <v>45858</v>
      </c>
      <c r="M1352" s="1" t="str">
        <f>TEXT(Table1[[#This Row],[appointment_date]],"MM/YYYY")</f>
        <v>07/2025</v>
      </c>
      <c r="N1352">
        <v>11</v>
      </c>
      <c r="O1352" t="str" cm="1">
        <f t="array" ref="O1352">_xlfn.IFS(Table1[[#This Row],[lead_time_days]]&lt;=7,"0-7 days",N1352&lt;=14,"8-14 days",N1352&lt;=30,"15-30 days",N1352&lt;=60,"31-60 days",TRUE,"61+ days")</f>
        <v>8-14 days</v>
      </c>
      <c r="P1352" t="s">
        <v>31</v>
      </c>
      <c r="Q1352" t="s">
        <v>21</v>
      </c>
      <c r="R1352">
        <v>0</v>
      </c>
      <c r="S1352" t="str">
        <f>IF(Table1[prior_dna_count]&gt;=1,"Has prior DNA history","No prior DNA history")</f>
        <v>No prior DNA history</v>
      </c>
      <c r="T1352" t="s">
        <v>22</v>
      </c>
      <c r="U1352" t="str">
        <f t="shared" si="21"/>
        <v>1</v>
      </c>
      <c r="V1352" t="str">
        <f>IF(Table1[appointment_status]="Attended","1","0")</f>
        <v>1</v>
      </c>
      <c r="W1352" t="str">
        <f>IF(Table1[appointment_status]="Cancelled","1","0")</f>
        <v>0</v>
      </c>
    </row>
    <row r="1353" spans="1:23">
      <c r="A1353" t="s">
        <v>2313</v>
      </c>
      <c r="B1353" t="s">
        <v>1712</v>
      </c>
      <c r="C1353">
        <v>85</v>
      </c>
      <c r="D1353" t="str" cm="1">
        <f t="array" ref="D1353">_xlfn.IFS(Table1[[#This Row],[age]]&lt;=17,"0-17",C1353&lt;=29,"18-29",C1353&lt;=44,"30-44",C1353&lt;=59,"45-59",C1353&lt;=74,"60-74",TRUE,"75+")</f>
        <v>75+</v>
      </c>
      <c r="E1353" t="s">
        <v>29</v>
      </c>
      <c r="F1353">
        <v>1</v>
      </c>
      <c r="G1353" t="str" cm="1">
        <f t="array" ref="G1353">_xlfn.IFS(_xlfn.SINGLE(Table1[imd_decile])&lt;=3,"Most Deprived",F1353&lt;=7,"Moderately Deprived",F1353&lt;=10,"Least Deprived")</f>
        <v>Most Deprived</v>
      </c>
      <c r="H1353">
        <v>6.1</v>
      </c>
      <c r="I1353" t="s">
        <v>49</v>
      </c>
      <c r="J1353" t="s">
        <v>19</v>
      </c>
      <c r="K1353" s="1">
        <v>45805</v>
      </c>
      <c r="L1353" s="1">
        <v>45858</v>
      </c>
      <c r="M1353" s="1" t="str">
        <f>TEXT(Table1[[#This Row],[appointment_date]],"MM/YYYY")</f>
        <v>07/2025</v>
      </c>
      <c r="N1353">
        <v>53</v>
      </c>
      <c r="O1353" t="str" cm="1">
        <f t="array" ref="O1353">_xlfn.IFS(Table1[[#This Row],[lead_time_days]]&lt;=7,"0-7 days",N1353&lt;=14,"8-14 days",N1353&lt;=30,"15-30 days",N1353&lt;=60,"31-60 days",TRUE,"61+ days")</f>
        <v>31-60 days</v>
      </c>
      <c r="P1353" t="s">
        <v>31</v>
      </c>
      <c r="Q1353" t="s">
        <v>21</v>
      </c>
      <c r="R1353">
        <v>0</v>
      </c>
      <c r="S1353" t="str">
        <f>IF(Table1[prior_dna_count]&gt;=1,"Has prior DNA history","No prior DNA history")</f>
        <v>No prior DNA history</v>
      </c>
      <c r="T1353" t="s">
        <v>22</v>
      </c>
      <c r="U1353" t="str">
        <f t="shared" si="21"/>
        <v>1</v>
      </c>
      <c r="V1353" t="str">
        <f>IF(Table1[appointment_status]="Attended","1","0")</f>
        <v>1</v>
      </c>
      <c r="W1353" t="str">
        <f>IF(Table1[appointment_status]="Cancelled","1","0")</f>
        <v>0</v>
      </c>
    </row>
    <row r="1354" spans="1:23">
      <c r="A1354" t="s">
        <v>2314</v>
      </c>
      <c r="B1354" t="s">
        <v>2315</v>
      </c>
      <c r="C1354">
        <v>54</v>
      </c>
      <c r="D1354" t="str" cm="1">
        <f t="array" ref="D1354">_xlfn.IFS(Table1[[#This Row],[age]]&lt;=17,"0-17",C1354&lt;=29,"18-29",C1354&lt;=44,"30-44",C1354&lt;=59,"45-59",C1354&lt;=74,"60-74",TRUE,"75+")</f>
        <v>45-59</v>
      </c>
      <c r="E1354" t="s">
        <v>29</v>
      </c>
      <c r="F1354">
        <v>8</v>
      </c>
      <c r="G1354" t="str" cm="1">
        <f t="array" ref="G1354">_xlfn.IFS(_xlfn.SINGLE(Table1[imd_decile])&lt;=3,"Most Deprived",F1354&lt;=7,"Moderately Deprived",F1354&lt;=10,"Least Deprived")</f>
        <v>Least Deprived</v>
      </c>
      <c r="H1354">
        <v>1.3</v>
      </c>
      <c r="I1354" t="s">
        <v>18</v>
      </c>
      <c r="J1354" t="s">
        <v>19</v>
      </c>
      <c r="K1354" s="1">
        <v>45834</v>
      </c>
      <c r="L1354" s="1">
        <v>45858</v>
      </c>
      <c r="M1354" s="1" t="str">
        <f>TEXT(Table1[[#This Row],[appointment_date]],"MM/YYYY")</f>
        <v>07/2025</v>
      </c>
      <c r="N1354">
        <v>24</v>
      </c>
      <c r="O1354" t="str" cm="1">
        <f t="array" ref="O1354">_xlfn.IFS(Table1[[#This Row],[lead_time_days]]&lt;=7,"0-7 days",N1354&lt;=14,"8-14 days",N1354&lt;=30,"15-30 days",N1354&lt;=60,"31-60 days",TRUE,"61+ days")</f>
        <v>15-30 days</v>
      </c>
      <c r="P1354" t="s">
        <v>31</v>
      </c>
      <c r="Q1354" t="s">
        <v>21</v>
      </c>
      <c r="R1354">
        <v>0</v>
      </c>
      <c r="S1354" t="str">
        <f>IF(Table1[prior_dna_count]&gt;=1,"Has prior DNA history","No prior DNA history")</f>
        <v>No prior DNA history</v>
      </c>
      <c r="T1354" t="s">
        <v>22</v>
      </c>
      <c r="U1354" t="str">
        <f t="shared" si="21"/>
        <v>1</v>
      </c>
      <c r="V1354" t="str">
        <f>IF(Table1[appointment_status]="Attended","1","0")</f>
        <v>1</v>
      </c>
      <c r="W1354" t="str">
        <f>IF(Table1[appointment_status]="Cancelled","1","0")</f>
        <v>0</v>
      </c>
    </row>
    <row r="1355" spans="1:23">
      <c r="A1355" t="s">
        <v>2316</v>
      </c>
      <c r="B1355" t="s">
        <v>1831</v>
      </c>
      <c r="C1355">
        <v>32</v>
      </c>
      <c r="D1355" t="str" cm="1">
        <f t="array" ref="D1355">_xlfn.IFS(Table1[[#This Row],[age]]&lt;=17,"0-17",C1355&lt;=29,"18-29",C1355&lt;=44,"30-44",C1355&lt;=59,"45-59",C1355&lt;=74,"60-74",TRUE,"75+")</f>
        <v>30-44</v>
      </c>
      <c r="E1355" t="s">
        <v>17</v>
      </c>
      <c r="F1355">
        <v>2</v>
      </c>
      <c r="G1355" t="str" cm="1">
        <f t="array" ref="G1355">_xlfn.IFS(_xlfn.SINGLE(Table1[imd_decile])&lt;=3,"Most Deprived",F1355&lt;=7,"Moderately Deprived",F1355&lt;=10,"Least Deprived")</f>
        <v>Most Deprived</v>
      </c>
      <c r="H1355">
        <v>5.4</v>
      </c>
      <c r="I1355" t="s">
        <v>38</v>
      </c>
      <c r="J1355" t="s">
        <v>26</v>
      </c>
      <c r="K1355" s="1">
        <v>45837</v>
      </c>
      <c r="L1355" s="1">
        <v>45858</v>
      </c>
      <c r="M1355" s="1" t="str">
        <f>TEXT(Table1[[#This Row],[appointment_date]],"MM/YYYY")</f>
        <v>07/2025</v>
      </c>
      <c r="N1355">
        <v>21</v>
      </c>
      <c r="O1355" t="str" cm="1">
        <f t="array" ref="O1355">_xlfn.IFS(Table1[[#This Row],[lead_time_days]]&lt;=7,"0-7 days",N1355&lt;=14,"8-14 days",N1355&lt;=30,"15-30 days",N1355&lt;=60,"31-60 days",TRUE,"61+ days")</f>
        <v>15-30 days</v>
      </c>
      <c r="P1355" t="s">
        <v>31</v>
      </c>
      <c r="Q1355" t="s">
        <v>32</v>
      </c>
      <c r="R1355">
        <v>0</v>
      </c>
      <c r="S1355" t="str">
        <f>IF(Table1[prior_dna_count]&gt;=1,"Has prior DNA history","No prior DNA history")</f>
        <v>No prior DNA history</v>
      </c>
      <c r="T1355" t="s">
        <v>22</v>
      </c>
      <c r="U1355" t="str">
        <f t="shared" si="21"/>
        <v>1</v>
      </c>
      <c r="V1355" t="str">
        <f>IF(Table1[appointment_status]="Attended","1","0")</f>
        <v>1</v>
      </c>
      <c r="W1355" t="str">
        <f>IF(Table1[appointment_status]="Cancelled","1","0")</f>
        <v>0</v>
      </c>
    </row>
    <row r="1356" spans="1:23">
      <c r="A1356" t="s">
        <v>2317</v>
      </c>
      <c r="B1356" t="s">
        <v>1661</v>
      </c>
      <c r="C1356">
        <v>55</v>
      </c>
      <c r="D1356" t="str" cm="1">
        <f t="array" ref="D1356">_xlfn.IFS(Table1[[#This Row],[age]]&lt;=17,"0-17",C1356&lt;=29,"18-29",C1356&lt;=44,"30-44",C1356&lt;=59,"45-59",C1356&lt;=74,"60-74",TRUE,"75+")</f>
        <v>45-59</v>
      </c>
      <c r="E1356" t="s">
        <v>17</v>
      </c>
      <c r="F1356">
        <v>9</v>
      </c>
      <c r="G1356" t="str" cm="1">
        <f t="array" ref="G1356">_xlfn.IFS(_xlfn.SINGLE(Table1[imd_decile])&lt;=3,"Most Deprived",F1356&lt;=7,"Moderately Deprived",F1356&lt;=10,"Least Deprived")</f>
        <v>Least Deprived</v>
      </c>
      <c r="H1356">
        <v>6.2</v>
      </c>
      <c r="I1356" t="s">
        <v>25</v>
      </c>
      <c r="J1356" t="s">
        <v>19</v>
      </c>
      <c r="K1356" s="1">
        <v>45829</v>
      </c>
      <c r="L1356" s="1">
        <v>45859</v>
      </c>
      <c r="M1356" s="1" t="str">
        <f>TEXT(Table1[[#This Row],[appointment_date]],"MM/YYYY")</f>
        <v>07/2025</v>
      </c>
      <c r="N1356">
        <v>30</v>
      </c>
      <c r="O1356" t="str" cm="1">
        <f t="array" ref="O1356">_xlfn.IFS(Table1[[#This Row],[lead_time_days]]&lt;=7,"0-7 days",N1356&lt;=14,"8-14 days",N1356&lt;=30,"15-30 days",N1356&lt;=60,"31-60 days",TRUE,"61+ days")</f>
        <v>15-30 days</v>
      </c>
      <c r="P1356" t="s">
        <v>35</v>
      </c>
      <c r="Q1356" t="s">
        <v>21</v>
      </c>
      <c r="R1356">
        <v>0</v>
      </c>
      <c r="S1356" t="str">
        <f>IF(Table1[prior_dna_count]&gt;=1,"Has prior DNA history","No prior DNA history")</f>
        <v>No prior DNA history</v>
      </c>
      <c r="T1356" t="s">
        <v>22</v>
      </c>
      <c r="U1356" t="str">
        <f t="shared" si="21"/>
        <v>1</v>
      </c>
      <c r="V1356" t="str">
        <f>IF(Table1[appointment_status]="Attended","1","0")</f>
        <v>1</v>
      </c>
      <c r="W1356" t="str">
        <f>IF(Table1[appointment_status]="Cancelled","1","0")</f>
        <v>0</v>
      </c>
    </row>
    <row r="1357" spans="1:23">
      <c r="A1357" t="s">
        <v>2318</v>
      </c>
      <c r="B1357" t="s">
        <v>965</v>
      </c>
      <c r="C1357">
        <v>47</v>
      </c>
      <c r="D1357" t="str" cm="1">
        <f t="array" ref="D1357">_xlfn.IFS(Table1[[#This Row],[age]]&lt;=17,"0-17",C1357&lt;=29,"18-29",C1357&lt;=44,"30-44",C1357&lt;=59,"45-59",C1357&lt;=74,"60-74",TRUE,"75+")</f>
        <v>45-59</v>
      </c>
      <c r="E1357" t="s">
        <v>17</v>
      </c>
      <c r="F1357">
        <v>5</v>
      </c>
      <c r="G1357" t="str" cm="1">
        <f t="array" ref="G1357">_xlfn.IFS(_xlfn.SINGLE(Table1[imd_decile])&lt;=3,"Most Deprived",F1357&lt;=7,"Moderately Deprived",F1357&lt;=10,"Least Deprived")</f>
        <v>Moderately Deprived</v>
      </c>
      <c r="H1357">
        <v>5.7</v>
      </c>
      <c r="I1357" t="s">
        <v>155</v>
      </c>
      <c r="J1357" t="s">
        <v>26</v>
      </c>
      <c r="K1357" s="1">
        <v>45843</v>
      </c>
      <c r="L1357" s="1">
        <v>45859</v>
      </c>
      <c r="M1357" s="1" t="str">
        <f>TEXT(Table1[[#This Row],[appointment_date]],"MM/YYYY")</f>
        <v>07/2025</v>
      </c>
      <c r="N1357">
        <v>16</v>
      </c>
      <c r="O1357" t="str" cm="1">
        <f t="array" ref="O1357">_xlfn.IFS(Table1[[#This Row],[lead_time_days]]&lt;=7,"0-7 days",N1357&lt;=14,"8-14 days",N1357&lt;=30,"15-30 days",N1357&lt;=60,"31-60 days",TRUE,"61+ days")</f>
        <v>15-30 days</v>
      </c>
      <c r="P1357" t="s">
        <v>35</v>
      </c>
      <c r="Q1357" t="s">
        <v>21</v>
      </c>
      <c r="R1357">
        <v>1</v>
      </c>
      <c r="S1357" t="str">
        <f>IF(Table1[prior_dna_count]&gt;=1,"Has prior DNA history","No prior DNA history")</f>
        <v>Has prior DNA history</v>
      </c>
      <c r="T1357" t="s">
        <v>22</v>
      </c>
      <c r="U1357" t="str">
        <f t="shared" si="21"/>
        <v>1</v>
      </c>
      <c r="V1357" t="str">
        <f>IF(Table1[appointment_status]="Attended","1","0")</f>
        <v>1</v>
      </c>
      <c r="W1357" t="str">
        <f>IF(Table1[appointment_status]="Cancelled","1","0")</f>
        <v>0</v>
      </c>
    </row>
    <row r="1358" spans="1:23">
      <c r="A1358" t="s">
        <v>2319</v>
      </c>
      <c r="B1358" t="s">
        <v>197</v>
      </c>
      <c r="C1358">
        <v>62</v>
      </c>
      <c r="D1358" t="str" cm="1">
        <f t="array" ref="D1358">_xlfn.IFS(Table1[[#This Row],[age]]&lt;=17,"0-17",C1358&lt;=29,"18-29",C1358&lt;=44,"30-44",C1358&lt;=59,"45-59",C1358&lt;=74,"60-74",TRUE,"75+")</f>
        <v>60-74</v>
      </c>
      <c r="E1358" t="s">
        <v>29</v>
      </c>
      <c r="F1358">
        <v>2</v>
      </c>
      <c r="G1358" t="str" cm="1">
        <f t="array" ref="G1358">_xlfn.IFS(_xlfn.SINGLE(Table1[imd_decile])&lt;=3,"Most Deprived",F1358&lt;=7,"Moderately Deprived",F1358&lt;=10,"Least Deprived")</f>
        <v>Most Deprived</v>
      </c>
      <c r="H1358">
        <v>5.3</v>
      </c>
      <c r="I1358" t="s">
        <v>18</v>
      </c>
      <c r="J1358" t="s">
        <v>26</v>
      </c>
      <c r="K1358" s="1">
        <v>45845</v>
      </c>
      <c r="L1358" s="1">
        <v>45859</v>
      </c>
      <c r="M1358" s="1" t="str">
        <f>TEXT(Table1[[#This Row],[appointment_date]],"MM/YYYY")</f>
        <v>07/2025</v>
      </c>
      <c r="N1358">
        <v>14</v>
      </c>
      <c r="O1358" t="str" cm="1">
        <f t="array" ref="O1358">_xlfn.IFS(Table1[[#This Row],[lead_time_days]]&lt;=7,"0-7 days",N1358&lt;=14,"8-14 days",N1358&lt;=30,"15-30 days",N1358&lt;=60,"31-60 days",TRUE,"61+ days")</f>
        <v>8-14 days</v>
      </c>
      <c r="P1358" t="s">
        <v>35</v>
      </c>
      <c r="Q1358" t="s">
        <v>21</v>
      </c>
      <c r="R1358">
        <v>0</v>
      </c>
      <c r="S1358" t="str">
        <f>IF(Table1[prior_dna_count]&gt;=1,"Has prior DNA history","No prior DNA history")</f>
        <v>No prior DNA history</v>
      </c>
      <c r="T1358" t="s">
        <v>46</v>
      </c>
      <c r="U1358" t="str">
        <f t="shared" si="21"/>
        <v>1</v>
      </c>
      <c r="V1358" t="str">
        <f>IF(Table1[appointment_status]="Attended","1","0")</f>
        <v>0</v>
      </c>
      <c r="W1358" t="str">
        <f>IF(Table1[appointment_status]="Cancelled","1","0")</f>
        <v>1</v>
      </c>
    </row>
    <row r="1359" spans="1:23">
      <c r="A1359" t="s">
        <v>2320</v>
      </c>
      <c r="B1359" t="s">
        <v>2321</v>
      </c>
      <c r="C1359">
        <v>50</v>
      </c>
      <c r="D1359" t="str" cm="1">
        <f t="array" ref="D1359">_xlfn.IFS(Table1[[#This Row],[age]]&lt;=17,"0-17",C1359&lt;=29,"18-29",C1359&lt;=44,"30-44",C1359&lt;=59,"45-59",C1359&lt;=74,"60-74",TRUE,"75+")</f>
        <v>45-59</v>
      </c>
      <c r="E1359" t="s">
        <v>29</v>
      </c>
      <c r="F1359">
        <v>3</v>
      </c>
      <c r="G1359" t="str" cm="1">
        <f t="array" ref="G1359">_xlfn.IFS(_xlfn.SINGLE(Table1[imd_decile])&lt;=3,"Most Deprived",F1359&lt;=7,"Moderately Deprived",F1359&lt;=10,"Least Deprived")</f>
        <v>Most Deprived</v>
      </c>
      <c r="H1359">
        <v>11.9</v>
      </c>
      <c r="I1359" t="s">
        <v>45</v>
      </c>
      <c r="J1359" t="s">
        <v>19</v>
      </c>
      <c r="K1359" s="1">
        <v>45813</v>
      </c>
      <c r="L1359" s="1">
        <v>45860</v>
      </c>
      <c r="M1359" s="1" t="str">
        <f>TEXT(Table1[[#This Row],[appointment_date]],"MM/YYYY")</f>
        <v>07/2025</v>
      </c>
      <c r="N1359">
        <v>47</v>
      </c>
      <c r="O1359" t="str" cm="1">
        <f t="array" ref="O1359">_xlfn.IFS(Table1[[#This Row],[lead_time_days]]&lt;=7,"0-7 days",N1359&lt;=14,"8-14 days",N1359&lt;=30,"15-30 days",N1359&lt;=60,"31-60 days",TRUE,"61+ days")</f>
        <v>31-60 days</v>
      </c>
      <c r="P1359" t="s">
        <v>71</v>
      </c>
      <c r="Q1359" t="s">
        <v>21</v>
      </c>
      <c r="R1359">
        <v>0</v>
      </c>
      <c r="S1359" t="str">
        <f>IF(Table1[prior_dna_count]&gt;=1,"Has prior DNA history","No prior DNA history")</f>
        <v>No prior DNA history</v>
      </c>
      <c r="T1359" t="s">
        <v>46</v>
      </c>
      <c r="U1359" t="str">
        <f t="shared" si="21"/>
        <v>0</v>
      </c>
      <c r="V1359" t="str">
        <f>IF(Table1[appointment_status]="Attended","1","0")</f>
        <v>0</v>
      </c>
      <c r="W1359" t="str">
        <f>IF(Table1[appointment_status]="Cancelled","1","0")</f>
        <v>1</v>
      </c>
    </row>
    <row r="1360" spans="1:23">
      <c r="A1360" t="s">
        <v>2322</v>
      </c>
      <c r="B1360" t="s">
        <v>2090</v>
      </c>
      <c r="C1360">
        <v>78</v>
      </c>
      <c r="D1360" t="str" cm="1">
        <f t="array" ref="D1360">_xlfn.IFS(Table1[[#This Row],[age]]&lt;=17,"0-17",C1360&lt;=29,"18-29",C1360&lt;=44,"30-44",C1360&lt;=59,"45-59",C1360&lt;=74,"60-74",TRUE,"75+")</f>
        <v>75+</v>
      </c>
      <c r="E1360" t="s">
        <v>29</v>
      </c>
      <c r="F1360">
        <v>1</v>
      </c>
      <c r="G1360" t="str" cm="1">
        <f t="array" ref="G1360">_xlfn.IFS(_xlfn.SINGLE(Table1[imd_decile])&lt;=3,"Most Deprived",F1360&lt;=7,"Moderately Deprived",F1360&lt;=10,"Least Deprived")</f>
        <v>Most Deprived</v>
      </c>
      <c r="H1360">
        <v>2.5</v>
      </c>
      <c r="I1360" t="s">
        <v>18</v>
      </c>
      <c r="J1360" t="s">
        <v>19</v>
      </c>
      <c r="K1360" s="1">
        <v>45817</v>
      </c>
      <c r="L1360" s="1">
        <v>45860</v>
      </c>
      <c r="M1360" s="1" t="str">
        <f>TEXT(Table1[[#This Row],[appointment_date]],"MM/YYYY")</f>
        <v>07/2025</v>
      </c>
      <c r="N1360">
        <v>43</v>
      </c>
      <c r="O1360" t="str" cm="1">
        <f t="array" ref="O1360">_xlfn.IFS(Table1[[#This Row],[lead_time_days]]&lt;=7,"0-7 days",N1360&lt;=14,"8-14 days",N1360&lt;=30,"15-30 days",N1360&lt;=60,"31-60 days",TRUE,"61+ days")</f>
        <v>31-60 days</v>
      </c>
      <c r="P1360" t="s">
        <v>71</v>
      </c>
      <c r="Q1360" t="s">
        <v>21</v>
      </c>
      <c r="R1360">
        <v>0</v>
      </c>
      <c r="S1360" t="str">
        <f>IF(Table1[prior_dna_count]&gt;=1,"Has prior DNA history","No prior DNA history")</f>
        <v>No prior DNA history</v>
      </c>
      <c r="T1360" t="s">
        <v>22</v>
      </c>
      <c r="U1360" t="str">
        <f t="shared" si="21"/>
        <v>0</v>
      </c>
      <c r="V1360" t="str">
        <f>IF(Table1[appointment_status]="Attended","1","0")</f>
        <v>1</v>
      </c>
      <c r="W1360" t="str">
        <f>IF(Table1[appointment_status]="Cancelled","1","0")</f>
        <v>0</v>
      </c>
    </row>
    <row r="1361" spans="1:23">
      <c r="A1361" t="s">
        <v>2323</v>
      </c>
      <c r="B1361" t="s">
        <v>939</v>
      </c>
      <c r="C1361">
        <v>88</v>
      </c>
      <c r="D1361" t="str" cm="1">
        <f t="array" ref="D1361">_xlfn.IFS(Table1[[#This Row],[age]]&lt;=17,"0-17",C1361&lt;=29,"18-29",C1361&lt;=44,"30-44",C1361&lt;=59,"45-59",C1361&lt;=74,"60-74",TRUE,"75+")</f>
        <v>75+</v>
      </c>
      <c r="E1361" t="s">
        <v>17</v>
      </c>
      <c r="F1361">
        <v>3</v>
      </c>
      <c r="G1361" t="str" cm="1">
        <f t="array" ref="G1361">_xlfn.IFS(_xlfn.SINGLE(Table1[imd_decile])&lt;=3,"Most Deprived",F1361&lt;=7,"Moderately Deprived",F1361&lt;=10,"Least Deprived")</f>
        <v>Most Deprived</v>
      </c>
      <c r="H1361">
        <v>6.4</v>
      </c>
      <c r="I1361" t="s">
        <v>30</v>
      </c>
      <c r="J1361" t="s">
        <v>26</v>
      </c>
      <c r="K1361" s="1">
        <v>45854</v>
      </c>
      <c r="L1361" s="1">
        <v>45860</v>
      </c>
      <c r="M1361" s="1" t="str">
        <f>TEXT(Table1[[#This Row],[appointment_date]],"MM/YYYY")</f>
        <v>07/2025</v>
      </c>
      <c r="N1361">
        <v>6</v>
      </c>
      <c r="O1361" t="str" cm="1">
        <f t="array" ref="O1361">_xlfn.IFS(Table1[[#This Row],[lead_time_days]]&lt;=7,"0-7 days",N1361&lt;=14,"8-14 days",N1361&lt;=30,"15-30 days",N1361&lt;=60,"31-60 days",TRUE,"61+ days")</f>
        <v>0-7 days</v>
      </c>
      <c r="P1361" t="s">
        <v>71</v>
      </c>
      <c r="Q1361" t="s">
        <v>21</v>
      </c>
      <c r="R1361">
        <v>0</v>
      </c>
      <c r="S1361" t="str">
        <f>IF(Table1[prior_dna_count]&gt;=1,"Has prior DNA history","No prior DNA history")</f>
        <v>No prior DNA history</v>
      </c>
      <c r="T1361" t="s">
        <v>22</v>
      </c>
      <c r="U1361" t="str">
        <f t="shared" si="21"/>
        <v>1</v>
      </c>
      <c r="V1361" t="str">
        <f>IF(Table1[appointment_status]="Attended","1","0")</f>
        <v>1</v>
      </c>
      <c r="W1361" t="str">
        <f>IF(Table1[appointment_status]="Cancelled","1","0")</f>
        <v>0</v>
      </c>
    </row>
    <row r="1362" spans="1:23">
      <c r="A1362" t="s">
        <v>2324</v>
      </c>
      <c r="B1362" t="s">
        <v>1553</v>
      </c>
      <c r="C1362">
        <v>48</v>
      </c>
      <c r="D1362" t="str" cm="1">
        <f t="array" ref="D1362">_xlfn.IFS(Table1[[#This Row],[age]]&lt;=17,"0-17",C1362&lt;=29,"18-29",C1362&lt;=44,"30-44",C1362&lt;=59,"45-59",C1362&lt;=74,"60-74",TRUE,"75+")</f>
        <v>45-59</v>
      </c>
      <c r="E1362" t="s">
        <v>29</v>
      </c>
      <c r="F1362">
        <v>3</v>
      </c>
      <c r="G1362" t="str" cm="1">
        <f t="array" ref="G1362">_xlfn.IFS(_xlfn.SINGLE(Table1[imd_decile])&lt;=3,"Most Deprived",F1362&lt;=7,"Moderately Deprived",F1362&lt;=10,"Least Deprived")</f>
        <v>Most Deprived</v>
      </c>
      <c r="H1362">
        <v>9.1999999999999993</v>
      </c>
      <c r="I1362" t="s">
        <v>91</v>
      </c>
      <c r="J1362" t="s">
        <v>26</v>
      </c>
      <c r="K1362" s="1">
        <v>45854</v>
      </c>
      <c r="L1362" s="1">
        <v>45860</v>
      </c>
      <c r="M1362" s="1" t="str">
        <f>TEXT(Table1[[#This Row],[appointment_date]],"MM/YYYY")</f>
        <v>07/2025</v>
      </c>
      <c r="N1362">
        <v>6</v>
      </c>
      <c r="O1362" t="str" cm="1">
        <f t="array" ref="O1362">_xlfn.IFS(Table1[[#This Row],[lead_time_days]]&lt;=7,"0-7 days",N1362&lt;=14,"8-14 days",N1362&lt;=30,"15-30 days",N1362&lt;=60,"31-60 days",TRUE,"61+ days")</f>
        <v>0-7 days</v>
      </c>
      <c r="P1362" t="s">
        <v>71</v>
      </c>
      <c r="Q1362" t="s">
        <v>21</v>
      </c>
      <c r="R1362">
        <v>1</v>
      </c>
      <c r="S1362" t="str">
        <f>IF(Table1[prior_dna_count]&gt;=1,"Has prior DNA history","No prior DNA history")</f>
        <v>Has prior DNA history</v>
      </c>
      <c r="T1362" t="s">
        <v>22</v>
      </c>
      <c r="U1362" t="str">
        <f t="shared" si="21"/>
        <v>1</v>
      </c>
      <c r="V1362" t="str">
        <f>IF(Table1[appointment_status]="Attended","1","0")</f>
        <v>1</v>
      </c>
      <c r="W1362" t="str">
        <f>IF(Table1[appointment_status]="Cancelled","1","0")</f>
        <v>0</v>
      </c>
    </row>
    <row r="1363" spans="1:23">
      <c r="A1363" t="s">
        <v>2325</v>
      </c>
      <c r="B1363" t="s">
        <v>105</v>
      </c>
      <c r="C1363">
        <v>31</v>
      </c>
      <c r="D1363" t="str" cm="1">
        <f t="array" ref="D1363">_xlfn.IFS(Table1[[#This Row],[age]]&lt;=17,"0-17",C1363&lt;=29,"18-29",C1363&lt;=44,"30-44",C1363&lt;=59,"45-59",C1363&lt;=74,"60-74",TRUE,"75+")</f>
        <v>30-44</v>
      </c>
      <c r="E1363" t="s">
        <v>29</v>
      </c>
      <c r="F1363">
        <v>1</v>
      </c>
      <c r="G1363" t="str" cm="1">
        <f t="array" ref="G1363">_xlfn.IFS(_xlfn.SINGLE(Table1[imd_decile])&lt;=3,"Most Deprived",F1363&lt;=7,"Moderately Deprived",F1363&lt;=10,"Least Deprived")</f>
        <v>Most Deprived</v>
      </c>
      <c r="H1363">
        <v>6.8</v>
      </c>
      <c r="I1363" t="s">
        <v>91</v>
      </c>
      <c r="J1363" t="s">
        <v>19</v>
      </c>
      <c r="K1363" s="1">
        <v>45806</v>
      </c>
      <c r="L1363" s="1">
        <v>45860</v>
      </c>
      <c r="M1363" s="1" t="str">
        <f>TEXT(Table1[[#This Row],[appointment_date]],"MM/YYYY")</f>
        <v>07/2025</v>
      </c>
      <c r="N1363">
        <v>54</v>
      </c>
      <c r="O1363" t="str" cm="1">
        <f t="array" ref="O1363">_xlfn.IFS(Table1[[#This Row],[lead_time_days]]&lt;=7,"0-7 days",N1363&lt;=14,"8-14 days",N1363&lt;=30,"15-30 days",N1363&lt;=60,"31-60 days",TRUE,"61+ days")</f>
        <v>31-60 days</v>
      </c>
      <c r="P1363" t="s">
        <v>71</v>
      </c>
      <c r="Q1363" t="s">
        <v>21</v>
      </c>
      <c r="R1363">
        <v>0</v>
      </c>
      <c r="S1363" t="str">
        <f>IF(Table1[prior_dna_count]&gt;=1,"Has prior DNA history","No prior DNA history")</f>
        <v>No prior DNA history</v>
      </c>
      <c r="T1363" t="s">
        <v>22</v>
      </c>
      <c r="U1363" t="str">
        <f t="shared" si="21"/>
        <v>1</v>
      </c>
      <c r="V1363" t="str">
        <f>IF(Table1[appointment_status]="Attended","1","0")</f>
        <v>1</v>
      </c>
      <c r="W1363" t="str">
        <f>IF(Table1[appointment_status]="Cancelled","1","0")</f>
        <v>0</v>
      </c>
    </row>
    <row r="1364" spans="1:23">
      <c r="A1364" t="s">
        <v>2326</v>
      </c>
      <c r="B1364" t="s">
        <v>2327</v>
      </c>
      <c r="C1364">
        <v>23</v>
      </c>
      <c r="D1364" t="str" cm="1">
        <f t="array" ref="D1364">_xlfn.IFS(Table1[[#This Row],[age]]&lt;=17,"0-17",C1364&lt;=29,"18-29",C1364&lt;=44,"30-44",C1364&lt;=59,"45-59",C1364&lt;=74,"60-74",TRUE,"75+")</f>
        <v>18-29</v>
      </c>
      <c r="E1364" t="s">
        <v>17</v>
      </c>
      <c r="F1364">
        <v>10</v>
      </c>
      <c r="G1364" t="str" cm="1">
        <f t="array" ref="G1364">_xlfn.IFS(_xlfn.SINGLE(Table1[imd_decile])&lt;=3,"Most Deprived",F1364&lt;=7,"Moderately Deprived",F1364&lt;=10,"Least Deprived")</f>
        <v>Least Deprived</v>
      </c>
      <c r="H1364">
        <v>3.5</v>
      </c>
      <c r="I1364" t="s">
        <v>25</v>
      </c>
      <c r="J1364" t="s">
        <v>19</v>
      </c>
      <c r="K1364" s="1">
        <v>45819</v>
      </c>
      <c r="L1364" s="1">
        <v>45860</v>
      </c>
      <c r="M1364" s="1" t="str">
        <f>TEXT(Table1[[#This Row],[appointment_date]],"MM/YYYY")</f>
        <v>07/2025</v>
      </c>
      <c r="N1364">
        <v>41</v>
      </c>
      <c r="O1364" t="str" cm="1">
        <f t="array" ref="O1364">_xlfn.IFS(Table1[[#This Row],[lead_time_days]]&lt;=7,"0-7 days",N1364&lt;=14,"8-14 days",N1364&lt;=30,"15-30 days",N1364&lt;=60,"31-60 days",TRUE,"61+ days")</f>
        <v>31-60 days</v>
      </c>
      <c r="P1364" t="s">
        <v>71</v>
      </c>
      <c r="Q1364" t="s">
        <v>21</v>
      </c>
      <c r="R1364">
        <v>0</v>
      </c>
      <c r="S1364" t="str">
        <f>IF(Table1[prior_dna_count]&gt;=1,"Has prior DNA history","No prior DNA history")</f>
        <v>No prior DNA history</v>
      </c>
      <c r="T1364" t="s">
        <v>22</v>
      </c>
      <c r="U1364" t="str">
        <f t="shared" si="21"/>
        <v>1</v>
      </c>
      <c r="V1364" t="str">
        <f>IF(Table1[appointment_status]="Attended","1","0")</f>
        <v>1</v>
      </c>
      <c r="W1364" t="str">
        <f>IF(Table1[appointment_status]="Cancelled","1","0")</f>
        <v>0</v>
      </c>
    </row>
    <row r="1365" spans="1:23">
      <c r="A1365" t="s">
        <v>2328</v>
      </c>
      <c r="B1365" t="s">
        <v>2119</v>
      </c>
      <c r="C1365">
        <v>56</v>
      </c>
      <c r="D1365" t="str" cm="1">
        <f t="array" ref="D1365">_xlfn.IFS(Table1[[#This Row],[age]]&lt;=17,"0-17",C1365&lt;=29,"18-29",C1365&lt;=44,"30-44",C1365&lt;=59,"45-59",C1365&lt;=74,"60-74",TRUE,"75+")</f>
        <v>45-59</v>
      </c>
      <c r="E1365" t="s">
        <v>17</v>
      </c>
      <c r="F1365">
        <v>1</v>
      </c>
      <c r="G1365" t="str" cm="1">
        <f t="array" ref="G1365">_xlfn.IFS(_xlfn.SINGLE(Table1[imd_decile])&lt;=3,"Most Deprived",F1365&lt;=7,"Moderately Deprived",F1365&lt;=10,"Least Deprived")</f>
        <v>Most Deprived</v>
      </c>
      <c r="H1365">
        <v>9.6999999999999993</v>
      </c>
      <c r="I1365" t="s">
        <v>91</v>
      </c>
      <c r="J1365" t="s">
        <v>26</v>
      </c>
      <c r="K1365" s="1">
        <v>45850</v>
      </c>
      <c r="L1365" s="1">
        <v>45860</v>
      </c>
      <c r="M1365" s="1" t="str">
        <f>TEXT(Table1[[#This Row],[appointment_date]],"MM/YYYY")</f>
        <v>07/2025</v>
      </c>
      <c r="N1365">
        <v>10</v>
      </c>
      <c r="O1365" t="str" cm="1">
        <f t="array" ref="O1365">_xlfn.IFS(Table1[[#This Row],[lead_time_days]]&lt;=7,"0-7 days",N1365&lt;=14,"8-14 days",N1365&lt;=30,"15-30 days",N1365&lt;=60,"31-60 days",TRUE,"61+ days")</f>
        <v>8-14 days</v>
      </c>
      <c r="P1365" t="s">
        <v>71</v>
      </c>
      <c r="Q1365" t="s">
        <v>32</v>
      </c>
      <c r="R1365">
        <v>0</v>
      </c>
      <c r="S1365" t="str">
        <f>IF(Table1[prior_dna_count]&gt;=1,"Has prior DNA history","No prior DNA history")</f>
        <v>No prior DNA history</v>
      </c>
      <c r="T1365" t="s">
        <v>22</v>
      </c>
      <c r="U1365" t="str">
        <f t="shared" si="21"/>
        <v>1</v>
      </c>
      <c r="V1365" t="str">
        <f>IF(Table1[appointment_status]="Attended","1","0")</f>
        <v>1</v>
      </c>
      <c r="W1365" t="str">
        <f>IF(Table1[appointment_status]="Cancelled","1","0")</f>
        <v>0</v>
      </c>
    </row>
    <row r="1366" spans="1:23">
      <c r="A1366" t="s">
        <v>2329</v>
      </c>
      <c r="B1366" t="s">
        <v>2330</v>
      </c>
      <c r="C1366">
        <v>54</v>
      </c>
      <c r="D1366" t="str" cm="1">
        <f t="array" ref="D1366">_xlfn.IFS(Table1[[#This Row],[age]]&lt;=17,"0-17",C1366&lt;=29,"18-29",C1366&lt;=44,"30-44",C1366&lt;=59,"45-59",C1366&lt;=74,"60-74",TRUE,"75+")</f>
        <v>45-59</v>
      </c>
      <c r="E1366" t="s">
        <v>29</v>
      </c>
      <c r="F1366">
        <v>9</v>
      </c>
      <c r="G1366" t="str" cm="1">
        <f t="array" ref="G1366">_xlfn.IFS(_xlfn.SINGLE(Table1[imd_decile])&lt;=3,"Most Deprived",F1366&lt;=7,"Moderately Deprived",F1366&lt;=10,"Least Deprived")</f>
        <v>Least Deprived</v>
      </c>
      <c r="H1366">
        <v>2.1</v>
      </c>
      <c r="I1366" t="s">
        <v>18</v>
      </c>
      <c r="J1366" t="s">
        <v>19</v>
      </c>
      <c r="K1366" s="1">
        <v>45795</v>
      </c>
      <c r="L1366" s="1">
        <v>45861</v>
      </c>
      <c r="M1366" s="1" t="str">
        <f>TEXT(Table1[[#This Row],[appointment_date]],"MM/YYYY")</f>
        <v>07/2025</v>
      </c>
      <c r="N1366">
        <v>66</v>
      </c>
      <c r="O1366" t="str" cm="1">
        <f t="array" ref="O1366">_xlfn.IFS(Table1[[#This Row],[lead_time_days]]&lt;=7,"0-7 days",N1366&lt;=14,"8-14 days",N1366&lt;=30,"15-30 days",N1366&lt;=60,"31-60 days",TRUE,"61+ days")</f>
        <v>61+ days</v>
      </c>
      <c r="P1366" t="s">
        <v>80</v>
      </c>
      <c r="Q1366" t="s">
        <v>21</v>
      </c>
      <c r="R1366">
        <v>0</v>
      </c>
      <c r="S1366" t="str">
        <f>IF(Table1[prior_dna_count]&gt;=1,"Has prior DNA history","No prior DNA history")</f>
        <v>No prior DNA history</v>
      </c>
      <c r="T1366" t="s">
        <v>22</v>
      </c>
      <c r="U1366" t="str">
        <f t="shared" si="21"/>
        <v>1</v>
      </c>
      <c r="V1366" t="str">
        <f>IF(Table1[appointment_status]="Attended","1","0")</f>
        <v>1</v>
      </c>
      <c r="W1366" t="str">
        <f>IF(Table1[appointment_status]="Cancelled","1","0")</f>
        <v>0</v>
      </c>
    </row>
    <row r="1367" spans="1:23">
      <c r="A1367" t="s">
        <v>2331</v>
      </c>
      <c r="B1367" t="s">
        <v>1604</v>
      </c>
      <c r="C1367">
        <v>67</v>
      </c>
      <c r="D1367" t="str" cm="1">
        <f t="array" ref="D1367">_xlfn.IFS(Table1[[#This Row],[age]]&lt;=17,"0-17",C1367&lt;=29,"18-29",C1367&lt;=44,"30-44",C1367&lt;=59,"45-59",C1367&lt;=74,"60-74",TRUE,"75+")</f>
        <v>60-74</v>
      </c>
      <c r="E1367" t="s">
        <v>29</v>
      </c>
      <c r="F1367">
        <v>4</v>
      </c>
      <c r="G1367" t="str" cm="1">
        <f t="array" ref="G1367">_xlfn.IFS(_xlfn.SINGLE(Table1[imd_decile])&lt;=3,"Most Deprived",F1367&lt;=7,"Moderately Deprived",F1367&lt;=10,"Least Deprived")</f>
        <v>Moderately Deprived</v>
      </c>
      <c r="H1367">
        <v>11.5</v>
      </c>
      <c r="I1367" t="s">
        <v>30</v>
      </c>
      <c r="J1367" t="s">
        <v>19</v>
      </c>
      <c r="K1367" s="1">
        <v>45833</v>
      </c>
      <c r="L1367" s="1">
        <v>45861</v>
      </c>
      <c r="M1367" s="1" t="str">
        <f>TEXT(Table1[[#This Row],[appointment_date]],"MM/YYYY")</f>
        <v>07/2025</v>
      </c>
      <c r="N1367">
        <v>28</v>
      </c>
      <c r="O1367" t="str" cm="1">
        <f t="array" ref="O1367">_xlfn.IFS(Table1[[#This Row],[lead_time_days]]&lt;=7,"0-7 days",N1367&lt;=14,"8-14 days",N1367&lt;=30,"15-30 days",N1367&lt;=60,"31-60 days",TRUE,"61+ days")</f>
        <v>15-30 days</v>
      </c>
      <c r="P1367" t="s">
        <v>80</v>
      </c>
      <c r="Q1367" t="s">
        <v>21</v>
      </c>
      <c r="R1367">
        <v>0</v>
      </c>
      <c r="S1367" t="str">
        <f>IF(Table1[prior_dna_count]&gt;=1,"Has prior DNA history","No prior DNA history")</f>
        <v>No prior DNA history</v>
      </c>
      <c r="T1367" t="s">
        <v>22</v>
      </c>
      <c r="U1367" t="str">
        <f t="shared" si="21"/>
        <v>1</v>
      </c>
      <c r="V1367" t="str">
        <f>IF(Table1[appointment_status]="Attended","1","0")</f>
        <v>1</v>
      </c>
      <c r="W1367" t="str">
        <f>IF(Table1[appointment_status]="Cancelled","1","0")</f>
        <v>0</v>
      </c>
    </row>
    <row r="1368" spans="1:23">
      <c r="A1368" t="s">
        <v>2332</v>
      </c>
      <c r="B1368" t="s">
        <v>926</v>
      </c>
      <c r="C1368">
        <v>31</v>
      </c>
      <c r="D1368" t="str" cm="1">
        <f t="array" ref="D1368">_xlfn.IFS(Table1[[#This Row],[age]]&lt;=17,"0-17",C1368&lt;=29,"18-29",C1368&lt;=44,"30-44",C1368&lt;=59,"45-59",C1368&lt;=74,"60-74",TRUE,"75+")</f>
        <v>30-44</v>
      </c>
      <c r="E1368" t="s">
        <v>29</v>
      </c>
      <c r="F1368">
        <v>2</v>
      </c>
      <c r="G1368" t="str" cm="1">
        <f t="array" ref="G1368">_xlfn.IFS(_xlfn.SINGLE(Table1[imd_decile])&lt;=3,"Most Deprived",F1368&lt;=7,"Moderately Deprived",F1368&lt;=10,"Least Deprived")</f>
        <v>Most Deprived</v>
      </c>
      <c r="H1368">
        <v>5.5</v>
      </c>
      <c r="I1368" t="s">
        <v>25</v>
      </c>
      <c r="J1368" t="s">
        <v>19</v>
      </c>
      <c r="K1368" s="1">
        <v>45849</v>
      </c>
      <c r="L1368" s="1">
        <v>45861</v>
      </c>
      <c r="M1368" s="1" t="str">
        <f>TEXT(Table1[[#This Row],[appointment_date]],"MM/YYYY")</f>
        <v>07/2025</v>
      </c>
      <c r="N1368">
        <v>12</v>
      </c>
      <c r="O1368" t="str" cm="1">
        <f t="array" ref="O1368">_xlfn.IFS(Table1[[#This Row],[lead_time_days]]&lt;=7,"0-7 days",N1368&lt;=14,"8-14 days",N1368&lt;=30,"15-30 days",N1368&lt;=60,"31-60 days",TRUE,"61+ days")</f>
        <v>8-14 days</v>
      </c>
      <c r="P1368" t="s">
        <v>80</v>
      </c>
      <c r="Q1368" t="s">
        <v>21</v>
      </c>
      <c r="R1368">
        <v>0</v>
      </c>
      <c r="S1368" t="str">
        <f>IF(Table1[prior_dna_count]&gt;=1,"Has prior DNA history","No prior DNA history")</f>
        <v>No prior DNA history</v>
      </c>
      <c r="T1368" t="s">
        <v>22</v>
      </c>
      <c r="U1368" t="str">
        <f t="shared" si="21"/>
        <v>1</v>
      </c>
      <c r="V1368" t="str">
        <f>IF(Table1[appointment_status]="Attended","1","0")</f>
        <v>1</v>
      </c>
      <c r="W1368" t="str">
        <f>IF(Table1[appointment_status]="Cancelled","1","0")</f>
        <v>0</v>
      </c>
    </row>
    <row r="1369" spans="1:23">
      <c r="A1369" t="s">
        <v>2333</v>
      </c>
      <c r="B1369" t="s">
        <v>2334</v>
      </c>
      <c r="C1369">
        <v>60</v>
      </c>
      <c r="D1369" t="str" cm="1">
        <f t="array" ref="D1369">_xlfn.IFS(Table1[[#This Row],[age]]&lt;=17,"0-17",C1369&lt;=29,"18-29",C1369&lt;=44,"30-44",C1369&lt;=59,"45-59",C1369&lt;=74,"60-74",TRUE,"75+")</f>
        <v>60-74</v>
      </c>
      <c r="E1369" t="s">
        <v>17</v>
      </c>
      <c r="F1369">
        <v>7</v>
      </c>
      <c r="G1369" t="str" cm="1">
        <f t="array" ref="G1369">_xlfn.IFS(_xlfn.SINGLE(Table1[imd_decile])&lt;=3,"Most Deprived",F1369&lt;=7,"Moderately Deprived",F1369&lt;=10,"Least Deprived")</f>
        <v>Moderately Deprived</v>
      </c>
      <c r="H1369">
        <v>8.6999999999999993</v>
      </c>
      <c r="I1369" t="s">
        <v>38</v>
      </c>
      <c r="J1369" t="s">
        <v>26</v>
      </c>
      <c r="K1369" s="1">
        <v>45834</v>
      </c>
      <c r="L1369" s="1">
        <v>45861</v>
      </c>
      <c r="M1369" s="1" t="str">
        <f>TEXT(Table1[[#This Row],[appointment_date]],"MM/YYYY")</f>
        <v>07/2025</v>
      </c>
      <c r="N1369">
        <v>27</v>
      </c>
      <c r="O1369" t="str" cm="1">
        <f t="array" ref="O1369">_xlfn.IFS(Table1[[#This Row],[lead_time_days]]&lt;=7,"0-7 days",N1369&lt;=14,"8-14 days",N1369&lt;=30,"15-30 days",N1369&lt;=60,"31-60 days",TRUE,"61+ days")</f>
        <v>15-30 days</v>
      </c>
      <c r="P1369" t="s">
        <v>80</v>
      </c>
      <c r="Q1369" t="s">
        <v>21</v>
      </c>
      <c r="R1369">
        <v>0</v>
      </c>
      <c r="S1369" t="str">
        <f>IF(Table1[prior_dna_count]&gt;=1,"Has prior DNA history","No prior DNA history")</f>
        <v>No prior DNA history</v>
      </c>
      <c r="T1369" t="s">
        <v>22</v>
      </c>
      <c r="U1369" t="str">
        <f t="shared" si="21"/>
        <v>1</v>
      </c>
      <c r="V1369" t="str">
        <f>IF(Table1[appointment_status]="Attended","1","0")</f>
        <v>1</v>
      </c>
      <c r="W1369" t="str">
        <f>IF(Table1[appointment_status]="Cancelled","1","0")</f>
        <v>0</v>
      </c>
    </row>
    <row r="1370" spans="1:23">
      <c r="A1370" t="s">
        <v>2335</v>
      </c>
      <c r="B1370" t="s">
        <v>819</v>
      </c>
      <c r="C1370">
        <v>49</v>
      </c>
      <c r="D1370" t="str" cm="1">
        <f t="array" ref="D1370">_xlfn.IFS(Table1[[#This Row],[age]]&lt;=17,"0-17",C1370&lt;=29,"18-29",C1370&lt;=44,"30-44",C1370&lt;=59,"45-59",C1370&lt;=74,"60-74",TRUE,"75+")</f>
        <v>45-59</v>
      </c>
      <c r="E1370" t="s">
        <v>17</v>
      </c>
      <c r="F1370">
        <v>4</v>
      </c>
      <c r="G1370" t="str" cm="1">
        <f t="array" ref="G1370">_xlfn.IFS(_xlfn.SINGLE(Table1[imd_decile])&lt;=3,"Most Deprived",F1370&lt;=7,"Moderately Deprived",F1370&lt;=10,"Least Deprived")</f>
        <v>Moderately Deprived</v>
      </c>
      <c r="H1370">
        <v>10.4</v>
      </c>
      <c r="I1370" t="s">
        <v>18</v>
      </c>
      <c r="J1370" t="s">
        <v>19</v>
      </c>
      <c r="K1370" s="1">
        <v>45811</v>
      </c>
      <c r="L1370" s="1">
        <v>45861</v>
      </c>
      <c r="M1370" s="1" t="str">
        <f>TEXT(Table1[[#This Row],[appointment_date]],"MM/YYYY")</f>
        <v>07/2025</v>
      </c>
      <c r="N1370">
        <v>50</v>
      </c>
      <c r="O1370" t="str" cm="1">
        <f t="array" ref="O1370">_xlfn.IFS(Table1[[#This Row],[lead_time_days]]&lt;=7,"0-7 days",N1370&lt;=14,"8-14 days",N1370&lt;=30,"15-30 days",N1370&lt;=60,"31-60 days",TRUE,"61+ days")</f>
        <v>31-60 days</v>
      </c>
      <c r="P1370" t="s">
        <v>80</v>
      </c>
      <c r="Q1370" t="s">
        <v>21</v>
      </c>
      <c r="R1370">
        <v>0</v>
      </c>
      <c r="S1370" t="str">
        <f>IF(Table1[prior_dna_count]&gt;=1,"Has prior DNA history","No prior DNA history")</f>
        <v>No prior DNA history</v>
      </c>
      <c r="T1370" t="s">
        <v>39</v>
      </c>
      <c r="U1370" t="str">
        <f t="shared" si="21"/>
        <v>1</v>
      </c>
      <c r="V1370" t="str">
        <f>IF(Table1[appointment_status]="Attended","1","0")</f>
        <v>0</v>
      </c>
      <c r="W1370" t="str">
        <f>IF(Table1[appointment_status]="Cancelled","1","0")</f>
        <v>0</v>
      </c>
    </row>
    <row r="1371" spans="1:23">
      <c r="A1371" t="s">
        <v>2336</v>
      </c>
      <c r="B1371" t="s">
        <v>977</v>
      </c>
      <c r="C1371">
        <v>74</v>
      </c>
      <c r="D1371" t="str" cm="1">
        <f t="array" ref="D1371">_xlfn.IFS(Table1[[#This Row],[age]]&lt;=17,"0-17",C1371&lt;=29,"18-29",C1371&lt;=44,"30-44",C1371&lt;=59,"45-59",C1371&lt;=74,"60-74",TRUE,"75+")</f>
        <v>60-74</v>
      </c>
      <c r="E1371" t="s">
        <v>29</v>
      </c>
      <c r="F1371">
        <v>4</v>
      </c>
      <c r="G1371" t="str" cm="1">
        <f t="array" ref="G1371">_xlfn.IFS(_xlfn.SINGLE(Table1[imd_decile])&lt;=3,"Most Deprived",F1371&lt;=7,"Moderately Deprived",F1371&lt;=10,"Least Deprived")</f>
        <v>Moderately Deprived</v>
      </c>
      <c r="H1371">
        <v>4.2</v>
      </c>
      <c r="I1371" t="s">
        <v>91</v>
      </c>
      <c r="J1371" t="s">
        <v>26</v>
      </c>
      <c r="K1371" s="1">
        <v>45855</v>
      </c>
      <c r="L1371" s="1">
        <v>45861</v>
      </c>
      <c r="M1371" s="1" t="str">
        <f>TEXT(Table1[[#This Row],[appointment_date]],"MM/YYYY")</f>
        <v>07/2025</v>
      </c>
      <c r="N1371">
        <v>6</v>
      </c>
      <c r="O1371" t="str" cm="1">
        <f t="array" ref="O1371">_xlfn.IFS(Table1[[#This Row],[lead_time_days]]&lt;=7,"0-7 days",N1371&lt;=14,"8-14 days",N1371&lt;=30,"15-30 days",N1371&lt;=60,"31-60 days",TRUE,"61+ days")</f>
        <v>0-7 days</v>
      </c>
      <c r="P1371" t="s">
        <v>80</v>
      </c>
      <c r="Q1371" t="s">
        <v>21</v>
      </c>
      <c r="R1371">
        <v>0</v>
      </c>
      <c r="S1371" t="str">
        <f>IF(Table1[prior_dna_count]&gt;=1,"Has prior DNA history","No prior DNA history")</f>
        <v>No prior DNA history</v>
      </c>
      <c r="T1371" t="s">
        <v>22</v>
      </c>
      <c r="U1371" t="str">
        <f t="shared" si="21"/>
        <v>0</v>
      </c>
      <c r="V1371" t="str">
        <f>IF(Table1[appointment_status]="Attended","1","0")</f>
        <v>1</v>
      </c>
      <c r="W1371" t="str">
        <f>IF(Table1[appointment_status]="Cancelled","1","0")</f>
        <v>0</v>
      </c>
    </row>
    <row r="1372" spans="1:23">
      <c r="A1372" t="s">
        <v>2337</v>
      </c>
      <c r="B1372" t="s">
        <v>2338</v>
      </c>
      <c r="C1372">
        <v>58</v>
      </c>
      <c r="D1372" t="str" cm="1">
        <f t="array" ref="D1372">_xlfn.IFS(Table1[[#This Row],[age]]&lt;=17,"0-17",C1372&lt;=29,"18-29",C1372&lt;=44,"30-44",C1372&lt;=59,"45-59",C1372&lt;=74,"60-74",TRUE,"75+")</f>
        <v>45-59</v>
      </c>
      <c r="E1372" t="s">
        <v>29</v>
      </c>
      <c r="F1372">
        <v>6</v>
      </c>
      <c r="G1372" t="str" cm="1">
        <f t="array" ref="G1372">_xlfn.IFS(_xlfn.SINGLE(Table1[imd_decile])&lt;=3,"Most Deprived",F1372&lt;=7,"Moderately Deprived",F1372&lt;=10,"Least Deprived")</f>
        <v>Moderately Deprived</v>
      </c>
      <c r="H1372">
        <v>8.5</v>
      </c>
      <c r="I1372" t="s">
        <v>91</v>
      </c>
      <c r="J1372" t="s">
        <v>19</v>
      </c>
      <c r="K1372" s="1">
        <v>45806</v>
      </c>
      <c r="L1372" s="1">
        <v>45862</v>
      </c>
      <c r="M1372" s="1" t="str">
        <f>TEXT(Table1[[#This Row],[appointment_date]],"MM/YYYY")</f>
        <v>07/2025</v>
      </c>
      <c r="N1372">
        <v>56</v>
      </c>
      <c r="O1372" t="str" cm="1">
        <f t="array" ref="O1372">_xlfn.IFS(Table1[[#This Row],[lead_time_days]]&lt;=7,"0-7 days",N1372&lt;=14,"8-14 days",N1372&lt;=30,"15-30 days",N1372&lt;=60,"31-60 days",TRUE,"61+ days")</f>
        <v>31-60 days</v>
      </c>
      <c r="P1372" t="s">
        <v>20</v>
      </c>
      <c r="Q1372" t="s">
        <v>32</v>
      </c>
      <c r="R1372">
        <v>0</v>
      </c>
      <c r="S1372" t="str">
        <f>IF(Table1[prior_dna_count]&gt;=1,"Has prior DNA history","No prior DNA history")</f>
        <v>No prior DNA history</v>
      </c>
      <c r="T1372" t="s">
        <v>39</v>
      </c>
      <c r="U1372" t="str">
        <f t="shared" si="21"/>
        <v>1</v>
      </c>
      <c r="V1372" t="str">
        <f>IF(Table1[appointment_status]="Attended","1","0")</f>
        <v>0</v>
      </c>
      <c r="W1372" t="str">
        <f>IF(Table1[appointment_status]="Cancelled","1","0")</f>
        <v>0</v>
      </c>
    </row>
    <row r="1373" spans="1:23">
      <c r="A1373" t="s">
        <v>2339</v>
      </c>
      <c r="B1373" t="s">
        <v>1124</v>
      </c>
      <c r="C1373">
        <v>43</v>
      </c>
      <c r="D1373" t="str" cm="1">
        <f t="array" ref="D1373">_xlfn.IFS(Table1[[#This Row],[age]]&lt;=17,"0-17",C1373&lt;=29,"18-29",C1373&lt;=44,"30-44",C1373&lt;=59,"45-59",C1373&lt;=74,"60-74",TRUE,"75+")</f>
        <v>30-44</v>
      </c>
      <c r="E1373" t="s">
        <v>17</v>
      </c>
      <c r="F1373">
        <v>5</v>
      </c>
      <c r="G1373" t="str" cm="1">
        <f t="array" ref="G1373">_xlfn.IFS(_xlfn.SINGLE(Table1[imd_decile])&lt;=3,"Most Deprived",F1373&lt;=7,"Moderately Deprived",F1373&lt;=10,"Least Deprived")</f>
        <v>Moderately Deprived</v>
      </c>
      <c r="H1373">
        <v>6.5</v>
      </c>
      <c r="I1373" t="s">
        <v>45</v>
      </c>
      <c r="J1373" t="s">
        <v>26</v>
      </c>
      <c r="K1373" s="1">
        <v>45846</v>
      </c>
      <c r="L1373" s="1">
        <v>45862</v>
      </c>
      <c r="M1373" s="1" t="str">
        <f>TEXT(Table1[[#This Row],[appointment_date]],"MM/YYYY")</f>
        <v>07/2025</v>
      </c>
      <c r="N1373">
        <v>16</v>
      </c>
      <c r="O1373" t="str" cm="1">
        <f t="array" ref="O1373">_xlfn.IFS(Table1[[#This Row],[lead_time_days]]&lt;=7,"0-7 days",N1373&lt;=14,"8-14 days",N1373&lt;=30,"15-30 days",N1373&lt;=60,"31-60 days",TRUE,"61+ days")</f>
        <v>15-30 days</v>
      </c>
      <c r="P1373" t="s">
        <v>20</v>
      </c>
      <c r="Q1373" t="s">
        <v>32</v>
      </c>
      <c r="R1373">
        <v>0</v>
      </c>
      <c r="S1373" t="str">
        <f>IF(Table1[prior_dna_count]&gt;=1,"Has prior DNA history","No prior DNA history")</f>
        <v>No prior DNA history</v>
      </c>
      <c r="T1373" t="s">
        <v>22</v>
      </c>
      <c r="U1373" t="str">
        <f t="shared" si="21"/>
        <v>0</v>
      </c>
      <c r="V1373" t="str">
        <f>IF(Table1[appointment_status]="Attended","1","0")</f>
        <v>1</v>
      </c>
      <c r="W1373" t="str">
        <f>IF(Table1[appointment_status]="Cancelled","1","0")</f>
        <v>0</v>
      </c>
    </row>
    <row r="1374" spans="1:23">
      <c r="A1374" t="s">
        <v>2340</v>
      </c>
      <c r="B1374" t="s">
        <v>2341</v>
      </c>
      <c r="C1374">
        <v>52</v>
      </c>
      <c r="D1374" t="str" cm="1">
        <f t="array" ref="D1374">_xlfn.IFS(Table1[[#This Row],[age]]&lt;=17,"0-17",C1374&lt;=29,"18-29",C1374&lt;=44,"30-44",C1374&lt;=59,"45-59",C1374&lt;=74,"60-74",TRUE,"75+")</f>
        <v>45-59</v>
      </c>
      <c r="E1374" t="s">
        <v>29</v>
      </c>
      <c r="F1374">
        <v>7</v>
      </c>
      <c r="G1374" t="str" cm="1">
        <f t="array" ref="G1374">_xlfn.IFS(_xlfn.SINGLE(Table1[imd_decile])&lt;=3,"Most Deprived",F1374&lt;=7,"Moderately Deprived",F1374&lt;=10,"Least Deprived")</f>
        <v>Moderately Deprived</v>
      </c>
      <c r="H1374">
        <v>4.4000000000000004</v>
      </c>
      <c r="I1374" t="s">
        <v>91</v>
      </c>
      <c r="J1374" t="s">
        <v>19</v>
      </c>
      <c r="K1374" s="1">
        <v>45839</v>
      </c>
      <c r="L1374" s="1">
        <v>45862</v>
      </c>
      <c r="M1374" s="1" t="str">
        <f>TEXT(Table1[[#This Row],[appointment_date]],"MM/YYYY")</f>
        <v>07/2025</v>
      </c>
      <c r="N1374">
        <v>23</v>
      </c>
      <c r="O1374" t="str" cm="1">
        <f t="array" ref="O1374">_xlfn.IFS(Table1[[#This Row],[lead_time_days]]&lt;=7,"0-7 days",N1374&lt;=14,"8-14 days",N1374&lt;=30,"15-30 days",N1374&lt;=60,"31-60 days",TRUE,"61+ days")</f>
        <v>15-30 days</v>
      </c>
      <c r="P1374" t="s">
        <v>20</v>
      </c>
      <c r="Q1374" t="s">
        <v>21</v>
      </c>
      <c r="R1374">
        <v>0</v>
      </c>
      <c r="S1374" t="str">
        <f>IF(Table1[prior_dna_count]&gt;=1,"Has prior DNA history","No prior DNA history")</f>
        <v>No prior DNA history</v>
      </c>
      <c r="T1374" t="s">
        <v>22</v>
      </c>
      <c r="U1374" t="str">
        <f t="shared" si="21"/>
        <v>1</v>
      </c>
      <c r="V1374" t="str">
        <f>IF(Table1[appointment_status]="Attended","1","0")</f>
        <v>1</v>
      </c>
      <c r="W1374" t="str">
        <f>IF(Table1[appointment_status]="Cancelled","1","0")</f>
        <v>0</v>
      </c>
    </row>
    <row r="1375" spans="1:23">
      <c r="A1375" t="s">
        <v>2342</v>
      </c>
      <c r="B1375" t="s">
        <v>2343</v>
      </c>
      <c r="C1375">
        <v>30</v>
      </c>
      <c r="D1375" t="str" cm="1">
        <f t="array" ref="D1375">_xlfn.IFS(Table1[[#This Row],[age]]&lt;=17,"0-17",C1375&lt;=29,"18-29",C1375&lt;=44,"30-44",C1375&lt;=59,"45-59",C1375&lt;=74,"60-74",TRUE,"75+")</f>
        <v>30-44</v>
      </c>
      <c r="E1375" t="s">
        <v>29</v>
      </c>
      <c r="F1375">
        <v>10</v>
      </c>
      <c r="G1375" t="str" cm="1">
        <f t="array" ref="G1375">_xlfn.IFS(_xlfn.SINGLE(Table1[imd_decile])&lt;=3,"Most Deprived",F1375&lt;=7,"Moderately Deprived",F1375&lt;=10,"Least Deprived")</f>
        <v>Least Deprived</v>
      </c>
      <c r="H1375">
        <v>9.5</v>
      </c>
      <c r="I1375" t="s">
        <v>49</v>
      </c>
      <c r="J1375" t="s">
        <v>26</v>
      </c>
      <c r="K1375" s="1">
        <v>45845</v>
      </c>
      <c r="L1375" s="1">
        <v>45862</v>
      </c>
      <c r="M1375" s="1" t="str">
        <f>TEXT(Table1[[#This Row],[appointment_date]],"MM/YYYY")</f>
        <v>07/2025</v>
      </c>
      <c r="N1375">
        <v>17</v>
      </c>
      <c r="O1375" t="str" cm="1">
        <f t="array" ref="O1375">_xlfn.IFS(Table1[[#This Row],[lead_time_days]]&lt;=7,"0-7 days",N1375&lt;=14,"8-14 days",N1375&lt;=30,"15-30 days",N1375&lt;=60,"31-60 days",TRUE,"61+ days")</f>
        <v>15-30 days</v>
      </c>
      <c r="P1375" t="s">
        <v>20</v>
      </c>
      <c r="Q1375" t="s">
        <v>21</v>
      </c>
      <c r="R1375">
        <v>0</v>
      </c>
      <c r="S1375" t="str">
        <f>IF(Table1[prior_dna_count]&gt;=1,"Has prior DNA history","No prior DNA history")</f>
        <v>No prior DNA history</v>
      </c>
      <c r="T1375" t="s">
        <v>22</v>
      </c>
      <c r="U1375" t="str">
        <f t="shared" si="21"/>
        <v>1</v>
      </c>
      <c r="V1375" t="str">
        <f>IF(Table1[appointment_status]="Attended","1","0")</f>
        <v>1</v>
      </c>
      <c r="W1375" t="str">
        <f>IF(Table1[appointment_status]="Cancelled","1","0")</f>
        <v>0</v>
      </c>
    </row>
    <row r="1376" spans="1:23">
      <c r="A1376" t="s">
        <v>2344</v>
      </c>
      <c r="B1376" t="s">
        <v>2345</v>
      </c>
      <c r="C1376">
        <v>55</v>
      </c>
      <c r="D1376" t="str" cm="1">
        <f t="array" ref="D1376">_xlfn.IFS(Table1[[#This Row],[age]]&lt;=17,"0-17",C1376&lt;=29,"18-29",C1376&lt;=44,"30-44",C1376&lt;=59,"45-59",C1376&lt;=74,"60-74",TRUE,"75+")</f>
        <v>45-59</v>
      </c>
      <c r="E1376" t="s">
        <v>17</v>
      </c>
      <c r="F1376">
        <v>7</v>
      </c>
      <c r="G1376" t="str" cm="1">
        <f t="array" ref="G1376">_xlfn.IFS(_xlfn.SINGLE(Table1[imd_decile])&lt;=3,"Most Deprived",F1376&lt;=7,"Moderately Deprived",F1376&lt;=10,"Least Deprived")</f>
        <v>Moderately Deprived</v>
      </c>
      <c r="H1376">
        <v>6.4</v>
      </c>
      <c r="I1376" t="s">
        <v>91</v>
      </c>
      <c r="J1376" t="s">
        <v>19</v>
      </c>
      <c r="K1376" s="1">
        <v>45824</v>
      </c>
      <c r="L1376" s="1">
        <v>45862</v>
      </c>
      <c r="M1376" s="1" t="str">
        <f>TEXT(Table1[[#This Row],[appointment_date]],"MM/YYYY")</f>
        <v>07/2025</v>
      </c>
      <c r="N1376">
        <v>38</v>
      </c>
      <c r="O1376" t="str" cm="1">
        <f t="array" ref="O1376">_xlfn.IFS(Table1[[#This Row],[lead_time_days]]&lt;=7,"0-7 days",N1376&lt;=14,"8-14 days",N1376&lt;=30,"15-30 days",N1376&lt;=60,"31-60 days",TRUE,"61+ days")</f>
        <v>31-60 days</v>
      </c>
      <c r="P1376" t="s">
        <v>20</v>
      </c>
      <c r="Q1376" t="s">
        <v>21</v>
      </c>
      <c r="R1376">
        <v>0</v>
      </c>
      <c r="S1376" t="str">
        <f>IF(Table1[prior_dna_count]&gt;=1,"Has prior DNA history","No prior DNA history")</f>
        <v>No prior DNA history</v>
      </c>
      <c r="T1376" t="s">
        <v>22</v>
      </c>
      <c r="U1376" t="str">
        <f t="shared" si="21"/>
        <v>1</v>
      </c>
      <c r="V1376" t="str">
        <f>IF(Table1[appointment_status]="Attended","1","0")</f>
        <v>1</v>
      </c>
      <c r="W1376" t="str">
        <f>IF(Table1[appointment_status]="Cancelled","1","0")</f>
        <v>0</v>
      </c>
    </row>
    <row r="1377" spans="1:23">
      <c r="A1377" t="s">
        <v>2346</v>
      </c>
      <c r="B1377" t="s">
        <v>2347</v>
      </c>
      <c r="C1377">
        <v>61</v>
      </c>
      <c r="D1377" t="str" cm="1">
        <f t="array" ref="D1377">_xlfn.IFS(Table1[[#This Row],[age]]&lt;=17,"0-17",C1377&lt;=29,"18-29",C1377&lt;=44,"30-44",C1377&lt;=59,"45-59",C1377&lt;=74,"60-74",TRUE,"75+")</f>
        <v>60-74</v>
      </c>
      <c r="E1377" t="s">
        <v>17</v>
      </c>
      <c r="F1377">
        <v>9</v>
      </c>
      <c r="G1377" t="str" cm="1">
        <f t="array" ref="G1377">_xlfn.IFS(_xlfn.SINGLE(Table1[imd_decile])&lt;=3,"Most Deprived",F1377&lt;=7,"Moderately Deprived",F1377&lt;=10,"Least Deprived")</f>
        <v>Least Deprived</v>
      </c>
      <c r="H1377">
        <v>9.1</v>
      </c>
      <c r="I1377" t="s">
        <v>91</v>
      </c>
      <c r="J1377" t="s">
        <v>19</v>
      </c>
      <c r="K1377" s="1">
        <v>45835</v>
      </c>
      <c r="L1377" s="1">
        <v>45862</v>
      </c>
      <c r="M1377" s="1" t="str">
        <f>TEXT(Table1[[#This Row],[appointment_date]],"MM/YYYY")</f>
        <v>07/2025</v>
      </c>
      <c r="N1377">
        <v>27</v>
      </c>
      <c r="O1377" t="str" cm="1">
        <f t="array" ref="O1377">_xlfn.IFS(Table1[[#This Row],[lead_time_days]]&lt;=7,"0-7 days",N1377&lt;=14,"8-14 days",N1377&lt;=30,"15-30 days",N1377&lt;=60,"31-60 days",TRUE,"61+ days")</f>
        <v>15-30 days</v>
      </c>
      <c r="P1377" t="s">
        <v>20</v>
      </c>
      <c r="Q1377" t="s">
        <v>21</v>
      </c>
      <c r="R1377">
        <v>0</v>
      </c>
      <c r="S1377" t="str">
        <f>IF(Table1[prior_dna_count]&gt;=1,"Has prior DNA history","No prior DNA history")</f>
        <v>No prior DNA history</v>
      </c>
      <c r="T1377" t="s">
        <v>22</v>
      </c>
      <c r="U1377" t="str">
        <f t="shared" si="21"/>
        <v>1</v>
      </c>
      <c r="V1377" t="str">
        <f>IF(Table1[appointment_status]="Attended","1","0")</f>
        <v>1</v>
      </c>
      <c r="W1377" t="str">
        <f>IF(Table1[appointment_status]="Cancelled","1","0")</f>
        <v>0</v>
      </c>
    </row>
    <row r="1378" spans="1:23">
      <c r="A1378" t="s">
        <v>2348</v>
      </c>
      <c r="B1378" t="s">
        <v>1407</v>
      </c>
      <c r="C1378">
        <v>48</v>
      </c>
      <c r="D1378" t="str" cm="1">
        <f t="array" ref="D1378">_xlfn.IFS(Table1[[#This Row],[age]]&lt;=17,"0-17",C1378&lt;=29,"18-29",C1378&lt;=44,"30-44",C1378&lt;=59,"45-59",C1378&lt;=74,"60-74",TRUE,"75+")</f>
        <v>45-59</v>
      </c>
      <c r="E1378" t="s">
        <v>17</v>
      </c>
      <c r="F1378">
        <v>7</v>
      </c>
      <c r="G1378" t="str" cm="1">
        <f t="array" ref="G1378">_xlfn.IFS(_xlfn.SINGLE(Table1[imd_decile])&lt;=3,"Most Deprived",F1378&lt;=7,"Moderately Deprived",F1378&lt;=10,"Least Deprived")</f>
        <v>Moderately Deprived</v>
      </c>
      <c r="H1378">
        <v>3.8</v>
      </c>
      <c r="I1378" t="s">
        <v>18</v>
      </c>
      <c r="J1378" t="s">
        <v>19</v>
      </c>
      <c r="K1378" s="1">
        <v>45839</v>
      </c>
      <c r="L1378" s="1">
        <v>45862</v>
      </c>
      <c r="M1378" s="1" t="str">
        <f>TEXT(Table1[[#This Row],[appointment_date]],"MM/YYYY")</f>
        <v>07/2025</v>
      </c>
      <c r="N1378">
        <v>23</v>
      </c>
      <c r="O1378" t="str" cm="1">
        <f t="array" ref="O1378">_xlfn.IFS(Table1[[#This Row],[lead_time_days]]&lt;=7,"0-7 days",N1378&lt;=14,"8-14 days",N1378&lt;=30,"15-30 days",N1378&lt;=60,"31-60 days",TRUE,"61+ days")</f>
        <v>15-30 days</v>
      </c>
      <c r="P1378" t="s">
        <v>20</v>
      </c>
      <c r="Q1378" t="s">
        <v>32</v>
      </c>
      <c r="R1378">
        <v>0</v>
      </c>
      <c r="S1378" t="str">
        <f>IF(Table1[prior_dna_count]&gt;=1,"Has prior DNA history","No prior DNA history")</f>
        <v>No prior DNA history</v>
      </c>
      <c r="T1378" t="s">
        <v>39</v>
      </c>
      <c r="U1378" t="str">
        <f t="shared" si="21"/>
        <v>1</v>
      </c>
      <c r="V1378" t="str">
        <f>IF(Table1[appointment_status]="Attended","1","0")</f>
        <v>0</v>
      </c>
      <c r="W1378" t="str">
        <f>IF(Table1[appointment_status]="Cancelled","1","0")</f>
        <v>0</v>
      </c>
    </row>
    <row r="1379" spans="1:23">
      <c r="A1379" t="s">
        <v>2349</v>
      </c>
      <c r="B1379" t="s">
        <v>2350</v>
      </c>
      <c r="C1379">
        <v>20</v>
      </c>
      <c r="D1379" t="str" cm="1">
        <f t="array" ref="D1379">_xlfn.IFS(Table1[[#This Row],[age]]&lt;=17,"0-17",C1379&lt;=29,"18-29",C1379&lt;=44,"30-44",C1379&lt;=59,"45-59",C1379&lt;=74,"60-74",TRUE,"75+")</f>
        <v>18-29</v>
      </c>
      <c r="E1379" t="s">
        <v>29</v>
      </c>
      <c r="F1379">
        <v>8</v>
      </c>
      <c r="G1379" t="str" cm="1">
        <f t="array" ref="G1379">_xlfn.IFS(_xlfn.SINGLE(Table1[imd_decile])&lt;=3,"Most Deprived",F1379&lt;=7,"Moderately Deprived",F1379&lt;=10,"Least Deprived")</f>
        <v>Least Deprived</v>
      </c>
      <c r="H1379">
        <v>10.3</v>
      </c>
      <c r="I1379" t="s">
        <v>45</v>
      </c>
      <c r="J1379" t="s">
        <v>19</v>
      </c>
      <c r="K1379" s="1">
        <v>45821</v>
      </c>
      <c r="L1379" s="1">
        <v>45862</v>
      </c>
      <c r="M1379" s="1" t="str">
        <f>TEXT(Table1[[#This Row],[appointment_date]],"MM/YYYY")</f>
        <v>07/2025</v>
      </c>
      <c r="N1379">
        <v>41</v>
      </c>
      <c r="O1379" t="str" cm="1">
        <f t="array" ref="O1379">_xlfn.IFS(Table1[[#This Row],[lead_time_days]]&lt;=7,"0-7 days",N1379&lt;=14,"8-14 days",N1379&lt;=30,"15-30 days",N1379&lt;=60,"31-60 days",TRUE,"61+ days")</f>
        <v>31-60 days</v>
      </c>
      <c r="P1379" t="s">
        <v>20</v>
      </c>
      <c r="Q1379" t="s">
        <v>21</v>
      </c>
      <c r="R1379">
        <v>0</v>
      </c>
      <c r="S1379" t="str">
        <f>IF(Table1[prior_dna_count]&gt;=1,"Has prior DNA history","No prior DNA history")</f>
        <v>No prior DNA history</v>
      </c>
      <c r="T1379" t="s">
        <v>22</v>
      </c>
      <c r="U1379" t="str">
        <f t="shared" si="21"/>
        <v>0</v>
      </c>
      <c r="V1379" t="str">
        <f>IF(Table1[appointment_status]="Attended","1","0")</f>
        <v>1</v>
      </c>
      <c r="W1379" t="str">
        <f>IF(Table1[appointment_status]="Cancelled","1","0")</f>
        <v>0</v>
      </c>
    </row>
    <row r="1380" spans="1:23">
      <c r="A1380" t="s">
        <v>2351</v>
      </c>
      <c r="B1380" t="s">
        <v>1553</v>
      </c>
      <c r="C1380">
        <v>48</v>
      </c>
      <c r="D1380" t="str" cm="1">
        <f t="array" ref="D1380">_xlfn.IFS(Table1[[#This Row],[age]]&lt;=17,"0-17",C1380&lt;=29,"18-29",C1380&lt;=44,"30-44",C1380&lt;=59,"45-59",C1380&lt;=74,"60-74",TRUE,"75+")</f>
        <v>45-59</v>
      </c>
      <c r="E1380" t="s">
        <v>29</v>
      </c>
      <c r="F1380">
        <v>3</v>
      </c>
      <c r="G1380" t="str" cm="1">
        <f t="array" ref="G1380">_xlfn.IFS(_xlfn.SINGLE(Table1[imd_decile])&lt;=3,"Most Deprived",F1380&lt;=7,"Moderately Deprived",F1380&lt;=10,"Least Deprived")</f>
        <v>Most Deprived</v>
      </c>
      <c r="H1380">
        <v>9.1999999999999993</v>
      </c>
      <c r="I1380" t="s">
        <v>18</v>
      </c>
      <c r="J1380" t="s">
        <v>19</v>
      </c>
      <c r="K1380" s="1">
        <v>45799</v>
      </c>
      <c r="L1380" s="1">
        <v>45862</v>
      </c>
      <c r="M1380" s="1" t="str">
        <f>TEXT(Table1[[#This Row],[appointment_date]],"MM/YYYY")</f>
        <v>07/2025</v>
      </c>
      <c r="N1380">
        <v>63</v>
      </c>
      <c r="O1380" t="str" cm="1">
        <f t="array" ref="O1380">_xlfn.IFS(Table1[[#This Row],[lead_time_days]]&lt;=7,"0-7 days",N1380&lt;=14,"8-14 days",N1380&lt;=30,"15-30 days",N1380&lt;=60,"31-60 days",TRUE,"61+ days")</f>
        <v>61+ days</v>
      </c>
      <c r="P1380" t="s">
        <v>20</v>
      </c>
      <c r="Q1380" t="s">
        <v>21</v>
      </c>
      <c r="R1380">
        <v>0</v>
      </c>
      <c r="S1380" t="str">
        <f>IF(Table1[prior_dna_count]&gt;=1,"Has prior DNA history","No prior DNA history")</f>
        <v>No prior DNA history</v>
      </c>
      <c r="T1380" t="s">
        <v>39</v>
      </c>
      <c r="U1380" t="str">
        <f t="shared" si="21"/>
        <v>1</v>
      </c>
      <c r="V1380" t="str">
        <f>IF(Table1[appointment_status]="Attended","1","0")</f>
        <v>0</v>
      </c>
      <c r="W1380" t="str">
        <f>IF(Table1[appointment_status]="Cancelled","1","0")</f>
        <v>0</v>
      </c>
    </row>
    <row r="1381" spans="1:23">
      <c r="A1381" t="s">
        <v>2352</v>
      </c>
      <c r="B1381" t="s">
        <v>2353</v>
      </c>
      <c r="C1381">
        <v>76</v>
      </c>
      <c r="D1381" t="str" cm="1">
        <f t="array" ref="D1381">_xlfn.IFS(Table1[[#This Row],[age]]&lt;=17,"0-17",C1381&lt;=29,"18-29",C1381&lt;=44,"30-44",C1381&lt;=59,"45-59",C1381&lt;=74,"60-74",TRUE,"75+")</f>
        <v>75+</v>
      </c>
      <c r="E1381" t="s">
        <v>17</v>
      </c>
      <c r="F1381">
        <v>3</v>
      </c>
      <c r="G1381" t="str" cm="1">
        <f t="array" ref="G1381">_xlfn.IFS(_xlfn.SINGLE(Table1[imd_decile])&lt;=3,"Most Deprived",F1381&lt;=7,"Moderately Deprived",F1381&lt;=10,"Least Deprived")</f>
        <v>Most Deprived</v>
      </c>
      <c r="H1381">
        <v>8.6</v>
      </c>
      <c r="I1381" t="s">
        <v>49</v>
      </c>
      <c r="J1381" t="s">
        <v>19</v>
      </c>
      <c r="K1381" s="1">
        <v>45833</v>
      </c>
      <c r="L1381" s="1">
        <v>45862</v>
      </c>
      <c r="M1381" s="1" t="str">
        <f>TEXT(Table1[[#This Row],[appointment_date]],"MM/YYYY")</f>
        <v>07/2025</v>
      </c>
      <c r="N1381">
        <v>29</v>
      </c>
      <c r="O1381" t="str" cm="1">
        <f t="array" ref="O1381">_xlfn.IFS(Table1[[#This Row],[lead_time_days]]&lt;=7,"0-7 days",N1381&lt;=14,"8-14 days",N1381&lt;=30,"15-30 days",N1381&lt;=60,"31-60 days",TRUE,"61+ days")</f>
        <v>15-30 days</v>
      </c>
      <c r="P1381" t="s">
        <v>20</v>
      </c>
      <c r="Q1381" t="s">
        <v>21</v>
      </c>
      <c r="R1381">
        <v>0</v>
      </c>
      <c r="S1381" t="str">
        <f>IF(Table1[prior_dna_count]&gt;=1,"Has prior DNA history","No prior DNA history")</f>
        <v>No prior DNA history</v>
      </c>
      <c r="T1381" t="s">
        <v>22</v>
      </c>
      <c r="U1381" t="str">
        <f t="shared" si="21"/>
        <v>0</v>
      </c>
      <c r="V1381" t="str">
        <f>IF(Table1[appointment_status]="Attended","1","0")</f>
        <v>1</v>
      </c>
      <c r="W1381" t="str">
        <f>IF(Table1[appointment_status]="Cancelled","1","0")</f>
        <v>0</v>
      </c>
    </row>
    <row r="1382" spans="1:23">
      <c r="A1382" t="s">
        <v>2354</v>
      </c>
      <c r="B1382" t="s">
        <v>2355</v>
      </c>
      <c r="C1382">
        <v>31</v>
      </c>
      <c r="D1382" t="str" cm="1">
        <f t="array" ref="D1382">_xlfn.IFS(Table1[[#This Row],[age]]&lt;=17,"0-17",C1382&lt;=29,"18-29",C1382&lt;=44,"30-44",C1382&lt;=59,"45-59",C1382&lt;=74,"60-74",TRUE,"75+")</f>
        <v>30-44</v>
      </c>
      <c r="E1382" t="s">
        <v>17</v>
      </c>
      <c r="F1382">
        <v>7</v>
      </c>
      <c r="G1382" t="str" cm="1">
        <f t="array" ref="G1382">_xlfn.IFS(_xlfn.SINGLE(Table1[imd_decile])&lt;=3,"Most Deprived",F1382&lt;=7,"Moderately Deprived",F1382&lt;=10,"Least Deprived")</f>
        <v>Moderately Deprived</v>
      </c>
      <c r="H1382">
        <v>6.8</v>
      </c>
      <c r="I1382" t="s">
        <v>42</v>
      </c>
      <c r="J1382" t="s">
        <v>26</v>
      </c>
      <c r="K1382" s="1">
        <v>45852</v>
      </c>
      <c r="L1382" s="1">
        <v>45862</v>
      </c>
      <c r="M1382" s="1" t="str">
        <f>TEXT(Table1[[#This Row],[appointment_date]],"MM/YYYY")</f>
        <v>07/2025</v>
      </c>
      <c r="N1382">
        <v>10</v>
      </c>
      <c r="O1382" t="str" cm="1">
        <f t="array" ref="O1382">_xlfn.IFS(Table1[[#This Row],[lead_time_days]]&lt;=7,"0-7 days",N1382&lt;=14,"8-14 days",N1382&lt;=30,"15-30 days",N1382&lt;=60,"31-60 days",TRUE,"61+ days")</f>
        <v>8-14 days</v>
      </c>
      <c r="P1382" t="s">
        <v>20</v>
      </c>
      <c r="Q1382" t="s">
        <v>21</v>
      </c>
      <c r="R1382">
        <v>0</v>
      </c>
      <c r="S1382" t="str">
        <f>IF(Table1[prior_dna_count]&gt;=1,"Has prior DNA history","No prior DNA history")</f>
        <v>No prior DNA history</v>
      </c>
      <c r="T1382" t="s">
        <v>22</v>
      </c>
      <c r="U1382" t="str">
        <f t="shared" si="21"/>
        <v>1</v>
      </c>
      <c r="V1382" t="str">
        <f>IF(Table1[appointment_status]="Attended","1","0")</f>
        <v>1</v>
      </c>
      <c r="W1382" t="str">
        <f>IF(Table1[appointment_status]="Cancelled","1","0")</f>
        <v>0</v>
      </c>
    </row>
    <row r="1383" spans="1:23">
      <c r="A1383" t="s">
        <v>2356</v>
      </c>
      <c r="B1383" t="s">
        <v>2357</v>
      </c>
      <c r="C1383">
        <v>45</v>
      </c>
      <c r="D1383" t="str" cm="1">
        <f t="array" ref="D1383">_xlfn.IFS(Table1[[#This Row],[age]]&lt;=17,"0-17",C1383&lt;=29,"18-29",C1383&lt;=44,"30-44",C1383&lt;=59,"45-59",C1383&lt;=74,"60-74",TRUE,"75+")</f>
        <v>45-59</v>
      </c>
      <c r="E1383" t="s">
        <v>29</v>
      </c>
      <c r="F1383">
        <v>4</v>
      </c>
      <c r="G1383" t="str" cm="1">
        <f t="array" ref="G1383">_xlfn.IFS(_xlfn.SINGLE(Table1[imd_decile])&lt;=3,"Most Deprived",F1383&lt;=7,"Moderately Deprived",F1383&lt;=10,"Least Deprived")</f>
        <v>Moderately Deprived</v>
      </c>
      <c r="H1383">
        <v>9.9</v>
      </c>
      <c r="I1383" t="s">
        <v>45</v>
      </c>
      <c r="J1383" t="s">
        <v>19</v>
      </c>
      <c r="K1383" s="1">
        <v>45858</v>
      </c>
      <c r="L1383" s="1">
        <v>45862</v>
      </c>
      <c r="M1383" s="1" t="str">
        <f>TEXT(Table1[[#This Row],[appointment_date]],"MM/YYYY")</f>
        <v>07/2025</v>
      </c>
      <c r="N1383">
        <v>4</v>
      </c>
      <c r="O1383" t="str" cm="1">
        <f t="array" ref="O1383">_xlfn.IFS(Table1[[#This Row],[lead_time_days]]&lt;=7,"0-7 days",N1383&lt;=14,"8-14 days",N1383&lt;=30,"15-30 days",N1383&lt;=60,"31-60 days",TRUE,"61+ days")</f>
        <v>0-7 days</v>
      </c>
      <c r="P1383" t="s">
        <v>20</v>
      </c>
      <c r="Q1383" t="s">
        <v>32</v>
      </c>
      <c r="R1383">
        <v>0</v>
      </c>
      <c r="S1383" t="str">
        <f>IF(Table1[prior_dna_count]&gt;=1,"Has prior DNA history","No prior DNA history")</f>
        <v>No prior DNA history</v>
      </c>
      <c r="T1383" t="s">
        <v>46</v>
      </c>
      <c r="U1383" t="str">
        <f t="shared" si="21"/>
        <v>1</v>
      </c>
      <c r="V1383" t="str">
        <f>IF(Table1[appointment_status]="Attended","1","0")</f>
        <v>0</v>
      </c>
      <c r="W1383" t="str">
        <f>IF(Table1[appointment_status]="Cancelled","1","0")</f>
        <v>1</v>
      </c>
    </row>
    <row r="1384" spans="1:23">
      <c r="A1384" t="s">
        <v>2358</v>
      </c>
      <c r="B1384" t="s">
        <v>2359</v>
      </c>
      <c r="C1384">
        <v>70</v>
      </c>
      <c r="D1384" t="str" cm="1">
        <f t="array" ref="D1384">_xlfn.IFS(Table1[[#This Row],[age]]&lt;=17,"0-17",C1384&lt;=29,"18-29",C1384&lt;=44,"30-44",C1384&lt;=59,"45-59",C1384&lt;=74,"60-74",TRUE,"75+")</f>
        <v>60-74</v>
      </c>
      <c r="E1384" t="s">
        <v>17</v>
      </c>
      <c r="F1384">
        <v>4</v>
      </c>
      <c r="G1384" t="str" cm="1">
        <f t="array" ref="G1384">_xlfn.IFS(_xlfn.SINGLE(Table1[imd_decile])&lt;=3,"Most Deprived",F1384&lt;=7,"Moderately Deprived",F1384&lt;=10,"Least Deprived")</f>
        <v>Moderately Deprived</v>
      </c>
      <c r="H1384">
        <v>6</v>
      </c>
      <c r="I1384" t="s">
        <v>18</v>
      </c>
      <c r="J1384" t="s">
        <v>19</v>
      </c>
      <c r="K1384" s="1">
        <v>45845</v>
      </c>
      <c r="L1384" s="1">
        <v>45863</v>
      </c>
      <c r="M1384" s="1" t="str">
        <f>TEXT(Table1[[#This Row],[appointment_date]],"MM/YYYY")</f>
        <v>07/2025</v>
      </c>
      <c r="N1384">
        <v>18</v>
      </c>
      <c r="O1384" t="str" cm="1">
        <f t="array" ref="O1384">_xlfn.IFS(Table1[[#This Row],[lead_time_days]]&lt;=7,"0-7 days",N1384&lt;=14,"8-14 days",N1384&lt;=30,"15-30 days",N1384&lt;=60,"31-60 days",TRUE,"61+ days")</f>
        <v>15-30 days</v>
      </c>
      <c r="P1384" t="s">
        <v>52</v>
      </c>
      <c r="Q1384" t="s">
        <v>21</v>
      </c>
      <c r="R1384">
        <v>0</v>
      </c>
      <c r="S1384" t="str">
        <f>IF(Table1[prior_dna_count]&gt;=1,"Has prior DNA history","No prior DNA history")</f>
        <v>No prior DNA history</v>
      </c>
      <c r="T1384" t="s">
        <v>22</v>
      </c>
      <c r="U1384" t="str">
        <f t="shared" si="21"/>
        <v>0</v>
      </c>
      <c r="V1384" t="str">
        <f>IF(Table1[appointment_status]="Attended","1","0")</f>
        <v>1</v>
      </c>
      <c r="W1384" t="str">
        <f>IF(Table1[appointment_status]="Cancelled","1","0")</f>
        <v>0</v>
      </c>
    </row>
    <row r="1385" spans="1:23">
      <c r="A1385" t="s">
        <v>2360</v>
      </c>
      <c r="B1385" t="s">
        <v>2361</v>
      </c>
      <c r="C1385">
        <v>63</v>
      </c>
      <c r="D1385" t="str" cm="1">
        <f t="array" ref="D1385">_xlfn.IFS(Table1[[#This Row],[age]]&lt;=17,"0-17",C1385&lt;=29,"18-29",C1385&lt;=44,"30-44",C1385&lt;=59,"45-59",C1385&lt;=74,"60-74",TRUE,"75+")</f>
        <v>60-74</v>
      </c>
      <c r="E1385" t="s">
        <v>17</v>
      </c>
      <c r="F1385">
        <v>6</v>
      </c>
      <c r="G1385" t="str" cm="1">
        <f t="array" ref="G1385">_xlfn.IFS(_xlfn.SINGLE(Table1[imd_decile])&lt;=3,"Most Deprived",F1385&lt;=7,"Moderately Deprived",F1385&lt;=10,"Least Deprived")</f>
        <v>Moderately Deprived</v>
      </c>
      <c r="H1385">
        <v>2.2000000000000002</v>
      </c>
      <c r="I1385" t="s">
        <v>45</v>
      </c>
      <c r="J1385" t="s">
        <v>19</v>
      </c>
      <c r="K1385" s="1">
        <v>45838</v>
      </c>
      <c r="L1385" s="1">
        <v>45863</v>
      </c>
      <c r="M1385" s="1" t="str">
        <f>TEXT(Table1[[#This Row],[appointment_date]],"MM/YYYY")</f>
        <v>07/2025</v>
      </c>
      <c r="N1385">
        <v>25</v>
      </c>
      <c r="O1385" t="str" cm="1">
        <f t="array" ref="O1385">_xlfn.IFS(Table1[[#This Row],[lead_time_days]]&lt;=7,"0-7 days",N1385&lt;=14,"8-14 days",N1385&lt;=30,"15-30 days",N1385&lt;=60,"31-60 days",TRUE,"61+ days")</f>
        <v>15-30 days</v>
      </c>
      <c r="P1385" t="s">
        <v>52</v>
      </c>
      <c r="Q1385" t="s">
        <v>32</v>
      </c>
      <c r="R1385">
        <v>0</v>
      </c>
      <c r="S1385" t="str">
        <f>IF(Table1[prior_dna_count]&gt;=1,"Has prior DNA history","No prior DNA history")</f>
        <v>No prior DNA history</v>
      </c>
      <c r="T1385" t="s">
        <v>39</v>
      </c>
      <c r="U1385" t="str">
        <f t="shared" si="21"/>
        <v>1</v>
      </c>
      <c r="V1385" t="str">
        <f>IF(Table1[appointment_status]="Attended","1","0")</f>
        <v>0</v>
      </c>
      <c r="W1385" t="str">
        <f>IF(Table1[appointment_status]="Cancelled","1","0")</f>
        <v>0</v>
      </c>
    </row>
    <row r="1386" spans="1:23">
      <c r="A1386" t="s">
        <v>2362</v>
      </c>
      <c r="B1386" t="s">
        <v>723</v>
      </c>
      <c r="C1386">
        <v>45</v>
      </c>
      <c r="D1386" t="str" cm="1">
        <f t="array" ref="D1386">_xlfn.IFS(Table1[[#This Row],[age]]&lt;=17,"0-17",C1386&lt;=29,"18-29",C1386&lt;=44,"30-44",C1386&lt;=59,"45-59",C1386&lt;=74,"60-74",TRUE,"75+")</f>
        <v>45-59</v>
      </c>
      <c r="E1386" t="s">
        <v>29</v>
      </c>
      <c r="F1386">
        <v>3</v>
      </c>
      <c r="G1386" t="str" cm="1">
        <f t="array" ref="G1386">_xlfn.IFS(_xlfn.SINGLE(Table1[imd_decile])&lt;=3,"Most Deprived",F1386&lt;=7,"Moderately Deprived",F1386&lt;=10,"Least Deprived")</f>
        <v>Most Deprived</v>
      </c>
      <c r="H1386">
        <v>10.8</v>
      </c>
      <c r="I1386" t="s">
        <v>42</v>
      </c>
      <c r="J1386" t="s">
        <v>19</v>
      </c>
      <c r="K1386" s="1">
        <v>45798</v>
      </c>
      <c r="L1386" s="1">
        <v>45863</v>
      </c>
      <c r="M1386" s="1" t="str">
        <f>TEXT(Table1[[#This Row],[appointment_date]],"MM/YYYY")</f>
        <v>07/2025</v>
      </c>
      <c r="N1386">
        <v>65</v>
      </c>
      <c r="O1386" t="str" cm="1">
        <f t="array" ref="O1386">_xlfn.IFS(Table1[[#This Row],[lead_time_days]]&lt;=7,"0-7 days",N1386&lt;=14,"8-14 days",N1386&lt;=30,"15-30 days",N1386&lt;=60,"31-60 days",TRUE,"61+ days")</f>
        <v>61+ days</v>
      </c>
      <c r="P1386" t="s">
        <v>52</v>
      </c>
      <c r="Q1386" t="s">
        <v>21</v>
      </c>
      <c r="R1386">
        <v>0</v>
      </c>
      <c r="S1386" t="str">
        <f>IF(Table1[prior_dna_count]&gt;=1,"Has prior DNA history","No prior DNA history")</f>
        <v>No prior DNA history</v>
      </c>
      <c r="T1386" t="s">
        <v>39</v>
      </c>
      <c r="U1386" t="str">
        <f t="shared" si="21"/>
        <v>0</v>
      </c>
      <c r="V1386" t="str">
        <f>IF(Table1[appointment_status]="Attended","1","0")</f>
        <v>0</v>
      </c>
      <c r="W1386" t="str">
        <f>IF(Table1[appointment_status]="Cancelled","1","0")</f>
        <v>0</v>
      </c>
    </row>
    <row r="1387" spans="1:23">
      <c r="A1387" t="s">
        <v>2363</v>
      </c>
      <c r="B1387" t="s">
        <v>2364</v>
      </c>
      <c r="C1387">
        <v>40</v>
      </c>
      <c r="D1387" t="str" cm="1">
        <f t="array" ref="D1387">_xlfn.IFS(Table1[[#This Row],[age]]&lt;=17,"0-17",C1387&lt;=29,"18-29",C1387&lt;=44,"30-44",C1387&lt;=59,"45-59",C1387&lt;=74,"60-74",TRUE,"75+")</f>
        <v>30-44</v>
      </c>
      <c r="E1387" t="s">
        <v>29</v>
      </c>
      <c r="F1387">
        <v>6</v>
      </c>
      <c r="G1387" t="str" cm="1">
        <f t="array" ref="G1387">_xlfn.IFS(_xlfn.SINGLE(Table1[imd_decile])&lt;=3,"Most Deprived",F1387&lt;=7,"Moderately Deprived",F1387&lt;=10,"Least Deprived")</f>
        <v>Moderately Deprived</v>
      </c>
      <c r="H1387">
        <v>1.5</v>
      </c>
      <c r="I1387" t="s">
        <v>49</v>
      </c>
      <c r="J1387" t="s">
        <v>19</v>
      </c>
      <c r="K1387" s="1">
        <v>45852</v>
      </c>
      <c r="L1387" s="1">
        <v>45863</v>
      </c>
      <c r="M1387" s="1" t="str">
        <f>TEXT(Table1[[#This Row],[appointment_date]],"MM/YYYY")</f>
        <v>07/2025</v>
      </c>
      <c r="N1387">
        <v>11</v>
      </c>
      <c r="O1387" t="str" cm="1">
        <f t="array" ref="O1387">_xlfn.IFS(Table1[[#This Row],[lead_time_days]]&lt;=7,"0-7 days",N1387&lt;=14,"8-14 days",N1387&lt;=30,"15-30 days",N1387&lt;=60,"31-60 days",TRUE,"61+ days")</f>
        <v>8-14 days</v>
      </c>
      <c r="P1387" t="s">
        <v>52</v>
      </c>
      <c r="Q1387" t="s">
        <v>21</v>
      </c>
      <c r="R1387">
        <v>0</v>
      </c>
      <c r="S1387" t="str">
        <f>IF(Table1[prior_dna_count]&gt;=1,"Has prior DNA history","No prior DNA history")</f>
        <v>No prior DNA history</v>
      </c>
      <c r="T1387" t="s">
        <v>22</v>
      </c>
      <c r="U1387" t="str">
        <f t="shared" si="21"/>
        <v>0</v>
      </c>
      <c r="V1387" t="str">
        <f>IF(Table1[appointment_status]="Attended","1","0")</f>
        <v>1</v>
      </c>
      <c r="W1387" t="str">
        <f>IF(Table1[appointment_status]="Cancelled","1","0")</f>
        <v>0</v>
      </c>
    </row>
    <row r="1388" spans="1:23">
      <c r="A1388" t="s">
        <v>2365</v>
      </c>
      <c r="B1388" t="s">
        <v>1876</v>
      </c>
      <c r="C1388">
        <v>61</v>
      </c>
      <c r="D1388" t="str" cm="1">
        <f t="array" ref="D1388">_xlfn.IFS(Table1[[#This Row],[age]]&lt;=17,"0-17",C1388&lt;=29,"18-29",C1388&lt;=44,"30-44",C1388&lt;=59,"45-59",C1388&lt;=74,"60-74",TRUE,"75+")</f>
        <v>60-74</v>
      </c>
      <c r="E1388" t="s">
        <v>17</v>
      </c>
      <c r="F1388">
        <v>5</v>
      </c>
      <c r="G1388" t="str" cm="1">
        <f t="array" ref="G1388">_xlfn.IFS(_xlfn.SINGLE(Table1[imd_decile])&lt;=3,"Most Deprived",F1388&lt;=7,"Moderately Deprived",F1388&lt;=10,"Least Deprived")</f>
        <v>Moderately Deprived</v>
      </c>
      <c r="H1388">
        <v>0.5</v>
      </c>
      <c r="I1388" t="s">
        <v>91</v>
      </c>
      <c r="J1388" t="s">
        <v>26</v>
      </c>
      <c r="K1388" s="1">
        <v>45850</v>
      </c>
      <c r="L1388" s="1">
        <v>45863</v>
      </c>
      <c r="M1388" s="1" t="str">
        <f>TEXT(Table1[[#This Row],[appointment_date]],"MM/YYYY")</f>
        <v>07/2025</v>
      </c>
      <c r="N1388">
        <v>13</v>
      </c>
      <c r="O1388" t="str" cm="1">
        <f t="array" ref="O1388">_xlfn.IFS(Table1[[#This Row],[lead_time_days]]&lt;=7,"0-7 days",N1388&lt;=14,"8-14 days",N1388&lt;=30,"15-30 days",N1388&lt;=60,"31-60 days",TRUE,"61+ days")</f>
        <v>8-14 days</v>
      </c>
      <c r="P1388" t="s">
        <v>52</v>
      </c>
      <c r="Q1388" t="s">
        <v>21</v>
      </c>
      <c r="R1388">
        <v>0</v>
      </c>
      <c r="S1388" t="str">
        <f>IF(Table1[prior_dna_count]&gt;=1,"Has prior DNA history","No prior DNA history")</f>
        <v>No prior DNA history</v>
      </c>
      <c r="T1388" t="s">
        <v>22</v>
      </c>
      <c r="U1388" t="str">
        <f t="shared" si="21"/>
        <v>1</v>
      </c>
      <c r="V1388" t="str">
        <f>IF(Table1[appointment_status]="Attended","1","0")</f>
        <v>1</v>
      </c>
      <c r="W1388" t="str">
        <f>IF(Table1[appointment_status]="Cancelled","1","0")</f>
        <v>0</v>
      </c>
    </row>
    <row r="1389" spans="1:23">
      <c r="A1389" t="s">
        <v>2366</v>
      </c>
      <c r="B1389" t="s">
        <v>442</v>
      </c>
      <c r="C1389">
        <v>37</v>
      </c>
      <c r="D1389" t="str" cm="1">
        <f t="array" ref="D1389">_xlfn.IFS(Table1[[#This Row],[age]]&lt;=17,"0-17",C1389&lt;=29,"18-29",C1389&lt;=44,"30-44",C1389&lt;=59,"45-59",C1389&lt;=74,"60-74",TRUE,"75+")</f>
        <v>30-44</v>
      </c>
      <c r="E1389" t="s">
        <v>17</v>
      </c>
      <c r="F1389">
        <v>5</v>
      </c>
      <c r="G1389" t="str" cm="1">
        <f t="array" ref="G1389">_xlfn.IFS(_xlfn.SINGLE(Table1[imd_decile])&lt;=3,"Most Deprived",F1389&lt;=7,"Moderately Deprived",F1389&lt;=10,"Least Deprived")</f>
        <v>Moderately Deprived</v>
      </c>
      <c r="H1389">
        <v>2.6</v>
      </c>
      <c r="I1389" t="s">
        <v>25</v>
      </c>
      <c r="J1389" t="s">
        <v>26</v>
      </c>
      <c r="K1389" s="1">
        <v>45859</v>
      </c>
      <c r="L1389" s="1">
        <v>45863</v>
      </c>
      <c r="M1389" s="1" t="str">
        <f>TEXT(Table1[[#This Row],[appointment_date]],"MM/YYYY")</f>
        <v>07/2025</v>
      </c>
      <c r="N1389">
        <v>4</v>
      </c>
      <c r="O1389" t="str" cm="1">
        <f t="array" ref="O1389">_xlfn.IFS(Table1[[#This Row],[lead_time_days]]&lt;=7,"0-7 days",N1389&lt;=14,"8-14 days",N1389&lt;=30,"15-30 days",N1389&lt;=60,"31-60 days",TRUE,"61+ days")</f>
        <v>0-7 days</v>
      </c>
      <c r="P1389" t="s">
        <v>52</v>
      </c>
      <c r="Q1389" t="s">
        <v>21</v>
      </c>
      <c r="R1389">
        <v>1</v>
      </c>
      <c r="S1389" t="str">
        <f>IF(Table1[prior_dna_count]&gt;=1,"Has prior DNA history","No prior DNA history")</f>
        <v>Has prior DNA history</v>
      </c>
      <c r="T1389" t="s">
        <v>22</v>
      </c>
      <c r="U1389" t="str">
        <f t="shared" si="21"/>
        <v>1</v>
      </c>
      <c r="V1389" t="str">
        <f>IF(Table1[appointment_status]="Attended","1","0")</f>
        <v>1</v>
      </c>
      <c r="W1389" t="str">
        <f>IF(Table1[appointment_status]="Cancelled","1","0")</f>
        <v>0</v>
      </c>
    </row>
    <row r="1390" spans="1:23">
      <c r="A1390" t="s">
        <v>2367</v>
      </c>
      <c r="B1390" t="s">
        <v>2368</v>
      </c>
      <c r="C1390">
        <v>51</v>
      </c>
      <c r="D1390" t="str" cm="1">
        <f t="array" ref="D1390">_xlfn.IFS(Table1[[#This Row],[age]]&lt;=17,"0-17",C1390&lt;=29,"18-29",C1390&lt;=44,"30-44",C1390&lt;=59,"45-59",C1390&lt;=74,"60-74",TRUE,"75+")</f>
        <v>45-59</v>
      </c>
      <c r="E1390" t="s">
        <v>17</v>
      </c>
      <c r="F1390">
        <v>6</v>
      </c>
      <c r="G1390" t="str" cm="1">
        <f t="array" ref="G1390">_xlfn.IFS(_xlfn.SINGLE(Table1[imd_decile])&lt;=3,"Most Deprived",F1390&lt;=7,"Moderately Deprived",F1390&lt;=10,"Least Deprived")</f>
        <v>Moderately Deprived</v>
      </c>
      <c r="H1390">
        <v>22.2</v>
      </c>
      <c r="I1390" t="s">
        <v>30</v>
      </c>
      <c r="J1390" t="s">
        <v>26</v>
      </c>
      <c r="K1390" s="1">
        <v>45841</v>
      </c>
      <c r="L1390" s="1">
        <v>45863</v>
      </c>
      <c r="M1390" s="1" t="str">
        <f>TEXT(Table1[[#This Row],[appointment_date]],"MM/YYYY")</f>
        <v>07/2025</v>
      </c>
      <c r="N1390">
        <v>22</v>
      </c>
      <c r="O1390" t="str" cm="1">
        <f t="array" ref="O1390">_xlfn.IFS(Table1[[#This Row],[lead_time_days]]&lt;=7,"0-7 days",N1390&lt;=14,"8-14 days",N1390&lt;=30,"15-30 days",N1390&lt;=60,"31-60 days",TRUE,"61+ days")</f>
        <v>15-30 days</v>
      </c>
      <c r="P1390" t="s">
        <v>52</v>
      </c>
      <c r="Q1390" t="s">
        <v>21</v>
      </c>
      <c r="R1390">
        <v>0</v>
      </c>
      <c r="S1390" t="str">
        <f>IF(Table1[prior_dna_count]&gt;=1,"Has prior DNA history","No prior DNA history")</f>
        <v>No prior DNA history</v>
      </c>
      <c r="T1390" t="s">
        <v>46</v>
      </c>
      <c r="U1390" t="str">
        <f t="shared" si="21"/>
        <v>1</v>
      </c>
      <c r="V1390" t="str">
        <f>IF(Table1[appointment_status]="Attended","1","0")</f>
        <v>0</v>
      </c>
      <c r="W1390" t="str">
        <f>IF(Table1[appointment_status]="Cancelled","1","0")</f>
        <v>1</v>
      </c>
    </row>
    <row r="1391" spans="1:23">
      <c r="A1391" t="s">
        <v>2369</v>
      </c>
      <c r="B1391" t="s">
        <v>2370</v>
      </c>
      <c r="C1391">
        <v>54</v>
      </c>
      <c r="D1391" t="str" cm="1">
        <f t="array" ref="D1391">_xlfn.IFS(Table1[[#This Row],[age]]&lt;=17,"0-17",C1391&lt;=29,"18-29",C1391&lt;=44,"30-44",C1391&lt;=59,"45-59",C1391&lt;=74,"60-74",TRUE,"75+")</f>
        <v>45-59</v>
      </c>
      <c r="E1391" t="s">
        <v>17</v>
      </c>
      <c r="F1391">
        <v>8</v>
      </c>
      <c r="G1391" t="str" cm="1">
        <f t="array" ref="G1391">_xlfn.IFS(_xlfn.SINGLE(Table1[imd_decile])&lt;=3,"Most Deprived",F1391&lt;=7,"Moderately Deprived",F1391&lt;=10,"Least Deprived")</f>
        <v>Least Deprived</v>
      </c>
      <c r="H1391">
        <v>8.6999999999999993</v>
      </c>
      <c r="I1391" t="s">
        <v>155</v>
      </c>
      <c r="J1391" t="s">
        <v>19</v>
      </c>
      <c r="K1391" s="1">
        <v>45840</v>
      </c>
      <c r="L1391" s="1">
        <v>45864</v>
      </c>
      <c r="M1391" s="1" t="str">
        <f>TEXT(Table1[[#This Row],[appointment_date]],"MM/YYYY")</f>
        <v>07/2025</v>
      </c>
      <c r="N1391">
        <v>24</v>
      </c>
      <c r="O1391" t="str" cm="1">
        <f t="array" ref="O1391">_xlfn.IFS(Table1[[#This Row],[lead_time_days]]&lt;=7,"0-7 days",N1391&lt;=14,"8-14 days",N1391&lt;=30,"15-30 days",N1391&lt;=60,"31-60 days",TRUE,"61+ days")</f>
        <v>15-30 days</v>
      </c>
      <c r="P1391" t="s">
        <v>55</v>
      </c>
      <c r="Q1391" t="s">
        <v>21</v>
      </c>
      <c r="R1391">
        <v>0</v>
      </c>
      <c r="S1391" t="str">
        <f>IF(Table1[prior_dna_count]&gt;=1,"Has prior DNA history","No prior DNA history")</f>
        <v>No prior DNA history</v>
      </c>
      <c r="T1391" t="s">
        <v>22</v>
      </c>
      <c r="U1391" t="str">
        <f t="shared" si="21"/>
        <v>0</v>
      </c>
      <c r="V1391" t="str">
        <f>IF(Table1[appointment_status]="Attended","1","0")</f>
        <v>1</v>
      </c>
      <c r="W1391" t="str">
        <f>IF(Table1[appointment_status]="Cancelled","1","0")</f>
        <v>0</v>
      </c>
    </row>
    <row r="1392" spans="1:23">
      <c r="A1392" t="s">
        <v>2371</v>
      </c>
      <c r="B1392" t="s">
        <v>2372</v>
      </c>
      <c r="C1392">
        <v>45</v>
      </c>
      <c r="D1392" t="str" cm="1">
        <f t="array" ref="D1392">_xlfn.IFS(Table1[[#This Row],[age]]&lt;=17,"0-17",C1392&lt;=29,"18-29",C1392&lt;=44,"30-44",C1392&lt;=59,"45-59",C1392&lt;=74,"60-74",TRUE,"75+")</f>
        <v>45-59</v>
      </c>
      <c r="E1392" t="s">
        <v>17</v>
      </c>
      <c r="F1392">
        <v>4</v>
      </c>
      <c r="G1392" t="str" cm="1">
        <f t="array" ref="G1392">_xlfn.IFS(_xlfn.SINGLE(Table1[imd_decile])&lt;=3,"Most Deprived",F1392&lt;=7,"Moderately Deprived",F1392&lt;=10,"Least Deprived")</f>
        <v>Moderately Deprived</v>
      </c>
      <c r="H1392">
        <v>5.4</v>
      </c>
      <c r="I1392" t="s">
        <v>38</v>
      </c>
      <c r="J1392" t="s">
        <v>19</v>
      </c>
      <c r="K1392" s="1">
        <v>45812</v>
      </c>
      <c r="L1392" s="1">
        <v>45864</v>
      </c>
      <c r="M1392" s="1" t="str">
        <f>TEXT(Table1[[#This Row],[appointment_date]],"MM/YYYY")</f>
        <v>07/2025</v>
      </c>
      <c r="N1392">
        <v>52</v>
      </c>
      <c r="O1392" t="str" cm="1">
        <f t="array" ref="O1392">_xlfn.IFS(Table1[[#This Row],[lead_time_days]]&lt;=7,"0-7 days",N1392&lt;=14,"8-14 days",N1392&lt;=30,"15-30 days",N1392&lt;=60,"31-60 days",TRUE,"61+ days")</f>
        <v>31-60 days</v>
      </c>
      <c r="P1392" t="s">
        <v>55</v>
      </c>
      <c r="Q1392" t="s">
        <v>21</v>
      </c>
      <c r="R1392">
        <v>0</v>
      </c>
      <c r="S1392" t="str">
        <f>IF(Table1[prior_dna_count]&gt;=1,"Has prior DNA history","No prior DNA history")</f>
        <v>No prior DNA history</v>
      </c>
      <c r="T1392" t="s">
        <v>22</v>
      </c>
      <c r="U1392" t="str">
        <f t="shared" si="21"/>
        <v>1</v>
      </c>
      <c r="V1392" t="str">
        <f>IF(Table1[appointment_status]="Attended","1","0")</f>
        <v>1</v>
      </c>
      <c r="W1392" t="str">
        <f>IF(Table1[appointment_status]="Cancelled","1","0")</f>
        <v>0</v>
      </c>
    </row>
    <row r="1393" spans="1:23">
      <c r="A1393" t="s">
        <v>2373</v>
      </c>
      <c r="B1393" t="s">
        <v>318</v>
      </c>
      <c r="C1393">
        <v>55</v>
      </c>
      <c r="D1393" t="str" cm="1">
        <f t="array" ref="D1393">_xlfn.IFS(Table1[[#This Row],[age]]&lt;=17,"0-17",C1393&lt;=29,"18-29",C1393&lt;=44,"30-44",C1393&lt;=59,"45-59",C1393&lt;=74,"60-74",TRUE,"75+")</f>
        <v>45-59</v>
      </c>
      <c r="E1393" t="s">
        <v>29</v>
      </c>
      <c r="F1393">
        <v>3</v>
      </c>
      <c r="G1393" t="str" cm="1">
        <f t="array" ref="G1393">_xlfn.IFS(_xlfn.SINGLE(Table1[imd_decile])&lt;=3,"Most Deprived",F1393&lt;=7,"Moderately Deprived",F1393&lt;=10,"Least Deprived")</f>
        <v>Most Deprived</v>
      </c>
      <c r="H1393">
        <v>11.9</v>
      </c>
      <c r="I1393" t="s">
        <v>18</v>
      </c>
      <c r="J1393" t="s">
        <v>19</v>
      </c>
      <c r="K1393" s="1">
        <v>45802</v>
      </c>
      <c r="L1393" s="1">
        <v>45864</v>
      </c>
      <c r="M1393" s="1" t="str">
        <f>TEXT(Table1[[#This Row],[appointment_date]],"MM/YYYY")</f>
        <v>07/2025</v>
      </c>
      <c r="N1393">
        <v>62</v>
      </c>
      <c r="O1393" t="str" cm="1">
        <f t="array" ref="O1393">_xlfn.IFS(Table1[[#This Row],[lead_time_days]]&lt;=7,"0-7 days",N1393&lt;=14,"8-14 days",N1393&lt;=30,"15-30 days",N1393&lt;=60,"31-60 days",TRUE,"61+ days")</f>
        <v>61+ days</v>
      </c>
      <c r="P1393" t="s">
        <v>55</v>
      </c>
      <c r="Q1393" t="s">
        <v>21</v>
      </c>
      <c r="R1393">
        <v>0</v>
      </c>
      <c r="S1393" t="str">
        <f>IF(Table1[prior_dna_count]&gt;=1,"Has prior DNA history","No prior DNA history")</f>
        <v>No prior DNA history</v>
      </c>
      <c r="T1393" t="s">
        <v>39</v>
      </c>
      <c r="U1393" t="str">
        <f t="shared" si="21"/>
        <v>1</v>
      </c>
      <c r="V1393" t="str">
        <f>IF(Table1[appointment_status]="Attended","1","0")</f>
        <v>0</v>
      </c>
      <c r="W1393" t="str">
        <f>IF(Table1[appointment_status]="Cancelled","1","0")</f>
        <v>0</v>
      </c>
    </row>
    <row r="1394" spans="1:23">
      <c r="A1394" t="s">
        <v>2374</v>
      </c>
      <c r="B1394" t="s">
        <v>1778</v>
      </c>
      <c r="C1394">
        <v>71</v>
      </c>
      <c r="D1394" t="str" cm="1">
        <f t="array" ref="D1394">_xlfn.IFS(Table1[[#This Row],[age]]&lt;=17,"0-17",C1394&lt;=29,"18-29",C1394&lt;=44,"30-44",C1394&lt;=59,"45-59",C1394&lt;=74,"60-74",TRUE,"75+")</f>
        <v>60-74</v>
      </c>
      <c r="E1394" t="s">
        <v>29</v>
      </c>
      <c r="F1394">
        <v>3</v>
      </c>
      <c r="G1394" t="str" cm="1">
        <f t="array" ref="G1394">_xlfn.IFS(_xlfn.SINGLE(Table1[imd_decile])&lt;=3,"Most Deprived",F1394&lt;=7,"Moderately Deprived",F1394&lt;=10,"Least Deprived")</f>
        <v>Most Deprived</v>
      </c>
      <c r="H1394">
        <v>20.6</v>
      </c>
      <c r="I1394" t="s">
        <v>18</v>
      </c>
      <c r="J1394" t="s">
        <v>19</v>
      </c>
      <c r="K1394" s="1">
        <v>45805</v>
      </c>
      <c r="L1394" s="1">
        <v>45864</v>
      </c>
      <c r="M1394" s="1" t="str">
        <f>TEXT(Table1[[#This Row],[appointment_date]],"MM/YYYY")</f>
        <v>07/2025</v>
      </c>
      <c r="N1394">
        <v>59</v>
      </c>
      <c r="O1394" t="str" cm="1">
        <f t="array" ref="O1394">_xlfn.IFS(Table1[[#This Row],[lead_time_days]]&lt;=7,"0-7 days",N1394&lt;=14,"8-14 days",N1394&lt;=30,"15-30 days",N1394&lt;=60,"31-60 days",TRUE,"61+ days")</f>
        <v>31-60 days</v>
      </c>
      <c r="P1394" t="s">
        <v>55</v>
      </c>
      <c r="Q1394" t="s">
        <v>21</v>
      </c>
      <c r="R1394">
        <v>0</v>
      </c>
      <c r="S1394" t="str">
        <f>IF(Table1[prior_dna_count]&gt;=1,"Has prior DNA history","No prior DNA history")</f>
        <v>No prior DNA history</v>
      </c>
      <c r="T1394" t="s">
        <v>22</v>
      </c>
      <c r="U1394" t="str">
        <f t="shared" si="21"/>
        <v>0</v>
      </c>
      <c r="V1394" t="str">
        <f>IF(Table1[appointment_status]="Attended","1","0")</f>
        <v>1</v>
      </c>
      <c r="W1394" t="str">
        <f>IF(Table1[appointment_status]="Cancelled","1","0")</f>
        <v>0</v>
      </c>
    </row>
    <row r="1395" spans="1:23">
      <c r="A1395" t="s">
        <v>2375</v>
      </c>
      <c r="B1395" t="s">
        <v>949</v>
      </c>
      <c r="C1395">
        <v>36</v>
      </c>
      <c r="D1395" t="str" cm="1">
        <f t="array" ref="D1395">_xlfn.IFS(Table1[[#This Row],[age]]&lt;=17,"0-17",C1395&lt;=29,"18-29",C1395&lt;=44,"30-44",C1395&lt;=59,"45-59",C1395&lt;=74,"60-74",TRUE,"75+")</f>
        <v>30-44</v>
      </c>
      <c r="E1395" t="s">
        <v>29</v>
      </c>
      <c r="F1395">
        <v>4</v>
      </c>
      <c r="G1395" t="str" cm="1">
        <f t="array" ref="G1395">_xlfn.IFS(_xlfn.SINGLE(Table1[imd_decile])&lt;=3,"Most Deprived",F1395&lt;=7,"Moderately Deprived",F1395&lt;=10,"Least Deprived")</f>
        <v>Moderately Deprived</v>
      </c>
      <c r="H1395">
        <v>20.7</v>
      </c>
      <c r="I1395" t="s">
        <v>42</v>
      </c>
      <c r="J1395" t="s">
        <v>26</v>
      </c>
      <c r="K1395" s="1">
        <v>45817</v>
      </c>
      <c r="L1395" s="1">
        <v>45864</v>
      </c>
      <c r="M1395" s="1" t="str">
        <f>TEXT(Table1[[#This Row],[appointment_date]],"MM/YYYY")</f>
        <v>07/2025</v>
      </c>
      <c r="N1395">
        <v>47</v>
      </c>
      <c r="O1395" t="str" cm="1">
        <f t="array" ref="O1395">_xlfn.IFS(Table1[[#This Row],[lead_time_days]]&lt;=7,"0-7 days",N1395&lt;=14,"8-14 days",N1395&lt;=30,"15-30 days",N1395&lt;=60,"31-60 days",TRUE,"61+ days")</f>
        <v>31-60 days</v>
      </c>
      <c r="P1395" t="s">
        <v>55</v>
      </c>
      <c r="Q1395" t="s">
        <v>21</v>
      </c>
      <c r="R1395">
        <v>0</v>
      </c>
      <c r="S1395" t="str">
        <f>IF(Table1[prior_dna_count]&gt;=1,"Has prior DNA history","No prior DNA history")</f>
        <v>No prior DNA history</v>
      </c>
      <c r="T1395" t="s">
        <v>39</v>
      </c>
      <c r="U1395" t="str">
        <f t="shared" si="21"/>
        <v>1</v>
      </c>
      <c r="V1395" t="str">
        <f>IF(Table1[appointment_status]="Attended","1","0")</f>
        <v>0</v>
      </c>
      <c r="W1395" t="str">
        <f>IF(Table1[appointment_status]="Cancelled","1","0")</f>
        <v>0</v>
      </c>
    </row>
    <row r="1396" spans="1:23">
      <c r="A1396" t="s">
        <v>2376</v>
      </c>
      <c r="B1396" t="s">
        <v>1884</v>
      </c>
      <c r="C1396">
        <v>53</v>
      </c>
      <c r="D1396" t="str" cm="1">
        <f t="array" ref="D1396">_xlfn.IFS(Table1[[#This Row],[age]]&lt;=17,"0-17",C1396&lt;=29,"18-29",C1396&lt;=44,"30-44",C1396&lt;=59,"45-59",C1396&lt;=74,"60-74",TRUE,"75+")</f>
        <v>45-59</v>
      </c>
      <c r="E1396" t="s">
        <v>17</v>
      </c>
      <c r="F1396">
        <v>10</v>
      </c>
      <c r="G1396" t="str" cm="1">
        <f t="array" ref="G1396">_xlfn.IFS(_xlfn.SINGLE(Table1[imd_decile])&lt;=3,"Most Deprived",F1396&lt;=7,"Moderately Deprived",F1396&lt;=10,"Least Deprived")</f>
        <v>Least Deprived</v>
      </c>
      <c r="H1396">
        <v>14.7</v>
      </c>
      <c r="I1396" t="s">
        <v>42</v>
      </c>
      <c r="J1396" t="s">
        <v>19</v>
      </c>
      <c r="K1396" s="1">
        <v>45819</v>
      </c>
      <c r="L1396" s="1">
        <v>45864</v>
      </c>
      <c r="M1396" s="1" t="str">
        <f>TEXT(Table1[[#This Row],[appointment_date]],"MM/YYYY")</f>
        <v>07/2025</v>
      </c>
      <c r="N1396">
        <v>45</v>
      </c>
      <c r="O1396" t="str" cm="1">
        <f t="array" ref="O1396">_xlfn.IFS(Table1[[#This Row],[lead_time_days]]&lt;=7,"0-7 days",N1396&lt;=14,"8-14 days",N1396&lt;=30,"15-30 days",N1396&lt;=60,"31-60 days",TRUE,"61+ days")</f>
        <v>31-60 days</v>
      </c>
      <c r="P1396" t="s">
        <v>55</v>
      </c>
      <c r="Q1396" t="s">
        <v>21</v>
      </c>
      <c r="R1396">
        <v>0</v>
      </c>
      <c r="S1396" t="str">
        <f>IF(Table1[prior_dna_count]&gt;=1,"Has prior DNA history","No prior DNA history")</f>
        <v>No prior DNA history</v>
      </c>
      <c r="T1396" t="s">
        <v>22</v>
      </c>
      <c r="U1396" t="str">
        <f t="shared" si="21"/>
        <v>0</v>
      </c>
      <c r="V1396" t="str">
        <f>IF(Table1[appointment_status]="Attended","1","0")</f>
        <v>1</v>
      </c>
      <c r="W1396" t="str">
        <f>IF(Table1[appointment_status]="Cancelled","1","0")</f>
        <v>0</v>
      </c>
    </row>
    <row r="1397" spans="1:23">
      <c r="A1397" t="s">
        <v>2377</v>
      </c>
      <c r="B1397" t="s">
        <v>2378</v>
      </c>
      <c r="C1397">
        <v>50</v>
      </c>
      <c r="D1397" t="str" cm="1">
        <f t="array" ref="D1397">_xlfn.IFS(Table1[[#This Row],[age]]&lt;=17,"0-17",C1397&lt;=29,"18-29",C1397&lt;=44,"30-44",C1397&lt;=59,"45-59",C1397&lt;=74,"60-74",TRUE,"75+")</f>
        <v>45-59</v>
      </c>
      <c r="E1397" t="s">
        <v>29</v>
      </c>
      <c r="F1397">
        <v>7</v>
      </c>
      <c r="G1397" t="str" cm="1">
        <f t="array" ref="G1397">_xlfn.IFS(_xlfn.SINGLE(Table1[imd_decile])&lt;=3,"Most Deprived",F1397&lt;=7,"Moderately Deprived",F1397&lt;=10,"Least Deprived")</f>
        <v>Moderately Deprived</v>
      </c>
      <c r="H1397">
        <v>8.4</v>
      </c>
      <c r="I1397" t="s">
        <v>18</v>
      </c>
      <c r="J1397" t="s">
        <v>26</v>
      </c>
      <c r="K1397" s="1">
        <v>45848</v>
      </c>
      <c r="L1397" s="1">
        <v>45864</v>
      </c>
      <c r="M1397" s="1" t="str">
        <f>TEXT(Table1[[#This Row],[appointment_date]],"MM/YYYY")</f>
        <v>07/2025</v>
      </c>
      <c r="N1397">
        <v>16</v>
      </c>
      <c r="O1397" t="str" cm="1">
        <f t="array" ref="O1397">_xlfn.IFS(Table1[[#This Row],[lead_time_days]]&lt;=7,"0-7 days",N1397&lt;=14,"8-14 days",N1397&lt;=30,"15-30 days",N1397&lt;=60,"31-60 days",TRUE,"61+ days")</f>
        <v>15-30 days</v>
      </c>
      <c r="P1397" t="s">
        <v>55</v>
      </c>
      <c r="Q1397" t="s">
        <v>21</v>
      </c>
      <c r="R1397">
        <v>0</v>
      </c>
      <c r="S1397" t="str">
        <f>IF(Table1[prior_dna_count]&gt;=1,"Has prior DNA history","No prior DNA history")</f>
        <v>No prior DNA history</v>
      </c>
      <c r="T1397" t="s">
        <v>22</v>
      </c>
      <c r="U1397" t="str">
        <f t="shared" si="21"/>
        <v>1</v>
      </c>
      <c r="V1397" t="str">
        <f>IF(Table1[appointment_status]="Attended","1","0")</f>
        <v>1</v>
      </c>
      <c r="W1397" t="str">
        <f>IF(Table1[appointment_status]="Cancelled","1","0")</f>
        <v>0</v>
      </c>
    </row>
    <row r="1398" spans="1:23">
      <c r="A1398" t="s">
        <v>2379</v>
      </c>
      <c r="B1398" t="s">
        <v>1977</v>
      </c>
      <c r="C1398">
        <v>72</v>
      </c>
      <c r="D1398" t="str" cm="1">
        <f t="array" ref="D1398">_xlfn.IFS(Table1[[#This Row],[age]]&lt;=17,"0-17",C1398&lt;=29,"18-29",C1398&lt;=44,"30-44",C1398&lt;=59,"45-59",C1398&lt;=74,"60-74",TRUE,"75+")</f>
        <v>60-74</v>
      </c>
      <c r="E1398" t="s">
        <v>29</v>
      </c>
      <c r="F1398">
        <v>1</v>
      </c>
      <c r="G1398" t="str" cm="1">
        <f t="array" ref="G1398">_xlfn.IFS(_xlfn.SINGLE(Table1[imd_decile])&lt;=3,"Most Deprived",F1398&lt;=7,"Moderately Deprived",F1398&lt;=10,"Least Deprived")</f>
        <v>Most Deprived</v>
      </c>
      <c r="H1398">
        <v>3.6</v>
      </c>
      <c r="I1398" t="s">
        <v>58</v>
      </c>
      <c r="J1398" t="s">
        <v>26</v>
      </c>
      <c r="K1398" s="1">
        <v>45848</v>
      </c>
      <c r="L1398" s="1">
        <v>45864</v>
      </c>
      <c r="M1398" s="1" t="str">
        <f>TEXT(Table1[[#This Row],[appointment_date]],"MM/YYYY")</f>
        <v>07/2025</v>
      </c>
      <c r="N1398">
        <v>16</v>
      </c>
      <c r="O1398" t="str" cm="1">
        <f t="array" ref="O1398">_xlfn.IFS(Table1[[#This Row],[lead_time_days]]&lt;=7,"0-7 days",N1398&lt;=14,"8-14 days",N1398&lt;=30,"15-30 days",N1398&lt;=60,"31-60 days",TRUE,"61+ days")</f>
        <v>15-30 days</v>
      </c>
      <c r="P1398" t="s">
        <v>55</v>
      </c>
      <c r="Q1398" t="s">
        <v>21</v>
      </c>
      <c r="R1398">
        <v>0</v>
      </c>
      <c r="S1398" t="str">
        <f>IF(Table1[prior_dna_count]&gt;=1,"Has prior DNA history","No prior DNA history")</f>
        <v>No prior DNA history</v>
      </c>
      <c r="T1398" t="s">
        <v>39</v>
      </c>
      <c r="U1398" t="str">
        <f t="shared" si="21"/>
        <v>1</v>
      </c>
      <c r="V1398" t="str">
        <f>IF(Table1[appointment_status]="Attended","1","0")</f>
        <v>0</v>
      </c>
      <c r="W1398" t="str">
        <f>IF(Table1[appointment_status]="Cancelled","1","0")</f>
        <v>0</v>
      </c>
    </row>
    <row r="1399" spans="1:23">
      <c r="A1399" t="s">
        <v>2380</v>
      </c>
      <c r="B1399" t="s">
        <v>2381</v>
      </c>
      <c r="C1399">
        <v>78</v>
      </c>
      <c r="D1399" t="str" cm="1">
        <f t="array" ref="D1399">_xlfn.IFS(Table1[[#This Row],[age]]&lt;=17,"0-17",C1399&lt;=29,"18-29",C1399&lt;=44,"30-44",C1399&lt;=59,"45-59",C1399&lt;=74,"60-74",TRUE,"75+")</f>
        <v>75+</v>
      </c>
      <c r="E1399" t="s">
        <v>29</v>
      </c>
      <c r="F1399">
        <v>6</v>
      </c>
      <c r="G1399" t="str" cm="1">
        <f t="array" ref="G1399">_xlfn.IFS(_xlfn.SINGLE(Table1[imd_decile])&lt;=3,"Most Deprived",F1399&lt;=7,"Moderately Deprived",F1399&lt;=10,"Least Deprived")</f>
        <v>Moderately Deprived</v>
      </c>
      <c r="H1399">
        <v>6.5</v>
      </c>
      <c r="I1399" t="s">
        <v>45</v>
      </c>
      <c r="J1399" t="s">
        <v>26</v>
      </c>
      <c r="K1399" s="1">
        <v>45864</v>
      </c>
      <c r="L1399" s="1">
        <v>45865</v>
      </c>
      <c r="M1399" s="1" t="str">
        <f>TEXT(Table1[[#This Row],[appointment_date]],"MM/YYYY")</f>
        <v>07/2025</v>
      </c>
      <c r="N1399">
        <v>1</v>
      </c>
      <c r="O1399" t="str" cm="1">
        <f t="array" ref="O1399">_xlfn.IFS(Table1[[#This Row],[lead_time_days]]&lt;=7,"0-7 days",N1399&lt;=14,"8-14 days",N1399&lt;=30,"15-30 days",N1399&lt;=60,"31-60 days",TRUE,"61+ days")</f>
        <v>0-7 days</v>
      </c>
      <c r="P1399" t="s">
        <v>31</v>
      </c>
      <c r="Q1399" t="s">
        <v>21</v>
      </c>
      <c r="R1399">
        <v>0</v>
      </c>
      <c r="S1399" t="str">
        <f>IF(Table1[prior_dna_count]&gt;=1,"Has prior DNA history","No prior DNA history")</f>
        <v>No prior DNA history</v>
      </c>
      <c r="T1399" t="s">
        <v>22</v>
      </c>
      <c r="U1399" t="str">
        <f t="shared" si="21"/>
        <v>0</v>
      </c>
      <c r="V1399" t="str">
        <f>IF(Table1[appointment_status]="Attended","1","0")</f>
        <v>1</v>
      </c>
      <c r="W1399" t="str">
        <f>IF(Table1[appointment_status]="Cancelled","1","0")</f>
        <v>0</v>
      </c>
    </row>
    <row r="1400" spans="1:23">
      <c r="A1400" t="s">
        <v>2382</v>
      </c>
      <c r="B1400" t="s">
        <v>1825</v>
      </c>
      <c r="C1400">
        <v>64</v>
      </c>
      <c r="D1400" t="str" cm="1">
        <f t="array" ref="D1400">_xlfn.IFS(Table1[[#This Row],[age]]&lt;=17,"0-17",C1400&lt;=29,"18-29",C1400&lt;=44,"30-44",C1400&lt;=59,"45-59",C1400&lt;=74,"60-74",TRUE,"75+")</f>
        <v>60-74</v>
      </c>
      <c r="E1400" t="s">
        <v>29</v>
      </c>
      <c r="F1400">
        <v>9</v>
      </c>
      <c r="G1400" t="str" cm="1">
        <f t="array" ref="G1400">_xlfn.IFS(_xlfn.SINGLE(Table1[imd_decile])&lt;=3,"Most Deprived",F1400&lt;=7,"Moderately Deprived",F1400&lt;=10,"Least Deprived")</f>
        <v>Least Deprived</v>
      </c>
      <c r="H1400">
        <v>15.6</v>
      </c>
      <c r="I1400" t="s">
        <v>38</v>
      </c>
      <c r="J1400" t="s">
        <v>19</v>
      </c>
      <c r="K1400" s="1">
        <v>45839</v>
      </c>
      <c r="L1400" s="1">
        <v>45865</v>
      </c>
      <c r="M1400" s="1" t="str">
        <f>TEXT(Table1[[#This Row],[appointment_date]],"MM/YYYY")</f>
        <v>07/2025</v>
      </c>
      <c r="N1400">
        <v>26</v>
      </c>
      <c r="O1400" t="str" cm="1">
        <f t="array" ref="O1400">_xlfn.IFS(Table1[[#This Row],[lead_time_days]]&lt;=7,"0-7 days",N1400&lt;=14,"8-14 days",N1400&lt;=30,"15-30 days",N1400&lt;=60,"31-60 days",TRUE,"61+ days")</f>
        <v>15-30 days</v>
      </c>
      <c r="P1400" t="s">
        <v>31</v>
      </c>
      <c r="Q1400" t="s">
        <v>21</v>
      </c>
      <c r="R1400">
        <v>0</v>
      </c>
      <c r="S1400" t="str">
        <f>IF(Table1[prior_dna_count]&gt;=1,"Has prior DNA history","No prior DNA history")</f>
        <v>No prior DNA history</v>
      </c>
      <c r="T1400" t="s">
        <v>22</v>
      </c>
      <c r="U1400" t="str">
        <f t="shared" si="21"/>
        <v>1</v>
      </c>
      <c r="V1400" t="str">
        <f>IF(Table1[appointment_status]="Attended","1","0")</f>
        <v>1</v>
      </c>
      <c r="W1400" t="str">
        <f>IF(Table1[appointment_status]="Cancelled","1","0")</f>
        <v>0</v>
      </c>
    </row>
    <row r="1401" spans="1:23">
      <c r="A1401" t="s">
        <v>2383</v>
      </c>
      <c r="B1401" t="s">
        <v>1229</v>
      </c>
      <c r="C1401">
        <v>39</v>
      </c>
      <c r="D1401" t="str" cm="1">
        <f t="array" ref="D1401">_xlfn.IFS(Table1[[#This Row],[age]]&lt;=17,"0-17",C1401&lt;=29,"18-29",C1401&lt;=44,"30-44",C1401&lt;=59,"45-59",C1401&lt;=74,"60-74",TRUE,"75+")</f>
        <v>30-44</v>
      </c>
      <c r="E1401" t="s">
        <v>17</v>
      </c>
      <c r="F1401">
        <v>8</v>
      </c>
      <c r="G1401" t="str" cm="1">
        <f t="array" ref="G1401">_xlfn.IFS(_xlfn.SINGLE(Table1[imd_decile])&lt;=3,"Most Deprived",F1401&lt;=7,"Moderately Deprived",F1401&lt;=10,"Least Deprived")</f>
        <v>Least Deprived</v>
      </c>
      <c r="H1401">
        <v>14.2</v>
      </c>
      <c r="I1401" t="s">
        <v>18</v>
      </c>
      <c r="J1401" t="s">
        <v>19</v>
      </c>
      <c r="K1401" s="1">
        <v>45828</v>
      </c>
      <c r="L1401" s="1">
        <v>45865</v>
      </c>
      <c r="M1401" s="1" t="str">
        <f>TEXT(Table1[[#This Row],[appointment_date]],"MM/YYYY")</f>
        <v>07/2025</v>
      </c>
      <c r="N1401">
        <v>37</v>
      </c>
      <c r="O1401" t="str" cm="1">
        <f t="array" ref="O1401">_xlfn.IFS(Table1[[#This Row],[lead_time_days]]&lt;=7,"0-7 days",N1401&lt;=14,"8-14 days",N1401&lt;=30,"15-30 days",N1401&lt;=60,"31-60 days",TRUE,"61+ days")</f>
        <v>31-60 days</v>
      </c>
      <c r="P1401" t="s">
        <v>31</v>
      </c>
      <c r="Q1401" t="s">
        <v>32</v>
      </c>
      <c r="R1401">
        <v>0</v>
      </c>
      <c r="S1401" t="str">
        <f>IF(Table1[prior_dna_count]&gt;=1,"Has prior DNA history","No prior DNA history")</f>
        <v>No prior DNA history</v>
      </c>
      <c r="T1401" t="s">
        <v>46</v>
      </c>
      <c r="U1401" t="str">
        <f t="shared" si="21"/>
        <v>1</v>
      </c>
      <c r="V1401" t="str">
        <f>IF(Table1[appointment_status]="Attended","1","0")</f>
        <v>0</v>
      </c>
      <c r="W1401" t="str">
        <f>IF(Table1[appointment_status]="Cancelled","1","0")</f>
        <v>1</v>
      </c>
    </row>
    <row r="1402" spans="1:23">
      <c r="A1402" t="s">
        <v>2384</v>
      </c>
      <c r="B1402" t="s">
        <v>82</v>
      </c>
      <c r="C1402">
        <v>37</v>
      </c>
      <c r="D1402" t="str" cm="1">
        <f t="array" ref="D1402">_xlfn.IFS(Table1[[#This Row],[age]]&lt;=17,"0-17",C1402&lt;=29,"18-29",C1402&lt;=44,"30-44",C1402&lt;=59,"45-59",C1402&lt;=74,"60-74",TRUE,"75+")</f>
        <v>30-44</v>
      </c>
      <c r="E1402" t="s">
        <v>29</v>
      </c>
      <c r="F1402">
        <v>4</v>
      </c>
      <c r="G1402" t="str" cm="1">
        <f t="array" ref="G1402">_xlfn.IFS(_xlfn.SINGLE(Table1[imd_decile])&lt;=3,"Most Deprived",F1402&lt;=7,"Moderately Deprived",F1402&lt;=10,"Least Deprived")</f>
        <v>Moderately Deprived</v>
      </c>
      <c r="H1402">
        <v>1.7</v>
      </c>
      <c r="I1402" t="s">
        <v>25</v>
      </c>
      <c r="J1402" t="s">
        <v>26</v>
      </c>
      <c r="K1402" s="1">
        <v>45847</v>
      </c>
      <c r="L1402" s="1">
        <v>45865</v>
      </c>
      <c r="M1402" s="1" t="str">
        <f>TEXT(Table1[[#This Row],[appointment_date]],"MM/YYYY")</f>
        <v>07/2025</v>
      </c>
      <c r="N1402">
        <v>18</v>
      </c>
      <c r="O1402" t="str" cm="1">
        <f t="array" ref="O1402">_xlfn.IFS(Table1[[#This Row],[lead_time_days]]&lt;=7,"0-7 days",N1402&lt;=14,"8-14 days",N1402&lt;=30,"15-30 days",N1402&lt;=60,"31-60 days",TRUE,"61+ days")</f>
        <v>15-30 days</v>
      </c>
      <c r="P1402" t="s">
        <v>31</v>
      </c>
      <c r="Q1402" t="s">
        <v>21</v>
      </c>
      <c r="R1402">
        <v>0</v>
      </c>
      <c r="S1402" t="str">
        <f>IF(Table1[prior_dna_count]&gt;=1,"Has prior DNA history","No prior DNA history")</f>
        <v>No prior DNA history</v>
      </c>
      <c r="T1402" t="s">
        <v>22</v>
      </c>
      <c r="U1402" t="str">
        <f t="shared" si="21"/>
        <v>0</v>
      </c>
      <c r="V1402" t="str">
        <f>IF(Table1[appointment_status]="Attended","1","0")</f>
        <v>1</v>
      </c>
      <c r="W1402" t="str">
        <f>IF(Table1[appointment_status]="Cancelled","1","0")</f>
        <v>0</v>
      </c>
    </row>
    <row r="1403" spans="1:23">
      <c r="A1403" t="s">
        <v>2385</v>
      </c>
      <c r="B1403" t="s">
        <v>345</v>
      </c>
      <c r="C1403">
        <v>37</v>
      </c>
      <c r="D1403" t="str" cm="1">
        <f t="array" ref="D1403">_xlfn.IFS(Table1[[#This Row],[age]]&lt;=17,"0-17",C1403&lt;=29,"18-29",C1403&lt;=44,"30-44",C1403&lt;=59,"45-59",C1403&lt;=74,"60-74",TRUE,"75+")</f>
        <v>30-44</v>
      </c>
      <c r="E1403" t="s">
        <v>29</v>
      </c>
      <c r="F1403">
        <v>8</v>
      </c>
      <c r="G1403" t="str" cm="1">
        <f t="array" ref="G1403">_xlfn.IFS(_xlfn.SINGLE(Table1[imd_decile])&lt;=3,"Most Deprived",F1403&lt;=7,"Moderately Deprived",F1403&lt;=10,"Least Deprived")</f>
        <v>Least Deprived</v>
      </c>
      <c r="H1403">
        <v>10</v>
      </c>
      <c r="I1403" t="s">
        <v>49</v>
      </c>
      <c r="J1403" t="s">
        <v>26</v>
      </c>
      <c r="K1403" s="1">
        <v>45851</v>
      </c>
      <c r="L1403" s="1">
        <v>45865</v>
      </c>
      <c r="M1403" s="1" t="str">
        <f>TEXT(Table1[[#This Row],[appointment_date]],"MM/YYYY")</f>
        <v>07/2025</v>
      </c>
      <c r="N1403">
        <v>14</v>
      </c>
      <c r="O1403" t="str" cm="1">
        <f t="array" ref="O1403">_xlfn.IFS(Table1[[#This Row],[lead_time_days]]&lt;=7,"0-7 days",N1403&lt;=14,"8-14 days",N1403&lt;=30,"15-30 days",N1403&lt;=60,"31-60 days",TRUE,"61+ days")</f>
        <v>8-14 days</v>
      </c>
      <c r="P1403" t="s">
        <v>31</v>
      </c>
      <c r="Q1403" t="s">
        <v>21</v>
      </c>
      <c r="R1403">
        <v>0</v>
      </c>
      <c r="S1403" t="str">
        <f>IF(Table1[prior_dna_count]&gt;=1,"Has prior DNA history","No prior DNA history")</f>
        <v>No prior DNA history</v>
      </c>
      <c r="T1403" t="s">
        <v>22</v>
      </c>
      <c r="U1403" t="str">
        <f t="shared" si="21"/>
        <v>1</v>
      </c>
      <c r="V1403" t="str">
        <f>IF(Table1[appointment_status]="Attended","1","0")</f>
        <v>1</v>
      </c>
      <c r="W1403" t="str">
        <f>IF(Table1[appointment_status]="Cancelled","1","0")</f>
        <v>0</v>
      </c>
    </row>
    <row r="1404" spans="1:23">
      <c r="A1404" t="s">
        <v>2386</v>
      </c>
      <c r="B1404" t="s">
        <v>2353</v>
      </c>
      <c r="C1404">
        <v>76</v>
      </c>
      <c r="D1404" t="str" cm="1">
        <f t="array" ref="D1404">_xlfn.IFS(Table1[[#This Row],[age]]&lt;=17,"0-17",C1404&lt;=29,"18-29",C1404&lt;=44,"30-44",C1404&lt;=59,"45-59",C1404&lt;=74,"60-74",TRUE,"75+")</f>
        <v>75+</v>
      </c>
      <c r="E1404" t="s">
        <v>17</v>
      </c>
      <c r="F1404">
        <v>3</v>
      </c>
      <c r="G1404" t="str" cm="1">
        <f t="array" ref="G1404">_xlfn.IFS(_xlfn.SINGLE(Table1[imd_decile])&lt;=3,"Most Deprived",F1404&lt;=7,"Moderately Deprived",F1404&lt;=10,"Least Deprived")</f>
        <v>Most Deprived</v>
      </c>
      <c r="H1404">
        <v>8.6</v>
      </c>
      <c r="I1404" t="s">
        <v>38</v>
      </c>
      <c r="J1404" t="s">
        <v>19</v>
      </c>
      <c r="K1404" s="1">
        <v>45847</v>
      </c>
      <c r="L1404" s="1">
        <v>45866</v>
      </c>
      <c r="M1404" s="1" t="str">
        <f>TEXT(Table1[[#This Row],[appointment_date]],"MM/YYYY")</f>
        <v>07/2025</v>
      </c>
      <c r="N1404">
        <v>19</v>
      </c>
      <c r="O1404" t="str" cm="1">
        <f t="array" ref="O1404">_xlfn.IFS(Table1[[#This Row],[lead_time_days]]&lt;=7,"0-7 days",N1404&lt;=14,"8-14 days",N1404&lt;=30,"15-30 days",N1404&lt;=60,"31-60 days",TRUE,"61+ days")</f>
        <v>15-30 days</v>
      </c>
      <c r="P1404" t="s">
        <v>35</v>
      </c>
      <c r="Q1404" t="s">
        <v>21</v>
      </c>
      <c r="R1404">
        <v>0</v>
      </c>
      <c r="S1404" t="str">
        <f>IF(Table1[prior_dna_count]&gt;=1,"Has prior DNA history","No prior DNA history")</f>
        <v>No prior DNA history</v>
      </c>
      <c r="T1404" t="s">
        <v>22</v>
      </c>
      <c r="U1404" t="str">
        <f t="shared" si="21"/>
        <v>1</v>
      </c>
      <c r="V1404" t="str">
        <f>IF(Table1[appointment_status]="Attended","1","0")</f>
        <v>1</v>
      </c>
      <c r="W1404" t="str">
        <f>IF(Table1[appointment_status]="Cancelled","1","0")</f>
        <v>0</v>
      </c>
    </row>
    <row r="1405" spans="1:23">
      <c r="A1405" t="s">
        <v>2387</v>
      </c>
      <c r="B1405" t="s">
        <v>2388</v>
      </c>
      <c r="C1405">
        <v>34</v>
      </c>
      <c r="D1405" t="str" cm="1">
        <f t="array" ref="D1405">_xlfn.IFS(Table1[[#This Row],[age]]&lt;=17,"0-17",C1405&lt;=29,"18-29",C1405&lt;=44,"30-44",C1405&lt;=59,"45-59",C1405&lt;=74,"60-74",TRUE,"75+")</f>
        <v>30-44</v>
      </c>
      <c r="E1405" t="s">
        <v>29</v>
      </c>
      <c r="F1405">
        <v>4</v>
      </c>
      <c r="G1405" t="str" cm="1">
        <f t="array" ref="G1405">_xlfn.IFS(_xlfn.SINGLE(Table1[imd_decile])&lt;=3,"Most Deprived",F1405&lt;=7,"Moderately Deprived",F1405&lt;=10,"Least Deprived")</f>
        <v>Moderately Deprived</v>
      </c>
      <c r="H1405">
        <v>5.0999999999999996</v>
      </c>
      <c r="I1405" t="s">
        <v>18</v>
      </c>
      <c r="J1405" t="s">
        <v>26</v>
      </c>
      <c r="K1405" s="1">
        <v>45818</v>
      </c>
      <c r="L1405" s="1">
        <v>45866</v>
      </c>
      <c r="M1405" s="1" t="str">
        <f>TEXT(Table1[[#This Row],[appointment_date]],"MM/YYYY")</f>
        <v>07/2025</v>
      </c>
      <c r="N1405">
        <v>48</v>
      </c>
      <c r="O1405" t="str" cm="1">
        <f t="array" ref="O1405">_xlfn.IFS(Table1[[#This Row],[lead_time_days]]&lt;=7,"0-7 days",N1405&lt;=14,"8-14 days",N1405&lt;=30,"15-30 days",N1405&lt;=60,"31-60 days",TRUE,"61+ days")</f>
        <v>31-60 days</v>
      </c>
      <c r="P1405" t="s">
        <v>35</v>
      </c>
      <c r="Q1405" t="s">
        <v>21</v>
      </c>
      <c r="R1405">
        <v>0</v>
      </c>
      <c r="S1405" t="str">
        <f>IF(Table1[prior_dna_count]&gt;=1,"Has prior DNA history","No prior DNA history")</f>
        <v>No prior DNA history</v>
      </c>
      <c r="T1405" t="s">
        <v>22</v>
      </c>
      <c r="U1405" t="str">
        <f t="shared" si="21"/>
        <v>1</v>
      </c>
      <c r="V1405" t="str">
        <f>IF(Table1[appointment_status]="Attended","1","0")</f>
        <v>1</v>
      </c>
      <c r="W1405" t="str">
        <f>IF(Table1[appointment_status]="Cancelled","1","0")</f>
        <v>0</v>
      </c>
    </row>
    <row r="1406" spans="1:23">
      <c r="A1406" t="s">
        <v>2389</v>
      </c>
      <c r="B1406" t="s">
        <v>1155</v>
      </c>
      <c r="C1406">
        <v>64</v>
      </c>
      <c r="D1406" t="str" cm="1">
        <f t="array" ref="D1406">_xlfn.IFS(Table1[[#This Row],[age]]&lt;=17,"0-17",C1406&lt;=29,"18-29",C1406&lt;=44,"30-44",C1406&lt;=59,"45-59",C1406&lt;=74,"60-74",TRUE,"75+")</f>
        <v>60-74</v>
      </c>
      <c r="E1406" t="s">
        <v>29</v>
      </c>
      <c r="F1406">
        <v>8</v>
      </c>
      <c r="G1406" t="str" cm="1">
        <f t="array" ref="G1406">_xlfn.IFS(_xlfn.SINGLE(Table1[imd_decile])&lt;=3,"Most Deprived",F1406&lt;=7,"Moderately Deprived",F1406&lt;=10,"Least Deprived")</f>
        <v>Least Deprived</v>
      </c>
      <c r="H1406">
        <v>4.2</v>
      </c>
      <c r="I1406" t="s">
        <v>18</v>
      </c>
      <c r="J1406" t="s">
        <v>19</v>
      </c>
      <c r="K1406" s="1">
        <v>45831</v>
      </c>
      <c r="L1406" s="1">
        <v>45866</v>
      </c>
      <c r="M1406" s="1" t="str">
        <f>TEXT(Table1[[#This Row],[appointment_date]],"MM/YYYY")</f>
        <v>07/2025</v>
      </c>
      <c r="N1406">
        <v>35</v>
      </c>
      <c r="O1406" t="str" cm="1">
        <f t="array" ref="O1406">_xlfn.IFS(Table1[[#This Row],[lead_time_days]]&lt;=7,"0-7 days",N1406&lt;=14,"8-14 days",N1406&lt;=30,"15-30 days",N1406&lt;=60,"31-60 days",TRUE,"61+ days")</f>
        <v>31-60 days</v>
      </c>
      <c r="P1406" t="s">
        <v>35</v>
      </c>
      <c r="Q1406" t="s">
        <v>32</v>
      </c>
      <c r="R1406">
        <v>1</v>
      </c>
      <c r="S1406" t="str">
        <f>IF(Table1[prior_dna_count]&gt;=1,"Has prior DNA history","No prior DNA history")</f>
        <v>Has prior DNA history</v>
      </c>
      <c r="T1406" t="s">
        <v>22</v>
      </c>
      <c r="U1406" t="str">
        <f t="shared" si="21"/>
        <v>1</v>
      </c>
      <c r="V1406" t="str">
        <f>IF(Table1[appointment_status]="Attended","1","0")</f>
        <v>1</v>
      </c>
      <c r="W1406" t="str">
        <f>IF(Table1[appointment_status]="Cancelled","1","0")</f>
        <v>0</v>
      </c>
    </row>
    <row r="1407" spans="1:23">
      <c r="A1407" t="s">
        <v>2390</v>
      </c>
      <c r="B1407" t="s">
        <v>2391</v>
      </c>
      <c r="C1407">
        <v>52</v>
      </c>
      <c r="D1407" t="str" cm="1">
        <f t="array" ref="D1407">_xlfn.IFS(Table1[[#This Row],[age]]&lt;=17,"0-17",C1407&lt;=29,"18-29",C1407&lt;=44,"30-44",C1407&lt;=59,"45-59",C1407&lt;=74,"60-74",TRUE,"75+")</f>
        <v>45-59</v>
      </c>
      <c r="E1407" t="s">
        <v>17</v>
      </c>
      <c r="F1407">
        <v>7</v>
      </c>
      <c r="G1407" t="str" cm="1">
        <f t="array" ref="G1407">_xlfn.IFS(_xlfn.SINGLE(Table1[imd_decile])&lt;=3,"Most Deprived",F1407&lt;=7,"Moderately Deprived",F1407&lt;=10,"Least Deprived")</f>
        <v>Moderately Deprived</v>
      </c>
      <c r="H1407">
        <v>10.199999999999999</v>
      </c>
      <c r="I1407" t="s">
        <v>38</v>
      </c>
      <c r="J1407" t="s">
        <v>26</v>
      </c>
      <c r="K1407" s="1">
        <v>45854</v>
      </c>
      <c r="L1407" s="1">
        <v>45866</v>
      </c>
      <c r="M1407" s="1" t="str">
        <f>TEXT(Table1[[#This Row],[appointment_date]],"MM/YYYY")</f>
        <v>07/2025</v>
      </c>
      <c r="N1407">
        <v>12</v>
      </c>
      <c r="O1407" t="str" cm="1">
        <f t="array" ref="O1407">_xlfn.IFS(Table1[[#This Row],[lead_time_days]]&lt;=7,"0-7 days",N1407&lt;=14,"8-14 days",N1407&lt;=30,"15-30 days",N1407&lt;=60,"31-60 days",TRUE,"61+ days")</f>
        <v>8-14 days</v>
      </c>
      <c r="P1407" t="s">
        <v>35</v>
      </c>
      <c r="Q1407" t="s">
        <v>21</v>
      </c>
      <c r="R1407">
        <v>0</v>
      </c>
      <c r="S1407" t="str">
        <f>IF(Table1[prior_dna_count]&gt;=1,"Has prior DNA history","No prior DNA history")</f>
        <v>No prior DNA history</v>
      </c>
      <c r="T1407" t="s">
        <v>22</v>
      </c>
      <c r="U1407" t="str">
        <f t="shared" si="21"/>
        <v>1</v>
      </c>
      <c r="V1407" t="str">
        <f>IF(Table1[appointment_status]="Attended","1","0")</f>
        <v>1</v>
      </c>
      <c r="W1407" t="str">
        <f>IF(Table1[appointment_status]="Cancelled","1","0")</f>
        <v>0</v>
      </c>
    </row>
    <row r="1408" spans="1:23">
      <c r="A1408" t="s">
        <v>2392</v>
      </c>
      <c r="B1408" t="s">
        <v>2393</v>
      </c>
      <c r="C1408">
        <v>70</v>
      </c>
      <c r="D1408" t="str" cm="1">
        <f t="array" ref="D1408">_xlfn.IFS(Table1[[#This Row],[age]]&lt;=17,"0-17",C1408&lt;=29,"18-29",C1408&lt;=44,"30-44",C1408&lt;=59,"45-59",C1408&lt;=74,"60-74",TRUE,"75+")</f>
        <v>60-74</v>
      </c>
      <c r="E1408" t="s">
        <v>29</v>
      </c>
      <c r="F1408">
        <v>6</v>
      </c>
      <c r="G1408" t="str" cm="1">
        <f t="array" ref="G1408">_xlfn.IFS(_xlfn.SINGLE(Table1[imd_decile])&lt;=3,"Most Deprived",F1408&lt;=7,"Moderately Deprived",F1408&lt;=10,"Least Deprived")</f>
        <v>Moderately Deprived</v>
      </c>
      <c r="H1408">
        <v>5</v>
      </c>
      <c r="I1408" t="s">
        <v>42</v>
      </c>
      <c r="J1408" t="s">
        <v>19</v>
      </c>
      <c r="K1408" s="1">
        <v>45825</v>
      </c>
      <c r="L1408" s="1">
        <v>45866</v>
      </c>
      <c r="M1408" s="1" t="str">
        <f>TEXT(Table1[[#This Row],[appointment_date]],"MM/YYYY")</f>
        <v>07/2025</v>
      </c>
      <c r="N1408">
        <v>41</v>
      </c>
      <c r="O1408" t="str" cm="1">
        <f t="array" ref="O1408">_xlfn.IFS(Table1[[#This Row],[lead_time_days]]&lt;=7,"0-7 days",N1408&lt;=14,"8-14 days",N1408&lt;=30,"15-30 days",N1408&lt;=60,"31-60 days",TRUE,"61+ days")</f>
        <v>31-60 days</v>
      </c>
      <c r="P1408" t="s">
        <v>35</v>
      </c>
      <c r="Q1408" t="s">
        <v>21</v>
      </c>
      <c r="R1408">
        <v>0</v>
      </c>
      <c r="S1408" t="str">
        <f>IF(Table1[prior_dna_count]&gt;=1,"Has prior DNA history","No prior DNA history")</f>
        <v>No prior DNA history</v>
      </c>
      <c r="T1408" t="s">
        <v>39</v>
      </c>
      <c r="U1408" t="str">
        <f t="shared" si="21"/>
        <v>1</v>
      </c>
      <c r="V1408" t="str">
        <f>IF(Table1[appointment_status]="Attended","1","0")</f>
        <v>0</v>
      </c>
      <c r="W1408" t="str">
        <f>IF(Table1[appointment_status]="Cancelled","1","0")</f>
        <v>0</v>
      </c>
    </row>
    <row r="1409" spans="1:23">
      <c r="A1409" t="s">
        <v>2394</v>
      </c>
      <c r="B1409" t="s">
        <v>1062</v>
      </c>
      <c r="C1409">
        <v>40</v>
      </c>
      <c r="D1409" t="str" cm="1">
        <f t="array" ref="D1409">_xlfn.IFS(Table1[[#This Row],[age]]&lt;=17,"0-17",C1409&lt;=29,"18-29",C1409&lt;=44,"30-44",C1409&lt;=59,"45-59",C1409&lt;=74,"60-74",TRUE,"75+")</f>
        <v>30-44</v>
      </c>
      <c r="E1409" t="s">
        <v>29</v>
      </c>
      <c r="F1409">
        <v>8</v>
      </c>
      <c r="G1409" t="str" cm="1">
        <f t="array" ref="G1409">_xlfn.IFS(_xlfn.SINGLE(Table1[imd_decile])&lt;=3,"Most Deprived",F1409&lt;=7,"Moderately Deprived",F1409&lt;=10,"Least Deprived")</f>
        <v>Least Deprived</v>
      </c>
      <c r="H1409">
        <v>6.4</v>
      </c>
      <c r="I1409" t="s">
        <v>30</v>
      </c>
      <c r="J1409" t="s">
        <v>19</v>
      </c>
      <c r="K1409" s="1">
        <v>45848</v>
      </c>
      <c r="L1409" s="1">
        <v>45866</v>
      </c>
      <c r="M1409" s="1" t="str">
        <f>TEXT(Table1[[#This Row],[appointment_date]],"MM/YYYY")</f>
        <v>07/2025</v>
      </c>
      <c r="N1409">
        <v>18</v>
      </c>
      <c r="O1409" t="str" cm="1">
        <f t="array" ref="O1409">_xlfn.IFS(Table1[[#This Row],[lead_time_days]]&lt;=7,"0-7 days",N1409&lt;=14,"8-14 days",N1409&lt;=30,"15-30 days",N1409&lt;=60,"31-60 days",TRUE,"61+ days")</f>
        <v>15-30 days</v>
      </c>
      <c r="P1409" t="s">
        <v>35</v>
      </c>
      <c r="Q1409" t="s">
        <v>21</v>
      </c>
      <c r="R1409">
        <v>0</v>
      </c>
      <c r="S1409" t="str">
        <f>IF(Table1[prior_dna_count]&gt;=1,"Has prior DNA history","No prior DNA history")</f>
        <v>No prior DNA history</v>
      </c>
      <c r="T1409" t="s">
        <v>22</v>
      </c>
      <c r="U1409" t="str">
        <f t="shared" si="21"/>
        <v>0</v>
      </c>
      <c r="V1409" t="str">
        <f>IF(Table1[appointment_status]="Attended","1","0")</f>
        <v>1</v>
      </c>
      <c r="W1409" t="str">
        <f>IF(Table1[appointment_status]="Cancelled","1","0")</f>
        <v>0</v>
      </c>
    </row>
    <row r="1410" spans="1:23">
      <c r="A1410" t="s">
        <v>2395</v>
      </c>
      <c r="B1410" t="s">
        <v>1003</v>
      </c>
      <c r="C1410">
        <v>38</v>
      </c>
      <c r="D1410" t="str" cm="1">
        <f t="array" ref="D1410">_xlfn.IFS(Table1[[#This Row],[age]]&lt;=17,"0-17",C1410&lt;=29,"18-29",C1410&lt;=44,"30-44",C1410&lt;=59,"45-59",C1410&lt;=74,"60-74",TRUE,"75+")</f>
        <v>30-44</v>
      </c>
      <c r="E1410" t="s">
        <v>29</v>
      </c>
      <c r="F1410">
        <v>3</v>
      </c>
      <c r="G1410" t="str" cm="1">
        <f t="array" ref="G1410">_xlfn.IFS(_xlfn.SINGLE(Table1[imd_decile])&lt;=3,"Most Deprived",F1410&lt;=7,"Moderately Deprived",F1410&lt;=10,"Least Deprived")</f>
        <v>Most Deprived</v>
      </c>
      <c r="H1410">
        <v>3</v>
      </c>
      <c r="I1410" t="s">
        <v>18</v>
      </c>
      <c r="J1410" t="s">
        <v>19</v>
      </c>
      <c r="K1410" s="1">
        <v>45850</v>
      </c>
      <c r="L1410" s="1">
        <v>45866</v>
      </c>
      <c r="M1410" s="1" t="str">
        <f>TEXT(Table1[[#This Row],[appointment_date]],"MM/YYYY")</f>
        <v>07/2025</v>
      </c>
      <c r="N1410">
        <v>16</v>
      </c>
      <c r="O1410" t="str" cm="1">
        <f t="array" ref="O1410">_xlfn.IFS(Table1[[#This Row],[lead_time_days]]&lt;=7,"0-7 days",N1410&lt;=14,"8-14 days",N1410&lt;=30,"15-30 days",N1410&lt;=60,"31-60 days",TRUE,"61+ days")</f>
        <v>15-30 days</v>
      </c>
      <c r="P1410" t="s">
        <v>35</v>
      </c>
      <c r="Q1410" t="s">
        <v>21</v>
      </c>
      <c r="R1410">
        <v>0</v>
      </c>
      <c r="S1410" t="str">
        <f>IF(Table1[prior_dna_count]&gt;=1,"Has prior DNA history","No prior DNA history")</f>
        <v>No prior DNA history</v>
      </c>
      <c r="T1410" t="s">
        <v>22</v>
      </c>
      <c r="U1410" t="str">
        <f t="shared" ref="U1410:U1473" si="22">V1409</f>
        <v>1</v>
      </c>
      <c r="V1410" t="str">
        <f>IF(Table1[appointment_status]="Attended","1","0")</f>
        <v>1</v>
      </c>
      <c r="W1410" t="str">
        <f>IF(Table1[appointment_status]="Cancelled","1","0")</f>
        <v>0</v>
      </c>
    </row>
    <row r="1411" spans="1:23">
      <c r="A1411" t="s">
        <v>2396</v>
      </c>
      <c r="B1411" t="s">
        <v>440</v>
      </c>
      <c r="C1411">
        <v>48</v>
      </c>
      <c r="D1411" t="str" cm="1">
        <f t="array" ref="D1411">_xlfn.IFS(Table1[[#This Row],[age]]&lt;=17,"0-17",C1411&lt;=29,"18-29",C1411&lt;=44,"30-44",C1411&lt;=59,"45-59",C1411&lt;=74,"60-74",TRUE,"75+")</f>
        <v>45-59</v>
      </c>
      <c r="E1411" t="s">
        <v>29</v>
      </c>
      <c r="F1411">
        <v>2</v>
      </c>
      <c r="G1411" t="str" cm="1">
        <f t="array" ref="G1411">_xlfn.IFS(_xlfn.SINGLE(Table1[imd_decile])&lt;=3,"Most Deprived",F1411&lt;=7,"Moderately Deprived",F1411&lt;=10,"Least Deprived")</f>
        <v>Most Deprived</v>
      </c>
      <c r="H1411">
        <v>4.8</v>
      </c>
      <c r="I1411" t="s">
        <v>30</v>
      </c>
      <c r="J1411" t="s">
        <v>19</v>
      </c>
      <c r="K1411" s="1">
        <v>45796</v>
      </c>
      <c r="L1411" s="1">
        <v>45867</v>
      </c>
      <c r="M1411" s="1" t="str">
        <f>TEXT(Table1[[#This Row],[appointment_date]],"MM/YYYY")</f>
        <v>07/2025</v>
      </c>
      <c r="N1411">
        <v>71</v>
      </c>
      <c r="O1411" t="str" cm="1">
        <f t="array" ref="O1411">_xlfn.IFS(Table1[[#This Row],[lead_time_days]]&lt;=7,"0-7 days",N1411&lt;=14,"8-14 days",N1411&lt;=30,"15-30 days",N1411&lt;=60,"31-60 days",TRUE,"61+ days")</f>
        <v>61+ days</v>
      </c>
      <c r="P1411" t="s">
        <v>71</v>
      </c>
      <c r="Q1411" t="s">
        <v>21</v>
      </c>
      <c r="R1411">
        <v>0</v>
      </c>
      <c r="S1411" t="str">
        <f>IF(Table1[prior_dna_count]&gt;=1,"Has prior DNA history","No prior DNA history")</f>
        <v>No prior DNA history</v>
      </c>
      <c r="T1411" t="s">
        <v>46</v>
      </c>
      <c r="U1411" t="str">
        <f t="shared" si="22"/>
        <v>1</v>
      </c>
      <c r="V1411" t="str">
        <f>IF(Table1[appointment_status]="Attended","1","0")</f>
        <v>0</v>
      </c>
      <c r="W1411" t="str">
        <f>IF(Table1[appointment_status]="Cancelled","1","0")</f>
        <v>1</v>
      </c>
    </row>
    <row r="1412" spans="1:23">
      <c r="A1412" t="s">
        <v>2397</v>
      </c>
      <c r="B1412" t="s">
        <v>2398</v>
      </c>
      <c r="C1412">
        <v>19</v>
      </c>
      <c r="D1412" t="str" cm="1">
        <f t="array" ref="D1412">_xlfn.IFS(Table1[[#This Row],[age]]&lt;=17,"0-17",C1412&lt;=29,"18-29",C1412&lt;=44,"30-44",C1412&lt;=59,"45-59",C1412&lt;=74,"60-74",TRUE,"75+")</f>
        <v>18-29</v>
      </c>
      <c r="E1412" t="s">
        <v>29</v>
      </c>
      <c r="F1412">
        <v>2</v>
      </c>
      <c r="G1412" t="str" cm="1">
        <f t="array" ref="G1412">_xlfn.IFS(_xlfn.SINGLE(Table1[imd_decile])&lt;=3,"Most Deprived",F1412&lt;=7,"Moderately Deprived",F1412&lt;=10,"Least Deprived")</f>
        <v>Most Deprived</v>
      </c>
      <c r="H1412">
        <v>13.2</v>
      </c>
      <c r="I1412" t="s">
        <v>58</v>
      </c>
      <c r="J1412" t="s">
        <v>19</v>
      </c>
      <c r="K1412" s="1">
        <v>45850</v>
      </c>
      <c r="L1412" s="1">
        <v>45867</v>
      </c>
      <c r="M1412" s="1" t="str">
        <f>TEXT(Table1[[#This Row],[appointment_date]],"MM/YYYY")</f>
        <v>07/2025</v>
      </c>
      <c r="N1412">
        <v>17</v>
      </c>
      <c r="O1412" t="str" cm="1">
        <f t="array" ref="O1412">_xlfn.IFS(Table1[[#This Row],[lead_time_days]]&lt;=7,"0-7 days",N1412&lt;=14,"8-14 days",N1412&lt;=30,"15-30 days",N1412&lt;=60,"31-60 days",TRUE,"61+ days")</f>
        <v>15-30 days</v>
      </c>
      <c r="P1412" t="s">
        <v>71</v>
      </c>
      <c r="Q1412" t="s">
        <v>32</v>
      </c>
      <c r="R1412">
        <v>0</v>
      </c>
      <c r="S1412" t="str">
        <f>IF(Table1[prior_dna_count]&gt;=1,"Has prior DNA history","No prior DNA history")</f>
        <v>No prior DNA history</v>
      </c>
      <c r="T1412" t="s">
        <v>39</v>
      </c>
      <c r="U1412" t="str">
        <f t="shared" si="22"/>
        <v>0</v>
      </c>
      <c r="V1412" t="str">
        <f>IF(Table1[appointment_status]="Attended","1","0")</f>
        <v>0</v>
      </c>
      <c r="W1412" t="str">
        <f>IF(Table1[appointment_status]="Cancelled","1","0")</f>
        <v>0</v>
      </c>
    </row>
    <row r="1413" spans="1:23">
      <c r="A1413" t="s">
        <v>2399</v>
      </c>
      <c r="B1413" t="s">
        <v>1620</v>
      </c>
      <c r="C1413">
        <v>21</v>
      </c>
      <c r="D1413" t="str" cm="1">
        <f t="array" ref="D1413">_xlfn.IFS(Table1[[#This Row],[age]]&lt;=17,"0-17",C1413&lt;=29,"18-29",C1413&lt;=44,"30-44",C1413&lt;=59,"45-59",C1413&lt;=74,"60-74",TRUE,"75+")</f>
        <v>18-29</v>
      </c>
      <c r="E1413" t="s">
        <v>29</v>
      </c>
      <c r="F1413">
        <v>7</v>
      </c>
      <c r="G1413" t="str" cm="1">
        <f t="array" ref="G1413">_xlfn.IFS(_xlfn.SINGLE(Table1[imd_decile])&lt;=3,"Most Deprived",F1413&lt;=7,"Moderately Deprived",F1413&lt;=10,"Least Deprived")</f>
        <v>Moderately Deprived</v>
      </c>
      <c r="H1413">
        <v>5.9</v>
      </c>
      <c r="I1413" t="s">
        <v>18</v>
      </c>
      <c r="J1413" t="s">
        <v>19</v>
      </c>
      <c r="K1413" s="1">
        <v>45770</v>
      </c>
      <c r="L1413" s="1">
        <v>45867</v>
      </c>
      <c r="M1413" s="1" t="str">
        <f>TEXT(Table1[[#This Row],[appointment_date]],"MM/YYYY")</f>
        <v>07/2025</v>
      </c>
      <c r="N1413">
        <v>97</v>
      </c>
      <c r="O1413" t="str" cm="1">
        <f t="array" ref="O1413">_xlfn.IFS(Table1[[#This Row],[lead_time_days]]&lt;=7,"0-7 days",N1413&lt;=14,"8-14 days",N1413&lt;=30,"15-30 days",N1413&lt;=60,"31-60 days",TRUE,"61+ days")</f>
        <v>61+ days</v>
      </c>
      <c r="P1413" t="s">
        <v>71</v>
      </c>
      <c r="Q1413" t="s">
        <v>32</v>
      </c>
      <c r="R1413">
        <v>0</v>
      </c>
      <c r="S1413" t="str">
        <f>IF(Table1[prior_dna_count]&gt;=1,"Has prior DNA history","No prior DNA history")</f>
        <v>No prior DNA history</v>
      </c>
      <c r="T1413" t="s">
        <v>22</v>
      </c>
      <c r="U1413" t="str">
        <f t="shared" si="22"/>
        <v>0</v>
      </c>
      <c r="V1413" t="str">
        <f>IF(Table1[appointment_status]="Attended","1","0")</f>
        <v>1</v>
      </c>
      <c r="W1413" t="str">
        <f>IF(Table1[appointment_status]="Cancelled","1","0")</f>
        <v>0</v>
      </c>
    </row>
    <row r="1414" spans="1:23">
      <c r="A1414" t="s">
        <v>2400</v>
      </c>
      <c r="B1414" t="s">
        <v>2401</v>
      </c>
      <c r="C1414">
        <v>45</v>
      </c>
      <c r="D1414" t="str" cm="1">
        <f t="array" ref="D1414">_xlfn.IFS(Table1[[#This Row],[age]]&lt;=17,"0-17",C1414&lt;=29,"18-29",C1414&lt;=44,"30-44",C1414&lt;=59,"45-59",C1414&lt;=74,"60-74",TRUE,"75+")</f>
        <v>45-59</v>
      </c>
      <c r="E1414" t="s">
        <v>17</v>
      </c>
      <c r="F1414">
        <v>9</v>
      </c>
      <c r="G1414" t="str" cm="1">
        <f t="array" ref="G1414">_xlfn.IFS(_xlfn.SINGLE(Table1[imd_decile])&lt;=3,"Most Deprived",F1414&lt;=7,"Moderately Deprived",F1414&lt;=10,"Least Deprived")</f>
        <v>Least Deprived</v>
      </c>
      <c r="H1414">
        <v>5.7</v>
      </c>
      <c r="I1414" t="s">
        <v>49</v>
      </c>
      <c r="J1414" t="s">
        <v>26</v>
      </c>
      <c r="K1414" s="1">
        <v>45848</v>
      </c>
      <c r="L1414" s="1">
        <v>45867</v>
      </c>
      <c r="M1414" s="1" t="str">
        <f>TEXT(Table1[[#This Row],[appointment_date]],"MM/YYYY")</f>
        <v>07/2025</v>
      </c>
      <c r="N1414">
        <v>19</v>
      </c>
      <c r="O1414" t="str" cm="1">
        <f t="array" ref="O1414">_xlfn.IFS(Table1[[#This Row],[lead_time_days]]&lt;=7,"0-7 days",N1414&lt;=14,"8-14 days",N1414&lt;=30,"15-30 days",N1414&lt;=60,"31-60 days",TRUE,"61+ days")</f>
        <v>15-30 days</v>
      </c>
      <c r="P1414" t="s">
        <v>71</v>
      </c>
      <c r="Q1414" t="s">
        <v>21</v>
      </c>
      <c r="R1414">
        <v>0</v>
      </c>
      <c r="S1414" t="str">
        <f>IF(Table1[prior_dna_count]&gt;=1,"Has prior DNA history","No prior DNA history")</f>
        <v>No prior DNA history</v>
      </c>
      <c r="T1414" t="s">
        <v>22</v>
      </c>
      <c r="U1414" t="str">
        <f t="shared" si="22"/>
        <v>1</v>
      </c>
      <c r="V1414" t="str">
        <f>IF(Table1[appointment_status]="Attended","1","0")</f>
        <v>1</v>
      </c>
      <c r="W1414" t="str">
        <f>IF(Table1[appointment_status]="Cancelled","1","0")</f>
        <v>0</v>
      </c>
    </row>
    <row r="1415" spans="1:23">
      <c r="A1415" t="s">
        <v>2402</v>
      </c>
      <c r="B1415" t="s">
        <v>359</v>
      </c>
      <c r="C1415">
        <v>45</v>
      </c>
      <c r="D1415" t="str" cm="1">
        <f t="array" ref="D1415">_xlfn.IFS(Table1[[#This Row],[age]]&lt;=17,"0-17",C1415&lt;=29,"18-29",C1415&lt;=44,"30-44",C1415&lt;=59,"45-59",C1415&lt;=74,"60-74",TRUE,"75+")</f>
        <v>45-59</v>
      </c>
      <c r="E1415" t="s">
        <v>17</v>
      </c>
      <c r="F1415">
        <v>3</v>
      </c>
      <c r="G1415" t="str" cm="1">
        <f t="array" ref="G1415">_xlfn.IFS(_xlfn.SINGLE(Table1[imd_decile])&lt;=3,"Most Deprived",F1415&lt;=7,"Moderately Deprived",F1415&lt;=10,"Least Deprived")</f>
        <v>Most Deprived</v>
      </c>
      <c r="H1415">
        <v>5</v>
      </c>
      <c r="I1415" t="s">
        <v>91</v>
      </c>
      <c r="J1415" t="s">
        <v>19</v>
      </c>
      <c r="K1415" s="1">
        <v>45849</v>
      </c>
      <c r="L1415" s="1">
        <v>45867</v>
      </c>
      <c r="M1415" s="1" t="str">
        <f>TEXT(Table1[[#This Row],[appointment_date]],"MM/YYYY")</f>
        <v>07/2025</v>
      </c>
      <c r="N1415">
        <v>18</v>
      </c>
      <c r="O1415" t="str" cm="1">
        <f t="array" ref="O1415">_xlfn.IFS(Table1[[#This Row],[lead_time_days]]&lt;=7,"0-7 days",N1415&lt;=14,"8-14 days",N1415&lt;=30,"15-30 days",N1415&lt;=60,"31-60 days",TRUE,"61+ days")</f>
        <v>15-30 days</v>
      </c>
      <c r="P1415" t="s">
        <v>71</v>
      </c>
      <c r="Q1415" t="s">
        <v>21</v>
      </c>
      <c r="R1415">
        <v>0</v>
      </c>
      <c r="S1415" t="str">
        <f>IF(Table1[prior_dna_count]&gt;=1,"Has prior DNA history","No prior DNA history")</f>
        <v>No prior DNA history</v>
      </c>
      <c r="T1415" t="s">
        <v>22</v>
      </c>
      <c r="U1415" t="str">
        <f t="shared" si="22"/>
        <v>1</v>
      </c>
      <c r="V1415" t="str">
        <f>IF(Table1[appointment_status]="Attended","1","0")</f>
        <v>1</v>
      </c>
      <c r="W1415" t="str">
        <f>IF(Table1[appointment_status]="Cancelled","1","0")</f>
        <v>0</v>
      </c>
    </row>
    <row r="1416" spans="1:23">
      <c r="A1416" t="s">
        <v>2403</v>
      </c>
      <c r="B1416" t="s">
        <v>2404</v>
      </c>
      <c r="C1416">
        <v>27</v>
      </c>
      <c r="D1416" t="str" cm="1">
        <f t="array" ref="D1416">_xlfn.IFS(Table1[[#This Row],[age]]&lt;=17,"0-17",C1416&lt;=29,"18-29",C1416&lt;=44,"30-44",C1416&lt;=59,"45-59",C1416&lt;=74,"60-74",TRUE,"75+")</f>
        <v>18-29</v>
      </c>
      <c r="E1416" t="s">
        <v>17</v>
      </c>
      <c r="F1416">
        <v>3</v>
      </c>
      <c r="G1416" t="str" cm="1">
        <f t="array" ref="G1416">_xlfn.IFS(_xlfn.SINGLE(Table1[imd_decile])&lt;=3,"Most Deprived",F1416&lt;=7,"Moderately Deprived",F1416&lt;=10,"Least Deprived")</f>
        <v>Most Deprived</v>
      </c>
      <c r="H1416">
        <v>6.4</v>
      </c>
      <c r="I1416" t="s">
        <v>91</v>
      </c>
      <c r="J1416" t="s">
        <v>19</v>
      </c>
      <c r="K1416" s="1">
        <v>45839</v>
      </c>
      <c r="L1416" s="1">
        <v>45867</v>
      </c>
      <c r="M1416" s="1" t="str">
        <f>TEXT(Table1[[#This Row],[appointment_date]],"MM/YYYY")</f>
        <v>07/2025</v>
      </c>
      <c r="N1416">
        <v>28</v>
      </c>
      <c r="O1416" t="str" cm="1">
        <f t="array" ref="O1416">_xlfn.IFS(Table1[[#This Row],[lead_time_days]]&lt;=7,"0-7 days",N1416&lt;=14,"8-14 days",N1416&lt;=30,"15-30 days",N1416&lt;=60,"31-60 days",TRUE,"61+ days")</f>
        <v>15-30 days</v>
      </c>
      <c r="P1416" t="s">
        <v>71</v>
      </c>
      <c r="Q1416" t="s">
        <v>32</v>
      </c>
      <c r="R1416">
        <v>0</v>
      </c>
      <c r="S1416" t="str">
        <f>IF(Table1[prior_dna_count]&gt;=1,"Has prior DNA history","No prior DNA history")</f>
        <v>No prior DNA history</v>
      </c>
      <c r="T1416" t="s">
        <v>46</v>
      </c>
      <c r="U1416" t="str">
        <f t="shared" si="22"/>
        <v>1</v>
      </c>
      <c r="V1416" t="str">
        <f>IF(Table1[appointment_status]="Attended","1","0")</f>
        <v>0</v>
      </c>
      <c r="W1416" t="str">
        <f>IF(Table1[appointment_status]="Cancelled","1","0")</f>
        <v>1</v>
      </c>
    </row>
    <row r="1417" spans="1:23">
      <c r="A1417" t="s">
        <v>2405</v>
      </c>
      <c r="B1417" t="s">
        <v>2406</v>
      </c>
      <c r="C1417">
        <v>18</v>
      </c>
      <c r="D1417" t="str" cm="1">
        <f t="array" ref="D1417">_xlfn.IFS(Table1[[#This Row],[age]]&lt;=17,"0-17",C1417&lt;=29,"18-29",C1417&lt;=44,"30-44",C1417&lt;=59,"45-59",C1417&lt;=74,"60-74",TRUE,"75+")</f>
        <v>18-29</v>
      </c>
      <c r="E1417" t="s">
        <v>29</v>
      </c>
      <c r="F1417">
        <v>10</v>
      </c>
      <c r="G1417" t="str" cm="1">
        <f t="array" ref="G1417">_xlfn.IFS(_xlfn.SINGLE(Table1[imd_decile])&lt;=3,"Most Deprived",F1417&lt;=7,"Moderately Deprived",F1417&lt;=10,"Least Deprived")</f>
        <v>Least Deprived</v>
      </c>
      <c r="H1417">
        <v>11.9</v>
      </c>
      <c r="I1417" t="s">
        <v>155</v>
      </c>
      <c r="J1417" t="s">
        <v>26</v>
      </c>
      <c r="K1417" s="1">
        <v>45864</v>
      </c>
      <c r="L1417" s="1">
        <v>45867</v>
      </c>
      <c r="M1417" s="1" t="str">
        <f>TEXT(Table1[[#This Row],[appointment_date]],"MM/YYYY")</f>
        <v>07/2025</v>
      </c>
      <c r="N1417">
        <v>3</v>
      </c>
      <c r="O1417" t="str" cm="1">
        <f t="array" ref="O1417">_xlfn.IFS(Table1[[#This Row],[lead_time_days]]&lt;=7,"0-7 days",N1417&lt;=14,"8-14 days",N1417&lt;=30,"15-30 days",N1417&lt;=60,"31-60 days",TRUE,"61+ days")</f>
        <v>0-7 days</v>
      </c>
      <c r="P1417" t="s">
        <v>71</v>
      </c>
      <c r="Q1417" t="s">
        <v>32</v>
      </c>
      <c r="R1417">
        <v>0</v>
      </c>
      <c r="S1417" t="str">
        <f>IF(Table1[prior_dna_count]&gt;=1,"Has prior DNA history","No prior DNA history")</f>
        <v>No prior DNA history</v>
      </c>
      <c r="T1417" t="s">
        <v>39</v>
      </c>
      <c r="U1417" t="str">
        <f t="shared" si="22"/>
        <v>0</v>
      </c>
      <c r="V1417" t="str">
        <f>IF(Table1[appointment_status]="Attended","1","0")</f>
        <v>0</v>
      </c>
      <c r="W1417" t="str">
        <f>IF(Table1[appointment_status]="Cancelled","1","0")</f>
        <v>0</v>
      </c>
    </row>
    <row r="1418" spans="1:23">
      <c r="A1418" t="s">
        <v>2407</v>
      </c>
      <c r="B1418" t="s">
        <v>1393</v>
      </c>
      <c r="C1418">
        <v>5</v>
      </c>
      <c r="D1418" t="str" cm="1">
        <f t="array" ref="D1418">_xlfn.IFS(Table1[[#This Row],[age]]&lt;=17,"0-17",C1418&lt;=29,"18-29",C1418&lt;=44,"30-44",C1418&lt;=59,"45-59",C1418&lt;=74,"60-74",TRUE,"75+")</f>
        <v>0-17</v>
      </c>
      <c r="E1418" t="s">
        <v>17</v>
      </c>
      <c r="F1418">
        <v>4</v>
      </c>
      <c r="G1418" t="str" cm="1">
        <f t="array" ref="G1418">_xlfn.IFS(_xlfn.SINGLE(Table1[imd_decile])&lt;=3,"Most Deprived",F1418&lt;=7,"Moderately Deprived",F1418&lt;=10,"Least Deprived")</f>
        <v>Moderately Deprived</v>
      </c>
      <c r="H1418">
        <v>0.8</v>
      </c>
      <c r="I1418" t="s">
        <v>91</v>
      </c>
      <c r="J1418" t="s">
        <v>19</v>
      </c>
      <c r="K1418" s="1">
        <v>45822</v>
      </c>
      <c r="L1418" s="1">
        <v>45867</v>
      </c>
      <c r="M1418" s="1" t="str">
        <f>TEXT(Table1[[#This Row],[appointment_date]],"MM/YYYY")</f>
        <v>07/2025</v>
      </c>
      <c r="N1418">
        <v>45</v>
      </c>
      <c r="O1418" t="str" cm="1">
        <f t="array" ref="O1418">_xlfn.IFS(Table1[[#This Row],[lead_time_days]]&lt;=7,"0-7 days",N1418&lt;=14,"8-14 days",N1418&lt;=30,"15-30 days",N1418&lt;=60,"31-60 days",TRUE,"61+ days")</f>
        <v>31-60 days</v>
      </c>
      <c r="P1418" t="s">
        <v>71</v>
      </c>
      <c r="Q1418" t="s">
        <v>21</v>
      </c>
      <c r="R1418">
        <v>0</v>
      </c>
      <c r="S1418" t="str">
        <f>IF(Table1[prior_dna_count]&gt;=1,"Has prior DNA history","No prior DNA history")</f>
        <v>No prior DNA history</v>
      </c>
      <c r="T1418" t="s">
        <v>22</v>
      </c>
      <c r="U1418" t="str">
        <f t="shared" si="22"/>
        <v>0</v>
      </c>
      <c r="V1418" t="str">
        <f>IF(Table1[appointment_status]="Attended","1","0")</f>
        <v>1</v>
      </c>
      <c r="W1418" t="str">
        <f>IF(Table1[appointment_status]="Cancelled","1","0")</f>
        <v>0</v>
      </c>
    </row>
    <row r="1419" spans="1:23">
      <c r="A1419" t="s">
        <v>2408</v>
      </c>
      <c r="B1419" t="s">
        <v>373</v>
      </c>
      <c r="C1419">
        <v>15</v>
      </c>
      <c r="D1419" t="str" cm="1">
        <f t="array" ref="D1419">_xlfn.IFS(Table1[[#This Row],[age]]&lt;=17,"0-17",C1419&lt;=29,"18-29",C1419&lt;=44,"30-44",C1419&lt;=59,"45-59",C1419&lt;=74,"60-74",TRUE,"75+")</f>
        <v>0-17</v>
      </c>
      <c r="E1419" t="s">
        <v>29</v>
      </c>
      <c r="F1419">
        <v>9</v>
      </c>
      <c r="G1419" t="str" cm="1">
        <f t="array" ref="G1419">_xlfn.IFS(_xlfn.SINGLE(Table1[imd_decile])&lt;=3,"Most Deprived",F1419&lt;=7,"Moderately Deprived",F1419&lt;=10,"Least Deprived")</f>
        <v>Least Deprived</v>
      </c>
      <c r="H1419">
        <v>2.4</v>
      </c>
      <c r="I1419" t="s">
        <v>38</v>
      </c>
      <c r="J1419" t="s">
        <v>19</v>
      </c>
      <c r="K1419" s="1">
        <v>45830</v>
      </c>
      <c r="L1419" s="1">
        <v>45867</v>
      </c>
      <c r="M1419" s="1" t="str">
        <f>TEXT(Table1[[#This Row],[appointment_date]],"MM/YYYY")</f>
        <v>07/2025</v>
      </c>
      <c r="N1419">
        <v>37</v>
      </c>
      <c r="O1419" t="str" cm="1">
        <f t="array" ref="O1419">_xlfn.IFS(Table1[[#This Row],[lead_time_days]]&lt;=7,"0-7 days",N1419&lt;=14,"8-14 days",N1419&lt;=30,"15-30 days",N1419&lt;=60,"31-60 days",TRUE,"61+ days")</f>
        <v>31-60 days</v>
      </c>
      <c r="P1419" t="s">
        <v>71</v>
      </c>
      <c r="Q1419" t="s">
        <v>21</v>
      </c>
      <c r="R1419">
        <v>0</v>
      </c>
      <c r="S1419" t="str">
        <f>IF(Table1[prior_dna_count]&gt;=1,"Has prior DNA history","No prior DNA history")</f>
        <v>No prior DNA history</v>
      </c>
      <c r="T1419" t="s">
        <v>22</v>
      </c>
      <c r="U1419" t="str">
        <f t="shared" si="22"/>
        <v>1</v>
      </c>
      <c r="V1419" t="str">
        <f>IF(Table1[appointment_status]="Attended","1","0")</f>
        <v>1</v>
      </c>
      <c r="W1419" t="str">
        <f>IF(Table1[appointment_status]="Cancelled","1","0")</f>
        <v>0</v>
      </c>
    </row>
    <row r="1420" spans="1:23">
      <c r="A1420" t="s">
        <v>2409</v>
      </c>
      <c r="B1420" t="s">
        <v>1962</v>
      </c>
      <c r="C1420">
        <v>62</v>
      </c>
      <c r="D1420" t="str" cm="1">
        <f t="array" ref="D1420">_xlfn.IFS(Table1[[#This Row],[age]]&lt;=17,"0-17",C1420&lt;=29,"18-29",C1420&lt;=44,"30-44",C1420&lt;=59,"45-59",C1420&lt;=74,"60-74",TRUE,"75+")</f>
        <v>60-74</v>
      </c>
      <c r="E1420" t="s">
        <v>29</v>
      </c>
      <c r="F1420">
        <v>9</v>
      </c>
      <c r="G1420" t="str" cm="1">
        <f t="array" ref="G1420">_xlfn.IFS(_xlfn.SINGLE(Table1[imd_decile])&lt;=3,"Most Deprived",F1420&lt;=7,"Moderately Deprived",F1420&lt;=10,"Least Deprived")</f>
        <v>Least Deprived</v>
      </c>
      <c r="H1420">
        <v>3</v>
      </c>
      <c r="I1420" t="s">
        <v>25</v>
      </c>
      <c r="J1420" t="s">
        <v>19</v>
      </c>
      <c r="K1420" s="1">
        <v>45825</v>
      </c>
      <c r="L1420" s="1">
        <v>45867</v>
      </c>
      <c r="M1420" s="1" t="str">
        <f>TEXT(Table1[[#This Row],[appointment_date]],"MM/YYYY")</f>
        <v>07/2025</v>
      </c>
      <c r="N1420">
        <v>42</v>
      </c>
      <c r="O1420" t="str" cm="1">
        <f t="array" ref="O1420">_xlfn.IFS(Table1[[#This Row],[lead_time_days]]&lt;=7,"0-7 days",N1420&lt;=14,"8-14 days",N1420&lt;=30,"15-30 days",N1420&lt;=60,"31-60 days",TRUE,"61+ days")</f>
        <v>31-60 days</v>
      </c>
      <c r="P1420" t="s">
        <v>71</v>
      </c>
      <c r="Q1420" t="s">
        <v>21</v>
      </c>
      <c r="R1420">
        <v>0</v>
      </c>
      <c r="S1420" t="str">
        <f>IF(Table1[prior_dna_count]&gt;=1,"Has prior DNA history","No prior DNA history")</f>
        <v>No prior DNA history</v>
      </c>
      <c r="T1420" t="s">
        <v>22</v>
      </c>
      <c r="U1420" t="str">
        <f t="shared" si="22"/>
        <v>1</v>
      </c>
      <c r="V1420" t="str">
        <f>IF(Table1[appointment_status]="Attended","1","0")</f>
        <v>1</v>
      </c>
      <c r="W1420" t="str">
        <f>IF(Table1[appointment_status]="Cancelled","1","0")</f>
        <v>0</v>
      </c>
    </row>
    <row r="1421" spans="1:23">
      <c r="A1421" t="s">
        <v>2410</v>
      </c>
      <c r="B1421" t="s">
        <v>2411</v>
      </c>
      <c r="C1421">
        <v>62</v>
      </c>
      <c r="D1421" t="str" cm="1">
        <f t="array" ref="D1421">_xlfn.IFS(Table1[[#This Row],[age]]&lt;=17,"0-17",C1421&lt;=29,"18-29",C1421&lt;=44,"30-44",C1421&lt;=59,"45-59",C1421&lt;=74,"60-74",TRUE,"75+")</f>
        <v>60-74</v>
      </c>
      <c r="E1421" t="s">
        <v>29</v>
      </c>
      <c r="F1421">
        <v>8</v>
      </c>
      <c r="G1421" t="str" cm="1">
        <f t="array" ref="G1421">_xlfn.IFS(_xlfn.SINGLE(Table1[imd_decile])&lt;=3,"Most Deprived",F1421&lt;=7,"Moderately Deprived",F1421&lt;=10,"Least Deprived")</f>
        <v>Least Deprived</v>
      </c>
      <c r="H1421">
        <v>17.399999999999999</v>
      </c>
      <c r="I1421" t="s">
        <v>58</v>
      </c>
      <c r="J1421" t="s">
        <v>26</v>
      </c>
      <c r="K1421" s="1">
        <v>45857</v>
      </c>
      <c r="L1421" s="1">
        <v>45867</v>
      </c>
      <c r="M1421" s="1" t="str">
        <f>TEXT(Table1[[#This Row],[appointment_date]],"MM/YYYY")</f>
        <v>07/2025</v>
      </c>
      <c r="N1421">
        <v>10</v>
      </c>
      <c r="O1421" t="str" cm="1">
        <f t="array" ref="O1421">_xlfn.IFS(Table1[[#This Row],[lead_time_days]]&lt;=7,"0-7 days",N1421&lt;=14,"8-14 days",N1421&lt;=30,"15-30 days",N1421&lt;=60,"31-60 days",TRUE,"61+ days")</f>
        <v>8-14 days</v>
      </c>
      <c r="P1421" t="s">
        <v>71</v>
      </c>
      <c r="Q1421" t="s">
        <v>32</v>
      </c>
      <c r="R1421">
        <v>0</v>
      </c>
      <c r="S1421" t="str">
        <f>IF(Table1[prior_dna_count]&gt;=1,"Has prior DNA history","No prior DNA history")</f>
        <v>No prior DNA history</v>
      </c>
      <c r="T1421" t="s">
        <v>22</v>
      </c>
      <c r="U1421" t="str">
        <f t="shared" si="22"/>
        <v>1</v>
      </c>
      <c r="V1421" t="str">
        <f>IF(Table1[appointment_status]="Attended","1","0")</f>
        <v>1</v>
      </c>
      <c r="W1421" t="str">
        <f>IF(Table1[appointment_status]="Cancelled","1","0")</f>
        <v>0</v>
      </c>
    </row>
    <row r="1422" spans="1:23">
      <c r="A1422" t="s">
        <v>2412</v>
      </c>
      <c r="B1422" t="s">
        <v>1414</v>
      </c>
      <c r="C1422">
        <v>32</v>
      </c>
      <c r="D1422" t="str" cm="1">
        <f t="array" ref="D1422">_xlfn.IFS(Table1[[#This Row],[age]]&lt;=17,"0-17",C1422&lt;=29,"18-29",C1422&lt;=44,"30-44",C1422&lt;=59,"45-59",C1422&lt;=74,"60-74",TRUE,"75+")</f>
        <v>30-44</v>
      </c>
      <c r="E1422" t="s">
        <v>17</v>
      </c>
      <c r="F1422">
        <v>2</v>
      </c>
      <c r="G1422" t="str" cm="1">
        <f t="array" ref="G1422">_xlfn.IFS(_xlfn.SINGLE(Table1[imd_decile])&lt;=3,"Most Deprived",F1422&lt;=7,"Moderately Deprived",F1422&lt;=10,"Least Deprived")</f>
        <v>Most Deprived</v>
      </c>
      <c r="H1422">
        <v>10.9</v>
      </c>
      <c r="I1422" t="s">
        <v>25</v>
      </c>
      <c r="J1422" t="s">
        <v>26</v>
      </c>
      <c r="K1422" s="1">
        <v>45853</v>
      </c>
      <c r="L1422" s="1">
        <v>45867</v>
      </c>
      <c r="M1422" s="1" t="str">
        <f>TEXT(Table1[[#This Row],[appointment_date]],"MM/YYYY")</f>
        <v>07/2025</v>
      </c>
      <c r="N1422">
        <v>14</v>
      </c>
      <c r="O1422" t="str" cm="1">
        <f t="array" ref="O1422">_xlfn.IFS(Table1[[#This Row],[lead_time_days]]&lt;=7,"0-7 days",N1422&lt;=14,"8-14 days",N1422&lt;=30,"15-30 days",N1422&lt;=60,"31-60 days",TRUE,"61+ days")</f>
        <v>8-14 days</v>
      </c>
      <c r="P1422" t="s">
        <v>71</v>
      </c>
      <c r="Q1422" t="s">
        <v>32</v>
      </c>
      <c r="R1422">
        <v>0</v>
      </c>
      <c r="S1422" t="str">
        <f>IF(Table1[prior_dna_count]&gt;=1,"Has prior DNA history","No prior DNA history")</f>
        <v>No prior DNA history</v>
      </c>
      <c r="T1422" t="s">
        <v>22</v>
      </c>
      <c r="U1422" t="str">
        <f t="shared" si="22"/>
        <v>1</v>
      </c>
      <c r="V1422" t="str">
        <f>IF(Table1[appointment_status]="Attended","1","0")</f>
        <v>1</v>
      </c>
      <c r="W1422" t="str">
        <f>IF(Table1[appointment_status]="Cancelled","1","0")</f>
        <v>0</v>
      </c>
    </row>
    <row r="1423" spans="1:23">
      <c r="A1423" t="s">
        <v>2413</v>
      </c>
      <c r="B1423" t="s">
        <v>1687</v>
      </c>
      <c r="C1423">
        <v>68</v>
      </c>
      <c r="D1423" t="str" cm="1">
        <f t="array" ref="D1423">_xlfn.IFS(Table1[[#This Row],[age]]&lt;=17,"0-17",C1423&lt;=29,"18-29",C1423&lt;=44,"30-44",C1423&lt;=59,"45-59",C1423&lt;=74,"60-74",TRUE,"75+")</f>
        <v>60-74</v>
      </c>
      <c r="E1423" t="s">
        <v>29</v>
      </c>
      <c r="F1423">
        <v>3</v>
      </c>
      <c r="G1423" t="str" cm="1">
        <f t="array" ref="G1423">_xlfn.IFS(_xlfn.SINGLE(Table1[imd_decile])&lt;=3,"Most Deprived",F1423&lt;=7,"Moderately Deprived",F1423&lt;=10,"Least Deprived")</f>
        <v>Most Deprived</v>
      </c>
      <c r="H1423">
        <v>15</v>
      </c>
      <c r="I1423" t="s">
        <v>25</v>
      </c>
      <c r="J1423" t="s">
        <v>19</v>
      </c>
      <c r="K1423" s="1">
        <v>45832</v>
      </c>
      <c r="L1423" s="1">
        <v>45867</v>
      </c>
      <c r="M1423" s="1" t="str">
        <f>TEXT(Table1[[#This Row],[appointment_date]],"MM/YYYY")</f>
        <v>07/2025</v>
      </c>
      <c r="N1423">
        <v>35</v>
      </c>
      <c r="O1423" t="str" cm="1">
        <f t="array" ref="O1423">_xlfn.IFS(Table1[[#This Row],[lead_time_days]]&lt;=7,"0-7 days",N1423&lt;=14,"8-14 days",N1423&lt;=30,"15-30 days",N1423&lt;=60,"31-60 days",TRUE,"61+ days")</f>
        <v>31-60 days</v>
      </c>
      <c r="P1423" t="s">
        <v>71</v>
      </c>
      <c r="Q1423" t="s">
        <v>21</v>
      </c>
      <c r="R1423">
        <v>0</v>
      </c>
      <c r="S1423" t="str">
        <f>IF(Table1[prior_dna_count]&gt;=1,"Has prior DNA history","No prior DNA history")</f>
        <v>No prior DNA history</v>
      </c>
      <c r="T1423" t="s">
        <v>22</v>
      </c>
      <c r="U1423" t="str">
        <f t="shared" si="22"/>
        <v>1</v>
      </c>
      <c r="V1423" t="str">
        <f>IF(Table1[appointment_status]="Attended","1","0")</f>
        <v>1</v>
      </c>
      <c r="W1423" t="str">
        <f>IF(Table1[appointment_status]="Cancelled","1","0")</f>
        <v>0</v>
      </c>
    </row>
    <row r="1424" spans="1:23">
      <c r="A1424" t="s">
        <v>2414</v>
      </c>
      <c r="B1424" t="s">
        <v>282</v>
      </c>
      <c r="C1424">
        <v>52</v>
      </c>
      <c r="D1424" t="str" cm="1">
        <f t="array" ref="D1424">_xlfn.IFS(Table1[[#This Row],[age]]&lt;=17,"0-17",C1424&lt;=29,"18-29",C1424&lt;=44,"30-44",C1424&lt;=59,"45-59",C1424&lt;=74,"60-74",TRUE,"75+")</f>
        <v>45-59</v>
      </c>
      <c r="E1424" t="s">
        <v>29</v>
      </c>
      <c r="F1424">
        <v>7</v>
      </c>
      <c r="G1424" t="str" cm="1">
        <f t="array" ref="G1424">_xlfn.IFS(_xlfn.SINGLE(Table1[imd_decile])&lt;=3,"Most Deprived",F1424&lt;=7,"Moderately Deprived",F1424&lt;=10,"Least Deprived")</f>
        <v>Moderately Deprived</v>
      </c>
      <c r="H1424">
        <v>12.1</v>
      </c>
      <c r="I1424" t="s">
        <v>18</v>
      </c>
      <c r="J1424" t="s">
        <v>26</v>
      </c>
      <c r="K1424" s="1">
        <v>45850</v>
      </c>
      <c r="L1424" s="1">
        <v>45868</v>
      </c>
      <c r="M1424" s="1" t="str">
        <f>TEXT(Table1[[#This Row],[appointment_date]],"MM/YYYY")</f>
        <v>07/2025</v>
      </c>
      <c r="N1424">
        <v>18</v>
      </c>
      <c r="O1424" t="str" cm="1">
        <f t="array" ref="O1424">_xlfn.IFS(Table1[[#This Row],[lead_time_days]]&lt;=7,"0-7 days",N1424&lt;=14,"8-14 days",N1424&lt;=30,"15-30 days",N1424&lt;=60,"31-60 days",TRUE,"61+ days")</f>
        <v>15-30 days</v>
      </c>
      <c r="P1424" t="s">
        <v>80</v>
      </c>
      <c r="Q1424" t="s">
        <v>21</v>
      </c>
      <c r="R1424">
        <v>0</v>
      </c>
      <c r="S1424" t="str">
        <f>IF(Table1[prior_dna_count]&gt;=1,"Has prior DNA history","No prior DNA history")</f>
        <v>No prior DNA history</v>
      </c>
      <c r="T1424" t="s">
        <v>22</v>
      </c>
      <c r="U1424" t="str">
        <f t="shared" si="22"/>
        <v>1</v>
      </c>
      <c r="V1424" t="str">
        <f>IF(Table1[appointment_status]="Attended","1","0")</f>
        <v>1</v>
      </c>
      <c r="W1424" t="str">
        <f>IF(Table1[appointment_status]="Cancelled","1","0")</f>
        <v>0</v>
      </c>
    </row>
    <row r="1425" spans="1:23">
      <c r="A1425" t="s">
        <v>2415</v>
      </c>
      <c r="B1425" t="s">
        <v>430</v>
      </c>
      <c r="C1425">
        <v>46</v>
      </c>
      <c r="D1425" t="str" cm="1">
        <f t="array" ref="D1425">_xlfn.IFS(Table1[[#This Row],[age]]&lt;=17,"0-17",C1425&lt;=29,"18-29",C1425&lt;=44,"30-44",C1425&lt;=59,"45-59",C1425&lt;=74,"60-74",TRUE,"75+")</f>
        <v>45-59</v>
      </c>
      <c r="E1425" t="s">
        <v>29</v>
      </c>
      <c r="F1425">
        <v>3</v>
      </c>
      <c r="G1425" t="str" cm="1">
        <f t="array" ref="G1425">_xlfn.IFS(_xlfn.SINGLE(Table1[imd_decile])&lt;=3,"Most Deprived",F1425&lt;=7,"Moderately Deprived",F1425&lt;=10,"Least Deprived")</f>
        <v>Most Deprived</v>
      </c>
      <c r="H1425">
        <v>5.2</v>
      </c>
      <c r="I1425" t="s">
        <v>42</v>
      </c>
      <c r="J1425" t="s">
        <v>19</v>
      </c>
      <c r="K1425" s="1">
        <v>45825</v>
      </c>
      <c r="L1425" s="1">
        <v>45868</v>
      </c>
      <c r="M1425" s="1" t="str">
        <f>TEXT(Table1[[#This Row],[appointment_date]],"MM/YYYY")</f>
        <v>07/2025</v>
      </c>
      <c r="N1425">
        <v>43</v>
      </c>
      <c r="O1425" t="str" cm="1">
        <f t="array" ref="O1425">_xlfn.IFS(Table1[[#This Row],[lead_time_days]]&lt;=7,"0-7 days",N1425&lt;=14,"8-14 days",N1425&lt;=30,"15-30 days",N1425&lt;=60,"31-60 days",TRUE,"61+ days")</f>
        <v>31-60 days</v>
      </c>
      <c r="P1425" t="s">
        <v>80</v>
      </c>
      <c r="Q1425" t="s">
        <v>32</v>
      </c>
      <c r="R1425">
        <v>0</v>
      </c>
      <c r="S1425" t="str">
        <f>IF(Table1[prior_dna_count]&gt;=1,"Has prior DNA history","No prior DNA history")</f>
        <v>No prior DNA history</v>
      </c>
      <c r="T1425" t="s">
        <v>39</v>
      </c>
      <c r="U1425" t="str">
        <f t="shared" si="22"/>
        <v>1</v>
      </c>
      <c r="V1425" t="str">
        <f>IF(Table1[appointment_status]="Attended","1","0")</f>
        <v>0</v>
      </c>
      <c r="W1425" t="str">
        <f>IF(Table1[appointment_status]="Cancelled","1","0")</f>
        <v>0</v>
      </c>
    </row>
    <row r="1426" spans="1:23">
      <c r="A1426" t="s">
        <v>2416</v>
      </c>
      <c r="B1426" t="s">
        <v>2109</v>
      </c>
      <c r="C1426">
        <v>95</v>
      </c>
      <c r="D1426" t="str" cm="1">
        <f t="array" ref="D1426">_xlfn.IFS(Table1[[#This Row],[age]]&lt;=17,"0-17",C1426&lt;=29,"18-29",C1426&lt;=44,"30-44",C1426&lt;=59,"45-59",C1426&lt;=74,"60-74",TRUE,"75+")</f>
        <v>75+</v>
      </c>
      <c r="E1426" t="s">
        <v>29</v>
      </c>
      <c r="F1426">
        <v>1</v>
      </c>
      <c r="G1426" t="str" cm="1">
        <f t="array" ref="G1426">_xlfn.IFS(_xlfn.SINGLE(Table1[imd_decile])&lt;=3,"Most Deprived",F1426&lt;=7,"Moderately Deprived",F1426&lt;=10,"Least Deprived")</f>
        <v>Most Deprived</v>
      </c>
      <c r="H1426">
        <v>2.2999999999999998</v>
      </c>
      <c r="I1426" t="s">
        <v>49</v>
      </c>
      <c r="J1426" t="s">
        <v>19</v>
      </c>
      <c r="K1426" s="1">
        <v>45836</v>
      </c>
      <c r="L1426" s="1">
        <v>45868</v>
      </c>
      <c r="M1426" s="1" t="str">
        <f>TEXT(Table1[[#This Row],[appointment_date]],"MM/YYYY")</f>
        <v>07/2025</v>
      </c>
      <c r="N1426">
        <v>32</v>
      </c>
      <c r="O1426" t="str" cm="1">
        <f t="array" ref="O1426">_xlfn.IFS(Table1[[#This Row],[lead_time_days]]&lt;=7,"0-7 days",N1426&lt;=14,"8-14 days",N1426&lt;=30,"15-30 days",N1426&lt;=60,"31-60 days",TRUE,"61+ days")</f>
        <v>31-60 days</v>
      </c>
      <c r="P1426" t="s">
        <v>80</v>
      </c>
      <c r="Q1426" t="s">
        <v>21</v>
      </c>
      <c r="R1426">
        <v>0</v>
      </c>
      <c r="S1426" t="str">
        <f>IF(Table1[prior_dna_count]&gt;=1,"Has prior DNA history","No prior DNA history")</f>
        <v>No prior DNA history</v>
      </c>
      <c r="T1426" t="s">
        <v>22</v>
      </c>
      <c r="U1426" t="str">
        <f t="shared" si="22"/>
        <v>0</v>
      </c>
      <c r="V1426" t="str">
        <f>IF(Table1[appointment_status]="Attended","1","0")</f>
        <v>1</v>
      </c>
      <c r="W1426" t="str">
        <f>IF(Table1[appointment_status]="Cancelled","1","0")</f>
        <v>0</v>
      </c>
    </row>
    <row r="1427" spans="1:23">
      <c r="A1427" t="s">
        <v>2417</v>
      </c>
      <c r="B1427" t="s">
        <v>1580</v>
      </c>
      <c r="C1427">
        <v>61</v>
      </c>
      <c r="D1427" t="str" cm="1">
        <f t="array" ref="D1427">_xlfn.IFS(Table1[[#This Row],[age]]&lt;=17,"0-17",C1427&lt;=29,"18-29",C1427&lt;=44,"30-44",C1427&lt;=59,"45-59",C1427&lt;=74,"60-74",TRUE,"75+")</f>
        <v>60-74</v>
      </c>
      <c r="E1427" t="s">
        <v>29</v>
      </c>
      <c r="F1427">
        <v>6</v>
      </c>
      <c r="G1427" t="str" cm="1">
        <f t="array" ref="G1427">_xlfn.IFS(_xlfn.SINGLE(Table1[imd_decile])&lt;=3,"Most Deprived",F1427&lt;=7,"Moderately Deprived",F1427&lt;=10,"Least Deprived")</f>
        <v>Moderately Deprived</v>
      </c>
      <c r="H1427">
        <v>9.9</v>
      </c>
      <c r="I1427" t="s">
        <v>42</v>
      </c>
      <c r="J1427" t="s">
        <v>19</v>
      </c>
      <c r="K1427" s="1">
        <v>45850</v>
      </c>
      <c r="L1427" s="1">
        <v>45868</v>
      </c>
      <c r="M1427" s="1" t="str">
        <f>TEXT(Table1[[#This Row],[appointment_date]],"MM/YYYY")</f>
        <v>07/2025</v>
      </c>
      <c r="N1427">
        <v>18</v>
      </c>
      <c r="O1427" t="str" cm="1">
        <f t="array" ref="O1427">_xlfn.IFS(Table1[[#This Row],[lead_time_days]]&lt;=7,"0-7 days",N1427&lt;=14,"8-14 days",N1427&lt;=30,"15-30 days",N1427&lt;=60,"31-60 days",TRUE,"61+ days")</f>
        <v>15-30 days</v>
      </c>
      <c r="P1427" t="s">
        <v>80</v>
      </c>
      <c r="Q1427" t="s">
        <v>32</v>
      </c>
      <c r="R1427">
        <v>0</v>
      </c>
      <c r="S1427" t="str">
        <f>IF(Table1[prior_dna_count]&gt;=1,"Has prior DNA history","No prior DNA history")</f>
        <v>No prior DNA history</v>
      </c>
      <c r="T1427" t="s">
        <v>22</v>
      </c>
      <c r="U1427" t="str">
        <f t="shared" si="22"/>
        <v>1</v>
      </c>
      <c r="V1427" t="str">
        <f>IF(Table1[appointment_status]="Attended","1","0")</f>
        <v>1</v>
      </c>
      <c r="W1427" t="str">
        <f>IF(Table1[appointment_status]="Cancelled","1","0")</f>
        <v>0</v>
      </c>
    </row>
    <row r="1428" spans="1:23">
      <c r="A1428" t="s">
        <v>2418</v>
      </c>
      <c r="B1428" t="s">
        <v>646</v>
      </c>
      <c r="C1428">
        <v>70</v>
      </c>
      <c r="D1428" t="str" cm="1">
        <f t="array" ref="D1428">_xlfn.IFS(Table1[[#This Row],[age]]&lt;=17,"0-17",C1428&lt;=29,"18-29",C1428&lt;=44,"30-44",C1428&lt;=59,"45-59",C1428&lt;=74,"60-74",TRUE,"75+")</f>
        <v>60-74</v>
      </c>
      <c r="E1428" t="s">
        <v>29</v>
      </c>
      <c r="F1428">
        <v>2</v>
      </c>
      <c r="G1428" t="str" cm="1">
        <f t="array" ref="G1428">_xlfn.IFS(_xlfn.SINGLE(Table1[imd_decile])&lt;=3,"Most Deprived",F1428&lt;=7,"Moderately Deprived",F1428&lt;=10,"Least Deprived")</f>
        <v>Most Deprived</v>
      </c>
      <c r="H1428">
        <v>1.3</v>
      </c>
      <c r="I1428" t="s">
        <v>42</v>
      </c>
      <c r="J1428" t="s">
        <v>19</v>
      </c>
      <c r="K1428" s="1">
        <v>45840</v>
      </c>
      <c r="L1428" s="1">
        <v>45868</v>
      </c>
      <c r="M1428" s="1" t="str">
        <f>TEXT(Table1[[#This Row],[appointment_date]],"MM/YYYY")</f>
        <v>07/2025</v>
      </c>
      <c r="N1428">
        <v>28</v>
      </c>
      <c r="O1428" t="str" cm="1">
        <f t="array" ref="O1428">_xlfn.IFS(Table1[[#This Row],[lead_time_days]]&lt;=7,"0-7 days",N1428&lt;=14,"8-14 days",N1428&lt;=30,"15-30 days",N1428&lt;=60,"31-60 days",TRUE,"61+ days")</f>
        <v>15-30 days</v>
      </c>
      <c r="P1428" t="s">
        <v>80</v>
      </c>
      <c r="Q1428" t="s">
        <v>21</v>
      </c>
      <c r="R1428">
        <v>0</v>
      </c>
      <c r="S1428" t="str">
        <f>IF(Table1[prior_dna_count]&gt;=1,"Has prior DNA history","No prior DNA history")</f>
        <v>No prior DNA history</v>
      </c>
      <c r="T1428" t="s">
        <v>46</v>
      </c>
      <c r="U1428" t="str">
        <f t="shared" si="22"/>
        <v>1</v>
      </c>
      <c r="V1428" t="str">
        <f>IF(Table1[appointment_status]="Attended","1","0")</f>
        <v>0</v>
      </c>
      <c r="W1428" t="str">
        <f>IF(Table1[appointment_status]="Cancelled","1","0")</f>
        <v>1</v>
      </c>
    </row>
    <row r="1429" spans="1:23">
      <c r="A1429" t="s">
        <v>2419</v>
      </c>
      <c r="B1429" t="s">
        <v>2420</v>
      </c>
      <c r="C1429">
        <v>52</v>
      </c>
      <c r="D1429" t="str" cm="1">
        <f t="array" ref="D1429">_xlfn.IFS(Table1[[#This Row],[age]]&lt;=17,"0-17",C1429&lt;=29,"18-29",C1429&lt;=44,"30-44",C1429&lt;=59,"45-59",C1429&lt;=74,"60-74",TRUE,"75+")</f>
        <v>45-59</v>
      </c>
      <c r="E1429" t="s">
        <v>29</v>
      </c>
      <c r="F1429">
        <v>2</v>
      </c>
      <c r="G1429" t="str" cm="1">
        <f t="array" ref="G1429">_xlfn.IFS(_xlfn.SINGLE(Table1[imd_decile])&lt;=3,"Most Deprived",F1429&lt;=7,"Moderately Deprived",F1429&lt;=10,"Least Deprived")</f>
        <v>Most Deprived</v>
      </c>
      <c r="H1429">
        <v>13.4</v>
      </c>
      <c r="I1429" t="s">
        <v>30</v>
      </c>
      <c r="J1429" t="s">
        <v>19</v>
      </c>
      <c r="K1429" s="1">
        <v>45858</v>
      </c>
      <c r="L1429" s="1">
        <v>45868</v>
      </c>
      <c r="M1429" s="1" t="str">
        <f>TEXT(Table1[[#This Row],[appointment_date]],"MM/YYYY")</f>
        <v>07/2025</v>
      </c>
      <c r="N1429">
        <v>10</v>
      </c>
      <c r="O1429" t="str" cm="1">
        <f t="array" ref="O1429">_xlfn.IFS(Table1[[#This Row],[lead_time_days]]&lt;=7,"0-7 days",N1429&lt;=14,"8-14 days",N1429&lt;=30,"15-30 days",N1429&lt;=60,"31-60 days",TRUE,"61+ days")</f>
        <v>8-14 days</v>
      </c>
      <c r="P1429" t="s">
        <v>80</v>
      </c>
      <c r="Q1429" t="s">
        <v>21</v>
      </c>
      <c r="R1429">
        <v>0</v>
      </c>
      <c r="S1429" t="str">
        <f>IF(Table1[prior_dna_count]&gt;=1,"Has prior DNA history","No prior DNA history")</f>
        <v>No prior DNA history</v>
      </c>
      <c r="T1429" t="s">
        <v>22</v>
      </c>
      <c r="U1429" t="str">
        <f t="shared" si="22"/>
        <v>0</v>
      </c>
      <c r="V1429" t="str">
        <f>IF(Table1[appointment_status]="Attended","1","0")</f>
        <v>1</v>
      </c>
      <c r="W1429" t="str">
        <f>IF(Table1[appointment_status]="Cancelled","1","0")</f>
        <v>0</v>
      </c>
    </row>
    <row r="1430" spans="1:23">
      <c r="A1430" t="s">
        <v>2421</v>
      </c>
      <c r="B1430" t="s">
        <v>799</v>
      </c>
      <c r="C1430">
        <v>41</v>
      </c>
      <c r="D1430" t="str" cm="1">
        <f t="array" ref="D1430">_xlfn.IFS(Table1[[#This Row],[age]]&lt;=17,"0-17",C1430&lt;=29,"18-29",C1430&lt;=44,"30-44",C1430&lt;=59,"45-59",C1430&lt;=74,"60-74",TRUE,"75+")</f>
        <v>30-44</v>
      </c>
      <c r="E1430" t="s">
        <v>29</v>
      </c>
      <c r="F1430">
        <v>10</v>
      </c>
      <c r="G1430" t="str" cm="1">
        <f t="array" ref="G1430">_xlfn.IFS(_xlfn.SINGLE(Table1[imd_decile])&lt;=3,"Most Deprived",F1430&lt;=7,"Moderately Deprived",F1430&lt;=10,"Least Deprived")</f>
        <v>Least Deprived</v>
      </c>
      <c r="H1430">
        <v>3.9</v>
      </c>
      <c r="I1430" t="s">
        <v>38</v>
      </c>
      <c r="J1430" t="s">
        <v>19</v>
      </c>
      <c r="K1430" s="1">
        <v>45858</v>
      </c>
      <c r="L1430" s="1">
        <v>45868</v>
      </c>
      <c r="M1430" s="1" t="str">
        <f>TEXT(Table1[[#This Row],[appointment_date]],"MM/YYYY")</f>
        <v>07/2025</v>
      </c>
      <c r="N1430">
        <v>10</v>
      </c>
      <c r="O1430" t="str" cm="1">
        <f t="array" ref="O1430">_xlfn.IFS(Table1[[#This Row],[lead_time_days]]&lt;=7,"0-7 days",N1430&lt;=14,"8-14 days",N1430&lt;=30,"15-30 days",N1430&lt;=60,"31-60 days",TRUE,"61+ days")</f>
        <v>8-14 days</v>
      </c>
      <c r="P1430" t="s">
        <v>80</v>
      </c>
      <c r="Q1430" t="s">
        <v>21</v>
      </c>
      <c r="R1430">
        <v>0</v>
      </c>
      <c r="S1430" t="str">
        <f>IF(Table1[prior_dna_count]&gt;=1,"Has prior DNA history","No prior DNA history")</f>
        <v>No prior DNA history</v>
      </c>
      <c r="T1430" t="s">
        <v>22</v>
      </c>
      <c r="U1430" t="str">
        <f t="shared" si="22"/>
        <v>1</v>
      </c>
      <c r="V1430" t="str">
        <f>IF(Table1[appointment_status]="Attended","1","0")</f>
        <v>1</v>
      </c>
      <c r="W1430" t="str">
        <f>IF(Table1[appointment_status]="Cancelled","1","0")</f>
        <v>0</v>
      </c>
    </row>
    <row r="1431" spans="1:23">
      <c r="A1431" t="s">
        <v>2422</v>
      </c>
      <c r="B1431" t="s">
        <v>2423</v>
      </c>
      <c r="C1431">
        <v>70</v>
      </c>
      <c r="D1431" t="str" cm="1">
        <f t="array" ref="D1431">_xlfn.IFS(Table1[[#This Row],[age]]&lt;=17,"0-17",C1431&lt;=29,"18-29",C1431&lt;=44,"30-44",C1431&lt;=59,"45-59",C1431&lt;=74,"60-74",TRUE,"75+")</f>
        <v>60-74</v>
      </c>
      <c r="E1431" t="s">
        <v>17</v>
      </c>
      <c r="F1431">
        <v>5</v>
      </c>
      <c r="G1431" t="str" cm="1">
        <f t="array" ref="G1431">_xlfn.IFS(_xlfn.SINGLE(Table1[imd_decile])&lt;=3,"Most Deprived",F1431&lt;=7,"Moderately Deprived",F1431&lt;=10,"Least Deprived")</f>
        <v>Moderately Deprived</v>
      </c>
      <c r="H1431">
        <v>5.2</v>
      </c>
      <c r="I1431" t="s">
        <v>45</v>
      </c>
      <c r="J1431" t="s">
        <v>19</v>
      </c>
      <c r="K1431" s="1">
        <v>45831</v>
      </c>
      <c r="L1431" s="1">
        <v>45868</v>
      </c>
      <c r="M1431" s="1" t="str">
        <f>TEXT(Table1[[#This Row],[appointment_date]],"MM/YYYY")</f>
        <v>07/2025</v>
      </c>
      <c r="N1431">
        <v>37</v>
      </c>
      <c r="O1431" t="str" cm="1">
        <f t="array" ref="O1431">_xlfn.IFS(Table1[[#This Row],[lead_time_days]]&lt;=7,"0-7 days",N1431&lt;=14,"8-14 days",N1431&lt;=30,"15-30 days",N1431&lt;=60,"31-60 days",TRUE,"61+ days")</f>
        <v>31-60 days</v>
      </c>
      <c r="P1431" t="s">
        <v>80</v>
      </c>
      <c r="Q1431" t="s">
        <v>32</v>
      </c>
      <c r="R1431">
        <v>0</v>
      </c>
      <c r="S1431" t="str">
        <f>IF(Table1[prior_dna_count]&gt;=1,"Has prior DNA history","No prior DNA history")</f>
        <v>No prior DNA history</v>
      </c>
      <c r="T1431" t="s">
        <v>39</v>
      </c>
      <c r="U1431" t="str">
        <f t="shared" si="22"/>
        <v>1</v>
      </c>
      <c r="V1431" t="str">
        <f>IF(Table1[appointment_status]="Attended","1","0")</f>
        <v>0</v>
      </c>
      <c r="W1431" t="str">
        <f>IF(Table1[appointment_status]="Cancelled","1","0")</f>
        <v>0</v>
      </c>
    </row>
    <row r="1432" spans="1:23">
      <c r="A1432" t="s">
        <v>2424</v>
      </c>
      <c r="B1432" t="s">
        <v>744</v>
      </c>
      <c r="C1432">
        <v>36</v>
      </c>
      <c r="D1432" t="str" cm="1">
        <f t="array" ref="D1432">_xlfn.IFS(Table1[[#This Row],[age]]&lt;=17,"0-17",C1432&lt;=29,"18-29",C1432&lt;=44,"30-44",C1432&lt;=59,"45-59",C1432&lt;=74,"60-74",TRUE,"75+")</f>
        <v>30-44</v>
      </c>
      <c r="E1432" t="s">
        <v>17</v>
      </c>
      <c r="F1432">
        <v>6</v>
      </c>
      <c r="G1432" t="str" cm="1">
        <f t="array" ref="G1432">_xlfn.IFS(_xlfn.SINGLE(Table1[imd_decile])&lt;=3,"Most Deprived",F1432&lt;=7,"Moderately Deprived",F1432&lt;=10,"Least Deprived")</f>
        <v>Moderately Deprived</v>
      </c>
      <c r="H1432">
        <v>5.8</v>
      </c>
      <c r="I1432" t="s">
        <v>45</v>
      </c>
      <c r="J1432" t="s">
        <v>19</v>
      </c>
      <c r="K1432" s="1">
        <v>45850</v>
      </c>
      <c r="L1432" s="1">
        <v>45868</v>
      </c>
      <c r="M1432" s="1" t="str">
        <f>TEXT(Table1[[#This Row],[appointment_date]],"MM/YYYY")</f>
        <v>07/2025</v>
      </c>
      <c r="N1432">
        <v>18</v>
      </c>
      <c r="O1432" t="str" cm="1">
        <f t="array" ref="O1432">_xlfn.IFS(Table1[[#This Row],[lead_time_days]]&lt;=7,"0-7 days",N1432&lt;=14,"8-14 days",N1432&lt;=30,"15-30 days",N1432&lt;=60,"31-60 days",TRUE,"61+ days")</f>
        <v>15-30 days</v>
      </c>
      <c r="P1432" t="s">
        <v>80</v>
      </c>
      <c r="Q1432" t="s">
        <v>21</v>
      </c>
      <c r="R1432">
        <v>0</v>
      </c>
      <c r="S1432" t="str">
        <f>IF(Table1[prior_dna_count]&gt;=1,"Has prior DNA history","No prior DNA history")</f>
        <v>No prior DNA history</v>
      </c>
      <c r="T1432" t="s">
        <v>22</v>
      </c>
      <c r="U1432" t="str">
        <f t="shared" si="22"/>
        <v>0</v>
      </c>
      <c r="V1432" t="str">
        <f>IF(Table1[appointment_status]="Attended","1","0")</f>
        <v>1</v>
      </c>
      <c r="W1432" t="str">
        <f>IF(Table1[appointment_status]="Cancelled","1","0")</f>
        <v>0</v>
      </c>
    </row>
    <row r="1433" spans="1:23">
      <c r="A1433" t="s">
        <v>2425</v>
      </c>
      <c r="B1433" t="s">
        <v>2426</v>
      </c>
      <c r="C1433">
        <v>52</v>
      </c>
      <c r="D1433" t="str" cm="1">
        <f t="array" ref="D1433">_xlfn.IFS(Table1[[#This Row],[age]]&lt;=17,"0-17",C1433&lt;=29,"18-29",C1433&lt;=44,"30-44",C1433&lt;=59,"45-59",C1433&lt;=74,"60-74",TRUE,"75+")</f>
        <v>45-59</v>
      </c>
      <c r="E1433" t="s">
        <v>29</v>
      </c>
      <c r="F1433">
        <v>1</v>
      </c>
      <c r="G1433" t="str" cm="1">
        <f t="array" ref="G1433">_xlfn.IFS(_xlfn.SINGLE(Table1[imd_decile])&lt;=3,"Most Deprived",F1433&lt;=7,"Moderately Deprived",F1433&lt;=10,"Least Deprived")</f>
        <v>Most Deprived</v>
      </c>
      <c r="H1433">
        <v>12.6</v>
      </c>
      <c r="I1433" t="s">
        <v>58</v>
      </c>
      <c r="J1433" t="s">
        <v>26</v>
      </c>
      <c r="K1433" s="1">
        <v>45843</v>
      </c>
      <c r="L1433" s="1">
        <v>45868</v>
      </c>
      <c r="M1433" s="1" t="str">
        <f>TEXT(Table1[[#This Row],[appointment_date]],"MM/YYYY")</f>
        <v>07/2025</v>
      </c>
      <c r="N1433">
        <v>25</v>
      </c>
      <c r="O1433" t="str" cm="1">
        <f t="array" ref="O1433">_xlfn.IFS(Table1[[#This Row],[lead_time_days]]&lt;=7,"0-7 days",N1433&lt;=14,"8-14 days",N1433&lt;=30,"15-30 days",N1433&lt;=60,"31-60 days",TRUE,"61+ days")</f>
        <v>15-30 days</v>
      </c>
      <c r="P1433" t="s">
        <v>80</v>
      </c>
      <c r="Q1433" t="s">
        <v>21</v>
      </c>
      <c r="R1433">
        <v>0</v>
      </c>
      <c r="S1433" t="str">
        <f>IF(Table1[prior_dna_count]&gt;=1,"Has prior DNA history","No prior DNA history")</f>
        <v>No prior DNA history</v>
      </c>
      <c r="T1433" t="s">
        <v>22</v>
      </c>
      <c r="U1433" t="str">
        <f t="shared" si="22"/>
        <v>1</v>
      </c>
      <c r="V1433" t="str">
        <f>IF(Table1[appointment_status]="Attended","1","0")</f>
        <v>1</v>
      </c>
      <c r="W1433" t="str">
        <f>IF(Table1[appointment_status]="Cancelled","1","0")</f>
        <v>0</v>
      </c>
    </row>
    <row r="1434" spans="1:23">
      <c r="A1434" t="s">
        <v>2427</v>
      </c>
      <c r="B1434" t="s">
        <v>2428</v>
      </c>
      <c r="C1434">
        <v>71</v>
      </c>
      <c r="D1434" t="str" cm="1">
        <f t="array" ref="D1434">_xlfn.IFS(Table1[[#This Row],[age]]&lt;=17,"0-17",C1434&lt;=29,"18-29",C1434&lt;=44,"30-44",C1434&lt;=59,"45-59",C1434&lt;=74,"60-74",TRUE,"75+")</f>
        <v>60-74</v>
      </c>
      <c r="E1434" t="s">
        <v>17</v>
      </c>
      <c r="F1434">
        <v>7</v>
      </c>
      <c r="G1434" t="str" cm="1">
        <f t="array" ref="G1434">_xlfn.IFS(_xlfn.SINGLE(Table1[imd_decile])&lt;=3,"Most Deprived",F1434&lt;=7,"Moderately Deprived",F1434&lt;=10,"Least Deprived")</f>
        <v>Moderately Deprived</v>
      </c>
      <c r="H1434">
        <v>1.9</v>
      </c>
      <c r="I1434" t="s">
        <v>91</v>
      </c>
      <c r="J1434" t="s">
        <v>26</v>
      </c>
      <c r="K1434" s="1">
        <v>45842</v>
      </c>
      <c r="L1434" s="1">
        <v>45869</v>
      </c>
      <c r="M1434" s="1" t="str">
        <f>TEXT(Table1[[#This Row],[appointment_date]],"MM/YYYY")</f>
        <v>07/2025</v>
      </c>
      <c r="N1434">
        <v>27</v>
      </c>
      <c r="O1434" t="str" cm="1">
        <f t="array" ref="O1434">_xlfn.IFS(Table1[[#This Row],[lead_time_days]]&lt;=7,"0-7 days",N1434&lt;=14,"8-14 days",N1434&lt;=30,"15-30 days",N1434&lt;=60,"31-60 days",TRUE,"61+ days")</f>
        <v>15-30 days</v>
      </c>
      <c r="P1434" t="s">
        <v>20</v>
      </c>
      <c r="Q1434" t="s">
        <v>21</v>
      </c>
      <c r="R1434">
        <v>0</v>
      </c>
      <c r="S1434" t="str">
        <f>IF(Table1[prior_dna_count]&gt;=1,"Has prior DNA history","No prior DNA history")</f>
        <v>No prior DNA history</v>
      </c>
      <c r="T1434" t="s">
        <v>22</v>
      </c>
      <c r="U1434" t="str">
        <f t="shared" si="22"/>
        <v>1</v>
      </c>
      <c r="V1434" t="str">
        <f>IF(Table1[appointment_status]="Attended","1","0")</f>
        <v>1</v>
      </c>
      <c r="W1434" t="str">
        <f>IF(Table1[appointment_status]="Cancelled","1","0")</f>
        <v>0</v>
      </c>
    </row>
    <row r="1435" spans="1:23">
      <c r="A1435" t="s">
        <v>2429</v>
      </c>
      <c r="B1435" t="s">
        <v>2430</v>
      </c>
      <c r="C1435">
        <v>3</v>
      </c>
      <c r="D1435" t="str" cm="1">
        <f t="array" ref="D1435">_xlfn.IFS(Table1[[#This Row],[age]]&lt;=17,"0-17",C1435&lt;=29,"18-29",C1435&lt;=44,"30-44",C1435&lt;=59,"45-59",C1435&lt;=74,"60-74",TRUE,"75+")</f>
        <v>0-17</v>
      </c>
      <c r="E1435" t="s">
        <v>29</v>
      </c>
      <c r="F1435">
        <v>8</v>
      </c>
      <c r="G1435" t="str" cm="1">
        <f t="array" ref="G1435">_xlfn.IFS(_xlfn.SINGLE(Table1[imd_decile])&lt;=3,"Most Deprived",F1435&lt;=7,"Moderately Deprived",F1435&lt;=10,"Least Deprived")</f>
        <v>Least Deprived</v>
      </c>
      <c r="H1435">
        <v>6.8</v>
      </c>
      <c r="I1435" t="s">
        <v>42</v>
      </c>
      <c r="J1435" t="s">
        <v>19</v>
      </c>
      <c r="K1435" s="1">
        <v>45836</v>
      </c>
      <c r="L1435" s="1">
        <v>45869</v>
      </c>
      <c r="M1435" s="1" t="str">
        <f>TEXT(Table1[[#This Row],[appointment_date]],"MM/YYYY")</f>
        <v>07/2025</v>
      </c>
      <c r="N1435">
        <v>33</v>
      </c>
      <c r="O1435" t="str" cm="1">
        <f t="array" ref="O1435">_xlfn.IFS(Table1[[#This Row],[lead_time_days]]&lt;=7,"0-7 days",N1435&lt;=14,"8-14 days",N1435&lt;=30,"15-30 days",N1435&lt;=60,"31-60 days",TRUE,"61+ days")</f>
        <v>31-60 days</v>
      </c>
      <c r="P1435" t="s">
        <v>20</v>
      </c>
      <c r="Q1435" t="s">
        <v>21</v>
      </c>
      <c r="R1435">
        <v>0</v>
      </c>
      <c r="S1435" t="str">
        <f>IF(Table1[prior_dna_count]&gt;=1,"Has prior DNA history","No prior DNA history")</f>
        <v>No prior DNA history</v>
      </c>
      <c r="T1435" t="s">
        <v>22</v>
      </c>
      <c r="U1435" t="str">
        <f t="shared" si="22"/>
        <v>1</v>
      </c>
      <c r="V1435" t="str">
        <f>IF(Table1[appointment_status]="Attended","1","0")</f>
        <v>1</v>
      </c>
      <c r="W1435" t="str">
        <f>IF(Table1[appointment_status]="Cancelled","1","0")</f>
        <v>0</v>
      </c>
    </row>
    <row r="1436" spans="1:23">
      <c r="A1436" t="s">
        <v>2431</v>
      </c>
      <c r="B1436" t="s">
        <v>537</v>
      </c>
      <c r="C1436">
        <v>25</v>
      </c>
      <c r="D1436" t="str" cm="1">
        <f t="array" ref="D1436">_xlfn.IFS(Table1[[#This Row],[age]]&lt;=17,"0-17",C1436&lt;=29,"18-29",C1436&lt;=44,"30-44",C1436&lt;=59,"45-59",C1436&lt;=74,"60-74",TRUE,"75+")</f>
        <v>18-29</v>
      </c>
      <c r="E1436" t="s">
        <v>29</v>
      </c>
      <c r="F1436">
        <v>1</v>
      </c>
      <c r="G1436" t="str" cm="1">
        <f t="array" ref="G1436">_xlfn.IFS(_xlfn.SINGLE(Table1[imd_decile])&lt;=3,"Most Deprived",F1436&lt;=7,"Moderately Deprived",F1436&lt;=10,"Least Deprived")</f>
        <v>Most Deprived</v>
      </c>
      <c r="H1436">
        <v>18.3</v>
      </c>
      <c r="I1436" t="s">
        <v>18</v>
      </c>
      <c r="J1436" t="s">
        <v>19</v>
      </c>
      <c r="K1436" s="1">
        <v>45771</v>
      </c>
      <c r="L1436" s="1">
        <v>45869</v>
      </c>
      <c r="M1436" s="1" t="str">
        <f>TEXT(Table1[[#This Row],[appointment_date]],"MM/YYYY")</f>
        <v>07/2025</v>
      </c>
      <c r="N1436">
        <v>98</v>
      </c>
      <c r="O1436" t="str" cm="1">
        <f t="array" ref="O1436">_xlfn.IFS(Table1[[#This Row],[lead_time_days]]&lt;=7,"0-7 days",N1436&lt;=14,"8-14 days",N1436&lt;=30,"15-30 days",N1436&lt;=60,"31-60 days",TRUE,"61+ days")</f>
        <v>61+ days</v>
      </c>
      <c r="P1436" t="s">
        <v>20</v>
      </c>
      <c r="Q1436" t="s">
        <v>32</v>
      </c>
      <c r="R1436">
        <v>0</v>
      </c>
      <c r="S1436" t="str">
        <f>IF(Table1[prior_dna_count]&gt;=1,"Has prior DNA history","No prior DNA history")</f>
        <v>No prior DNA history</v>
      </c>
      <c r="T1436" t="s">
        <v>22</v>
      </c>
      <c r="U1436" t="str">
        <f t="shared" si="22"/>
        <v>1</v>
      </c>
      <c r="V1436" t="str">
        <f>IF(Table1[appointment_status]="Attended","1","0")</f>
        <v>1</v>
      </c>
      <c r="W1436" t="str">
        <f>IF(Table1[appointment_status]="Cancelled","1","0")</f>
        <v>0</v>
      </c>
    </row>
    <row r="1437" spans="1:23">
      <c r="A1437" t="s">
        <v>2432</v>
      </c>
      <c r="B1437" t="s">
        <v>2296</v>
      </c>
      <c r="C1437">
        <v>28</v>
      </c>
      <c r="D1437" t="str" cm="1">
        <f t="array" ref="D1437">_xlfn.IFS(Table1[[#This Row],[age]]&lt;=17,"0-17",C1437&lt;=29,"18-29",C1437&lt;=44,"30-44",C1437&lt;=59,"45-59",C1437&lt;=74,"60-74",TRUE,"75+")</f>
        <v>18-29</v>
      </c>
      <c r="E1437" t="s">
        <v>29</v>
      </c>
      <c r="F1437">
        <v>1</v>
      </c>
      <c r="G1437" t="str" cm="1">
        <f t="array" ref="G1437">_xlfn.IFS(_xlfn.SINGLE(Table1[imd_decile])&lt;=3,"Most Deprived",F1437&lt;=7,"Moderately Deprived",F1437&lt;=10,"Least Deprived")</f>
        <v>Most Deprived</v>
      </c>
      <c r="H1437">
        <v>11.7</v>
      </c>
      <c r="I1437" t="s">
        <v>30</v>
      </c>
      <c r="J1437" t="s">
        <v>26</v>
      </c>
      <c r="K1437" s="1">
        <v>45844</v>
      </c>
      <c r="L1437" s="1">
        <v>45869</v>
      </c>
      <c r="M1437" s="1" t="str">
        <f>TEXT(Table1[[#This Row],[appointment_date]],"MM/YYYY")</f>
        <v>07/2025</v>
      </c>
      <c r="N1437">
        <v>25</v>
      </c>
      <c r="O1437" t="str" cm="1">
        <f t="array" ref="O1437">_xlfn.IFS(Table1[[#This Row],[lead_time_days]]&lt;=7,"0-7 days",N1437&lt;=14,"8-14 days",N1437&lt;=30,"15-30 days",N1437&lt;=60,"31-60 days",TRUE,"61+ days")</f>
        <v>15-30 days</v>
      </c>
      <c r="P1437" t="s">
        <v>20</v>
      </c>
      <c r="Q1437" t="s">
        <v>21</v>
      </c>
      <c r="R1437">
        <v>0</v>
      </c>
      <c r="S1437" t="str">
        <f>IF(Table1[prior_dna_count]&gt;=1,"Has prior DNA history","No prior DNA history")</f>
        <v>No prior DNA history</v>
      </c>
      <c r="T1437" t="s">
        <v>22</v>
      </c>
      <c r="U1437" t="str">
        <f t="shared" si="22"/>
        <v>1</v>
      </c>
      <c r="V1437" t="str">
        <f>IF(Table1[appointment_status]="Attended","1","0")</f>
        <v>1</v>
      </c>
      <c r="W1437" t="str">
        <f>IF(Table1[appointment_status]="Cancelled","1","0")</f>
        <v>0</v>
      </c>
    </row>
    <row r="1438" spans="1:23">
      <c r="A1438" t="s">
        <v>2433</v>
      </c>
      <c r="B1438" t="s">
        <v>732</v>
      </c>
      <c r="C1438">
        <v>57</v>
      </c>
      <c r="D1438" t="str" cm="1">
        <f t="array" ref="D1438">_xlfn.IFS(Table1[[#This Row],[age]]&lt;=17,"0-17",C1438&lt;=29,"18-29",C1438&lt;=44,"30-44",C1438&lt;=59,"45-59",C1438&lt;=74,"60-74",TRUE,"75+")</f>
        <v>45-59</v>
      </c>
      <c r="E1438" t="s">
        <v>17</v>
      </c>
      <c r="F1438">
        <v>2</v>
      </c>
      <c r="G1438" t="str" cm="1">
        <f t="array" ref="G1438">_xlfn.IFS(_xlfn.SINGLE(Table1[imd_decile])&lt;=3,"Most Deprived",F1438&lt;=7,"Moderately Deprived",F1438&lt;=10,"Least Deprived")</f>
        <v>Most Deprived</v>
      </c>
      <c r="H1438">
        <v>12.4</v>
      </c>
      <c r="I1438" t="s">
        <v>25</v>
      </c>
      <c r="J1438" t="s">
        <v>26</v>
      </c>
      <c r="K1438" s="1">
        <v>45844</v>
      </c>
      <c r="L1438" s="1">
        <v>45869</v>
      </c>
      <c r="M1438" s="1" t="str">
        <f>TEXT(Table1[[#This Row],[appointment_date]],"MM/YYYY")</f>
        <v>07/2025</v>
      </c>
      <c r="N1438">
        <v>25</v>
      </c>
      <c r="O1438" t="str" cm="1">
        <f t="array" ref="O1438">_xlfn.IFS(Table1[[#This Row],[lead_time_days]]&lt;=7,"0-7 days",N1438&lt;=14,"8-14 days",N1438&lt;=30,"15-30 days",N1438&lt;=60,"31-60 days",TRUE,"61+ days")</f>
        <v>15-30 days</v>
      </c>
      <c r="P1438" t="s">
        <v>20</v>
      </c>
      <c r="Q1438" t="s">
        <v>21</v>
      </c>
      <c r="R1438">
        <v>0</v>
      </c>
      <c r="S1438" t="str">
        <f>IF(Table1[prior_dna_count]&gt;=1,"Has prior DNA history","No prior DNA history")</f>
        <v>No prior DNA history</v>
      </c>
      <c r="T1438" t="s">
        <v>22</v>
      </c>
      <c r="U1438" t="str">
        <f t="shared" si="22"/>
        <v>1</v>
      </c>
      <c r="V1438" t="str">
        <f>IF(Table1[appointment_status]="Attended","1","0")</f>
        <v>1</v>
      </c>
      <c r="W1438" t="str">
        <f>IF(Table1[appointment_status]="Cancelled","1","0")</f>
        <v>0</v>
      </c>
    </row>
    <row r="1439" spans="1:23">
      <c r="A1439" t="s">
        <v>2434</v>
      </c>
      <c r="B1439" t="s">
        <v>2327</v>
      </c>
      <c r="C1439">
        <v>23</v>
      </c>
      <c r="D1439" t="str" cm="1">
        <f t="array" ref="D1439">_xlfn.IFS(Table1[[#This Row],[age]]&lt;=17,"0-17",C1439&lt;=29,"18-29",C1439&lt;=44,"30-44",C1439&lt;=59,"45-59",C1439&lt;=74,"60-74",TRUE,"75+")</f>
        <v>18-29</v>
      </c>
      <c r="E1439" t="s">
        <v>17</v>
      </c>
      <c r="F1439">
        <v>10</v>
      </c>
      <c r="G1439" t="str" cm="1">
        <f t="array" ref="G1439">_xlfn.IFS(_xlfn.SINGLE(Table1[imd_decile])&lt;=3,"Most Deprived",F1439&lt;=7,"Moderately Deprived",F1439&lt;=10,"Least Deprived")</f>
        <v>Least Deprived</v>
      </c>
      <c r="H1439">
        <v>3.5</v>
      </c>
      <c r="I1439" t="s">
        <v>58</v>
      </c>
      <c r="J1439" t="s">
        <v>19</v>
      </c>
      <c r="K1439" s="1">
        <v>45815</v>
      </c>
      <c r="L1439" s="1">
        <v>45869</v>
      </c>
      <c r="M1439" s="1" t="str">
        <f>TEXT(Table1[[#This Row],[appointment_date]],"MM/YYYY")</f>
        <v>07/2025</v>
      </c>
      <c r="N1439">
        <v>54</v>
      </c>
      <c r="O1439" t="str" cm="1">
        <f t="array" ref="O1439">_xlfn.IFS(Table1[[#This Row],[lead_time_days]]&lt;=7,"0-7 days",N1439&lt;=14,"8-14 days",N1439&lt;=30,"15-30 days",N1439&lt;=60,"31-60 days",TRUE,"61+ days")</f>
        <v>31-60 days</v>
      </c>
      <c r="P1439" t="s">
        <v>20</v>
      </c>
      <c r="Q1439" t="s">
        <v>21</v>
      </c>
      <c r="R1439">
        <v>0</v>
      </c>
      <c r="S1439" t="str">
        <f>IF(Table1[prior_dna_count]&gt;=1,"Has prior DNA history","No prior DNA history")</f>
        <v>No prior DNA history</v>
      </c>
      <c r="T1439" t="s">
        <v>22</v>
      </c>
      <c r="U1439" t="str">
        <f t="shared" si="22"/>
        <v>1</v>
      </c>
      <c r="V1439" t="str">
        <f>IF(Table1[appointment_status]="Attended","1","0")</f>
        <v>1</v>
      </c>
      <c r="W1439" t="str">
        <f>IF(Table1[appointment_status]="Cancelled","1","0")</f>
        <v>0</v>
      </c>
    </row>
    <row r="1440" spans="1:23">
      <c r="A1440" t="s">
        <v>2435</v>
      </c>
      <c r="B1440" t="s">
        <v>1890</v>
      </c>
      <c r="C1440">
        <v>27</v>
      </c>
      <c r="D1440" t="str" cm="1">
        <f t="array" ref="D1440">_xlfn.IFS(Table1[[#This Row],[age]]&lt;=17,"0-17",C1440&lt;=29,"18-29",C1440&lt;=44,"30-44",C1440&lt;=59,"45-59",C1440&lt;=74,"60-74",TRUE,"75+")</f>
        <v>18-29</v>
      </c>
      <c r="E1440" t="s">
        <v>17</v>
      </c>
      <c r="F1440">
        <v>10</v>
      </c>
      <c r="G1440" t="str" cm="1">
        <f t="array" ref="G1440">_xlfn.IFS(_xlfn.SINGLE(Table1[imd_decile])&lt;=3,"Most Deprived",F1440&lt;=7,"Moderately Deprived",F1440&lt;=10,"Least Deprived")</f>
        <v>Least Deprived</v>
      </c>
      <c r="H1440">
        <v>6.8</v>
      </c>
      <c r="I1440" t="s">
        <v>91</v>
      </c>
      <c r="J1440" t="s">
        <v>26</v>
      </c>
      <c r="K1440" s="1">
        <v>45856</v>
      </c>
      <c r="L1440" s="1">
        <v>45870</v>
      </c>
      <c r="M1440" s="1" t="str">
        <f>TEXT(Table1[[#This Row],[appointment_date]],"MM/YYYY")</f>
        <v>08/2025</v>
      </c>
      <c r="N1440">
        <v>14</v>
      </c>
      <c r="O1440" t="str" cm="1">
        <f t="array" ref="O1440">_xlfn.IFS(Table1[[#This Row],[lead_time_days]]&lt;=7,"0-7 days",N1440&lt;=14,"8-14 days",N1440&lt;=30,"15-30 days",N1440&lt;=60,"31-60 days",TRUE,"61+ days")</f>
        <v>8-14 days</v>
      </c>
      <c r="P1440" t="s">
        <v>52</v>
      </c>
      <c r="Q1440" t="s">
        <v>32</v>
      </c>
      <c r="R1440">
        <v>0</v>
      </c>
      <c r="S1440" t="str">
        <f>IF(Table1[prior_dna_count]&gt;=1,"Has prior DNA history","No prior DNA history")</f>
        <v>No prior DNA history</v>
      </c>
      <c r="T1440" t="s">
        <v>22</v>
      </c>
      <c r="U1440" t="str">
        <f t="shared" si="22"/>
        <v>1</v>
      </c>
      <c r="V1440" t="str">
        <f>IF(Table1[appointment_status]="Attended","1","0")</f>
        <v>1</v>
      </c>
      <c r="W1440" t="str">
        <f>IF(Table1[appointment_status]="Cancelled","1","0")</f>
        <v>0</v>
      </c>
    </row>
    <row r="1441" spans="1:23">
      <c r="A1441" t="s">
        <v>2436</v>
      </c>
      <c r="B1441" t="s">
        <v>1620</v>
      </c>
      <c r="C1441">
        <v>21</v>
      </c>
      <c r="D1441" t="str" cm="1">
        <f t="array" ref="D1441">_xlfn.IFS(Table1[[#This Row],[age]]&lt;=17,"0-17",C1441&lt;=29,"18-29",C1441&lt;=44,"30-44",C1441&lt;=59,"45-59",C1441&lt;=74,"60-74",TRUE,"75+")</f>
        <v>18-29</v>
      </c>
      <c r="E1441" t="s">
        <v>29</v>
      </c>
      <c r="F1441">
        <v>7</v>
      </c>
      <c r="G1441" t="str" cm="1">
        <f t="array" ref="G1441">_xlfn.IFS(_xlfn.SINGLE(Table1[imd_decile])&lt;=3,"Most Deprived",F1441&lt;=7,"Moderately Deprived",F1441&lt;=10,"Least Deprived")</f>
        <v>Moderately Deprived</v>
      </c>
      <c r="H1441">
        <v>5.9</v>
      </c>
      <c r="I1441" t="s">
        <v>18</v>
      </c>
      <c r="J1441" t="s">
        <v>19</v>
      </c>
      <c r="K1441" s="1">
        <v>45858</v>
      </c>
      <c r="L1441" s="1">
        <v>45870</v>
      </c>
      <c r="M1441" s="1" t="str">
        <f>TEXT(Table1[[#This Row],[appointment_date]],"MM/YYYY")</f>
        <v>08/2025</v>
      </c>
      <c r="N1441">
        <v>12</v>
      </c>
      <c r="O1441" t="str" cm="1">
        <f t="array" ref="O1441">_xlfn.IFS(Table1[[#This Row],[lead_time_days]]&lt;=7,"0-7 days",N1441&lt;=14,"8-14 days",N1441&lt;=30,"15-30 days",N1441&lt;=60,"31-60 days",TRUE,"61+ days")</f>
        <v>8-14 days</v>
      </c>
      <c r="P1441" t="s">
        <v>52</v>
      </c>
      <c r="Q1441" t="s">
        <v>32</v>
      </c>
      <c r="R1441">
        <v>0</v>
      </c>
      <c r="S1441" t="str">
        <f>IF(Table1[prior_dna_count]&gt;=1,"Has prior DNA history","No prior DNA history")</f>
        <v>No prior DNA history</v>
      </c>
      <c r="T1441" t="s">
        <v>22</v>
      </c>
      <c r="U1441" t="str">
        <f t="shared" si="22"/>
        <v>1</v>
      </c>
      <c r="V1441" t="str">
        <f>IF(Table1[appointment_status]="Attended","1","0")</f>
        <v>1</v>
      </c>
      <c r="W1441" t="str">
        <f>IF(Table1[appointment_status]="Cancelled","1","0")</f>
        <v>0</v>
      </c>
    </row>
    <row r="1442" spans="1:23">
      <c r="A1442" t="s">
        <v>2437</v>
      </c>
      <c r="B1442" t="s">
        <v>2438</v>
      </c>
      <c r="C1442">
        <v>34</v>
      </c>
      <c r="D1442" t="str" cm="1">
        <f t="array" ref="D1442">_xlfn.IFS(Table1[[#This Row],[age]]&lt;=17,"0-17",C1442&lt;=29,"18-29",C1442&lt;=44,"30-44",C1442&lt;=59,"45-59",C1442&lt;=74,"60-74",TRUE,"75+")</f>
        <v>30-44</v>
      </c>
      <c r="E1442" t="s">
        <v>29</v>
      </c>
      <c r="F1442">
        <v>3</v>
      </c>
      <c r="G1442" t="str" cm="1">
        <f t="array" ref="G1442">_xlfn.IFS(_xlfn.SINGLE(Table1[imd_decile])&lt;=3,"Most Deprived",F1442&lt;=7,"Moderately Deprived",F1442&lt;=10,"Least Deprived")</f>
        <v>Most Deprived</v>
      </c>
      <c r="H1442">
        <v>5.5</v>
      </c>
      <c r="I1442" t="s">
        <v>49</v>
      </c>
      <c r="J1442" t="s">
        <v>19</v>
      </c>
      <c r="K1442" s="1">
        <v>45848</v>
      </c>
      <c r="L1442" s="1">
        <v>45870</v>
      </c>
      <c r="M1442" s="1" t="str">
        <f>TEXT(Table1[[#This Row],[appointment_date]],"MM/YYYY")</f>
        <v>08/2025</v>
      </c>
      <c r="N1442">
        <v>22</v>
      </c>
      <c r="O1442" t="str" cm="1">
        <f t="array" ref="O1442">_xlfn.IFS(Table1[[#This Row],[lead_time_days]]&lt;=7,"0-7 days",N1442&lt;=14,"8-14 days",N1442&lt;=30,"15-30 days",N1442&lt;=60,"31-60 days",TRUE,"61+ days")</f>
        <v>15-30 days</v>
      </c>
      <c r="P1442" t="s">
        <v>52</v>
      </c>
      <c r="Q1442" t="s">
        <v>32</v>
      </c>
      <c r="R1442">
        <v>0</v>
      </c>
      <c r="S1442" t="str">
        <f>IF(Table1[prior_dna_count]&gt;=1,"Has prior DNA history","No prior DNA history")</f>
        <v>No prior DNA history</v>
      </c>
      <c r="T1442" t="s">
        <v>22</v>
      </c>
      <c r="U1442" t="str">
        <f t="shared" si="22"/>
        <v>1</v>
      </c>
      <c r="V1442" t="str">
        <f>IF(Table1[appointment_status]="Attended","1","0")</f>
        <v>1</v>
      </c>
      <c r="W1442" t="str">
        <f>IF(Table1[appointment_status]="Cancelled","1","0")</f>
        <v>0</v>
      </c>
    </row>
    <row r="1443" spans="1:23">
      <c r="A1443" t="s">
        <v>2439</v>
      </c>
      <c r="B1443" t="s">
        <v>2440</v>
      </c>
      <c r="C1443">
        <v>57</v>
      </c>
      <c r="D1443" t="str" cm="1">
        <f t="array" ref="D1443">_xlfn.IFS(Table1[[#This Row],[age]]&lt;=17,"0-17",C1443&lt;=29,"18-29",C1443&lt;=44,"30-44",C1443&lt;=59,"45-59",C1443&lt;=74,"60-74",TRUE,"75+")</f>
        <v>45-59</v>
      </c>
      <c r="E1443" t="s">
        <v>29</v>
      </c>
      <c r="F1443">
        <v>4</v>
      </c>
      <c r="G1443" t="str" cm="1">
        <f t="array" ref="G1443">_xlfn.IFS(_xlfn.SINGLE(Table1[imd_decile])&lt;=3,"Most Deprived",F1443&lt;=7,"Moderately Deprived",F1443&lt;=10,"Least Deprived")</f>
        <v>Moderately Deprived</v>
      </c>
      <c r="H1443">
        <v>5.8</v>
      </c>
      <c r="I1443" t="s">
        <v>58</v>
      </c>
      <c r="J1443" t="s">
        <v>19</v>
      </c>
      <c r="K1443" s="1">
        <v>45797</v>
      </c>
      <c r="L1443" s="1">
        <v>45870</v>
      </c>
      <c r="M1443" s="1" t="str">
        <f>TEXT(Table1[[#This Row],[appointment_date]],"MM/YYYY")</f>
        <v>08/2025</v>
      </c>
      <c r="N1443">
        <v>73</v>
      </c>
      <c r="O1443" t="str" cm="1">
        <f t="array" ref="O1443">_xlfn.IFS(Table1[[#This Row],[lead_time_days]]&lt;=7,"0-7 days",N1443&lt;=14,"8-14 days",N1443&lt;=30,"15-30 days",N1443&lt;=60,"31-60 days",TRUE,"61+ days")</f>
        <v>61+ days</v>
      </c>
      <c r="P1443" t="s">
        <v>52</v>
      </c>
      <c r="Q1443" t="s">
        <v>21</v>
      </c>
      <c r="R1443">
        <v>0</v>
      </c>
      <c r="S1443" t="str">
        <f>IF(Table1[prior_dna_count]&gt;=1,"Has prior DNA history","No prior DNA history")</f>
        <v>No prior DNA history</v>
      </c>
      <c r="T1443" t="s">
        <v>22</v>
      </c>
      <c r="U1443" t="str">
        <f t="shared" si="22"/>
        <v>1</v>
      </c>
      <c r="V1443" t="str">
        <f>IF(Table1[appointment_status]="Attended","1","0")</f>
        <v>1</v>
      </c>
      <c r="W1443" t="str">
        <f>IF(Table1[appointment_status]="Cancelled","1","0")</f>
        <v>0</v>
      </c>
    </row>
    <row r="1444" spans="1:23">
      <c r="A1444" t="s">
        <v>2441</v>
      </c>
      <c r="B1444" t="s">
        <v>855</v>
      </c>
      <c r="C1444">
        <v>49</v>
      </c>
      <c r="D1444" t="str" cm="1">
        <f t="array" ref="D1444">_xlfn.IFS(Table1[[#This Row],[age]]&lt;=17,"0-17",C1444&lt;=29,"18-29",C1444&lt;=44,"30-44",C1444&lt;=59,"45-59",C1444&lt;=74,"60-74",TRUE,"75+")</f>
        <v>45-59</v>
      </c>
      <c r="E1444" t="s">
        <v>17</v>
      </c>
      <c r="F1444">
        <v>5</v>
      </c>
      <c r="G1444" t="str" cm="1">
        <f t="array" ref="G1444">_xlfn.IFS(_xlfn.SINGLE(Table1[imd_decile])&lt;=3,"Most Deprived",F1444&lt;=7,"Moderately Deprived",F1444&lt;=10,"Least Deprived")</f>
        <v>Moderately Deprived</v>
      </c>
      <c r="H1444">
        <v>2.7</v>
      </c>
      <c r="I1444" t="s">
        <v>91</v>
      </c>
      <c r="J1444" t="s">
        <v>26</v>
      </c>
      <c r="K1444" s="1">
        <v>45844</v>
      </c>
      <c r="L1444" s="1">
        <v>45870</v>
      </c>
      <c r="M1444" s="1" t="str">
        <f>TEXT(Table1[[#This Row],[appointment_date]],"MM/YYYY")</f>
        <v>08/2025</v>
      </c>
      <c r="N1444">
        <v>26</v>
      </c>
      <c r="O1444" t="str" cm="1">
        <f t="array" ref="O1444">_xlfn.IFS(Table1[[#This Row],[lead_time_days]]&lt;=7,"0-7 days",N1444&lt;=14,"8-14 days",N1444&lt;=30,"15-30 days",N1444&lt;=60,"31-60 days",TRUE,"61+ days")</f>
        <v>15-30 days</v>
      </c>
      <c r="P1444" t="s">
        <v>52</v>
      </c>
      <c r="Q1444" t="s">
        <v>21</v>
      </c>
      <c r="R1444">
        <v>0</v>
      </c>
      <c r="S1444" t="str">
        <f>IF(Table1[prior_dna_count]&gt;=1,"Has prior DNA history","No prior DNA history")</f>
        <v>No prior DNA history</v>
      </c>
      <c r="T1444" t="s">
        <v>22</v>
      </c>
      <c r="U1444" t="str">
        <f t="shared" si="22"/>
        <v>1</v>
      </c>
      <c r="V1444" t="str">
        <f>IF(Table1[appointment_status]="Attended","1","0")</f>
        <v>1</v>
      </c>
      <c r="W1444" t="str">
        <f>IF(Table1[appointment_status]="Cancelled","1","0")</f>
        <v>0</v>
      </c>
    </row>
    <row r="1445" spans="1:23">
      <c r="A1445" t="s">
        <v>2442</v>
      </c>
      <c r="B1445" t="s">
        <v>2443</v>
      </c>
      <c r="C1445">
        <v>10</v>
      </c>
      <c r="D1445" t="str" cm="1">
        <f t="array" ref="D1445">_xlfn.IFS(Table1[[#This Row],[age]]&lt;=17,"0-17",C1445&lt;=29,"18-29",C1445&lt;=44,"30-44",C1445&lt;=59,"45-59",C1445&lt;=74,"60-74",TRUE,"75+")</f>
        <v>0-17</v>
      </c>
      <c r="E1445" t="s">
        <v>17</v>
      </c>
      <c r="F1445">
        <v>1</v>
      </c>
      <c r="G1445" t="str" cm="1">
        <f t="array" ref="G1445">_xlfn.IFS(_xlfn.SINGLE(Table1[imd_decile])&lt;=3,"Most Deprived",F1445&lt;=7,"Moderately Deprived",F1445&lt;=10,"Least Deprived")</f>
        <v>Most Deprived</v>
      </c>
      <c r="H1445">
        <v>28.3</v>
      </c>
      <c r="I1445" t="s">
        <v>42</v>
      </c>
      <c r="J1445" t="s">
        <v>19</v>
      </c>
      <c r="K1445" s="1">
        <v>45819</v>
      </c>
      <c r="L1445" s="1">
        <v>45870</v>
      </c>
      <c r="M1445" s="1" t="str">
        <f>TEXT(Table1[[#This Row],[appointment_date]],"MM/YYYY")</f>
        <v>08/2025</v>
      </c>
      <c r="N1445">
        <v>51</v>
      </c>
      <c r="O1445" t="str" cm="1">
        <f t="array" ref="O1445">_xlfn.IFS(Table1[[#This Row],[lead_time_days]]&lt;=7,"0-7 days",N1445&lt;=14,"8-14 days",N1445&lt;=30,"15-30 days",N1445&lt;=60,"31-60 days",TRUE,"61+ days")</f>
        <v>31-60 days</v>
      </c>
      <c r="P1445" t="s">
        <v>52</v>
      </c>
      <c r="Q1445" t="s">
        <v>21</v>
      </c>
      <c r="R1445">
        <v>0</v>
      </c>
      <c r="S1445" t="str">
        <f>IF(Table1[prior_dna_count]&gt;=1,"Has prior DNA history","No prior DNA history")</f>
        <v>No prior DNA history</v>
      </c>
      <c r="T1445" t="s">
        <v>22</v>
      </c>
      <c r="U1445" t="str">
        <f t="shared" si="22"/>
        <v>1</v>
      </c>
      <c r="V1445" t="str">
        <f>IF(Table1[appointment_status]="Attended","1","0")</f>
        <v>1</v>
      </c>
      <c r="W1445" t="str">
        <f>IF(Table1[appointment_status]="Cancelled","1","0")</f>
        <v>0</v>
      </c>
    </row>
    <row r="1446" spans="1:23">
      <c r="A1446" t="s">
        <v>2444</v>
      </c>
      <c r="B1446" t="s">
        <v>514</v>
      </c>
      <c r="C1446">
        <v>43</v>
      </c>
      <c r="D1446" t="str" cm="1">
        <f t="array" ref="D1446">_xlfn.IFS(Table1[[#This Row],[age]]&lt;=17,"0-17",C1446&lt;=29,"18-29",C1446&lt;=44,"30-44",C1446&lt;=59,"45-59",C1446&lt;=74,"60-74",TRUE,"75+")</f>
        <v>30-44</v>
      </c>
      <c r="E1446" t="s">
        <v>17</v>
      </c>
      <c r="F1446">
        <v>9</v>
      </c>
      <c r="G1446" t="str" cm="1">
        <f t="array" ref="G1446">_xlfn.IFS(_xlfn.SINGLE(Table1[imd_decile])&lt;=3,"Most Deprived",F1446&lt;=7,"Moderately Deprived",F1446&lt;=10,"Least Deprived")</f>
        <v>Least Deprived</v>
      </c>
      <c r="H1446">
        <v>14.1</v>
      </c>
      <c r="I1446" t="s">
        <v>38</v>
      </c>
      <c r="J1446" t="s">
        <v>19</v>
      </c>
      <c r="K1446" s="1">
        <v>45839</v>
      </c>
      <c r="L1446" s="1">
        <v>45870</v>
      </c>
      <c r="M1446" s="1" t="str">
        <f>TEXT(Table1[[#This Row],[appointment_date]],"MM/YYYY")</f>
        <v>08/2025</v>
      </c>
      <c r="N1446">
        <v>31</v>
      </c>
      <c r="O1446" t="str" cm="1">
        <f t="array" ref="O1446">_xlfn.IFS(Table1[[#This Row],[lead_time_days]]&lt;=7,"0-7 days",N1446&lt;=14,"8-14 days",N1446&lt;=30,"15-30 days",N1446&lt;=60,"31-60 days",TRUE,"61+ days")</f>
        <v>31-60 days</v>
      </c>
      <c r="P1446" t="s">
        <v>52</v>
      </c>
      <c r="Q1446" t="s">
        <v>21</v>
      </c>
      <c r="R1446">
        <v>0</v>
      </c>
      <c r="S1446" t="str">
        <f>IF(Table1[prior_dna_count]&gt;=1,"Has prior DNA history","No prior DNA history")</f>
        <v>No prior DNA history</v>
      </c>
      <c r="T1446" t="s">
        <v>22</v>
      </c>
      <c r="U1446" t="str">
        <f t="shared" si="22"/>
        <v>1</v>
      </c>
      <c r="V1446" t="str">
        <f>IF(Table1[appointment_status]="Attended","1","0")</f>
        <v>1</v>
      </c>
      <c r="W1446" t="str">
        <f>IF(Table1[appointment_status]="Cancelled","1","0")</f>
        <v>0</v>
      </c>
    </row>
    <row r="1447" spans="1:23">
      <c r="A1447" t="s">
        <v>2445</v>
      </c>
      <c r="B1447" t="s">
        <v>1744</v>
      </c>
      <c r="C1447">
        <v>65</v>
      </c>
      <c r="D1447" t="str" cm="1">
        <f t="array" ref="D1447">_xlfn.IFS(Table1[[#This Row],[age]]&lt;=17,"0-17",C1447&lt;=29,"18-29",C1447&lt;=44,"30-44",C1447&lt;=59,"45-59",C1447&lt;=74,"60-74",TRUE,"75+")</f>
        <v>60-74</v>
      </c>
      <c r="E1447" t="s">
        <v>17</v>
      </c>
      <c r="F1447">
        <v>8</v>
      </c>
      <c r="G1447" t="str" cm="1">
        <f t="array" ref="G1447">_xlfn.IFS(_xlfn.SINGLE(Table1[imd_decile])&lt;=3,"Most Deprived",F1447&lt;=7,"Moderately Deprived",F1447&lt;=10,"Least Deprived")</f>
        <v>Least Deprived</v>
      </c>
      <c r="H1447">
        <v>5</v>
      </c>
      <c r="I1447" t="s">
        <v>49</v>
      </c>
      <c r="J1447" t="s">
        <v>19</v>
      </c>
      <c r="K1447" s="1">
        <v>45845</v>
      </c>
      <c r="L1447" s="1">
        <v>45870</v>
      </c>
      <c r="M1447" s="1" t="str">
        <f>TEXT(Table1[[#This Row],[appointment_date]],"MM/YYYY")</f>
        <v>08/2025</v>
      </c>
      <c r="N1447">
        <v>25</v>
      </c>
      <c r="O1447" t="str" cm="1">
        <f t="array" ref="O1447">_xlfn.IFS(Table1[[#This Row],[lead_time_days]]&lt;=7,"0-7 days",N1447&lt;=14,"8-14 days",N1447&lt;=30,"15-30 days",N1447&lt;=60,"31-60 days",TRUE,"61+ days")</f>
        <v>15-30 days</v>
      </c>
      <c r="P1447" t="s">
        <v>52</v>
      </c>
      <c r="Q1447" t="s">
        <v>21</v>
      </c>
      <c r="R1447">
        <v>0</v>
      </c>
      <c r="S1447" t="str">
        <f>IF(Table1[prior_dna_count]&gt;=1,"Has prior DNA history","No prior DNA history")</f>
        <v>No prior DNA history</v>
      </c>
      <c r="T1447" t="s">
        <v>22</v>
      </c>
      <c r="U1447" t="str">
        <f t="shared" si="22"/>
        <v>1</v>
      </c>
      <c r="V1447" t="str">
        <f>IF(Table1[appointment_status]="Attended","1","0")</f>
        <v>1</v>
      </c>
      <c r="W1447" t="str">
        <f>IF(Table1[appointment_status]="Cancelled","1","0")</f>
        <v>0</v>
      </c>
    </row>
    <row r="1448" spans="1:23">
      <c r="A1448" t="s">
        <v>2446</v>
      </c>
      <c r="B1448" t="s">
        <v>1848</v>
      </c>
      <c r="C1448">
        <v>58</v>
      </c>
      <c r="D1448" t="str" cm="1">
        <f t="array" ref="D1448">_xlfn.IFS(Table1[[#This Row],[age]]&lt;=17,"0-17",C1448&lt;=29,"18-29",C1448&lt;=44,"30-44",C1448&lt;=59,"45-59",C1448&lt;=74,"60-74",TRUE,"75+")</f>
        <v>45-59</v>
      </c>
      <c r="E1448" t="s">
        <v>17</v>
      </c>
      <c r="F1448">
        <v>5</v>
      </c>
      <c r="G1448" t="str" cm="1">
        <f t="array" ref="G1448">_xlfn.IFS(_xlfn.SINGLE(Table1[imd_decile])&lt;=3,"Most Deprived",F1448&lt;=7,"Moderately Deprived",F1448&lt;=10,"Least Deprived")</f>
        <v>Moderately Deprived</v>
      </c>
      <c r="H1448">
        <v>2</v>
      </c>
      <c r="I1448" t="s">
        <v>25</v>
      </c>
      <c r="J1448" t="s">
        <v>19</v>
      </c>
      <c r="K1448" s="1">
        <v>45856</v>
      </c>
      <c r="L1448" s="1">
        <v>45871</v>
      </c>
      <c r="M1448" s="1" t="str">
        <f>TEXT(Table1[[#This Row],[appointment_date]],"MM/YYYY")</f>
        <v>08/2025</v>
      </c>
      <c r="N1448">
        <v>15</v>
      </c>
      <c r="O1448" t="str" cm="1">
        <f t="array" ref="O1448">_xlfn.IFS(Table1[[#This Row],[lead_time_days]]&lt;=7,"0-7 days",N1448&lt;=14,"8-14 days",N1448&lt;=30,"15-30 days",N1448&lt;=60,"31-60 days",TRUE,"61+ days")</f>
        <v>15-30 days</v>
      </c>
      <c r="P1448" t="s">
        <v>55</v>
      </c>
      <c r="Q1448" t="s">
        <v>32</v>
      </c>
      <c r="R1448">
        <v>0</v>
      </c>
      <c r="S1448" t="str">
        <f>IF(Table1[prior_dna_count]&gt;=1,"Has prior DNA history","No prior DNA history")</f>
        <v>No prior DNA history</v>
      </c>
      <c r="T1448" t="s">
        <v>46</v>
      </c>
      <c r="U1448" t="str">
        <f t="shared" si="22"/>
        <v>1</v>
      </c>
      <c r="V1448" t="str">
        <f>IF(Table1[appointment_status]="Attended","1","0")</f>
        <v>0</v>
      </c>
      <c r="W1448" t="str">
        <f>IF(Table1[appointment_status]="Cancelled","1","0")</f>
        <v>1</v>
      </c>
    </row>
    <row r="1449" spans="1:23">
      <c r="A1449" t="s">
        <v>2447</v>
      </c>
      <c r="B1449" t="s">
        <v>423</v>
      </c>
      <c r="C1449">
        <v>53</v>
      </c>
      <c r="D1449" t="str" cm="1">
        <f t="array" ref="D1449">_xlfn.IFS(Table1[[#This Row],[age]]&lt;=17,"0-17",C1449&lt;=29,"18-29",C1449&lt;=44,"30-44",C1449&lt;=59,"45-59",C1449&lt;=74,"60-74",TRUE,"75+")</f>
        <v>45-59</v>
      </c>
      <c r="E1449" t="s">
        <v>17</v>
      </c>
      <c r="F1449">
        <v>4</v>
      </c>
      <c r="G1449" t="str" cm="1">
        <f t="array" ref="G1449">_xlfn.IFS(_xlfn.SINGLE(Table1[imd_decile])&lt;=3,"Most Deprived",F1449&lt;=7,"Moderately Deprived",F1449&lt;=10,"Least Deprived")</f>
        <v>Moderately Deprived</v>
      </c>
      <c r="H1449">
        <v>3.8</v>
      </c>
      <c r="I1449" t="s">
        <v>42</v>
      </c>
      <c r="J1449" t="s">
        <v>19</v>
      </c>
      <c r="K1449" s="1">
        <v>45844</v>
      </c>
      <c r="L1449" s="1">
        <v>45871</v>
      </c>
      <c r="M1449" s="1" t="str">
        <f>TEXT(Table1[[#This Row],[appointment_date]],"MM/YYYY")</f>
        <v>08/2025</v>
      </c>
      <c r="N1449">
        <v>27</v>
      </c>
      <c r="O1449" t="str" cm="1">
        <f t="array" ref="O1449">_xlfn.IFS(Table1[[#This Row],[lead_time_days]]&lt;=7,"0-7 days",N1449&lt;=14,"8-14 days",N1449&lt;=30,"15-30 days",N1449&lt;=60,"31-60 days",TRUE,"61+ days")</f>
        <v>15-30 days</v>
      </c>
      <c r="P1449" t="s">
        <v>55</v>
      </c>
      <c r="Q1449" t="s">
        <v>32</v>
      </c>
      <c r="R1449">
        <v>0</v>
      </c>
      <c r="S1449" t="str">
        <f>IF(Table1[prior_dna_count]&gt;=1,"Has prior DNA history","No prior DNA history")</f>
        <v>No prior DNA history</v>
      </c>
      <c r="T1449" t="s">
        <v>22</v>
      </c>
      <c r="U1449" t="str">
        <f t="shared" si="22"/>
        <v>0</v>
      </c>
      <c r="V1449" t="str">
        <f>IF(Table1[appointment_status]="Attended","1","0")</f>
        <v>1</v>
      </c>
      <c r="W1449" t="str">
        <f>IF(Table1[appointment_status]="Cancelled","1","0")</f>
        <v>0</v>
      </c>
    </row>
    <row r="1450" spans="1:23">
      <c r="A1450" t="s">
        <v>2448</v>
      </c>
      <c r="B1450" t="s">
        <v>2449</v>
      </c>
      <c r="C1450">
        <v>46</v>
      </c>
      <c r="D1450" t="str" cm="1">
        <f t="array" ref="D1450">_xlfn.IFS(Table1[[#This Row],[age]]&lt;=17,"0-17",C1450&lt;=29,"18-29",C1450&lt;=44,"30-44",C1450&lt;=59,"45-59",C1450&lt;=74,"60-74",TRUE,"75+")</f>
        <v>45-59</v>
      </c>
      <c r="E1450" t="s">
        <v>17</v>
      </c>
      <c r="F1450">
        <v>1</v>
      </c>
      <c r="G1450" t="str" cm="1">
        <f t="array" ref="G1450">_xlfn.IFS(_xlfn.SINGLE(Table1[imd_decile])&lt;=3,"Most Deprived",F1450&lt;=7,"Moderately Deprived",F1450&lt;=10,"Least Deprived")</f>
        <v>Most Deprived</v>
      </c>
      <c r="H1450">
        <v>6.8</v>
      </c>
      <c r="I1450" t="s">
        <v>58</v>
      </c>
      <c r="J1450" t="s">
        <v>26</v>
      </c>
      <c r="K1450" s="1">
        <v>45858</v>
      </c>
      <c r="L1450" s="1">
        <v>45871</v>
      </c>
      <c r="M1450" s="1" t="str">
        <f>TEXT(Table1[[#This Row],[appointment_date]],"MM/YYYY")</f>
        <v>08/2025</v>
      </c>
      <c r="N1450">
        <v>13</v>
      </c>
      <c r="O1450" t="str" cm="1">
        <f t="array" ref="O1450">_xlfn.IFS(Table1[[#This Row],[lead_time_days]]&lt;=7,"0-7 days",N1450&lt;=14,"8-14 days",N1450&lt;=30,"15-30 days",N1450&lt;=60,"31-60 days",TRUE,"61+ days")</f>
        <v>8-14 days</v>
      </c>
      <c r="P1450" t="s">
        <v>55</v>
      </c>
      <c r="Q1450" t="s">
        <v>21</v>
      </c>
      <c r="R1450">
        <v>0</v>
      </c>
      <c r="S1450" t="str">
        <f>IF(Table1[prior_dna_count]&gt;=1,"Has prior DNA history","No prior DNA history")</f>
        <v>No prior DNA history</v>
      </c>
      <c r="T1450" t="s">
        <v>22</v>
      </c>
      <c r="U1450" t="str">
        <f t="shared" si="22"/>
        <v>1</v>
      </c>
      <c r="V1450" t="str">
        <f>IF(Table1[appointment_status]="Attended","1","0")</f>
        <v>1</v>
      </c>
      <c r="W1450" t="str">
        <f>IF(Table1[appointment_status]="Cancelled","1","0")</f>
        <v>0</v>
      </c>
    </row>
    <row r="1451" spans="1:23">
      <c r="A1451" t="s">
        <v>2450</v>
      </c>
      <c r="B1451" t="s">
        <v>2451</v>
      </c>
      <c r="C1451">
        <v>41</v>
      </c>
      <c r="D1451" t="str" cm="1">
        <f t="array" ref="D1451">_xlfn.IFS(Table1[[#This Row],[age]]&lt;=17,"0-17",C1451&lt;=29,"18-29",C1451&lt;=44,"30-44",C1451&lt;=59,"45-59",C1451&lt;=74,"60-74",TRUE,"75+")</f>
        <v>30-44</v>
      </c>
      <c r="E1451" t="s">
        <v>17</v>
      </c>
      <c r="F1451">
        <v>7</v>
      </c>
      <c r="G1451" t="str" cm="1">
        <f t="array" ref="G1451">_xlfn.IFS(_xlfn.SINGLE(Table1[imd_decile])&lt;=3,"Most Deprived",F1451&lt;=7,"Moderately Deprived",F1451&lt;=10,"Least Deprived")</f>
        <v>Moderately Deprived</v>
      </c>
      <c r="H1451">
        <v>13.2</v>
      </c>
      <c r="I1451" t="s">
        <v>49</v>
      </c>
      <c r="J1451" t="s">
        <v>26</v>
      </c>
      <c r="K1451" s="1">
        <v>45852</v>
      </c>
      <c r="L1451" s="1">
        <v>45871</v>
      </c>
      <c r="M1451" s="1" t="str">
        <f>TEXT(Table1[[#This Row],[appointment_date]],"MM/YYYY")</f>
        <v>08/2025</v>
      </c>
      <c r="N1451">
        <v>19</v>
      </c>
      <c r="O1451" t="str" cm="1">
        <f t="array" ref="O1451">_xlfn.IFS(Table1[[#This Row],[lead_time_days]]&lt;=7,"0-7 days",N1451&lt;=14,"8-14 days",N1451&lt;=30,"15-30 days",N1451&lt;=60,"31-60 days",TRUE,"61+ days")</f>
        <v>15-30 days</v>
      </c>
      <c r="P1451" t="s">
        <v>55</v>
      </c>
      <c r="Q1451" t="s">
        <v>21</v>
      </c>
      <c r="R1451">
        <v>0</v>
      </c>
      <c r="S1451" t="str">
        <f>IF(Table1[prior_dna_count]&gt;=1,"Has prior DNA history","No prior DNA history")</f>
        <v>No prior DNA history</v>
      </c>
      <c r="T1451" t="s">
        <v>22</v>
      </c>
      <c r="U1451" t="str">
        <f t="shared" si="22"/>
        <v>1</v>
      </c>
      <c r="V1451" t="str">
        <f>IF(Table1[appointment_status]="Attended","1","0")</f>
        <v>1</v>
      </c>
      <c r="W1451" t="str">
        <f>IF(Table1[appointment_status]="Cancelled","1","0")</f>
        <v>0</v>
      </c>
    </row>
    <row r="1452" spans="1:23">
      <c r="A1452" t="s">
        <v>2452</v>
      </c>
      <c r="B1452" t="s">
        <v>2430</v>
      </c>
      <c r="C1452">
        <v>3</v>
      </c>
      <c r="D1452" t="str" cm="1">
        <f t="array" ref="D1452">_xlfn.IFS(Table1[[#This Row],[age]]&lt;=17,"0-17",C1452&lt;=29,"18-29",C1452&lt;=44,"30-44",C1452&lt;=59,"45-59",C1452&lt;=74,"60-74",TRUE,"75+")</f>
        <v>0-17</v>
      </c>
      <c r="E1452" t="s">
        <v>29</v>
      </c>
      <c r="F1452">
        <v>8</v>
      </c>
      <c r="G1452" t="str" cm="1">
        <f t="array" ref="G1452">_xlfn.IFS(_xlfn.SINGLE(Table1[imd_decile])&lt;=3,"Most Deprived",F1452&lt;=7,"Moderately Deprived",F1452&lt;=10,"Least Deprived")</f>
        <v>Least Deprived</v>
      </c>
      <c r="H1452">
        <v>6.8</v>
      </c>
      <c r="I1452" t="s">
        <v>49</v>
      </c>
      <c r="J1452" t="s">
        <v>26</v>
      </c>
      <c r="K1452" s="1">
        <v>45848</v>
      </c>
      <c r="L1452" s="1">
        <v>45871</v>
      </c>
      <c r="M1452" s="1" t="str">
        <f>TEXT(Table1[[#This Row],[appointment_date]],"MM/YYYY")</f>
        <v>08/2025</v>
      </c>
      <c r="N1452">
        <v>23</v>
      </c>
      <c r="O1452" t="str" cm="1">
        <f t="array" ref="O1452">_xlfn.IFS(Table1[[#This Row],[lead_time_days]]&lt;=7,"0-7 days",N1452&lt;=14,"8-14 days",N1452&lt;=30,"15-30 days",N1452&lt;=60,"31-60 days",TRUE,"61+ days")</f>
        <v>15-30 days</v>
      </c>
      <c r="P1452" t="s">
        <v>55</v>
      </c>
      <c r="Q1452" t="s">
        <v>21</v>
      </c>
      <c r="R1452">
        <v>0</v>
      </c>
      <c r="S1452" t="str">
        <f>IF(Table1[prior_dna_count]&gt;=1,"Has prior DNA history","No prior DNA history")</f>
        <v>No prior DNA history</v>
      </c>
      <c r="T1452" t="s">
        <v>22</v>
      </c>
      <c r="U1452" t="str">
        <f t="shared" si="22"/>
        <v>1</v>
      </c>
      <c r="V1452" t="str">
        <f>IF(Table1[appointment_status]="Attended","1","0")</f>
        <v>1</v>
      </c>
      <c r="W1452" t="str">
        <f>IF(Table1[appointment_status]="Cancelled","1","0")</f>
        <v>0</v>
      </c>
    </row>
    <row r="1453" spans="1:23">
      <c r="A1453" t="s">
        <v>2453</v>
      </c>
      <c r="B1453" t="s">
        <v>2454</v>
      </c>
      <c r="C1453">
        <v>40</v>
      </c>
      <c r="D1453" t="str" cm="1">
        <f t="array" ref="D1453">_xlfn.IFS(Table1[[#This Row],[age]]&lt;=17,"0-17",C1453&lt;=29,"18-29",C1453&lt;=44,"30-44",C1453&lt;=59,"45-59",C1453&lt;=74,"60-74",TRUE,"75+")</f>
        <v>30-44</v>
      </c>
      <c r="E1453" t="s">
        <v>29</v>
      </c>
      <c r="F1453">
        <v>2</v>
      </c>
      <c r="G1453" t="str" cm="1">
        <f t="array" ref="G1453">_xlfn.IFS(_xlfn.SINGLE(Table1[imd_decile])&lt;=3,"Most Deprived",F1453&lt;=7,"Moderately Deprived",F1453&lt;=10,"Least Deprived")</f>
        <v>Most Deprived</v>
      </c>
      <c r="H1453">
        <v>5.7</v>
      </c>
      <c r="I1453" t="s">
        <v>30</v>
      </c>
      <c r="J1453" t="s">
        <v>19</v>
      </c>
      <c r="K1453" s="1">
        <v>45857</v>
      </c>
      <c r="L1453" s="1">
        <v>45871</v>
      </c>
      <c r="M1453" s="1" t="str">
        <f>TEXT(Table1[[#This Row],[appointment_date]],"MM/YYYY")</f>
        <v>08/2025</v>
      </c>
      <c r="N1453">
        <v>14</v>
      </c>
      <c r="O1453" t="str" cm="1">
        <f t="array" ref="O1453">_xlfn.IFS(Table1[[#This Row],[lead_time_days]]&lt;=7,"0-7 days",N1453&lt;=14,"8-14 days",N1453&lt;=30,"15-30 days",N1453&lt;=60,"31-60 days",TRUE,"61+ days")</f>
        <v>8-14 days</v>
      </c>
      <c r="P1453" t="s">
        <v>55</v>
      </c>
      <c r="Q1453" t="s">
        <v>32</v>
      </c>
      <c r="R1453">
        <v>0</v>
      </c>
      <c r="S1453" t="str">
        <f>IF(Table1[prior_dna_count]&gt;=1,"Has prior DNA history","No prior DNA history")</f>
        <v>No prior DNA history</v>
      </c>
      <c r="T1453" t="s">
        <v>39</v>
      </c>
      <c r="U1453" t="str">
        <f t="shared" si="22"/>
        <v>1</v>
      </c>
      <c r="V1453" t="str">
        <f>IF(Table1[appointment_status]="Attended","1","0")</f>
        <v>0</v>
      </c>
      <c r="W1453" t="str">
        <f>IF(Table1[appointment_status]="Cancelled","1","0")</f>
        <v>0</v>
      </c>
    </row>
    <row r="1454" spans="1:23">
      <c r="A1454" t="s">
        <v>2455</v>
      </c>
      <c r="B1454" t="s">
        <v>1561</v>
      </c>
      <c r="C1454">
        <v>15</v>
      </c>
      <c r="D1454" t="str" cm="1">
        <f t="array" ref="D1454">_xlfn.IFS(Table1[[#This Row],[age]]&lt;=17,"0-17",C1454&lt;=29,"18-29",C1454&lt;=44,"30-44",C1454&lt;=59,"45-59",C1454&lt;=74,"60-74",TRUE,"75+")</f>
        <v>0-17</v>
      </c>
      <c r="E1454" t="s">
        <v>29</v>
      </c>
      <c r="F1454">
        <v>2</v>
      </c>
      <c r="G1454" t="str" cm="1">
        <f t="array" ref="G1454">_xlfn.IFS(_xlfn.SINGLE(Table1[imd_decile])&lt;=3,"Most Deprived",F1454&lt;=7,"Moderately Deprived",F1454&lt;=10,"Least Deprived")</f>
        <v>Most Deprived</v>
      </c>
      <c r="H1454">
        <v>7.6</v>
      </c>
      <c r="I1454" t="s">
        <v>18</v>
      </c>
      <c r="J1454" t="s">
        <v>19</v>
      </c>
      <c r="K1454" s="1">
        <v>45810</v>
      </c>
      <c r="L1454" s="1">
        <v>45872</v>
      </c>
      <c r="M1454" s="1" t="str">
        <f>TEXT(Table1[[#This Row],[appointment_date]],"MM/YYYY")</f>
        <v>08/2025</v>
      </c>
      <c r="N1454">
        <v>62</v>
      </c>
      <c r="O1454" t="str" cm="1">
        <f t="array" ref="O1454">_xlfn.IFS(Table1[[#This Row],[lead_time_days]]&lt;=7,"0-7 days",N1454&lt;=14,"8-14 days",N1454&lt;=30,"15-30 days",N1454&lt;=60,"31-60 days",TRUE,"61+ days")</f>
        <v>61+ days</v>
      </c>
      <c r="P1454" t="s">
        <v>31</v>
      </c>
      <c r="Q1454" t="s">
        <v>21</v>
      </c>
      <c r="R1454">
        <v>0</v>
      </c>
      <c r="S1454" t="str">
        <f>IF(Table1[prior_dna_count]&gt;=1,"Has prior DNA history","No prior DNA history")</f>
        <v>No prior DNA history</v>
      </c>
      <c r="T1454" t="s">
        <v>46</v>
      </c>
      <c r="U1454" t="str">
        <f t="shared" si="22"/>
        <v>0</v>
      </c>
      <c r="V1454" t="str">
        <f>IF(Table1[appointment_status]="Attended","1","0")</f>
        <v>0</v>
      </c>
      <c r="W1454" t="str">
        <f>IF(Table1[appointment_status]="Cancelled","1","0")</f>
        <v>1</v>
      </c>
    </row>
    <row r="1455" spans="1:23">
      <c r="A1455" t="s">
        <v>2456</v>
      </c>
      <c r="B1455" t="s">
        <v>345</v>
      </c>
      <c r="C1455">
        <v>37</v>
      </c>
      <c r="D1455" t="str" cm="1">
        <f t="array" ref="D1455">_xlfn.IFS(Table1[[#This Row],[age]]&lt;=17,"0-17",C1455&lt;=29,"18-29",C1455&lt;=44,"30-44",C1455&lt;=59,"45-59",C1455&lt;=74,"60-74",TRUE,"75+")</f>
        <v>30-44</v>
      </c>
      <c r="E1455" t="s">
        <v>29</v>
      </c>
      <c r="F1455">
        <v>8</v>
      </c>
      <c r="G1455" t="str" cm="1">
        <f t="array" ref="G1455">_xlfn.IFS(_xlfn.SINGLE(Table1[imd_decile])&lt;=3,"Most Deprived",F1455&lt;=7,"Moderately Deprived",F1455&lt;=10,"Least Deprived")</f>
        <v>Least Deprived</v>
      </c>
      <c r="H1455">
        <v>10</v>
      </c>
      <c r="I1455" t="s">
        <v>18</v>
      </c>
      <c r="J1455" t="s">
        <v>19</v>
      </c>
      <c r="K1455" s="1">
        <v>45800</v>
      </c>
      <c r="L1455" s="1">
        <v>45872</v>
      </c>
      <c r="M1455" s="1" t="str">
        <f>TEXT(Table1[[#This Row],[appointment_date]],"MM/YYYY")</f>
        <v>08/2025</v>
      </c>
      <c r="N1455">
        <v>72</v>
      </c>
      <c r="O1455" t="str" cm="1">
        <f t="array" ref="O1455">_xlfn.IFS(Table1[[#This Row],[lead_time_days]]&lt;=7,"0-7 days",N1455&lt;=14,"8-14 days",N1455&lt;=30,"15-30 days",N1455&lt;=60,"31-60 days",TRUE,"61+ days")</f>
        <v>61+ days</v>
      </c>
      <c r="P1455" t="s">
        <v>31</v>
      </c>
      <c r="Q1455" t="s">
        <v>32</v>
      </c>
      <c r="R1455">
        <v>0</v>
      </c>
      <c r="S1455" t="str">
        <f>IF(Table1[prior_dna_count]&gt;=1,"Has prior DNA history","No prior DNA history")</f>
        <v>No prior DNA history</v>
      </c>
      <c r="T1455" t="s">
        <v>39</v>
      </c>
      <c r="U1455" t="str">
        <f t="shared" si="22"/>
        <v>0</v>
      </c>
      <c r="V1455" t="str">
        <f>IF(Table1[appointment_status]="Attended","1","0")</f>
        <v>0</v>
      </c>
      <c r="W1455" t="str">
        <f>IF(Table1[appointment_status]="Cancelled","1","0")</f>
        <v>0</v>
      </c>
    </row>
    <row r="1456" spans="1:23">
      <c r="A1456" t="s">
        <v>2457</v>
      </c>
      <c r="B1456" t="s">
        <v>2458</v>
      </c>
      <c r="C1456">
        <v>70</v>
      </c>
      <c r="D1456" t="str" cm="1">
        <f t="array" ref="D1456">_xlfn.IFS(Table1[[#This Row],[age]]&lt;=17,"0-17",C1456&lt;=29,"18-29",C1456&lt;=44,"30-44",C1456&lt;=59,"45-59",C1456&lt;=74,"60-74",TRUE,"75+")</f>
        <v>60-74</v>
      </c>
      <c r="E1456" t="s">
        <v>17</v>
      </c>
      <c r="F1456">
        <v>8</v>
      </c>
      <c r="G1456" t="str" cm="1">
        <f t="array" ref="G1456">_xlfn.IFS(_xlfn.SINGLE(Table1[imd_decile])&lt;=3,"Most Deprived",F1456&lt;=7,"Moderately Deprived",F1456&lt;=10,"Least Deprived")</f>
        <v>Least Deprived</v>
      </c>
      <c r="H1456">
        <v>8.1999999999999993</v>
      </c>
      <c r="I1456" t="s">
        <v>25</v>
      </c>
      <c r="J1456" t="s">
        <v>19</v>
      </c>
      <c r="K1456" s="1">
        <v>45833</v>
      </c>
      <c r="L1456" s="1">
        <v>45872</v>
      </c>
      <c r="M1456" s="1" t="str">
        <f>TEXT(Table1[[#This Row],[appointment_date]],"MM/YYYY")</f>
        <v>08/2025</v>
      </c>
      <c r="N1456">
        <v>39</v>
      </c>
      <c r="O1456" t="str" cm="1">
        <f t="array" ref="O1456">_xlfn.IFS(Table1[[#This Row],[lead_time_days]]&lt;=7,"0-7 days",N1456&lt;=14,"8-14 days",N1456&lt;=30,"15-30 days",N1456&lt;=60,"31-60 days",TRUE,"61+ days")</f>
        <v>31-60 days</v>
      </c>
      <c r="P1456" t="s">
        <v>31</v>
      </c>
      <c r="Q1456" t="s">
        <v>32</v>
      </c>
      <c r="R1456">
        <v>0</v>
      </c>
      <c r="S1456" t="str">
        <f>IF(Table1[prior_dna_count]&gt;=1,"Has prior DNA history","No prior DNA history")</f>
        <v>No prior DNA history</v>
      </c>
      <c r="T1456" t="s">
        <v>46</v>
      </c>
      <c r="U1456" t="str">
        <f t="shared" si="22"/>
        <v>0</v>
      </c>
      <c r="V1456" t="str">
        <f>IF(Table1[appointment_status]="Attended","1","0")</f>
        <v>0</v>
      </c>
      <c r="W1456" t="str">
        <f>IF(Table1[appointment_status]="Cancelled","1","0")</f>
        <v>1</v>
      </c>
    </row>
    <row r="1457" spans="1:23">
      <c r="A1457" t="s">
        <v>2459</v>
      </c>
      <c r="B1457" t="s">
        <v>2460</v>
      </c>
      <c r="C1457">
        <v>62</v>
      </c>
      <c r="D1457" t="str" cm="1">
        <f t="array" ref="D1457">_xlfn.IFS(Table1[[#This Row],[age]]&lt;=17,"0-17",C1457&lt;=29,"18-29",C1457&lt;=44,"30-44",C1457&lt;=59,"45-59",C1457&lt;=74,"60-74",TRUE,"75+")</f>
        <v>60-74</v>
      </c>
      <c r="E1457" t="s">
        <v>29</v>
      </c>
      <c r="F1457">
        <v>1</v>
      </c>
      <c r="G1457" t="str" cm="1">
        <f t="array" ref="G1457">_xlfn.IFS(_xlfn.SINGLE(Table1[imd_decile])&lt;=3,"Most Deprived",F1457&lt;=7,"Moderately Deprived",F1457&lt;=10,"Least Deprived")</f>
        <v>Most Deprived</v>
      </c>
      <c r="H1457">
        <v>12</v>
      </c>
      <c r="I1457" t="s">
        <v>58</v>
      </c>
      <c r="J1457" t="s">
        <v>19</v>
      </c>
      <c r="K1457" s="1">
        <v>45807</v>
      </c>
      <c r="L1457" s="1">
        <v>45872</v>
      </c>
      <c r="M1457" s="1" t="str">
        <f>TEXT(Table1[[#This Row],[appointment_date]],"MM/YYYY")</f>
        <v>08/2025</v>
      </c>
      <c r="N1457">
        <v>65</v>
      </c>
      <c r="O1457" t="str" cm="1">
        <f t="array" ref="O1457">_xlfn.IFS(Table1[[#This Row],[lead_time_days]]&lt;=7,"0-7 days",N1457&lt;=14,"8-14 days",N1457&lt;=30,"15-30 days",N1457&lt;=60,"31-60 days",TRUE,"61+ days")</f>
        <v>61+ days</v>
      </c>
      <c r="P1457" t="s">
        <v>31</v>
      </c>
      <c r="Q1457" t="s">
        <v>21</v>
      </c>
      <c r="R1457">
        <v>0</v>
      </c>
      <c r="S1457" t="str">
        <f>IF(Table1[prior_dna_count]&gt;=1,"Has prior DNA history","No prior DNA history")</f>
        <v>No prior DNA history</v>
      </c>
      <c r="T1457" t="s">
        <v>22</v>
      </c>
      <c r="U1457" t="str">
        <f t="shared" si="22"/>
        <v>0</v>
      </c>
      <c r="V1457" t="str">
        <f>IF(Table1[appointment_status]="Attended","1","0")</f>
        <v>1</v>
      </c>
      <c r="W1457" t="str">
        <f>IF(Table1[appointment_status]="Cancelled","1","0")</f>
        <v>0</v>
      </c>
    </row>
    <row r="1458" spans="1:23">
      <c r="A1458" t="s">
        <v>2461</v>
      </c>
      <c r="B1458" t="s">
        <v>568</v>
      </c>
      <c r="C1458">
        <v>62</v>
      </c>
      <c r="D1458" t="str" cm="1">
        <f t="array" ref="D1458">_xlfn.IFS(Table1[[#This Row],[age]]&lt;=17,"0-17",C1458&lt;=29,"18-29",C1458&lt;=44,"30-44",C1458&lt;=59,"45-59",C1458&lt;=74,"60-74",TRUE,"75+")</f>
        <v>60-74</v>
      </c>
      <c r="E1458" t="s">
        <v>29</v>
      </c>
      <c r="F1458">
        <v>7</v>
      </c>
      <c r="G1458" t="str" cm="1">
        <f t="array" ref="G1458">_xlfn.IFS(_xlfn.SINGLE(Table1[imd_decile])&lt;=3,"Most Deprived",F1458&lt;=7,"Moderately Deprived",F1458&lt;=10,"Least Deprived")</f>
        <v>Moderately Deprived</v>
      </c>
      <c r="H1458">
        <v>1.9</v>
      </c>
      <c r="I1458" t="s">
        <v>155</v>
      </c>
      <c r="J1458" t="s">
        <v>26</v>
      </c>
      <c r="K1458" s="1">
        <v>45857</v>
      </c>
      <c r="L1458" s="1">
        <v>45872</v>
      </c>
      <c r="M1458" s="1" t="str">
        <f>TEXT(Table1[[#This Row],[appointment_date]],"MM/YYYY")</f>
        <v>08/2025</v>
      </c>
      <c r="N1458">
        <v>15</v>
      </c>
      <c r="O1458" t="str" cm="1">
        <f t="array" ref="O1458">_xlfn.IFS(Table1[[#This Row],[lead_time_days]]&lt;=7,"0-7 days",N1458&lt;=14,"8-14 days",N1458&lt;=30,"15-30 days",N1458&lt;=60,"31-60 days",TRUE,"61+ days")</f>
        <v>15-30 days</v>
      </c>
      <c r="P1458" t="s">
        <v>31</v>
      </c>
      <c r="Q1458" t="s">
        <v>32</v>
      </c>
      <c r="R1458">
        <v>0</v>
      </c>
      <c r="S1458" t="str">
        <f>IF(Table1[prior_dna_count]&gt;=1,"Has prior DNA history","No prior DNA history")</f>
        <v>No prior DNA history</v>
      </c>
      <c r="T1458" t="s">
        <v>46</v>
      </c>
      <c r="U1458" t="str">
        <f t="shared" si="22"/>
        <v>1</v>
      </c>
      <c r="V1458" t="str">
        <f>IF(Table1[appointment_status]="Attended","1","0")</f>
        <v>0</v>
      </c>
      <c r="W1458" t="str">
        <f>IF(Table1[appointment_status]="Cancelled","1","0")</f>
        <v>1</v>
      </c>
    </row>
    <row r="1459" spans="1:23">
      <c r="A1459" t="s">
        <v>2462</v>
      </c>
      <c r="B1459" t="s">
        <v>2463</v>
      </c>
      <c r="C1459">
        <v>69</v>
      </c>
      <c r="D1459" t="str" cm="1">
        <f t="array" ref="D1459">_xlfn.IFS(Table1[[#This Row],[age]]&lt;=17,"0-17",C1459&lt;=29,"18-29",C1459&lt;=44,"30-44",C1459&lt;=59,"45-59",C1459&lt;=74,"60-74",TRUE,"75+")</f>
        <v>60-74</v>
      </c>
      <c r="E1459" t="s">
        <v>29</v>
      </c>
      <c r="F1459">
        <v>8</v>
      </c>
      <c r="G1459" t="str" cm="1">
        <f t="array" ref="G1459">_xlfn.IFS(_xlfn.SINGLE(Table1[imd_decile])&lt;=3,"Most Deprived",F1459&lt;=7,"Moderately Deprived",F1459&lt;=10,"Least Deprived")</f>
        <v>Least Deprived</v>
      </c>
      <c r="H1459">
        <v>15.7</v>
      </c>
      <c r="I1459" t="s">
        <v>49</v>
      </c>
      <c r="J1459" t="s">
        <v>26</v>
      </c>
      <c r="K1459" s="1">
        <v>45856</v>
      </c>
      <c r="L1459" s="1">
        <v>45873</v>
      </c>
      <c r="M1459" s="1" t="str">
        <f>TEXT(Table1[[#This Row],[appointment_date]],"MM/YYYY")</f>
        <v>08/2025</v>
      </c>
      <c r="N1459">
        <v>17</v>
      </c>
      <c r="O1459" t="str" cm="1">
        <f t="array" ref="O1459">_xlfn.IFS(Table1[[#This Row],[lead_time_days]]&lt;=7,"0-7 days",N1459&lt;=14,"8-14 days",N1459&lt;=30,"15-30 days",N1459&lt;=60,"31-60 days",TRUE,"61+ days")</f>
        <v>15-30 days</v>
      </c>
      <c r="P1459" t="s">
        <v>35</v>
      </c>
      <c r="Q1459" t="s">
        <v>21</v>
      </c>
      <c r="R1459">
        <v>0</v>
      </c>
      <c r="S1459" t="str">
        <f>IF(Table1[prior_dna_count]&gt;=1,"Has prior DNA history","No prior DNA history")</f>
        <v>No prior DNA history</v>
      </c>
      <c r="T1459" t="s">
        <v>22</v>
      </c>
      <c r="U1459" t="str">
        <f t="shared" si="22"/>
        <v>0</v>
      </c>
      <c r="V1459" t="str">
        <f>IF(Table1[appointment_status]="Attended","1","0")</f>
        <v>1</v>
      </c>
      <c r="W1459" t="str">
        <f>IF(Table1[appointment_status]="Cancelled","1","0")</f>
        <v>0</v>
      </c>
    </row>
    <row r="1460" spans="1:23">
      <c r="A1460" t="s">
        <v>2464</v>
      </c>
      <c r="B1460" t="s">
        <v>2465</v>
      </c>
      <c r="C1460">
        <v>21</v>
      </c>
      <c r="D1460" t="str" cm="1">
        <f t="array" ref="D1460">_xlfn.IFS(Table1[[#This Row],[age]]&lt;=17,"0-17",C1460&lt;=29,"18-29",C1460&lt;=44,"30-44",C1460&lt;=59,"45-59",C1460&lt;=74,"60-74",TRUE,"75+")</f>
        <v>18-29</v>
      </c>
      <c r="E1460" t="s">
        <v>29</v>
      </c>
      <c r="F1460">
        <v>5</v>
      </c>
      <c r="G1460" t="str" cm="1">
        <f t="array" ref="G1460">_xlfn.IFS(_xlfn.SINGLE(Table1[imd_decile])&lt;=3,"Most Deprived",F1460&lt;=7,"Moderately Deprived",F1460&lt;=10,"Least Deprived")</f>
        <v>Moderately Deprived</v>
      </c>
      <c r="H1460">
        <v>13.2</v>
      </c>
      <c r="I1460" t="s">
        <v>45</v>
      </c>
      <c r="J1460" t="s">
        <v>19</v>
      </c>
      <c r="K1460" s="1">
        <v>45848</v>
      </c>
      <c r="L1460" s="1">
        <v>45873</v>
      </c>
      <c r="M1460" s="1" t="str">
        <f>TEXT(Table1[[#This Row],[appointment_date]],"MM/YYYY")</f>
        <v>08/2025</v>
      </c>
      <c r="N1460">
        <v>25</v>
      </c>
      <c r="O1460" t="str" cm="1">
        <f t="array" ref="O1460">_xlfn.IFS(Table1[[#This Row],[lead_time_days]]&lt;=7,"0-7 days",N1460&lt;=14,"8-14 days",N1460&lt;=30,"15-30 days",N1460&lt;=60,"31-60 days",TRUE,"61+ days")</f>
        <v>15-30 days</v>
      </c>
      <c r="P1460" t="s">
        <v>35</v>
      </c>
      <c r="Q1460" t="s">
        <v>32</v>
      </c>
      <c r="R1460">
        <v>0</v>
      </c>
      <c r="S1460" t="str">
        <f>IF(Table1[prior_dna_count]&gt;=1,"Has prior DNA history","No prior DNA history")</f>
        <v>No prior DNA history</v>
      </c>
      <c r="T1460" t="s">
        <v>22</v>
      </c>
      <c r="U1460" t="str">
        <f t="shared" si="22"/>
        <v>1</v>
      </c>
      <c r="V1460" t="str">
        <f>IF(Table1[appointment_status]="Attended","1","0")</f>
        <v>1</v>
      </c>
      <c r="W1460" t="str">
        <f>IF(Table1[appointment_status]="Cancelled","1","0")</f>
        <v>0</v>
      </c>
    </row>
    <row r="1461" spans="1:23">
      <c r="A1461" t="s">
        <v>2466</v>
      </c>
      <c r="B1461" t="s">
        <v>2467</v>
      </c>
      <c r="C1461">
        <v>63</v>
      </c>
      <c r="D1461" t="str" cm="1">
        <f t="array" ref="D1461">_xlfn.IFS(Table1[[#This Row],[age]]&lt;=17,"0-17",C1461&lt;=29,"18-29",C1461&lt;=44,"30-44",C1461&lt;=59,"45-59",C1461&lt;=74,"60-74",TRUE,"75+")</f>
        <v>60-74</v>
      </c>
      <c r="E1461" t="s">
        <v>17</v>
      </c>
      <c r="F1461">
        <v>6</v>
      </c>
      <c r="G1461" t="str" cm="1">
        <f t="array" ref="G1461">_xlfn.IFS(_xlfn.SINGLE(Table1[imd_decile])&lt;=3,"Most Deprived",F1461&lt;=7,"Moderately Deprived",F1461&lt;=10,"Least Deprived")</f>
        <v>Moderately Deprived</v>
      </c>
      <c r="H1461">
        <v>17.899999999999999</v>
      </c>
      <c r="I1461" t="s">
        <v>155</v>
      </c>
      <c r="J1461" t="s">
        <v>26</v>
      </c>
      <c r="K1461" s="1">
        <v>45859</v>
      </c>
      <c r="L1461" s="1">
        <v>45873</v>
      </c>
      <c r="M1461" s="1" t="str">
        <f>TEXT(Table1[[#This Row],[appointment_date]],"MM/YYYY")</f>
        <v>08/2025</v>
      </c>
      <c r="N1461">
        <v>14</v>
      </c>
      <c r="O1461" t="str" cm="1">
        <f t="array" ref="O1461">_xlfn.IFS(Table1[[#This Row],[lead_time_days]]&lt;=7,"0-7 days",N1461&lt;=14,"8-14 days",N1461&lt;=30,"15-30 days",N1461&lt;=60,"31-60 days",TRUE,"61+ days")</f>
        <v>8-14 days</v>
      </c>
      <c r="P1461" t="s">
        <v>35</v>
      </c>
      <c r="Q1461" t="s">
        <v>32</v>
      </c>
      <c r="R1461">
        <v>0</v>
      </c>
      <c r="S1461" t="str">
        <f>IF(Table1[prior_dna_count]&gt;=1,"Has prior DNA history","No prior DNA history")</f>
        <v>No prior DNA history</v>
      </c>
      <c r="T1461" t="s">
        <v>22</v>
      </c>
      <c r="U1461" t="str">
        <f t="shared" si="22"/>
        <v>1</v>
      </c>
      <c r="V1461" t="str">
        <f>IF(Table1[appointment_status]="Attended","1","0")</f>
        <v>1</v>
      </c>
      <c r="W1461" t="str">
        <f>IF(Table1[appointment_status]="Cancelled","1","0")</f>
        <v>0</v>
      </c>
    </row>
    <row r="1462" spans="1:23">
      <c r="A1462" t="s">
        <v>2468</v>
      </c>
      <c r="B1462" t="s">
        <v>2469</v>
      </c>
      <c r="C1462">
        <v>62</v>
      </c>
      <c r="D1462" t="str" cm="1">
        <f t="array" ref="D1462">_xlfn.IFS(Table1[[#This Row],[age]]&lt;=17,"0-17",C1462&lt;=29,"18-29",C1462&lt;=44,"30-44",C1462&lt;=59,"45-59",C1462&lt;=74,"60-74",TRUE,"75+")</f>
        <v>60-74</v>
      </c>
      <c r="E1462" t="s">
        <v>17</v>
      </c>
      <c r="F1462">
        <v>3</v>
      </c>
      <c r="G1462" t="str" cm="1">
        <f t="array" ref="G1462">_xlfn.IFS(_xlfn.SINGLE(Table1[imd_decile])&lt;=3,"Most Deprived",F1462&lt;=7,"Moderately Deprived",F1462&lt;=10,"Least Deprived")</f>
        <v>Most Deprived</v>
      </c>
      <c r="H1462">
        <v>2.2999999999999998</v>
      </c>
      <c r="I1462" t="s">
        <v>45</v>
      </c>
      <c r="J1462" t="s">
        <v>19</v>
      </c>
      <c r="K1462" s="1">
        <v>45759</v>
      </c>
      <c r="L1462" s="1">
        <v>45873</v>
      </c>
      <c r="M1462" s="1" t="str">
        <f>TEXT(Table1[[#This Row],[appointment_date]],"MM/YYYY")</f>
        <v>08/2025</v>
      </c>
      <c r="N1462">
        <v>114</v>
      </c>
      <c r="O1462" t="str" cm="1">
        <f t="array" ref="O1462">_xlfn.IFS(Table1[[#This Row],[lead_time_days]]&lt;=7,"0-7 days",N1462&lt;=14,"8-14 days",N1462&lt;=30,"15-30 days",N1462&lt;=60,"31-60 days",TRUE,"61+ days")</f>
        <v>61+ days</v>
      </c>
      <c r="P1462" t="s">
        <v>35</v>
      </c>
      <c r="Q1462" t="s">
        <v>21</v>
      </c>
      <c r="R1462">
        <v>0</v>
      </c>
      <c r="S1462" t="str">
        <f>IF(Table1[prior_dna_count]&gt;=1,"Has prior DNA history","No prior DNA history")</f>
        <v>No prior DNA history</v>
      </c>
      <c r="T1462" t="s">
        <v>39</v>
      </c>
      <c r="U1462" t="str">
        <f t="shared" si="22"/>
        <v>1</v>
      </c>
      <c r="V1462" t="str">
        <f>IF(Table1[appointment_status]="Attended","1","0")</f>
        <v>0</v>
      </c>
      <c r="W1462" t="str">
        <f>IF(Table1[appointment_status]="Cancelled","1","0")</f>
        <v>0</v>
      </c>
    </row>
    <row r="1463" spans="1:23">
      <c r="A1463" t="s">
        <v>2470</v>
      </c>
      <c r="B1463" t="s">
        <v>1775</v>
      </c>
      <c r="C1463">
        <v>65</v>
      </c>
      <c r="D1463" t="str" cm="1">
        <f t="array" ref="D1463">_xlfn.IFS(Table1[[#This Row],[age]]&lt;=17,"0-17",C1463&lt;=29,"18-29",C1463&lt;=44,"30-44",C1463&lt;=59,"45-59",C1463&lt;=74,"60-74",TRUE,"75+")</f>
        <v>60-74</v>
      </c>
      <c r="E1463" t="s">
        <v>17</v>
      </c>
      <c r="F1463">
        <v>4</v>
      </c>
      <c r="G1463" t="str" cm="1">
        <f t="array" ref="G1463">_xlfn.IFS(_xlfn.SINGLE(Table1[imd_decile])&lt;=3,"Most Deprived",F1463&lt;=7,"Moderately Deprived",F1463&lt;=10,"Least Deprived")</f>
        <v>Moderately Deprived</v>
      </c>
      <c r="H1463">
        <v>6.6</v>
      </c>
      <c r="I1463" t="s">
        <v>42</v>
      </c>
      <c r="J1463" t="s">
        <v>19</v>
      </c>
      <c r="K1463" s="1">
        <v>45841</v>
      </c>
      <c r="L1463" s="1">
        <v>45873</v>
      </c>
      <c r="M1463" s="1" t="str">
        <f>TEXT(Table1[[#This Row],[appointment_date]],"MM/YYYY")</f>
        <v>08/2025</v>
      </c>
      <c r="N1463">
        <v>32</v>
      </c>
      <c r="O1463" t="str" cm="1">
        <f t="array" ref="O1463">_xlfn.IFS(Table1[[#This Row],[lead_time_days]]&lt;=7,"0-7 days",N1463&lt;=14,"8-14 days",N1463&lt;=30,"15-30 days",N1463&lt;=60,"31-60 days",TRUE,"61+ days")</f>
        <v>31-60 days</v>
      </c>
      <c r="P1463" t="s">
        <v>35</v>
      </c>
      <c r="Q1463" t="s">
        <v>32</v>
      </c>
      <c r="R1463">
        <v>0</v>
      </c>
      <c r="S1463" t="str">
        <f>IF(Table1[prior_dna_count]&gt;=1,"Has prior DNA history","No prior DNA history")</f>
        <v>No prior DNA history</v>
      </c>
      <c r="T1463" t="s">
        <v>22</v>
      </c>
      <c r="U1463" t="str">
        <f t="shared" si="22"/>
        <v>0</v>
      </c>
      <c r="V1463" t="str">
        <f>IF(Table1[appointment_status]="Attended","1","0")</f>
        <v>1</v>
      </c>
      <c r="W1463" t="str">
        <f>IF(Table1[appointment_status]="Cancelled","1","0")</f>
        <v>0</v>
      </c>
    </row>
    <row r="1464" spans="1:23">
      <c r="A1464" t="s">
        <v>2471</v>
      </c>
      <c r="B1464" t="s">
        <v>1220</v>
      </c>
      <c r="C1464">
        <v>54</v>
      </c>
      <c r="D1464" t="str" cm="1">
        <f t="array" ref="D1464">_xlfn.IFS(Table1[[#This Row],[age]]&lt;=17,"0-17",C1464&lt;=29,"18-29",C1464&lt;=44,"30-44",C1464&lt;=59,"45-59",C1464&lt;=74,"60-74",TRUE,"75+")</f>
        <v>45-59</v>
      </c>
      <c r="E1464" t="s">
        <v>17</v>
      </c>
      <c r="F1464">
        <v>9</v>
      </c>
      <c r="G1464" t="str" cm="1">
        <f t="array" ref="G1464">_xlfn.IFS(_xlfn.SINGLE(Table1[imd_decile])&lt;=3,"Most Deprived",F1464&lt;=7,"Moderately Deprived",F1464&lt;=10,"Least Deprived")</f>
        <v>Least Deprived</v>
      </c>
      <c r="H1464">
        <v>30.2</v>
      </c>
      <c r="I1464" t="s">
        <v>45</v>
      </c>
      <c r="J1464" t="s">
        <v>19</v>
      </c>
      <c r="K1464" s="1">
        <v>45820</v>
      </c>
      <c r="L1464" s="1">
        <v>45873</v>
      </c>
      <c r="M1464" s="1" t="str">
        <f>TEXT(Table1[[#This Row],[appointment_date]],"MM/YYYY")</f>
        <v>08/2025</v>
      </c>
      <c r="N1464">
        <v>53</v>
      </c>
      <c r="O1464" t="str" cm="1">
        <f t="array" ref="O1464">_xlfn.IFS(Table1[[#This Row],[lead_time_days]]&lt;=7,"0-7 days",N1464&lt;=14,"8-14 days",N1464&lt;=30,"15-30 days",N1464&lt;=60,"31-60 days",TRUE,"61+ days")</f>
        <v>31-60 days</v>
      </c>
      <c r="P1464" t="s">
        <v>35</v>
      </c>
      <c r="Q1464" t="s">
        <v>21</v>
      </c>
      <c r="R1464">
        <v>0</v>
      </c>
      <c r="S1464" t="str">
        <f>IF(Table1[prior_dna_count]&gt;=1,"Has prior DNA history","No prior DNA history")</f>
        <v>No prior DNA history</v>
      </c>
      <c r="T1464" t="s">
        <v>46</v>
      </c>
      <c r="U1464" t="str">
        <f t="shared" si="22"/>
        <v>1</v>
      </c>
      <c r="V1464" t="str">
        <f>IF(Table1[appointment_status]="Attended","1","0")</f>
        <v>0</v>
      </c>
      <c r="W1464" t="str">
        <f>IF(Table1[appointment_status]="Cancelled","1","0")</f>
        <v>1</v>
      </c>
    </row>
    <row r="1465" spans="1:23">
      <c r="A1465" t="s">
        <v>2472</v>
      </c>
      <c r="B1465" t="s">
        <v>2473</v>
      </c>
      <c r="C1465">
        <v>55</v>
      </c>
      <c r="D1465" t="str" cm="1">
        <f t="array" ref="D1465">_xlfn.IFS(Table1[[#This Row],[age]]&lt;=17,"0-17",C1465&lt;=29,"18-29",C1465&lt;=44,"30-44",C1465&lt;=59,"45-59",C1465&lt;=74,"60-74",TRUE,"75+")</f>
        <v>45-59</v>
      </c>
      <c r="E1465" t="s">
        <v>29</v>
      </c>
      <c r="F1465">
        <v>7</v>
      </c>
      <c r="G1465" t="str" cm="1">
        <f t="array" ref="G1465">_xlfn.IFS(_xlfn.SINGLE(Table1[imd_decile])&lt;=3,"Most Deprived",F1465&lt;=7,"Moderately Deprived",F1465&lt;=10,"Least Deprived")</f>
        <v>Moderately Deprived</v>
      </c>
      <c r="H1465">
        <v>7.2</v>
      </c>
      <c r="I1465" t="s">
        <v>25</v>
      </c>
      <c r="J1465" t="s">
        <v>19</v>
      </c>
      <c r="K1465" s="1">
        <v>45831</v>
      </c>
      <c r="L1465" s="1">
        <v>45873</v>
      </c>
      <c r="M1465" s="1" t="str">
        <f>TEXT(Table1[[#This Row],[appointment_date]],"MM/YYYY")</f>
        <v>08/2025</v>
      </c>
      <c r="N1465">
        <v>42</v>
      </c>
      <c r="O1465" t="str" cm="1">
        <f t="array" ref="O1465">_xlfn.IFS(Table1[[#This Row],[lead_time_days]]&lt;=7,"0-7 days",N1465&lt;=14,"8-14 days",N1465&lt;=30,"15-30 days",N1465&lt;=60,"31-60 days",TRUE,"61+ days")</f>
        <v>31-60 days</v>
      </c>
      <c r="P1465" t="s">
        <v>35</v>
      </c>
      <c r="Q1465" t="s">
        <v>21</v>
      </c>
      <c r="R1465">
        <v>0</v>
      </c>
      <c r="S1465" t="str">
        <f>IF(Table1[prior_dna_count]&gt;=1,"Has prior DNA history","No prior DNA history")</f>
        <v>No prior DNA history</v>
      </c>
      <c r="T1465" t="s">
        <v>22</v>
      </c>
      <c r="U1465" t="str">
        <f t="shared" si="22"/>
        <v>0</v>
      </c>
      <c r="V1465" t="str">
        <f>IF(Table1[appointment_status]="Attended","1","0")</f>
        <v>1</v>
      </c>
      <c r="W1465" t="str">
        <f>IF(Table1[appointment_status]="Cancelled","1","0")</f>
        <v>0</v>
      </c>
    </row>
    <row r="1466" spans="1:23">
      <c r="A1466" t="s">
        <v>2474</v>
      </c>
      <c r="B1466" t="s">
        <v>2475</v>
      </c>
      <c r="C1466">
        <v>68</v>
      </c>
      <c r="D1466" t="str" cm="1">
        <f t="array" ref="D1466">_xlfn.IFS(Table1[[#This Row],[age]]&lt;=17,"0-17",C1466&lt;=29,"18-29",C1466&lt;=44,"30-44",C1466&lt;=59,"45-59",C1466&lt;=74,"60-74",TRUE,"75+")</f>
        <v>60-74</v>
      </c>
      <c r="E1466" t="s">
        <v>29</v>
      </c>
      <c r="F1466">
        <v>1</v>
      </c>
      <c r="G1466" t="str" cm="1">
        <f t="array" ref="G1466">_xlfn.IFS(_xlfn.SINGLE(Table1[imd_decile])&lt;=3,"Most Deprived",F1466&lt;=7,"Moderately Deprived",F1466&lt;=10,"Least Deprived")</f>
        <v>Most Deprived</v>
      </c>
      <c r="H1466">
        <v>4</v>
      </c>
      <c r="I1466" t="s">
        <v>45</v>
      </c>
      <c r="J1466" t="s">
        <v>19</v>
      </c>
      <c r="K1466" s="1">
        <v>45847</v>
      </c>
      <c r="L1466" s="1">
        <v>45874</v>
      </c>
      <c r="M1466" s="1" t="str">
        <f>TEXT(Table1[[#This Row],[appointment_date]],"MM/YYYY")</f>
        <v>08/2025</v>
      </c>
      <c r="N1466">
        <v>27</v>
      </c>
      <c r="O1466" t="str" cm="1">
        <f t="array" ref="O1466">_xlfn.IFS(Table1[[#This Row],[lead_time_days]]&lt;=7,"0-7 days",N1466&lt;=14,"8-14 days",N1466&lt;=30,"15-30 days",N1466&lt;=60,"31-60 days",TRUE,"61+ days")</f>
        <v>15-30 days</v>
      </c>
      <c r="P1466" t="s">
        <v>71</v>
      </c>
      <c r="Q1466" t="s">
        <v>32</v>
      </c>
      <c r="R1466">
        <v>0</v>
      </c>
      <c r="S1466" t="str">
        <f>IF(Table1[prior_dna_count]&gt;=1,"Has prior DNA history","No prior DNA history")</f>
        <v>No prior DNA history</v>
      </c>
      <c r="T1466" t="s">
        <v>22</v>
      </c>
      <c r="U1466" t="str">
        <f t="shared" si="22"/>
        <v>1</v>
      </c>
      <c r="V1466" t="str">
        <f>IF(Table1[appointment_status]="Attended","1","0")</f>
        <v>1</v>
      </c>
      <c r="W1466" t="str">
        <f>IF(Table1[appointment_status]="Cancelled","1","0")</f>
        <v>0</v>
      </c>
    </row>
    <row r="1467" spans="1:23">
      <c r="A1467" t="s">
        <v>2476</v>
      </c>
      <c r="B1467" t="s">
        <v>2477</v>
      </c>
      <c r="C1467">
        <v>44</v>
      </c>
      <c r="D1467" t="str" cm="1">
        <f t="array" ref="D1467">_xlfn.IFS(Table1[[#This Row],[age]]&lt;=17,"0-17",C1467&lt;=29,"18-29",C1467&lt;=44,"30-44",C1467&lt;=59,"45-59",C1467&lt;=74,"60-74",TRUE,"75+")</f>
        <v>30-44</v>
      </c>
      <c r="E1467" t="s">
        <v>29</v>
      </c>
      <c r="F1467">
        <v>2</v>
      </c>
      <c r="G1467" t="str" cm="1">
        <f t="array" ref="G1467">_xlfn.IFS(_xlfn.SINGLE(Table1[imd_decile])&lt;=3,"Most Deprived",F1467&lt;=7,"Moderately Deprived",F1467&lt;=10,"Least Deprived")</f>
        <v>Most Deprived</v>
      </c>
      <c r="H1467">
        <v>4.9000000000000004</v>
      </c>
      <c r="I1467" t="s">
        <v>49</v>
      </c>
      <c r="J1467" t="s">
        <v>19</v>
      </c>
      <c r="K1467" s="1">
        <v>45859</v>
      </c>
      <c r="L1467" s="1">
        <v>45874</v>
      </c>
      <c r="M1467" s="1" t="str">
        <f>TEXT(Table1[[#This Row],[appointment_date]],"MM/YYYY")</f>
        <v>08/2025</v>
      </c>
      <c r="N1467">
        <v>15</v>
      </c>
      <c r="O1467" t="str" cm="1">
        <f t="array" ref="O1467">_xlfn.IFS(Table1[[#This Row],[lead_time_days]]&lt;=7,"0-7 days",N1467&lt;=14,"8-14 days",N1467&lt;=30,"15-30 days",N1467&lt;=60,"31-60 days",TRUE,"61+ days")</f>
        <v>15-30 days</v>
      </c>
      <c r="P1467" t="s">
        <v>71</v>
      </c>
      <c r="Q1467" t="s">
        <v>21</v>
      </c>
      <c r="R1467">
        <v>0</v>
      </c>
      <c r="S1467" t="str">
        <f>IF(Table1[prior_dna_count]&gt;=1,"Has prior DNA history","No prior DNA history")</f>
        <v>No prior DNA history</v>
      </c>
      <c r="T1467" t="s">
        <v>22</v>
      </c>
      <c r="U1467" t="str">
        <f t="shared" si="22"/>
        <v>1</v>
      </c>
      <c r="V1467" t="str">
        <f>IF(Table1[appointment_status]="Attended","1","0")</f>
        <v>1</v>
      </c>
      <c r="W1467" t="str">
        <f>IF(Table1[appointment_status]="Cancelled","1","0")</f>
        <v>0</v>
      </c>
    </row>
    <row r="1468" spans="1:23">
      <c r="A1468" t="s">
        <v>2478</v>
      </c>
      <c r="B1468" t="s">
        <v>2302</v>
      </c>
      <c r="C1468">
        <v>40</v>
      </c>
      <c r="D1468" t="str" cm="1">
        <f t="array" ref="D1468">_xlfn.IFS(Table1[[#This Row],[age]]&lt;=17,"0-17",C1468&lt;=29,"18-29",C1468&lt;=44,"30-44",C1468&lt;=59,"45-59",C1468&lt;=74,"60-74",TRUE,"75+")</f>
        <v>30-44</v>
      </c>
      <c r="E1468" t="s">
        <v>29</v>
      </c>
      <c r="F1468">
        <v>4</v>
      </c>
      <c r="G1468" t="str" cm="1">
        <f t="array" ref="G1468">_xlfn.IFS(_xlfn.SINGLE(Table1[imd_decile])&lt;=3,"Most Deprived",F1468&lt;=7,"Moderately Deprived",F1468&lt;=10,"Least Deprived")</f>
        <v>Moderately Deprived</v>
      </c>
      <c r="H1468">
        <v>13.3</v>
      </c>
      <c r="I1468" t="s">
        <v>42</v>
      </c>
      <c r="J1468" t="s">
        <v>19</v>
      </c>
      <c r="K1468" s="1">
        <v>45834</v>
      </c>
      <c r="L1468" s="1">
        <v>45874</v>
      </c>
      <c r="M1468" s="1" t="str">
        <f>TEXT(Table1[[#This Row],[appointment_date]],"MM/YYYY")</f>
        <v>08/2025</v>
      </c>
      <c r="N1468">
        <v>40</v>
      </c>
      <c r="O1468" t="str" cm="1">
        <f t="array" ref="O1468">_xlfn.IFS(Table1[[#This Row],[lead_time_days]]&lt;=7,"0-7 days",N1468&lt;=14,"8-14 days",N1468&lt;=30,"15-30 days",N1468&lt;=60,"31-60 days",TRUE,"61+ days")</f>
        <v>31-60 days</v>
      </c>
      <c r="P1468" t="s">
        <v>71</v>
      </c>
      <c r="Q1468" t="s">
        <v>21</v>
      </c>
      <c r="R1468">
        <v>0</v>
      </c>
      <c r="S1468" t="str">
        <f>IF(Table1[prior_dna_count]&gt;=1,"Has prior DNA history","No prior DNA history")</f>
        <v>No prior DNA history</v>
      </c>
      <c r="T1468" t="s">
        <v>22</v>
      </c>
      <c r="U1468" t="str">
        <f t="shared" si="22"/>
        <v>1</v>
      </c>
      <c r="V1468" t="str">
        <f>IF(Table1[appointment_status]="Attended","1","0")</f>
        <v>1</v>
      </c>
      <c r="W1468" t="str">
        <f>IF(Table1[appointment_status]="Cancelled","1","0")</f>
        <v>0</v>
      </c>
    </row>
    <row r="1469" spans="1:23">
      <c r="A1469" t="s">
        <v>2479</v>
      </c>
      <c r="B1469" t="s">
        <v>1752</v>
      </c>
      <c r="C1469">
        <v>44</v>
      </c>
      <c r="D1469" t="str" cm="1">
        <f t="array" ref="D1469">_xlfn.IFS(Table1[[#This Row],[age]]&lt;=17,"0-17",C1469&lt;=29,"18-29",C1469&lt;=44,"30-44",C1469&lt;=59,"45-59",C1469&lt;=74,"60-74",TRUE,"75+")</f>
        <v>30-44</v>
      </c>
      <c r="E1469" t="s">
        <v>17</v>
      </c>
      <c r="F1469">
        <v>3</v>
      </c>
      <c r="G1469" t="str" cm="1">
        <f t="array" ref="G1469">_xlfn.IFS(_xlfn.SINGLE(Table1[imd_decile])&lt;=3,"Most Deprived",F1469&lt;=7,"Moderately Deprived",F1469&lt;=10,"Least Deprived")</f>
        <v>Most Deprived</v>
      </c>
      <c r="H1469">
        <v>7.1</v>
      </c>
      <c r="I1469" t="s">
        <v>91</v>
      </c>
      <c r="J1469" t="s">
        <v>26</v>
      </c>
      <c r="K1469" s="1">
        <v>45855</v>
      </c>
      <c r="L1469" s="1">
        <v>45874</v>
      </c>
      <c r="M1469" s="1" t="str">
        <f>TEXT(Table1[[#This Row],[appointment_date]],"MM/YYYY")</f>
        <v>08/2025</v>
      </c>
      <c r="N1469">
        <v>19</v>
      </c>
      <c r="O1469" t="str" cm="1">
        <f t="array" ref="O1469">_xlfn.IFS(Table1[[#This Row],[lead_time_days]]&lt;=7,"0-7 days",N1469&lt;=14,"8-14 days",N1469&lt;=30,"15-30 days",N1469&lt;=60,"31-60 days",TRUE,"61+ days")</f>
        <v>15-30 days</v>
      </c>
      <c r="P1469" t="s">
        <v>71</v>
      </c>
      <c r="Q1469" t="s">
        <v>32</v>
      </c>
      <c r="R1469">
        <v>0</v>
      </c>
      <c r="S1469" t="str">
        <f>IF(Table1[prior_dna_count]&gt;=1,"Has prior DNA history","No prior DNA history")</f>
        <v>No prior DNA history</v>
      </c>
      <c r="T1469" t="s">
        <v>22</v>
      </c>
      <c r="U1469" t="str">
        <f t="shared" si="22"/>
        <v>1</v>
      </c>
      <c r="V1469" t="str">
        <f>IF(Table1[appointment_status]="Attended","1","0")</f>
        <v>1</v>
      </c>
      <c r="W1469" t="str">
        <f>IF(Table1[appointment_status]="Cancelled","1","0")</f>
        <v>0</v>
      </c>
    </row>
    <row r="1470" spans="1:23">
      <c r="A1470" t="s">
        <v>2480</v>
      </c>
      <c r="B1470" t="s">
        <v>1529</v>
      </c>
      <c r="C1470">
        <v>1</v>
      </c>
      <c r="D1470" t="str" cm="1">
        <f t="array" ref="D1470">_xlfn.IFS(Table1[[#This Row],[age]]&lt;=17,"0-17",C1470&lt;=29,"18-29",C1470&lt;=44,"30-44",C1470&lt;=59,"45-59",C1470&lt;=74,"60-74",TRUE,"75+")</f>
        <v>0-17</v>
      </c>
      <c r="E1470" t="s">
        <v>29</v>
      </c>
      <c r="F1470">
        <v>2</v>
      </c>
      <c r="G1470" t="str" cm="1">
        <f t="array" ref="G1470">_xlfn.IFS(_xlfn.SINGLE(Table1[imd_decile])&lt;=3,"Most Deprived",F1470&lt;=7,"Moderately Deprived",F1470&lt;=10,"Least Deprived")</f>
        <v>Most Deprived</v>
      </c>
      <c r="H1470">
        <v>4.2</v>
      </c>
      <c r="I1470" t="s">
        <v>42</v>
      </c>
      <c r="J1470" t="s">
        <v>26</v>
      </c>
      <c r="K1470" s="1">
        <v>45811</v>
      </c>
      <c r="L1470" s="1">
        <v>45874</v>
      </c>
      <c r="M1470" s="1" t="str">
        <f>TEXT(Table1[[#This Row],[appointment_date]],"MM/YYYY")</f>
        <v>08/2025</v>
      </c>
      <c r="N1470">
        <v>63</v>
      </c>
      <c r="O1470" t="str" cm="1">
        <f t="array" ref="O1470">_xlfn.IFS(Table1[[#This Row],[lead_time_days]]&lt;=7,"0-7 days",N1470&lt;=14,"8-14 days",N1470&lt;=30,"15-30 days",N1470&lt;=60,"31-60 days",TRUE,"61+ days")</f>
        <v>61+ days</v>
      </c>
      <c r="P1470" t="s">
        <v>71</v>
      </c>
      <c r="Q1470" t="s">
        <v>21</v>
      </c>
      <c r="R1470">
        <v>0</v>
      </c>
      <c r="S1470" t="str">
        <f>IF(Table1[prior_dna_count]&gt;=1,"Has prior DNA history","No prior DNA history")</f>
        <v>No prior DNA history</v>
      </c>
      <c r="T1470" t="s">
        <v>22</v>
      </c>
      <c r="U1470" t="str">
        <f t="shared" si="22"/>
        <v>1</v>
      </c>
      <c r="V1470" t="str">
        <f>IF(Table1[appointment_status]="Attended","1","0")</f>
        <v>1</v>
      </c>
      <c r="W1470" t="str">
        <f>IF(Table1[appointment_status]="Cancelled","1","0")</f>
        <v>0</v>
      </c>
    </row>
    <row r="1471" spans="1:23">
      <c r="A1471" t="s">
        <v>2481</v>
      </c>
      <c r="B1471" t="s">
        <v>2482</v>
      </c>
      <c r="C1471">
        <v>29</v>
      </c>
      <c r="D1471" t="str" cm="1">
        <f t="array" ref="D1471">_xlfn.IFS(Table1[[#This Row],[age]]&lt;=17,"0-17",C1471&lt;=29,"18-29",C1471&lt;=44,"30-44",C1471&lt;=59,"45-59",C1471&lt;=74,"60-74",TRUE,"75+")</f>
        <v>18-29</v>
      </c>
      <c r="E1471" t="s">
        <v>17</v>
      </c>
      <c r="F1471">
        <v>8</v>
      </c>
      <c r="G1471" t="str" cm="1">
        <f t="array" ref="G1471">_xlfn.IFS(_xlfn.SINGLE(Table1[imd_decile])&lt;=3,"Most Deprived",F1471&lt;=7,"Moderately Deprived",F1471&lt;=10,"Least Deprived")</f>
        <v>Least Deprived</v>
      </c>
      <c r="H1471">
        <v>5.4</v>
      </c>
      <c r="I1471" t="s">
        <v>25</v>
      </c>
      <c r="J1471" t="s">
        <v>26</v>
      </c>
      <c r="K1471" s="1">
        <v>45837</v>
      </c>
      <c r="L1471" s="1">
        <v>45874</v>
      </c>
      <c r="M1471" s="1" t="str">
        <f>TEXT(Table1[[#This Row],[appointment_date]],"MM/YYYY")</f>
        <v>08/2025</v>
      </c>
      <c r="N1471">
        <v>37</v>
      </c>
      <c r="O1471" t="str" cm="1">
        <f t="array" ref="O1471">_xlfn.IFS(Table1[[#This Row],[lead_time_days]]&lt;=7,"0-7 days",N1471&lt;=14,"8-14 days",N1471&lt;=30,"15-30 days",N1471&lt;=60,"31-60 days",TRUE,"61+ days")</f>
        <v>31-60 days</v>
      </c>
      <c r="P1471" t="s">
        <v>71</v>
      </c>
      <c r="Q1471" t="s">
        <v>32</v>
      </c>
      <c r="R1471">
        <v>0</v>
      </c>
      <c r="S1471" t="str">
        <f>IF(Table1[prior_dna_count]&gt;=1,"Has prior DNA history","No prior DNA history")</f>
        <v>No prior DNA history</v>
      </c>
      <c r="T1471" t="s">
        <v>39</v>
      </c>
      <c r="U1471" t="str">
        <f t="shared" si="22"/>
        <v>1</v>
      </c>
      <c r="V1471" t="str">
        <f>IF(Table1[appointment_status]="Attended","1","0")</f>
        <v>0</v>
      </c>
      <c r="W1471" t="str">
        <f>IF(Table1[appointment_status]="Cancelled","1","0")</f>
        <v>0</v>
      </c>
    </row>
    <row r="1472" spans="1:23">
      <c r="A1472" t="s">
        <v>2483</v>
      </c>
      <c r="B1472" t="s">
        <v>255</v>
      </c>
      <c r="C1472">
        <v>50</v>
      </c>
      <c r="D1472" t="str" cm="1">
        <f t="array" ref="D1472">_xlfn.IFS(Table1[[#This Row],[age]]&lt;=17,"0-17",C1472&lt;=29,"18-29",C1472&lt;=44,"30-44",C1472&lt;=59,"45-59",C1472&lt;=74,"60-74",TRUE,"75+")</f>
        <v>45-59</v>
      </c>
      <c r="E1472" t="s">
        <v>17</v>
      </c>
      <c r="F1472">
        <v>7</v>
      </c>
      <c r="G1472" t="str" cm="1">
        <f t="array" ref="G1472">_xlfn.IFS(_xlfn.SINGLE(Table1[imd_decile])&lt;=3,"Most Deprived",F1472&lt;=7,"Moderately Deprived",F1472&lt;=10,"Least Deprived")</f>
        <v>Moderately Deprived</v>
      </c>
      <c r="H1472">
        <v>5.5</v>
      </c>
      <c r="I1472" t="s">
        <v>42</v>
      </c>
      <c r="J1472" t="s">
        <v>19</v>
      </c>
      <c r="K1472" s="1">
        <v>45837</v>
      </c>
      <c r="L1472" s="1">
        <v>45874</v>
      </c>
      <c r="M1472" s="1" t="str">
        <f>TEXT(Table1[[#This Row],[appointment_date]],"MM/YYYY")</f>
        <v>08/2025</v>
      </c>
      <c r="N1472">
        <v>37</v>
      </c>
      <c r="O1472" t="str" cm="1">
        <f t="array" ref="O1472">_xlfn.IFS(Table1[[#This Row],[lead_time_days]]&lt;=7,"0-7 days",N1472&lt;=14,"8-14 days",N1472&lt;=30,"15-30 days",N1472&lt;=60,"31-60 days",TRUE,"61+ days")</f>
        <v>31-60 days</v>
      </c>
      <c r="P1472" t="s">
        <v>71</v>
      </c>
      <c r="Q1472" t="s">
        <v>21</v>
      </c>
      <c r="R1472">
        <v>0</v>
      </c>
      <c r="S1472" t="str">
        <f>IF(Table1[prior_dna_count]&gt;=1,"Has prior DNA history","No prior DNA history")</f>
        <v>No prior DNA history</v>
      </c>
      <c r="T1472" t="s">
        <v>22</v>
      </c>
      <c r="U1472" t="str">
        <f t="shared" si="22"/>
        <v>0</v>
      </c>
      <c r="V1472" t="str">
        <f>IF(Table1[appointment_status]="Attended","1","0")</f>
        <v>1</v>
      </c>
      <c r="W1472" t="str">
        <f>IF(Table1[appointment_status]="Cancelled","1","0")</f>
        <v>0</v>
      </c>
    </row>
    <row r="1473" spans="1:23">
      <c r="A1473" t="s">
        <v>2484</v>
      </c>
      <c r="B1473" t="s">
        <v>2485</v>
      </c>
      <c r="C1473">
        <v>49</v>
      </c>
      <c r="D1473" t="str" cm="1">
        <f t="array" ref="D1473">_xlfn.IFS(Table1[[#This Row],[age]]&lt;=17,"0-17",C1473&lt;=29,"18-29",C1473&lt;=44,"30-44",C1473&lt;=59,"45-59",C1473&lt;=74,"60-74",TRUE,"75+")</f>
        <v>45-59</v>
      </c>
      <c r="E1473" t="s">
        <v>29</v>
      </c>
      <c r="F1473">
        <v>3</v>
      </c>
      <c r="G1473" t="str" cm="1">
        <f t="array" ref="G1473">_xlfn.IFS(_xlfn.SINGLE(Table1[imd_decile])&lt;=3,"Most Deprived",F1473&lt;=7,"Moderately Deprived",F1473&lt;=10,"Least Deprived")</f>
        <v>Most Deprived</v>
      </c>
      <c r="H1473">
        <v>10.3</v>
      </c>
      <c r="I1473" t="s">
        <v>18</v>
      </c>
      <c r="J1473" t="s">
        <v>26</v>
      </c>
      <c r="K1473" s="1">
        <v>45847</v>
      </c>
      <c r="L1473" s="1">
        <v>45874</v>
      </c>
      <c r="M1473" s="1" t="str">
        <f>TEXT(Table1[[#This Row],[appointment_date]],"MM/YYYY")</f>
        <v>08/2025</v>
      </c>
      <c r="N1473">
        <v>27</v>
      </c>
      <c r="O1473" t="str" cm="1">
        <f t="array" ref="O1473">_xlfn.IFS(Table1[[#This Row],[lead_time_days]]&lt;=7,"0-7 days",N1473&lt;=14,"8-14 days",N1473&lt;=30,"15-30 days",N1473&lt;=60,"31-60 days",TRUE,"61+ days")</f>
        <v>15-30 days</v>
      </c>
      <c r="P1473" t="s">
        <v>71</v>
      </c>
      <c r="Q1473" t="s">
        <v>21</v>
      </c>
      <c r="R1473">
        <v>0</v>
      </c>
      <c r="S1473" t="str">
        <f>IF(Table1[prior_dna_count]&gt;=1,"Has prior DNA history","No prior DNA history")</f>
        <v>No prior DNA history</v>
      </c>
      <c r="T1473" t="s">
        <v>22</v>
      </c>
      <c r="U1473" t="str">
        <f t="shared" si="22"/>
        <v>1</v>
      </c>
      <c r="V1473" t="str">
        <f>IF(Table1[appointment_status]="Attended","1","0")</f>
        <v>1</v>
      </c>
      <c r="W1473" t="str">
        <f>IF(Table1[appointment_status]="Cancelled","1","0")</f>
        <v>0</v>
      </c>
    </row>
    <row r="1474" spans="1:23">
      <c r="A1474" t="s">
        <v>2486</v>
      </c>
      <c r="B1474" t="s">
        <v>504</v>
      </c>
      <c r="C1474">
        <v>86</v>
      </c>
      <c r="D1474" t="str" cm="1">
        <f t="array" ref="D1474">_xlfn.IFS(Table1[[#This Row],[age]]&lt;=17,"0-17",C1474&lt;=29,"18-29",C1474&lt;=44,"30-44",C1474&lt;=59,"45-59",C1474&lt;=74,"60-74",TRUE,"75+")</f>
        <v>75+</v>
      </c>
      <c r="E1474" t="s">
        <v>17</v>
      </c>
      <c r="F1474">
        <v>4</v>
      </c>
      <c r="G1474" t="str" cm="1">
        <f t="array" ref="G1474">_xlfn.IFS(_xlfn.SINGLE(Table1[imd_decile])&lt;=3,"Most Deprived",F1474&lt;=7,"Moderately Deprived",F1474&lt;=10,"Least Deprived")</f>
        <v>Moderately Deprived</v>
      </c>
      <c r="H1474">
        <v>4.0999999999999996</v>
      </c>
      <c r="I1474" t="s">
        <v>91</v>
      </c>
      <c r="J1474" t="s">
        <v>26</v>
      </c>
      <c r="K1474" s="1">
        <v>45860</v>
      </c>
      <c r="L1474" s="1">
        <v>45874</v>
      </c>
      <c r="M1474" s="1" t="str">
        <f>TEXT(Table1[[#This Row],[appointment_date]],"MM/YYYY")</f>
        <v>08/2025</v>
      </c>
      <c r="N1474">
        <v>14</v>
      </c>
      <c r="O1474" t="str" cm="1">
        <f t="array" ref="O1474">_xlfn.IFS(Table1[[#This Row],[lead_time_days]]&lt;=7,"0-7 days",N1474&lt;=14,"8-14 days",N1474&lt;=30,"15-30 days",N1474&lt;=60,"31-60 days",TRUE,"61+ days")</f>
        <v>8-14 days</v>
      </c>
      <c r="P1474" t="s">
        <v>71</v>
      </c>
      <c r="Q1474" t="s">
        <v>21</v>
      </c>
      <c r="R1474">
        <v>0</v>
      </c>
      <c r="S1474" t="str">
        <f>IF(Table1[prior_dna_count]&gt;=1,"Has prior DNA history","No prior DNA history")</f>
        <v>No prior DNA history</v>
      </c>
      <c r="T1474" t="s">
        <v>22</v>
      </c>
      <c r="U1474" t="str">
        <f t="shared" ref="U1474:U1537" si="23">V1473</f>
        <v>1</v>
      </c>
      <c r="V1474" t="str">
        <f>IF(Table1[appointment_status]="Attended","1","0")</f>
        <v>1</v>
      </c>
      <c r="W1474" t="str">
        <f>IF(Table1[appointment_status]="Cancelled","1","0")</f>
        <v>0</v>
      </c>
    </row>
    <row r="1475" spans="1:23">
      <c r="A1475" t="s">
        <v>2487</v>
      </c>
      <c r="B1475" t="s">
        <v>1323</v>
      </c>
      <c r="C1475">
        <v>46</v>
      </c>
      <c r="D1475" t="str" cm="1">
        <f t="array" ref="D1475">_xlfn.IFS(Table1[[#This Row],[age]]&lt;=17,"0-17",C1475&lt;=29,"18-29",C1475&lt;=44,"30-44",C1475&lt;=59,"45-59",C1475&lt;=74,"60-74",TRUE,"75+")</f>
        <v>45-59</v>
      </c>
      <c r="E1475" t="s">
        <v>29</v>
      </c>
      <c r="F1475">
        <v>2</v>
      </c>
      <c r="G1475" t="str" cm="1">
        <f t="array" ref="G1475">_xlfn.IFS(_xlfn.SINGLE(Table1[imd_decile])&lt;=3,"Most Deprived",F1475&lt;=7,"Moderately Deprived",F1475&lt;=10,"Least Deprived")</f>
        <v>Most Deprived</v>
      </c>
      <c r="H1475">
        <v>5.8</v>
      </c>
      <c r="I1475" t="s">
        <v>155</v>
      </c>
      <c r="J1475" t="s">
        <v>19</v>
      </c>
      <c r="K1475" s="1">
        <v>45837</v>
      </c>
      <c r="L1475" s="1">
        <v>45874</v>
      </c>
      <c r="M1475" s="1" t="str">
        <f>TEXT(Table1[[#This Row],[appointment_date]],"MM/YYYY")</f>
        <v>08/2025</v>
      </c>
      <c r="N1475">
        <v>37</v>
      </c>
      <c r="O1475" t="str" cm="1">
        <f t="array" ref="O1475">_xlfn.IFS(Table1[[#This Row],[lead_time_days]]&lt;=7,"0-7 days",N1475&lt;=14,"8-14 days",N1475&lt;=30,"15-30 days",N1475&lt;=60,"31-60 days",TRUE,"61+ days")</f>
        <v>31-60 days</v>
      </c>
      <c r="P1475" t="s">
        <v>71</v>
      </c>
      <c r="Q1475" t="s">
        <v>32</v>
      </c>
      <c r="R1475">
        <v>0</v>
      </c>
      <c r="S1475" t="str">
        <f>IF(Table1[prior_dna_count]&gt;=1,"Has prior DNA history","No prior DNA history")</f>
        <v>No prior DNA history</v>
      </c>
      <c r="T1475" t="s">
        <v>22</v>
      </c>
      <c r="U1475" t="str">
        <f t="shared" si="23"/>
        <v>1</v>
      </c>
      <c r="V1475" t="str">
        <f>IF(Table1[appointment_status]="Attended","1","0")</f>
        <v>1</v>
      </c>
      <c r="W1475" t="str">
        <f>IF(Table1[appointment_status]="Cancelled","1","0")</f>
        <v>0</v>
      </c>
    </row>
    <row r="1476" spans="1:23">
      <c r="A1476" t="s">
        <v>2488</v>
      </c>
      <c r="B1476" t="s">
        <v>282</v>
      </c>
      <c r="C1476">
        <v>52</v>
      </c>
      <c r="D1476" t="str" cm="1">
        <f t="array" ref="D1476">_xlfn.IFS(Table1[[#This Row],[age]]&lt;=17,"0-17",C1476&lt;=29,"18-29",C1476&lt;=44,"30-44",C1476&lt;=59,"45-59",C1476&lt;=74,"60-74",TRUE,"75+")</f>
        <v>45-59</v>
      </c>
      <c r="E1476" t="s">
        <v>29</v>
      </c>
      <c r="F1476">
        <v>7</v>
      </c>
      <c r="G1476" t="str" cm="1">
        <f t="array" ref="G1476">_xlfn.IFS(_xlfn.SINGLE(Table1[imd_decile])&lt;=3,"Most Deprived",F1476&lt;=7,"Moderately Deprived",F1476&lt;=10,"Least Deprived")</f>
        <v>Moderately Deprived</v>
      </c>
      <c r="H1476">
        <v>12.1</v>
      </c>
      <c r="I1476" t="s">
        <v>155</v>
      </c>
      <c r="J1476" t="s">
        <v>26</v>
      </c>
      <c r="K1476" s="1">
        <v>45870</v>
      </c>
      <c r="L1476" s="1">
        <v>45874</v>
      </c>
      <c r="M1476" s="1" t="str">
        <f>TEXT(Table1[[#This Row],[appointment_date]],"MM/YYYY")</f>
        <v>08/2025</v>
      </c>
      <c r="N1476">
        <v>4</v>
      </c>
      <c r="O1476" t="str" cm="1">
        <f t="array" ref="O1476">_xlfn.IFS(Table1[[#This Row],[lead_time_days]]&lt;=7,"0-7 days",N1476&lt;=14,"8-14 days",N1476&lt;=30,"15-30 days",N1476&lt;=60,"31-60 days",TRUE,"61+ days")</f>
        <v>0-7 days</v>
      </c>
      <c r="P1476" t="s">
        <v>71</v>
      </c>
      <c r="Q1476" t="s">
        <v>21</v>
      </c>
      <c r="R1476">
        <v>0</v>
      </c>
      <c r="S1476" t="str">
        <f>IF(Table1[prior_dna_count]&gt;=1,"Has prior DNA history","No prior DNA history")</f>
        <v>No prior DNA history</v>
      </c>
      <c r="T1476" t="s">
        <v>46</v>
      </c>
      <c r="U1476" t="str">
        <f t="shared" si="23"/>
        <v>1</v>
      </c>
      <c r="V1476" t="str">
        <f>IF(Table1[appointment_status]="Attended","1","0")</f>
        <v>0</v>
      </c>
      <c r="W1476" t="str">
        <f>IF(Table1[appointment_status]="Cancelled","1","0")</f>
        <v>1</v>
      </c>
    </row>
    <row r="1477" spans="1:23">
      <c r="A1477" t="s">
        <v>2489</v>
      </c>
      <c r="B1477" t="s">
        <v>2490</v>
      </c>
      <c r="C1477">
        <v>13</v>
      </c>
      <c r="D1477" t="str" cm="1">
        <f t="array" ref="D1477">_xlfn.IFS(Table1[[#This Row],[age]]&lt;=17,"0-17",C1477&lt;=29,"18-29",C1477&lt;=44,"30-44",C1477&lt;=59,"45-59",C1477&lt;=74,"60-74",TRUE,"75+")</f>
        <v>0-17</v>
      </c>
      <c r="E1477" t="s">
        <v>17</v>
      </c>
      <c r="F1477">
        <v>8</v>
      </c>
      <c r="G1477" t="str" cm="1">
        <f t="array" ref="G1477">_xlfn.IFS(_xlfn.SINGLE(Table1[imd_decile])&lt;=3,"Most Deprived",F1477&lt;=7,"Moderately Deprived",F1477&lt;=10,"Least Deprived")</f>
        <v>Least Deprived</v>
      </c>
      <c r="H1477">
        <v>14.9</v>
      </c>
      <c r="I1477" t="s">
        <v>18</v>
      </c>
      <c r="J1477" t="s">
        <v>19</v>
      </c>
      <c r="K1477" s="1">
        <v>45854</v>
      </c>
      <c r="L1477" s="1">
        <v>45874</v>
      </c>
      <c r="M1477" s="1" t="str">
        <f>TEXT(Table1[[#This Row],[appointment_date]],"MM/YYYY")</f>
        <v>08/2025</v>
      </c>
      <c r="N1477">
        <v>20</v>
      </c>
      <c r="O1477" t="str" cm="1">
        <f t="array" ref="O1477">_xlfn.IFS(Table1[[#This Row],[lead_time_days]]&lt;=7,"0-7 days",N1477&lt;=14,"8-14 days",N1477&lt;=30,"15-30 days",N1477&lt;=60,"31-60 days",TRUE,"61+ days")</f>
        <v>15-30 days</v>
      </c>
      <c r="P1477" t="s">
        <v>71</v>
      </c>
      <c r="Q1477" t="s">
        <v>21</v>
      </c>
      <c r="R1477">
        <v>0</v>
      </c>
      <c r="S1477" t="str">
        <f>IF(Table1[prior_dna_count]&gt;=1,"Has prior DNA history","No prior DNA history")</f>
        <v>No prior DNA history</v>
      </c>
      <c r="T1477" t="s">
        <v>22</v>
      </c>
      <c r="U1477" t="str">
        <f t="shared" si="23"/>
        <v>0</v>
      </c>
      <c r="V1477" t="str">
        <f>IF(Table1[appointment_status]="Attended","1","0")</f>
        <v>1</v>
      </c>
      <c r="W1477" t="str">
        <f>IF(Table1[appointment_status]="Cancelled","1","0")</f>
        <v>0</v>
      </c>
    </row>
    <row r="1478" spans="1:23">
      <c r="A1478" t="s">
        <v>2491</v>
      </c>
      <c r="B1478" t="s">
        <v>1460</v>
      </c>
      <c r="C1478">
        <v>1</v>
      </c>
      <c r="D1478" t="str" cm="1">
        <f t="array" ref="D1478">_xlfn.IFS(Table1[[#This Row],[age]]&lt;=17,"0-17",C1478&lt;=29,"18-29",C1478&lt;=44,"30-44",C1478&lt;=59,"45-59",C1478&lt;=74,"60-74",TRUE,"75+")</f>
        <v>0-17</v>
      </c>
      <c r="E1478" t="s">
        <v>17</v>
      </c>
      <c r="F1478">
        <v>8</v>
      </c>
      <c r="G1478" t="str" cm="1">
        <f t="array" ref="G1478">_xlfn.IFS(_xlfn.SINGLE(Table1[imd_decile])&lt;=3,"Most Deprived",F1478&lt;=7,"Moderately Deprived",F1478&lt;=10,"Least Deprived")</f>
        <v>Least Deprived</v>
      </c>
      <c r="H1478">
        <v>0.9</v>
      </c>
      <c r="I1478" t="s">
        <v>42</v>
      </c>
      <c r="J1478" t="s">
        <v>19</v>
      </c>
      <c r="K1478" s="1">
        <v>45834</v>
      </c>
      <c r="L1478" s="1">
        <v>45875</v>
      </c>
      <c r="M1478" s="1" t="str">
        <f>TEXT(Table1[[#This Row],[appointment_date]],"MM/YYYY")</f>
        <v>08/2025</v>
      </c>
      <c r="N1478">
        <v>41</v>
      </c>
      <c r="O1478" t="str" cm="1">
        <f t="array" ref="O1478">_xlfn.IFS(Table1[[#This Row],[lead_time_days]]&lt;=7,"0-7 days",N1478&lt;=14,"8-14 days",N1478&lt;=30,"15-30 days",N1478&lt;=60,"31-60 days",TRUE,"61+ days")</f>
        <v>31-60 days</v>
      </c>
      <c r="P1478" t="s">
        <v>80</v>
      </c>
      <c r="Q1478" t="s">
        <v>32</v>
      </c>
      <c r="R1478">
        <v>2</v>
      </c>
      <c r="S1478" t="str">
        <f>IF(Table1[prior_dna_count]&gt;=1,"Has prior DNA history","No prior DNA history")</f>
        <v>Has prior DNA history</v>
      </c>
      <c r="T1478" t="s">
        <v>39</v>
      </c>
      <c r="U1478" t="str">
        <f t="shared" si="23"/>
        <v>1</v>
      </c>
      <c r="V1478" t="str">
        <f>IF(Table1[appointment_status]="Attended","1","0")</f>
        <v>0</v>
      </c>
      <c r="W1478" t="str">
        <f>IF(Table1[appointment_status]="Cancelled","1","0")</f>
        <v>0</v>
      </c>
    </row>
    <row r="1479" spans="1:23">
      <c r="A1479" t="s">
        <v>2492</v>
      </c>
      <c r="B1479" t="s">
        <v>2493</v>
      </c>
      <c r="C1479">
        <v>39</v>
      </c>
      <c r="D1479" t="str" cm="1">
        <f t="array" ref="D1479">_xlfn.IFS(Table1[[#This Row],[age]]&lt;=17,"0-17",C1479&lt;=29,"18-29",C1479&lt;=44,"30-44",C1479&lt;=59,"45-59",C1479&lt;=74,"60-74",TRUE,"75+")</f>
        <v>30-44</v>
      </c>
      <c r="E1479" t="s">
        <v>29</v>
      </c>
      <c r="F1479">
        <v>6</v>
      </c>
      <c r="G1479" t="str" cm="1">
        <f t="array" ref="G1479">_xlfn.IFS(_xlfn.SINGLE(Table1[imd_decile])&lt;=3,"Most Deprived",F1479&lt;=7,"Moderately Deprived",F1479&lt;=10,"Least Deprived")</f>
        <v>Moderately Deprived</v>
      </c>
      <c r="H1479">
        <v>4.4000000000000004</v>
      </c>
      <c r="I1479" t="s">
        <v>45</v>
      </c>
      <c r="J1479" t="s">
        <v>19</v>
      </c>
      <c r="K1479" s="1">
        <v>45852</v>
      </c>
      <c r="L1479" s="1">
        <v>45875</v>
      </c>
      <c r="M1479" s="1" t="str">
        <f>TEXT(Table1[[#This Row],[appointment_date]],"MM/YYYY")</f>
        <v>08/2025</v>
      </c>
      <c r="N1479">
        <v>23</v>
      </c>
      <c r="O1479" t="str" cm="1">
        <f t="array" ref="O1479">_xlfn.IFS(Table1[[#This Row],[lead_time_days]]&lt;=7,"0-7 days",N1479&lt;=14,"8-14 days",N1479&lt;=30,"15-30 days",N1479&lt;=60,"31-60 days",TRUE,"61+ days")</f>
        <v>15-30 days</v>
      </c>
      <c r="P1479" t="s">
        <v>80</v>
      </c>
      <c r="Q1479" t="s">
        <v>32</v>
      </c>
      <c r="R1479">
        <v>0</v>
      </c>
      <c r="S1479" t="str">
        <f>IF(Table1[prior_dna_count]&gt;=1,"Has prior DNA history","No prior DNA history")</f>
        <v>No prior DNA history</v>
      </c>
      <c r="T1479" t="s">
        <v>22</v>
      </c>
      <c r="U1479" t="str">
        <f t="shared" si="23"/>
        <v>0</v>
      </c>
      <c r="V1479" t="str">
        <f>IF(Table1[appointment_status]="Attended","1","0")</f>
        <v>1</v>
      </c>
      <c r="W1479" t="str">
        <f>IF(Table1[appointment_status]="Cancelled","1","0")</f>
        <v>0</v>
      </c>
    </row>
    <row r="1480" spans="1:23">
      <c r="A1480" t="s">
        <v>2494</v>
      </c>
      <c r="B1480" t="s">
        <v>971</v>
      </c>
      <c r="C1480">
        <v>42</v>
      </c>
      <c r="D1480" t="str" cm="1">
        <f t="array" ref="D1480">_xlfn.IFS(Table1[[#This Row],[age]]&lt;=17,"0-17",C1480&lt;=29,"18-29",C1480&lt;=44,"30-44",C1480&lt;=59,"45-59",C1480&lt;=74,"60-74",TRUE,"75+")</f>
        <v>30-44</v>
      </c>
      <c r="E1480" t="s">
        <v>29</v>
      </c>
      <c r="F1480">
        <v>7</v>
      </c>
      <c r="G1480" t="str" cm="1">
        <f t="array" ref="G1480">_xlfn.IFS(_xlfn.SINGLE(Table1[imd_decile])&lt;=3,"Most Deprived",F1480&lt;=7,"Moderately Deprived",F1480&lt;=10,"Least Deprived")</f>
        <v>Moderately Deprived</v>
      </c>
      <c r="H1480">
        <v>1.2</v>
      </c>
      <c r="I1480" t="s">
        <v>38</v>
      </c>
      <c r="J1480" t="s">
        <v>19</v>
      </c>
      <c r="K1480" s="1">
        <v>45830</v>
      </c>
      <c r="L1480" s="1">
        <v>45875</v>
      </c>
      <c r="M1480" s="1" t="str">
        <f>TEXT(Table1[[#This Row],[appointment_date]],"MM/YYYY")</f>
        <v>08/2025</v>
      </c>
      <c r="N1480">
        <v>45</v>
      </c>
      <c r="O1480" t="str" cm="1">
        <f t="array" ref="O1480">_xlfn.IFS(Table1[[#This Row],[lead_time_days]]&lt;=7,"0-7 days",N1480&lt;=14,"8-14 days",N1480&lt;=30,"15-30 days",N1480&lt;=60,"31-60 days",TRUE,"61+ days")</f>
        <v>31-60 days</v>
      </c>
      <c r="P1480" t="s">
        <v>80</v>
      </c>
      <c r="Q1480" t="s">
        <v>21</v>
      </c>
      <c r="R1480">
        <v>0</v>
      </c>
      <c r="S1480" t="str">
        <f>IF(Table1[prior_dna_count]&gt;=1,"Has prior DNA history","No prior DNA history")</f>
        <v>No prior DNA history</v>
      </c>
      <c r="T1480" t="s">
        <v>22</v>
      </c>
      <c r="U1480" t="str">
        <f t="shared" si="23"/>
        <v>1</v>
      </c>
      <c r="V1480" t="str">
        <f>IF(Table1[appointment_status]="Attended","1","0")</f>
        <v>1</v>
      </c>
      <c r="W1480" t="str">
        <f>IF(Table1[appointment_status]="Cancelled","1","0")</f>
        <v>0</v>
      </c>
    </row>
    <row r="1481" spans="1:23">
      <c r="A1481" t="s">
        <v>2495</v>
      </c>
      <c r="B1481" t="s">
        <v>907</v>
      </c>
      <c r="C1481">
        <v>88</v>
      </c>
      <c r="D1481" t="str" cm="1">
        <f t="array" ref="D1481">_xlfn.IFS(Table1[[#This Row],[age]]&lt;=17,"0-17",C1481&lt;=29,"18-29",C1481&lt;=44,"30-44",C1481&lt;=59,"45-59",C1481&lt;=74,"60-74",TRUE,"75+")</f>
        <v>75+</v>
      </c>
      <c r="E1481" t="s">
        <v>17</v>
      </c>
      <c r="F1481">
        <v>10</v>
      </c>
      <c r="G1481" t="str" cm="1">
        <f t="array" ref="G1481">_xlfn.IFS(_xlfn.SINGLE(Table1[imd_decile])&lt;=3,"Most Deprived",F1481&lt;=7,"Moderately Deprived",F1481&lt;=10,"Least Deprived")</f>
        <v>Least Deprived</v>
      </c>
      <c r="H1481">
        <v>3.3</v>
      </c>
      <c r="I1481" t="s">
        <v>45</v>
      </c>
      <c r="J1481" t="s">
        <v>26</v>
      </c>
      <c r="K1481" s="1">
        <v>45868</v>
      </c>
      <c r="L1481" s="1">
        <v>45875</v>
      </c>
      <c r="M1481" s="1" t="str">
        <f>TEXT(Table1[[#This Row],[appointment_date]],"MM/YYYY")</f>
        <v>08/2025</v>
      </c>
      <c r="N1481">
        <v>7</v>
      </c>
      <c r="O1481" t="str" cm="1">
        <f t="array" ref="O1481">_xlfn.IFS(Table1[[#This Row],[lead_time_days]]&lt;=7,"0-7 days",N1481&lt;=14,"8-14 days",N1481&lt;=30,"15-30 days",N1481&lt;=60,"31-60 days",TRUE,"61+ days")</f>
        <v>0-7 days</v>
      </c>
      <c r="P1481" t="s">
        <v>80</v>
      </c>
      <c r="Q1481" t="s">
        <v>21</v>
      </c>
      <c r="R1481">
        <v>0</v>
      </c>
      <c r="S1481" t="str">
        <f>IF(Table1[prior_dna_count]&gt;=1,"Has prior DNA history","No prior DNA history")</f>
        <v>No prior DNA history</v>
      </c>
      <c r="T1481" t="s">
        <v>22</v>
      </c>
      <c r="U1481" t="str">
        <f t="shared" si="23"/>
        <v>1</v>
      </c>
      <c r="V1481" t="str">
        <f>IF(Table1[appointment_status]="Attended","1","0")</f>
        <v>1</v>
      </c>
      <c r="W1481" t="str">
        <f>IF(Table1[appointment_status]="Cancelled","1","0")</f>
        <v>0</v>
      </c>
    </row>
    <row r="1482" spans="1:23">
      <c r="A1482" t="s">
        <v>2496</v>
      </c>
      <c r="B1482" t="s">
        <v>193</v>
      </c>
      <c r="C1482">
        <v>27</v>
      </c>
      <c r="D1482" t="str" cm="1">
        <f t="array" ref="D1482">_xlfn.IFS(Table1[[#This Row],[age]]&lt;=17,"0-17",C1482&lt;=29,"18-29",C1482&lt;=44,"30-44",C1482&lt;=59,"45-59",C1482&lt;=74,"60-74",TRUE,"75+")</f>
        <v>18-29</v>
      </c>
      <c r="E1482" t="s">
        <v>17</v>
      </c>
      <c r="F1482">
        <v>9</v>
      </c>
      <c r="G1482" t="str" cm="1">
        <f t="array" ref="G1482">_xlfn.IFS(_xlfn.SINGLE(Table1[imd_decile])&lt;=3,"Most Deprived",F1482&lt;=7,"Moderately Deprived",F1482&lt;=10,"Least Deprived")</f>
        <v>Least Deprived</v>
      </c>
      <c r="H1482">
        <v>12.5</v>
      </c>
      <c r="I1482" t="s">
        <v>91</v>
      </c>
      <c r="J1482" t="s">
        <v>19</v>
      </c>
      <c r="K1482" s="1">
        <v>45834</v>
      </c>
      <c r="L1482" s="1">
        <v>45875</v>
      </c>
      <c r="M1482" s="1" t="str">
        <f>TEXT(Table1[[#This Row],[appointment_date]],"MM/YYYY")</f>
        <v>08/2025</v>
      </c>
      <c r="N1482">
        <v>41</v>
      </c>
      <c r="O1482" t="str" cm="1">
        <f t="array" ref="O1482">_xlfn.IFS(Table1[[#This Row],[lead_time_days]]&lt;=7,"0-7 days",N1482&lt;=14,"8-14 days",N1482&lt;=30,"15-30 days",N1482&lt;=60,"31-60 days",TRUE,"61+ days")</f>
        <v>31-60 days</v>
      </c>
      <c r="P1482" t="s">
        <v>80</v>
      </c>
      <c r="Q1482" t="s">
        <v>21</v>
      </c>
      <c r="R1482">
        <v>0</v>
      </c>
      <c r="S1482" t="str">
        <f>IF(Table1[prior_dna_count]&gt;=1,"Has prior DNA history","No prior DNA history")</f>
        <v>No prior DNA history</v>
      </c>
      <c r="T1482" t="s">
        <v>22</v>
      </c>
      <c r="U1482" t="str">
        <f t="shared" si="23"/>
        <v>1</v>
      </c>
      <c r="V1482" t="str">
        <f>IF(Table1[appointment_status]="Attended","1","0")</f>
        <v>1</v>
      </c>
      <c r="W1482" t="str">
        <f>IF(Table1[appointment_status]="Cancelled","1","0")</f>
        <v>0</v>
      </c>
    </row>
    <row r="1483" spans="1:23">
      <c r="A1483" t="s">
        <v>2497</v>
      </c>
      <c r="B1483" t="s">
        <v>2304</v>
      </c>
      <c r="C1483">
        <v>56</v>
      </c>
      <c r="D1483" t="str" cm="1">
        <f t="array" ref="D1483">_xlfn.IFS(Table1[[#This Row],[age]]&lt;=17,"0-17",C1483&lt;=29,"18-29",C1483&lt;=44,"30-44",C1483&lt;=59,"45-59",C1483&lt;=74,"60-74",TRUE,"75+")</f>
        <v>45-59</v>
      </c>
      <c r="E1483" t="s">
        <v>29</v>
      </c>
      <c r="F1483">
        <v>8</v>
      </c>
      <c r="G1483" t="str" cm="1">
        <f t="array" ref="G1483">_xlfn.IFS(_xlfn.SINGLE(Table1[imd_decile])&lt;=3,"Most Deprived",F1483&lt;=7,"Moderately Deprived",F1483&lt;=10,"Least Deprived")</f>
        <v>Least Deprived</v>
      </c>
      <c r="H1483">
        <v>8.8000000000000007</v>
      </c>
      <c r="I1483" t="s">
        <v>18</v>
      </c>
      <c r="J1483" t="s">
        <v>19</v>
      </c>
      <c r="K1483" s="1">
        <v>45842</v>
      </c>
      <c r="L1483" s="1">
        <v>45875</v>
      </c>
      <c r="M1483" s="1" t="str">
        <f>TEXT(Table1[[#This Row],[appointment_date]],"MM/YYYY")</f>
        <v>08/2025</v>
      </c>
      <c r="N1483">
        <v>33</v>
      </c>
      <c r="O1483" t="str" cm="1">
        <f t="array" ref="O1483">_xlfn.IFS(Table1[[#This Row],[lead_time_days]]&lt;=7,"0-7 days",N1483&lt;=14,"8-14 days",N1483&lt;=30,"15-30 days",N1483&lt;=60,"31-60 days",TRUE,"61+ days")</f>
        <v>31-60 days</v>
      </c>
      <c r="P1483" t="s">
        <v>80</v>
      </c>
      <c r="Q1483" t="s">
        <v>21</v>
      </c>
      <c r="R1483">
        <v>0</v>
      </c>
      <c r="S1483" t="str">
        <f>IF(Table1[prior_dna_count]&gt;=1,"Has prior DNA history","No prior DNA history")</f>
        <v>No prior DNA history</v>
      </c>
      <c r="T1483" t="s">
        <v>22</v>
      </c>
      <c r="U1483" t="str">
        <f t="shared" si="23"/>
        <v>1</v>
      </c>
      <c r="V1483" t="str">
        <f>IF(Table1[appointment_status]="Attended","1","0")</f>
        <v>1</v>
      </c>
      <c r="W1483" t="str">
        <f>IF(Table1[appointment_status]="Cancelled","1","0")</f>
        <v>0</v>
      </c>
    </row>
    <row r="1484" spans="1:23">
      <c r="A1484" t="s">
        <v>2498</v>
      </c>
      <c r="B1484" t="s">
        <v>2499</v>
      </c>
      <c r="C1484">
        <v>15</v>
      </c>
      <c r="D1484" t="str" cm="1">
        <f t="array" ref="D1484">_xlfn.IFS(Table1[[#This Row],[age]]&lt;=17,"0-17",C1484&lt;=29,"18-29",C1484&lt;=44,"30-44",C1484&lt;=59,"45-59",C1484&lt;=74,"60-74",TRUE,"75+")</f>
        <v>0-17</v>
      </c>
      <c r="E1484" t="s">
        <v>29</v>
      </c>
      <c r="F1484">
        <v>2</v>
      </c>
      <c r="G1484" t="str" cm="1">
        <f t="array" ref="G1484">_xlfn.IFS(_xlfn.SINGLE(Table1[imd_decile])&lt;=3,"Most Deprived",F1484&lt;=7,"Moderately Deprived",F1484&lt;=10,"Least Deprived")</f>
        <v>Most Deprived</v>
      </c>
      <c r="H1484">
        <v>5.3</v>
      </c>
      <c r="I1484" t="s">
        <v>25</v>
      </c>
      <c r="J1484" t="s">
        <v>26</v>
      </c>
      <c r="K1484" s="1">
        <v>45868</v>
      </c>
      <c r="L1484" s="1">
        <v>45875</v>
      </c>
      <c r="M1484" s="1" t="str">
        <f>TEXT(Table1[[#This Row],[appointment_date]],"MM/YYYY")</f>
        <v>08/2025</v>
      </c>
      <c r="N1484">
        <v>7</v>
      </c>
      <c r="O1484" t="str" cm="1">
        <f t="array" ref="O1484">_xlfn.IFS(Table1[[#This Row],[lead_time_days]]&lt;=7,"0-7 days",N1484&lt;=14,"8-14 days",N1484&lt;=30,"15-30 days",N1484&lt;=60,"31-60 days",TRUE,"61+ days")</f>
        <v>0-7 days</v>
      </c>
      <c r="P1484" t="s">
        <v>80</v>
      </c>
      <c r="Q1484" t="s">
        <v>21</v>
      </c>
      <c r="R1484">
        <v>0</v>
      </c>
      <c r="S1484" t="str">
        <f>IF(Table1[prior_dna_count]&gt;=1,"Has prior DNA history","No prior DNA history")</f>
        <v>No prior DNA history</v>
      </c>
      <c r="T1484" t="s">
        <v>22</v>
      </c>
      <c r="U1484" t="str">
        <f t="shared" si="23"/>
        <v>1</v>
      </c>
      <c r="V1484" t="str">
        <f>IF(Table1[appointment_status]="Attended","1","0")</f>
        <v>1</v>
      </c>
      <c r="W1484" t="str">
        <f>IF(Table1[appointment_status]="Cancelled","1","0")</f>
        <v>0</v>
      </c>
    </row>
    <row r="1485" spans="1:23">
      <c r="A1485" t="s">
        <v>2500</v>
      </c>
      <c r="B1485" t="s">
        <v>1223</v>
      </c>
      <c r="C1485">
        <v>38</v>
      </c>
      <c r="D1485" t="str" cm="1">
        <f t="array" ref="D1485">_xlfn.IFS(Table1[[#This Row],[age]]&lt;=17,"0-17",C1485&lt;=29,"18-29",C1485&lt;=44,"30-44",C1485&lt;=59,"45-59",C1485&lt;=74,"60-74",TRUE,"75+")</f>
        <v>30-44</v>
      </c>
      <c r="E1485" t="s">
        <v>17</v>
      </c>
      <c r="F1485">
        <v>5</v>
      </c>
      <c r="G1485" t="str" cm="1">
        <f t="array" ref="G1485">_xlfn.IFS(_xlfn.SINGLE(Table1[imd_decile])&lt;=3,"Most Deprived",F1485&lt;=7,"Moderately Deprived",F1485&lt;=10,"Least Deprived")</f>
        <v>Moderately Deprived</v>
      </c>
      <c r="H1485">
        <v>7.4</v>
      </c>
      <c r="I1485" t="s">
        <v>58</v>
      </c>
      <c r="J1485" t="s">
        <v>19</v>
      </c>
      <c r="K1485" s="1">
        <v>45850</v>
      </c>
      <c r="L1485" s="1">
        <v>45875</v>
      </c>
      <c r="M1485" s="1" t="str">
        <f>TEXT(Table1[[#This Row],[appointment_date]],"MM/YYYY")</f>
        <v>08/2025</v>
      </c>
      <c r="N1485">
        <v>25</v>
      </c>
      <c r="O1485" t="str" cm="1">
        <f t="array" ref="O1485">_xlfn.IFS(Table1[[#This Row],[lead_time_days]]&lt;=7,"0-7 days",N1485&lt;=14,"8-14 days",N1485&lt;=30,"15-30 days",N1485&lt;=60,"31-60 days",TRUE,"61+ days")</f>
        <v>15-30 days</v>
      </c>
      <c r="P1485" t="s">
        <v>80</v>
      </c>
      <c r="Q1485" t="s">
        <v>21</v>
      </c>
      <c r="R1485">
        <v>0</v>
      </c>
      <c r="S1485" t="str">
        <f>IF(Table1[prior_dna_count]&gt;=1,"Has prior DNA history","No prior DNA history")</f>
        <v>No prior DNA history</v>
      </c>
      <c r="T1485" t="s">
        <v>22</v>
      </c>
      <c r="U1485" t="str">
        <f t="shared" si="23"/>
        <v>1</v>
      </c>
      <c r="V1485" t="str">
        <f>IF(Table1[appointment_status]="Attended","1","0")</f>
        <v>1</v>
      </c>
      <c r="W1485" t="str">
        <f>IF(Table1[appointment_status]="Cancelled","1","0")</f>
        <v>0</v>
      </c>
    </row>
    <row r="1486" spans="1:23">
      <c r="A1486" t="s">
        <v>2501</v>
      </c>
      <c r="B1486" t="s">
        <v>2502</v>
      </c>
      <c r="C1486">
        <v>55</v>
      </c>
      <c r="D1486" t="str" cm="1">
        <f t="array" ref="D1486">_xlfn.IFS(Table1[[#This Row],[age]]&lt;=17,"0-17",C1486&lt;=29,"18-29",C1486&lt;=44,"30-44",C1486&lt;=59,"45-59",C1486&lt;=74,"60-74",TRUE,"75+")</f>
        <v>45-59</v>
      </c>
      <c r="E1486" t="s">
        <v>17</v>
      </c>
      <c r="F1486">
        <v>9</v>
      </c>
      <c r="G1486" t="str" cm="1">
        <f t="array" ref="G1486">_xlfn.IFS(_xlfn.SINGLE(Table1[imd_decile])&lt;=3,"Most Deprived",F1486&lt;=7,"Moderately Deprived",F1486&lt;=10,"Least Deprived")</f>
        <v>Least Deprived</v>
      </c>
      <c r="H1486">
        <v>11.5</v>
      </c>
      <c r="I1486" t="s">
        <v>42</v>
      </c>
      <c r="J1486" t="s">
        <v>19</v>
      </c>
      <c r="K1486" s="1">
        <v>45821</v>
      </c>
      <c r="L1486" s="1">
        <v>45875</v>
      </c>
      <c r="M1486" s="1" t="str">
        <f>TEXT(Table1[[#This Row],[appointment_date]],"MM/YYYY")</f>
        <v>08/2025</v>
      </c>
      <c r="N1486">
        <v>54</v>
      </c>
      <c r="O1486" t="str" cm="1">
        <f t="array" ref="O1486">_xlfn.IFS(Table1[[#This Row],[lead_time_days]]&lt;=7,"0-7 days",N1486&lt;=14,"8-14 days",N1486&lt;=30,"15-30 days",N1486&lt;=60,"31-60 days",TRUE,"61+ days")</f>
        <v>31-60 days</v>
      </c>
      <c r="P1486" t="s">
        <v>80</v>
      </c>
      <c r="Q1486" t="s">
        <v>32</v>
      </c>
      <c r="R1486">
        <v>0</v>
      </c>
      <c r="S1486" t="str">
        <f>IF(Table1[prior_dna_count]&gt;=1,"Has prior DNA history","No prior DNA history")</f>
        <v>No prior DNA history</v>
      </c>
      <c r="T1486" t="s">
        <v>22</v>
      </c>
      <c r="U1486" t="str">
        <f t="shared" si="23"/>
        <v>1</v>
      </c>
      <c r="V1486" t="str">
        <f>IF(Table1[appointment_status]="Attended","1","0")</f>
        <v>1</v>
      </c>
      <c r="W1486" t="str">
        <f>IF(Table1[appointment_status]="Cancelled","1","0")</f>
        <v>0</v>
      </c>
    </row>
    <row r="1487" spans="1:23">
      <c r="A1487" t="s">
        <v>2503</v>
      </c>
      <c r="B1487" t="s">
        <v>161</v>
      </c>
      <c r="C1487">
        <v>55</v>
      </c>
      <c r="D1487" t="str" cm="1">
        <f t="array" ref="D1487">_xlfn.IFS(Table1[[#This Row],[age]]&lt;=17,"0-17",C1487&lt;=29,"18-29",C1487&lt;=44,"30-44",C1487&lt;=59,"45-59",C1487&lt;=74,"60-74",TRUE,"75+")</f>
        <v>45-59</v>
      </c>
      <c r="E1487" t="s">
        <v>29</v>
      </c>
      <c r="F1487">
        <v>5</v>
      </c>
      <c r="G1487" t="str" cm="1">
        <f t="array" ref="G1487">_xlfn.IFS(_xlfn.SINGLE(Table1[imd_decile])&lt;=3,"Most Deprived",F1487&lt;=7,"Moderately Deprived",F1487&lt;=10,"Least Deprived")</f>
        <v>Moderately Deprived</v>
      </c>
      <c r="H1487">
        <v>10.1</v>
      </c>
      <c r="I1487" t="s">
        <v>155</v>
      </c>
      <c r="J1487" t="s">
        <v>26</v>
      </c>
      <c r="K1487" s="1">
        <v>45849</v>
      </c>
      <c r="L1487" s="1">
        <v>45876</v>
      </c>
      <c r="M1487" s="1" t="str">
        <f>TEXT(Table1[[#This Row],[appointment_date]],"MM/YYYY")</f>
        <v>08/2025</v>
      </c>
      <c r="N1487">
        <v>27</v>
      </c>
      <c r="O1487" t="str" cm="1">
        <f t="array" ref="O1487">_xlfn.IFS(Table1[[#This Row],[lead_time_days]]&lt;=7,"0-7 days",N1487&lt;=14,"8-14 days",N1487&lt;=30,"15-30 days",N1487&lt;=60,"31-60 days",TRUE,"61+ days")</f>
        <v>15-30 days</v>
      </c>
      <c r="P1487" t="s">
        <v>20</v>
      </c>
      <c r="Q1487" t="s">
        <v>21</v>
      </c>
      <c r="R1487">
        <v>0</v>
      </c>
      <c r="S1487" t="str">
        <f>IF(Table1[prior_dna_count]&gt;=1,"Has prior DNA history","No prior DNA history")</f>
        <v>No prior DNA history</v>
      </c>
      <c r="T1487" t="s">
        <v>22</v>
      </c>
      <c r="U1487" t="str">
        <f t="shared" si="23"/>
        <v>1</v>
      </c>
      <c r="V1487" t="str">
        <f>IF(Table1[appointment_status]="Attended","1","0")</f>
        <v>1</v>
      </c>
      <c r="W1487" t="str">
        <f>IF(Table1[appointment_status]="Cancelled","1","0")</f>
        <v>0</v>
      </c>
    </row>
    <row r="1488" spans="1:23">
      <c r="A1488" t="s">
        <v>2504</v>
      </c>
      <c r="B1488" t="s">
        <v>2127</v>
      </c>
      <c r="C1488">
        <v>25</v>
      </c>
      <c r="D1488" t="str" cm="1">
        <f t="array" ref="D1488">_xlfn.IFS(Table1[[#This Row],[age]]&lt;=17,"0-17",C1488&lt;=29,"18-29",C1488&lt;=44,"30-44",C1488&lt;=59,"45-59",C1488&lt;=74,"60-74",TRUE,"75+")</f>
        <v>18-29</v>
      </c>
      <c r="E1488" t="s">
        <v>29</v>
      </c>
      <c r="F1488">
        <v>1</v>
      </c>
      <c r="G1488" t="str" cm="1">
        <f t="array" ref="G1488">_xlfn.IFS(_xlfn.SINGLE(Table1[imd_decile])&lt;=3,"Most Deprived",F1488&lt;=7,"Moderately Deprived",F1488&lt;=10,"Least Deprived")</f>
        <v>Most Deprived</v>
      </c>
      <c r="H1488">
        <v>7.3</v>
      </c>
      <c r="I1488" t="s">
        <v>155</v>
      </c>
      <c r="J1488" t="s">
        <v>26</v>
      </c>
      <c r="K1488" s="1">
        <v>45875</v>
      </c>
      <c r="L1488" s="1">
        <v>45876</v>
      </c>
      <c r="M1488" s="1" t="str">
        <f>TEXT(Table1[[#This Row],[appointment_date]],"MM/YYYY")</f>
        <v>08/2025</v>
      </c>
      <c r="N1488">
        <v>1</v>
      </c>
      <c r="O1488" t="str" cm="1">
        <f t="array" ref="O1488">_xlfn.IFS(Table1[[#This Row],[lead_time_days]]&lt;=7,"0-7 days",N1488&lt;=14,"8-14 days",N1488&lt;=30,"15-30 days",N1488&lt;=60,"31-60 days",TRUE,"61+ days")</f>
        <v>0-7 days</v>
      </c>
      <c r="P1488" t="s">
        <v>20</v>
      </c>
      <c r="Q1488" t="s">
        <v>21</v>
      </c>
      <c r="R1488">
        <v>0</v>
      </c>
      <c r="S1488" t="str">
        <f>IF(Table1[prior_dna_count]&gt;=1,"Has prior DNA history","No prior DNA history")</f>
        <v>No prior DNA history</v>
      </c>
      <c r="T1488" t="s">
        <v>22</v>
      </c>
      <c r="U1488" t="str">
        <f t="shared" si="23"/>
        <v>1</v>
      </c>
      <c r="V1488" t="str">
        <f>IF(Table1[appointment_status]="Attended","1","0")</f>
        <v>1</v>
      </c>
      <c r="W1488" t="str">
        <f>IF(Table1[appointment_status]="Cancelled","1","0")</f>
        <v>0</v>
      </c>
    </row>
    <row r="1489" spans="1:23">
      <c r="A1489" t="s">
        <v>2505</v>
      </c>
      <c r="B1489" t="s">
        <v>947</v>
      </c>
      <c r="C1489">
        <v>83</v>
      </c>
      <c r="D1489" t="str" cm="1">
        <f t="array" ref="D1489">_xlfn.IFS(Table1[[#This Row],[age]]&lt;=17,"0-17",C1489&lt;=29,"18-29",C1489&lt;=44,"30-44",C1489&lt;=59,"45-59",C1489&lt;=74,"60-74",TRUE,"75+")</f>
        <v>75+</v>
      </c>
      <c r="E1489" t="s">
        <v>29</v>
      </c>
      <c r="F1489">
        <v>9</v>
      </c>
      <c r="G1489" t="str" cm="1">
        <f t="array" ref="G1489">_xlfn.IFS(_xlfn.SINGLE(Table1[imd_decile])&lt;=3,"Most Deprived",F1489&lt;=7,"Moderately Deprived",F1489&lt;=10,"Least Deprived")</f>
        <v>Least Deprived</v>
      </c>
      <c r="H1489">
        <v>6.4</v>
      </c>
      <c r="I1489" t="s">
        <v>38</v>
      </c>
      <c r="J1489" t="s">
        <v>19</v>
      </c>
      <c r="K1489" s="1">
        <v>45855</v>
      </c>
      <c r="L1489" s="1">
        <v>45876</v>
      </c>
      <c r="M1489" s="1" t="str">
        <f>TEXT(Table1[[#This Row],[appointment_date]],"MM/YYYY")</f>
        <v>08/2025</v>
      </c>
      <c r="N1489">
        <v>21</v>
      </c>
      <c r="O1489" t="str" cm="1">
        <f t="array" ref="O1489">_xlfn.IFS(Table1[[#This Row],[lead_time_days]]&lt;=7,"0-7 days",N1489&lt;=14,"8-14 days",N1489&lt;=30,"15-30 days",N1489&lt;=60,"31-60 days",TRUE,"61+ days")</f>
        <v>15-30 days</v>
      </c>
      <c r="P1489" t="s">
        <v>20</v>
      </c>
      <c r="Q1489" t="s">
        <v>21</v>
      </c>
      <c r="R1489">
        <v>0</v>
      </c>
      <c r="S1489" t="str">
        <f>IF(Table1[prior_dna_count]&gt;=1,"Has prior DNA history","No prior DNA history")</f>
        <v>No prior DNA history</v>
      </c>
      <c r="T1489" t="s">
        <v>22</v>
      </c>
      <c r="U1489" t="str">
        <f t="shared" si="23"/>
        <v>1</v>
      </c>
      <c r="V1489" t="str">
        <f>IF(Table1[appointment_status]="Attended","1","0")</f>
        <v>1</v>
      </c>
      <c r="W1489" t="str">
        <f>IF(Table1[appointment_status]="Cancelled","1","0")</f>
        <v>0</v>
      </c>
    </row>
    <row r="1490" spans="1:23">
      <c r="A1490" t="s">
        <v>2506</v>
      </c>
      <c r="B1490" t="s">
        <v>815</v>
      </c>
      <c r="C1490">
        <v>42</v>
      </c>
      <c r="D1490" t="str" cm="1">
        <f t="array" ref="D1490">_xlfn.IFS(Table1[[#This Row],[age]]&lt;=17,"0-17",C1490&lt;=29,"18-29",C1490&lt;=44,"30-44",C1490&lt;=59,"45-59",C1490&lt;=74,"60-74",TRUE,"75+")</f>
        <v>30-44</v>
      </c>
      <c r="E1490" t="s">
        <v>29</v>
      </c>
      <c r="F1490">
        <v>4</v>
      </c>
      <c r="G1490" t="str" cm="1">
        <f t="array" ref="G1490">_xlfn.IFS(_xlfn.SINGLE(Table1[imd_decile])&lt;=3,"Most Deprived",F1490&lt;=7,"Moderately Deprived",F1490&lt;=10,"Least Deprived")</f>
        <v>Moderately Deprived</v>
      </c>
      <c r="H1490">
        <v>13.6</v>
      </c>
      <c r="I1490" t="s">
        <v>91</v>
      </c>
      <c r="J1490" t="s">
        <v>26</v>
      </c>
      <c r="K1490" s="1">
        <v>45842</v>
      </c>
      <c r="L1490" s="1">
        <v>45876</v>
      </c>
      <c r="M1490" s="1" t="str">
        <f>TEXT(Table1[[#This Row],[appointment_date]],"MM/YYYY")</f>
        <v>08/2025</v>
      </c>
      <c r="N1490">
        <v>34</v>
      </c>
      <c r="O1490" t="str" cm="1">
        <f t="array" ref="O1490">_xlfn.IFS(Table1[[#This Row],[lead_time_days]]&lt;=7,"0-7 days",N1490&lt;=14,"8-14 days",N1490&lt;=30,"15-30 days",N1490&lt;=60,"31-60 days",TRUE,"61+ days")</f>
        <v>31-60 days</v>
      </c>
      <c r="P1490" t="s">
        <v>20</v>
      </c>
      <c r="Q1490" t="s">
        <v>21</v>
      </c>
      <c r="R1490">
        <v>1</v>
      </c>
      <c r="S1490" t="str">
        <f>IF(Table1[prior_dna_count]&gt;=1,"Has prior DNA history","No prior DNA history")</f>
        <v>Has prior DNA history</v>
      </c>
      <c r="T1490" t="s">
        <v>39</v>
      </c>
      <c r="U1490" t="str">
        <f t="shared" si="23"/>
        <v>1</v>
      </c>
      <c r="V1490" t="str">
        <f>IF(Table1[appointment_status]="Attended","1","0")</f>
        <v>0</v>
      </c>
      <c r="W1490" t="str">
        <f>IF(Table1[appointment_status]="Cancelled","1","0")</f>
        <v>0</v>
      </c>
    </row>
    <row r="1491" spans="1:23">
      <c r="A1491" t="s">
        <v>2507</v>
      </c>
      <c r="B1491" t="s">
        <v>2508</v>
      </c>
      <c r="C1491">
        <v>42</v>
      </c>
      <c r="D1491" t="str" cm="1">
        <f t="array" ref="D1491">_xlfn.IFS(Table1[[#This Row],[age]]&lt;=17,"0-17",C1491&lt;=29,"18-29",C1491&lt;=44,"30-44",C1491&lt;=59,"45-59",C1491&lt;=74,"60-74",TRUE,"75+")</f>
        <v>30-44</v>
      </c>
      <c r="E1491" t="s">
        <v>29</v>
      </c>
      <c r="F1491">
        <v>6</v>
      </c>
      <c r="G1491" t="str" cm="1">
        <f t="array" ref="G1491">_xlfn.IFS(_xlfn.SINGLE(Table1[imd_decile])&lt;=3,"Most Deprived",F1491&lt;=7,"Moderately Deprived",F1491&lt;=10,"Least Deprived")</f>
        <v>Moderately Deprived</v>
      </c>
      <c r="H1491">
        <v>4.5</v>
      </c>
      <c r="I1491" t="s">
        <v>30</v>
      </c>
      <c r="J1491" t="s">
        <v>19</v>
      </c>
      <c r="K1491" s="1">
        <v>45824</v>
      </c>
      <c r="L1491" s="1">
        <v>45876</v>
      </c>
      <c r="M1491" s="1" t="str">
        <f>TEXT(Table1[[#This Row],[appointment_date]],"MM/YYYY")</f>
        <v>08/2025</v>
      </c>
      <c r="N1491">
        <v>52</v>
      </c>
      <c r="O1491" t="str" cm="1">
        <f t="array" ref="O1491">_xlfn.IFS(Table1[[#This Row],[lead_time_days]]&lt;=7,"0-7 days",N1491&lt;=14,"8-14 days",N1491&lt;=30,"15-30 days",N1491&lt;=60,"31-60 days",TRUE,"61+ days")</f>
        <v>31-60 days</v>
      </c>
      <c r="P1491" t="s">
        <v>20</v>
      </c>
      <c r="Q1491" t="s">
        <v>21</v>
      </c>
      <c r="R1491">
        <v>0</v>
      </c>
      <c r="S1491" t="str">
        <f>IF(Table1[prior_dna_count]&gt;=1,"Has prior DNA history","No prior DNA history")</f>
        <v>No prior DNA history</v>
      </c>
      <c r="T1491" t="s">
        <v>39</v>
      </c>
      <c r="U1491" t="str">
        <f t="shared" si="23"/>
        <v>0</v>
      </c>
      <c r="V1491" t="str">
        <f>IF(Table1[appointment_status]="Attended","1","0")</f>
        <v>0</v>
      </c>
      <c r="W1491" t="str">
        <f>IF(Table1[appointment_status]="Cancelled","1","0")</f>
        <v>0</v>
      </c>
    </row>
    <row r="1492" spans="1:23">
      <c r="A1492" t="s">
        <v>2509</v>
      </c>
      <c r="B1492" t="s">
        <v>2510</v>
      </c>
      <c r="C1492">
        <v>31</v>
      </c>
      <c r="D1492" t="str" cm="1">
        <f t="array" ref="D1492">_xlfn.IFS(Table1[[#This Row],[age]]&lt;=17,"0-17",C1492&lt;=29,"18-29",C1492&lt;=44,"30-44",C1492&lt;=59,"45-59",C1492&lt;=74,"60-74",TRUE,"75+")</f>
        <v>30-44</v>
      </c>
      <c r="E1492" t="s">
        <v>29</v>
      </c>
      <c r="F1492">
        <v>9</v>
      </c>
      <c r="G1492" t="str" cm="1">
        <f t="array" ref="G1492">_xlfn.IFS(_xlfn.SINGLE(Table1[imd_decile])&lt;=3,"Most Deprived",F1492&lt;=7,"Moderately Deprived",F1492&lt;=10,"Least Deprived")</f>
        <v>Least Deprived</v>
      </c>
      <c r="H1492">
        <v>1.7</v>
      </c>
      <c r="I1492" t="s">
        <v>38</v>
      </c>
      <c r="J1492" t="s">
        <v>19</v>
      </c>
      <c r="K1492" s="1">
        <v>45855</v>
      </c>
      <c r="L1492" s="1">
        <v>45876</v>
      </c>
      <c r="M1492" s="1" t="str">
        <f>TEXT(Table1[[#This Row],[appointment_date]],"MM/YYYY")</f>
        <v>08/2025</v>
      </c>
      <c r="N1492">
        <v>21</v>
      </c>
      <c r="O1492" t="str" cm="1">
        <f t="array" ref="O1492">_xlfn.IFS(Table1[[#This Row],[lead_time_days]]&lt;=7,"0-7 days",N1492&lt;=14,"8-14 days",N1492&lt;=30,"15-30 days",N1492&lt;=60,"31-60 days",TRUE,"61+ days")</f>
        <v>15-30 days</v>
      </c>
      <c r="P1492" t="s">
        <v>20</v>
      </c>
      <c r="Q1492" t="s">
        <v>21</v>
      </c>
      <c r="R1492">
        <v>0</v>
      </c>
      <c r="S1492" t="str">
        <f>IF(Table1[prior_dna_count]&gt;=1,"Has prior DNA history","No prior DNA history")</f>
        <v>No prior DNA history</v>
      </c>
      <c r="T1492" t="s">
        <v>46</v>
      </c>
      <c r="U1492" t="str">
        <f t="shared" si="23"/>
        <v>0</v>
      </c>
      <c r="V1492" t="str">
        <f>IF(Table1[appointment_status]="Attended","1","0")</f>
        <v>0</v>
      </c>
      <c r="W1492" t="str">
        <f>IF(Table1[appointment_status]="Cancelled","1","0")</f>
        <v>1</v>
      </c>
    </row>
    <row r="1493" spans="1:23">
      <c r="A1493" t="s">
        <v>2511</v>
      </c>
      <c r="B1493" t="s">
        <v>1813</v>
      </c>
      <c r="C1493">
        <v>30</v>
      </c>
      <c r="D1493" t="str" cm="1">
        <f t="array" ref="D1493">_xlfn.IFS(Table1[[#This Row],[age]]&lt;=17,"0-17",C1493&lt;=29,"18-29",C1493&lt;=44,"30-44",C1493&lt;=59,"45-59",C1493&lt;=74,"60-74",TRUE,"75+")</f>
        <v>30-44</v>
      </c>
      <c r="E1493" t="s">
        <v>17</v>
      </c>
      <c r="F1493">
        <v>10</v>
      </c>
      <c r="G1493" t="str" cm="1">
        <f t="array" ref="G1493">_xlfn.IFS(_xlfn.SINGLE(Table1[imd_decile])&lt;=3,"Most Deprived",F1493&lt;=7,"Moderately Deprived",F1493&lt;=10,"Least Deprived")</f>
        <v>Least Deprived</v>
      </c>
      <c r="H1493">
        <v>24.1</v>
      </c>
      <c r="I1493" t="s">
        <v>18</v>
      </c>
      <c r="J1493" t="s">
        <v>19</v>
      </c>
      <c r="K1493" s="1">
        <v>45835</v>
      </c>
      <c r="L1493" s="1">
        <v>45877</v>
      </c>
      <c r="M1493" s="1" t="str">
        <f>TEXT(Table1[[#This Row],[appointment_date]],"MM/YYYY")</f>
        <v>08/2025</v>
      </c>
      <c r="N1493">
        <v>42</v>
      </c>
      <c r="O1493" t="str" cm="1">
        <f t="array" ref="O1493">_xlfn.IFS(Table1[[#This Row],[lead_time_days]]&lt;=7,"0-7 days",N1493&lt;=14,"8-14 days",N1493&lt;=30,"15-30 days",N1493&lt;=60,"31-60 days",TRUE,"61+ days")</f>
        <v>31-60 days</v>
      </c>
      <c r="P1493" t="s">
        <v>52</v>
      </c>
      <c r="Q1493" t="s">
        <v>21</v>
      </c>
      <c r="R1493">
        <v>0</v>
      </c>
      <c r="S1493" t="str">
        <f>IF(Table1[prior_dna_count]&gt;=1,"Has prior DNA history","No prior DNA history")</f>
        <v>No prior DNA history</v>
      </c>
      <c r="T1493" t="s">
        <v>22</v>
      </c>
      <c r="U1493" t="str">
        <f t="shared" si="23"/>
        <v>0</v>
      </c>
      <c r="V1493" t="str">
        <f>IF(Table1[appointment_status]="Attended","1","0")</f>
        <v>1</v>
      </c>
      <c r="W1493" t="str">
        <f>IF(Table1[appointment_status]="Cancelled","1","0")</f>
        <v>0</v>
      </c>
    </row>
    <row r="1494" spans="1:23">
      <c r="A1494" t="s">
        <v>2512</v>
      </c>
      <c r="B1494" t="s">
        <v>636</v>
      </c>
      <c r="C1494">
        <v>31</v>
      </c>
      <c r="D1494" t="str" cm="1">
        <f t="array" ref="D1494">_xlfn.IFS(Table1[[#This Row],[age]]&lt;=17,"0-17",C1494&lt;=29,"18-29",C1494&lt;=44,"30-44",C1494&lt;=59,"45-59",C1494&lt;=74,"60-74",TRUE,"75+")</f>
        <v>30-44</v>
      </c>
      <c r="E1494" t="s">
        <v>17</v>
      </c>
      <c r="F1494">
        <v>1</v>
      </c>
      <c r="G1494" t="str" cm="1">
        <f t="array" ref="G1494">_xlfn.IFS(_xlfn.SINGLE(Table1[imd_decile])&lt;=3,"Most Deprived",F1494&lt;=7,"Moderately Deprived",F1494&lt;=10,"Least Deprived")</f>
        <v>Most Deprived</v>
      </c>
      <c r="H1494">
        <v>4.5999999999999996</v>
      </c>
      <c r="I1494" t="s">
        <v>18</v>
      </c>
      <c r="J1494" t="s">
        <v>19</v>
      </c>
      <c r="K1494" s="1">
        <v>45828</v>
      </c>
      <c r="L1494" s="1">
        <v>45877</v>
      </c>
      <c r="M1494" s="1" t="str">
        <f>TEXT(Table1[[#This Row],[appointment_date]],"MM/YYYY")</f>
        <v>08/2025</v>
      </c>
      <c r="N1494">
        <v>49</v>
      </c>
      <c r="O1494" t="str" cm="1">
        <f t="array" ref="O1494">_xlfn.IFS(Table1[[#This Row],[lead_time_days]]&lt;=7,"0-7 days",N1494&lt;=14,"8-14 days",N1494&lt;=30,"15-30 days",N1494&lt;=60,"31-60 days",TRUE,"61+ days")</f>
        <v>31-60 days</v>
      </c>
      <c r="P1494" t="s">
        <v>52</v>
      </c>
      <c r="Q1494" t="s">
        <v>32</v>
      </c>
      <c r="R1494">
        <v>0</v>
      </c>
      <c r="S1494" t="str">
        <f>IF(Table1[prior_dna_count]&gt;=1,"Has prior DNA history","No prior DNA history")</f>
        <v>No prior DNA history</v>
      </c>
      <c r="T1494" t="s">
        <v>22</v>
      </c>
      <c r="U1494" t="str">
        <f t="shared" si="23"/>
        <v>1</v>
      </c>
      <c r="V1494" t="str">
        <f>IF(Table1[appointment_status]="Attended","1","0")</f>
        <v>1</v>
      </c>
      <c r="W1494" t="str">
        <f>IF(Table1[appointment_status]="Cancelled","1","0")</f>
        <v>0</v>
      </c>
    </row>
    <row r="1495" spans="1:23">
      <c r="A1495" t="s">
        <v>2513</v>
      </c>
      <c r="B1495" t="s">
        <v>2514</v>
      </c>
      <c r="C1495">
        <v>85</v>
      </c>
      <c r="D1495" t="str" cm="1">
        <f t="array" ref="D1495">_xlfn.IFS(Table1[[#This Row],[age]]&lt;=17,"0-17",C1495&lt;=29,"18-29",C1495&lt;=44,"30-44",C1495&lt;=59,"45-59",C1495&lt;=74,"60-74",TRUE,"75+")</f>
        <v>75+</v>
      </c>
      <c r="E1495" t="s">
        <v>29</v>
      </c>
      <c r="F1495">
        <v>1</v>
      </c>
      <c r="G1495" t="str" cm="1">
        <f t="array" ref="G1495">_xlfn.IFS(_xlfn.SINGLE(Table1[imd_decile])&lt;=3,"Most Deprived",F1495&lt;=7,"Moderately Deprived",F1495&lt;=10,"Least Deprived")</f>
        <v>Most Deprived</v>
      </c>
      <c r="H1495">
        <v>0.7</v>
      </c>
      <c r="I1495" t="s">
        <v>25</v>
      </c>
      <c r="J1495" t="s">
        <v>26</v>
      </c>
      <c r="K1495" s="1">
        <v>45832</v>
      </c>
      <c r="L1495" s="1">
        <v>45877</v>
      </c>
      <c r="M1495" s="1" t="str">
        <f>TEXT(Table1[[#This Row],[appointment_date]],"MM/YYYY")</f>
        <v>08/2025</v>
      </c>
      <c r="N1495">
        <v>45</v>
      </c>
      <c r="O1495" t="str" cm="1">
        <f t="array" ref="O1495">_xlfn.IFS(Table1[[#This Row],[lead_time_days]]&lt;=7,"0-7 days",N1495&lt;=14,"8-14 days",N1495&lt;=30,"15-30 days",N1495&lt;=60,"31-60 days",TRUE,"61+ days")</f>
        <v>31-60 days</v>
      </c>
      <c r="P1495" t="s">
        <v>52</v>
      </c>
      <c r="Q1495" t="s">
        <v>32</v>
      </c>
      <c r="R1495">
        <v>0</v>
      </c>
      <c r="S1495" t="str">
        <f>IF(Table1[prior_dna_count]&gt;=1,"Has prior DNA history","No prior DNA history")</f>
        <v>No prior DNA history</v>
      </c>
      <c r="T1495" t="s">
        <v>22</v>
      </c>
      <c r="U1495" t="str">
        <f t="shared" si="23"/>
        <v>1</v>
      </c>
      <c r="V1495" t="str">
        <f>IF(Table1[appointment_status]="Attended","1","0")</f>
        <v>1</v>
      </c>
      <c r="W1495" t="str">
        <f>IF(Table1[appointment_status]="Cancelled","1","0")</f>
        <v>0</v>
      </c>
    </row>
    <row r="1496" spans="1:23">
      <c r="A1496" t="s">
        <v>2515</v>
      </c>
      <c r="B1496" t="s">
        <v>2516</v>
      </c>
      <c r="C1496">
        <v>66</v>
      </c>
      <c r="D1496" t="str" cm="1">
        <f t="array" ref="D1496">_xlfn.IFS(Table1[[#This Row],[age]]&lt;=17,"0-17",C1496&lt;=29,"18-29",C1496&lt;=44,"30-44",C1496&lt;=59,"45-59",C1496&lt;=74,"60-74",TRUE,"75+")</f>
        <v>60-74</v>
      </c>
      <c r="E1496" t="s">
        <v>17</v>
      </c>
      <c r="F1496">
        <v>6</v>
      </c>
      <c r="G1496" t="str" cm="1">
        <f t="array" ref="G1496">_xlfn.IFS(_xlfn.SINGLE(Table1[imd_decile])&lt;=3,"Most Deprived",F1496&lt;=7,"Moderately Deprived",F1496&lt;=10,"Least Deprived")</f>
        <v>Moderately Deprived</v>
      </c>
      <c r="H1496">
        <v>11.6</v>
      </c>
      <c r="I1496" t="s">
        <v>49</v>
      </c>
      <c r="J1496" t="s">
        <v>19</v>
      </c>
      <c r="K1496" s="1">
        <v>45847</v>
      </c>
      <c r="L1496" s="1">
        <v>45877</v>
      </c>
      <c r="M1496" s="1" t="str">
        <f>TEXT(Table1[[#This Row],[appointment_date]],"MM/YYYY")</f>
        <v>08/2025</v>
      </c>
      <c r="N1496">
        <v>30</v>
      </c>
      <c r="O1496" t="str" cm="1">
        <f t="array" ref="O1496">_xlfn.IFS(Table1[[#This Row],[lead_time_days]]&lt;=7,"0-7 days",N1496&lt;=14,"8-14 days",N1496&lt;=30,"15-30 days",N1496&lt;=60,"31-60 days",TRUE,"61+ days")</f>
        <v>15-30 days</v>
      </c>
      <c r="P1496" t="s">
        <v>52</v>
      </c>
      <c r="Q1496" t="s">
        <v>21</v>
      </c>
      <c r="R1496">
        <v>0</v>
      </c>
      <c r="S1496" t="str">
        <f>IF(Table1[prior_dna_count]&gt;=1,"Has prior DNA history","No prior DNA history")</f>
        <v>No prior DNA history</v>
      </c>
      <c r="T1496" t="s">
        <v>22</v>
      </c>
      <c r="U1496" t="str">
        <f t="shared" si="23"/>
        <v>1</v>
      </c>
      <c r="V1496" t="str">
        <f>IF(Table1[appointment_status]="Attended","1","0")</f>
        <v>1</v>
      </c>
      <c r="W1496" t="str">
        <f>IF(Table1[appointment_status]="Cancelled","1","0")</f>
        <v>0</v>
      </c>
    </row>
    <row r="1497" spans="1:23">
      <c r="A1497" t="s">
        <v>2517</v>
      </c>
      <c r="B1497" t="s">
        <v>496</v>
      </c>
      <c r="C1497">
        <v>57</v>
      </c>
      <c r="D1497" t="str" cm="1">
        <f t="array" ref="D1497">_xlfn.IFS(Table1[[#This Row],[age]]&lt;=17,"0-17",C1497&lt;=29,"18-29",C1497&lt;=44,"30-44",C1497&lt;=59,"45-59",C1497&lt;=74,"60-74",TRUE,"75+")</f>
        <v>45-59</v>
      </c>
      <c r="E1497" t="s">
        <v>17</v>
      </c>
      <c r="F1497">
        <v>2</v>
      </c>
      <c r="G1497" t="str" cm="1">
        <f t="array" ref="G1497">_xlfn.IFS(_xlfn.SINGLE(Table1[imd_decile])&lt;=3,"Most Deprived",F1497&lt;=7,"Moderately Deprived",F1497&lt;=10,"Least Deprived")</f>
        <v>Most Deprived</v>
      </c>
      <c r="H1497">
        <v>2.7</v>
      </c>
      <c r="I1497" t="s">
        <v>91</v>
      </c>
      <c r="J1497" t="s">
        <v>26</v>
      </c>
      <c r="K1497" s="1">
        <v>45866</v>
      </c>
      <c r="L1497" s="1">
        <v>45877</v>
      </c>
      <c r="M1497" s="1" t="str">
        <f>TEXT(Table1[[#This Row],[appointment_date]],"MM/YYYY")</f>
        <v>08/2025</v>
      </c>
      <c r="N1497">
        <v>11</v>
      </c>
      <c r="O1497" t="str" cm="1">
        <f t="array" ref="O1497">_xlfn.IFS(Table1[[#This Row],[lead_time_days]]&lt;=7,"0-7 days",N1497&lt;=14,"8-14 days",N1497&lt;=30,"15-30 days",N1497&lt;=60,"31-60 days",TRUE,"61+ days")</f>
        <v>8-14 days</v>
      </c>
      <c r="P1497" t="s">
        <v>52</v>
      </c>
      <c r="Q1497" t="s">
        <v>32</v>
      </c>
      <c r="R1497">
        <v>0</v>
      </c>
      <c r="S1497" t="str">
        <f>IF(Table1[prior_dna_count]&gt;=1,"Has prior DNA history","No prior DNA history")</f>
        <v>No prior DNA history</v>
      </c>
      <c r="T1497" t="s">
        <v>22</v>
      </c>
      <c r="U1497" t="str">
        <f t="shared" si="23"/>
        <v>1</v>
      </c>
      <c r="V1497" t="str">
        <f>IF(Table1[appointment_status]="Attended","1","0")</f>
        <v>1</v>
      </c>
      <c r="W1497" t="str">
        <f>IF(Table1[appointment_status]="Cancelled","1","0")</f>
        <v>0</v>
      </c>
    </row>
    <row r="1498" spans="1:23">
      <c r="A1498" t="s">
        <v>2518</v>
      </c>
      <c r="B1498" t="s">
        <v>1115</v>
      </c>
      <c r="C1498">
        <v>75</v>
      </c>
      <c r="D1498" t="str" cm="1">
        <f t="array" ref="D1498">_xlfn.IFS(Table1[[#This Row],[age]]&lt;=17,"0-17",C1498&lt;=29,"18-29",C1498&lt;=44,"30-44",C1498&lt;=59,"45-59",C1498&lt;=74,"60-74",TRUE,"75+")</f>
        <v>75+</v>
      </c>
      <c r="E1498" t="s">
        <v>29</v>
      </c>
      <c r="F1498">
        <v>9</v>
      </c>
      <c r="G1498" t="str" cm="1">
        <f t="array" ref="G1498">_xlfn.IFS(_xlfn.SINGLE(Table1[imd_decile])&lt;=3,"Most Deprived",F1498&lt;=7,"Moderately Deprived",F1498&lt;=10,"Least Deprived")</f>
        <v>Least Deprived</v>
      </c>
      <c r="H1498">
        <v>1.3</v>
      </c>
      <c r="I1498" t="s">
        <v>25</v>
      </c>
      <c r="J1498" t="s">
        <v>26</v>
      </c>
      <c r="K1498" s="1">
        <v>45859</v>
      </c>
      <c r="L1498" s="1">
        <v>45877</v>
      </c>
      <c r="M1498" s="1" t="str">
        <f>TEXT(Table1[[#This Row],[appointment_date]],"MM/YYYY")</f>
        <v>08/2025</v>
      </c>
      <c r="N1498">
        <v>18</v>
      </c>
      <c r="O1498" t="str" cm="1">
        <f t="array" ref="O1498">_xlfn.IFS(Table1[[#This Row],[lead_time_days]]&lt;=7,"0-7 days",N1498&lt;=14,"8-14 days",N1498&lt;=30,"15-30 days",N1498&lt;=60,"31-60 days",TRUE,"61+ days")</f>
        <v>15-30 days</v>
      </c>
      <c r="P1498" t="s">
        <v>52</v>
      </c>
      <c r="Q1498" t="s">
        <v>21</v>
      </c>
      <c r="R1498">
        <v>1</v>
      </c>
      <c r="S1498" t="str">
        <f>IF(Table1[prior_dna_count]&gt;=1,"Has prior DNA history","No prior DNA history")</f>
        <v>Has prior DNA history</v>
      </c>
      <c r="T1498" t="s">
        <v>22</v>
      </c>
      <c r="U1498" t="str">
        <f t="shared" si="23"/>
        <v>1</v>
      </c>
      <c r="V1498" t="str">
        <f>IF(Table1[appointment_status]="Attended","1","0")</f>
        <v>1</v>
      </c>
      <c r="W1498" t="str">
        <f>IF(Table1[appointment_status]="Cancelled","1","0")</f>
        <v>0</v>
      </c>
    </row>
    <row r="1499" spans="1:23">
      <c r="A1499" t="s">
        <v>2519</v>
      </c>
      <c r="B1499" t="s">
        <v>2520</v>
      </c>
      <c r="C1499">
        <v>31</v>
      </c>
      <c r="D1499" t="str" cm="1">
        <f t="array" ref="D1499">_xlfn.IFS(Table1[[#This Row],[age]]&lt;=17,"0-17",C1499&lt;=29,"18-29",C1499&lt;=44,"30-44",C1499&lt;=59,"45-59",C1499&lt;=74,"60-74",TRUE,"75+")</f>
        <v>30-44</v>
      </c>
      <c r="E1499" t="s">
        <v>17</v>
      </c>
      <c r="F1499">
        <v>9</v>
      </c>
      <c r="G1499" t="str" cm="1">
        <f t="array" ref="G1499">_xlfn.IFS(_xlfn.SINGLE(Table1[imd_decile])&lt;=3,"Most Deprived",F1499&lt;=7,"Moderately Deprived",F1499&lt;=10,"Least Deprived")</f>
        <v>Least Deprived</v>
      </c>
      <c r="H1499">
        <v>8.4</v>
      </c>
      <c r="I1499" t="s">
        <v>45</v>
      </c>
      <c r="J1499" t="s">
        <v>26</v>
      </c>
      <c r="K1499" s="1">
        <v>45865</v>
      </c>
      <c r="L1499" s="1">
        <v>45877</v>
      </c>
      <c r="M1499" s="1" t="str">
        <f>TEXT(Table1[[#This Row],[appointment_date]],"MM/YYYY")</f>
        <v>08/2025</v>
      </c>
      <c r="N1499">
        <v>12</v>
      </c>
      <c r="O1499" t="str" cm="1">
        <f t="array" ref="O1499">_xlfn.IFS(Table1[[#This Row],[lead_time_days]]&lt;=7,"0-7 days",N1499&lt;=14,"8-14 days",N1499&lt;=30,"15-30 days",N1499&lt;=60,"31-60 days",TRUE,"61+ days")</f>
        <v>8-14 days</v>
      </c>
      <c r="P1499" t="s">
        <v>52</v>
      </c>
      <c r="Q1499" t="s">
        <v>21</v>
      </c>
      <c r="R1499">
        <v>0</v>
      </c>
      <c r="S1499" t="str">
        <f>IF(Table1[prior_dna_count]&gt;=1,"Has prior DNA history","No prior DNA history")</f>
        <v>No prior DNA history</v>
      </c>
      <c r="T1499" t="s">
        <v>22</v>
      </c>
      <c r="U1499" t="str">
        <f t="shared" si="23"/>
        <v>1</v>
      </c>
      <c r="V1499" t="str">
        <f>IF(Table1[appointment_status]="Attended","1","0")</f>
        <v>1</v>
      </c>
      <c r="W1499" t="str">
        <f>IF(Table1[appointment_status]="Cancelled","1","0")</f>
        <v>0</v>
      </c>
    </row>
    <row r="1500" spans="1:23">
      <c r="A1500" t="s">
        <v>2521</v>
      </c>
      <c r="B1500" t="s">
        <v>572</v>
      </c>
      <c r="C1500">
        <v>53</v>
      </c>
      <c r="D1500" t="str" cm="1">
        <f t="array" ref="D1500">_xlfn.IFS(Table1[[#This Row],[age]]&lt;=17,"0-17",C1500&lt;=29,"18-29",C1500&lt;=44,"30-44",C1500&lt;=59,"45-59",C1500&lt;=74,"60-74",TRUE,"75+")</f>
        <v>45-59</v>
      </c>
      <c r="E1500" t="s">
        <v>17</v>
      </c>
      <c r="F1500">
        <v>10</v>
      </c>
      <c r="G1500" t="str" cm="1">
        <f t="array" ref="G1500">_xlfn.IFS(_xlfn.SINGLE(Table1[imd_decile])&lt;=3,"Most Deprived",F1500&lt;=7,"Moderately Deprived",F1500&lt;=10,"Least Deprived")</f>
        <v>Least Deprived</v>
      </c>
      <c r="H1500">
        <v>18.399999999999999</v>
      </c>
      <c r="I1500" t="s">
        <v>49</v>
      </c>
      <c r="J1500" t="s">
        <v>26</v>
      </c>
      <c r="K1500" s="1">
        <v>45845</v>
      </c>
      <c r="L1500" s="1">
        <v>45878</v>
      </c>
      <c r="M1500" s="1" t="str">
        <f>TEXT(Table1[[#This Row],[appointment_date]],"MM/YYYY")</f>
        <v>08/2025</v>
      </c>
      <c r="N1500">
        <v>33</v>
      </c>
      <c r="O1500" t="str" cm="1">
        <f t="array" ref="O1500">_xlfn.IFS(Table1[[#This Row],[lead_time_days]]&lt;=7,"0-7 days",N1500&lt;=14,"8-14 days",N1500&lt;=30,"15-30 days",N1500&lt;=60,"31-60 days",TRUE,"61+ days")</f>
        <v>31-60 days</v>
      </c>
      <c r="P1500" t="s">
        <v>55</v>
      </c>
      <c r="Q1500" t="s">
        <v>21</v>
      </c>
      <c r="R1500">
        <v>0</v>
      </c>
      <c r="S1500" t="str">
        <f>IF(Table1[prior_dna_count]&gt;=1,"Has prior DNA history","No prior DNA history")</f>
        <v>No prior DNA history</v>
      </c>
      <c r="T1500" t="s">
        <v>46</v>
      </c>
      <c r="U1500" t="str">
        <f t="shared" si="23"/>
        <v>1</v>
      </c>
      <c r="V1500" t="str">
        <f>IF(Table1[appointment_status]="Attended","1","0")</f>
        <v>0</v>
      </c>
      <c r="W1500" t="str">
        <f>IF(Table1[appointment_status]="Cancelled","1","0")</f>
        <v>1</v>
      </c>
    </row>
    <row r="1501" spans="1:23">
      <c r="A1501" t="s">
        <v>2522</v>
      </c>
      <c r="B1501" t="s">
        <v>2043</v>
      </c>
      <c r="C1501">
        <v>55</v>
      </c>
      <c r="D1501" t="str" cm="1">
        <f t="array" ref="D1501">_xlfn.IFS(Table1[[#This Row],[age]]&lt;=17,"0-17",C1501&lt;=29,"18-29",C1501&lt;=44,"30-44",C1501&lt;=59,"45-59",C1501&lt;=74,"60-74",TRUE,"75+")</f>
        <v>45-59</v>
      </c>
      <c r="E1501" t="s">
        <v>17</v>
      </c>
      <c r="F1501">
        <v>8</v>
      </c>
      <c r="G1501" t="str" cm="1">
        <f t="array" ref="G1501">_xlfn.IFS(_xlfn.SINGLE(Table1[imd_decile])&lt;=3,"Most Deprived",F1501&lt;=7,"Moderately Deprived",F1501&lt;=10,"Least Deprived")</f>
        <v>Least Deprived</v>
      </c>
      <c r="H1501">
        <v>1.9</v>
      </c>
      <c r="I1501" t="s">
        <v>25</v>
      </c>
      <c r="J1501" t="s">
        <v>19</v>
      </c>
      <c r="K1501" s="1">
        <v>45854</v>
      </c>
      <c r="L1501" s="1">
        <v>45878</v>
      </c>
      <c r="M1501" s="1" t="str">
        <f>TEXT(Table1[[#This Row],[appointment_date]],"MM/YYYY")</f>
        <v>08/2025</v>
      </c>
      <c r="N1501">
        <v>24</v>
      </c>
      <c r="O1501" t="str" cm="1">
        <f t="array" ref="O1501">_xlfn.IFS(Table1[[#This Row],[lead_time_days]]&lt;=7,"0-7 days",N1501&lt;=14,"8-14 days",N1501&lt;=30,"15-30 days",N1501&lt;=60,"31-60 days",TRUE,"61+ days")</f>
        <v>15-30 days</v>
      </c>
      <c r="P1501" t="s">
        <v>55</v>
      </c>
      <c r="Q1501" t="s">
        <v>21</v>
      </c>
      <c r="R1501">
        <v>0</v>
      </c>
      <c r="S1501" t="str">
        <f>IF(Table1[prior_dna_count]&gt;=1,"Has prior DNA history","No prior DNA history")</f>
        <v>No prior DNA history</v>
      </c>
      <c r="T1501" t="s">
        <v>22</v>
      </c>
      <c r="U1501" t="str">
        <f t="shared" si="23"/>
        <v>0</v>
      </c>
      <c r="V1501" t="str">
        <f>IF(Table1[appointment_status]="Attended","1","0")</f>
        <v>1</v>
      </c>
      <c r="W1501" t="str">
        <f>IF(Table1[appointment_status]="Cancelled","1","0")</f>
        <v>0</v>
      </c>
    </row>
    <row r="1502" spans="1:23">
      <c r="A1502" t="s">
        <v>2523</v>
      </c>
      <c r="B1502" t="s">
        <v>294</v>
      </c>
      <c r="C1502">
        <v>83</v>
      </c>
      <c r="D1502" t="str" cm="1">
        <f t="array" ref="D1502">_xlfn.IFS(Table1[[#This Row],[age]]&lt;=17,"0-17",C1502&lt;=29,"18-29",C1502&lt;=44,"30-44",C1502&lt;=59,"45-59",C1502&lt;=74,"60-74",TRUE,"75+")</f>
        <v>75+</v>
      </c>
      <c r="E1502" t="s">
        <v>17</v>
      </c>
      <c r="F1502">
        <v>4</v>
      </c>
      <c r="G1502" t="str" cm="1">
        <f t="array" ref="G1502">_xlfn.IFS(_xlfn.SINGLE(Table1[imd_decile])&lt;=3,"Most Deprived",F1502&lt;=7,"Moderately Deprived",F1502&lt;=10,"Least Deprived")</f>
        <v>Moderately Deprived</v>
      </c>
      <c r="H1502">
        <v>7</v>
      </c>
      <c r="I1502" t="s">
        <v>30</v>
      </c>
      <c r="J1502" t="s">
        <v>19</v>
      </c>
      <c r="K1502" s="1">
        <v>45849</v>
      </c>
      <c r="L1502" s="1">
        <v>45878</v>
      </c>
      <c r="M1502" s="1" t="str">
        <f>TEXT(Table1[[#This Row],[appointment_date]],"MM/YYYY")</f>
        <v>08/2025</v>
      </c>
      <c r="N1502">
        <v>29</v>
      </c>
      <c r="O1502" t="str" cm="1">
        <f t="array" ref="O1502">_xlfn.IFS(Table1[[#This Row],[lead_time_days]]&lt;=7,"0-7 days",N1502&lt;=14,"8-14 days",N1502&lt;=30,"15-30 days",N1502&lt;=60,"31-60 days",TRUE,"61+ days")</f>
        <v>15-30 days</v>
      </c>
      <c r="P1502" t="s">
        <v>55</v>
      </c>
      <c r="Q1502" t="s">
        <v>32</v>
      </c>
      <c r="R1502">
        <v>0</v>
      </c>
      <c r="S1502" t="str">
        <f>IF(Table1[prior_dna_count]&gt;=1,"Has prior DNA history","No prior DNA history")</f>
        <v>No prior DNA history</v>
      </c>
      <c r="T1502" t="s">
        <v>22</v>
      </c>
      <c r="U1502" t="str">
        <f t="shared" si="23"/>
        <v>1</v>
      </c>
      <c r="V1502" t="str">
        <f>IF(Table1[appointment_status]="Attended","1","0")</f>
        <v>1</v>
      </c>
      <c r="W1502" t="str">
        <f>IF(Table1[appointment_status]="Cancelled","1","0")</f>
        <v>0</v>
      </c>
    </row>
    <row r="1503" spans="1:23">
      <c r="A1503" t="s">
        <v>2524</v>
      </c>
      <c r="B1503" t="s">
        <v>2525</v>
      </c>
      <c r="C1503">
        <v>45</v>
      </c>
      <c r="D1503" t="str" cm="1">
        <f t="array" ref="D1503">_xlfn.IFS(Table1[[#This Row],[age]]&lt;=17,"0-17",C1503&lt;=29,"18-29",C1503&lt;=44,"30-44",C1503&lt;=59,"45-59",C1503&lt;=74,"60-74",TRUE,"75+")</f>
        <v>45-59</v>
      </c>
      <c r="E1503" t="s">
        <v>17</v>
      </c>
      <c r="F1503">
        <v>3</v>
      </c>
      <c r="G1503" t="str" cm="1">
        <f t="array" ref="G1503">_xlfn.IFS(_xlfn.SINGLE(Table1[imd_decile])&lt;=3,"Most Deprived",F1503&lt;=7,"Moderately Deprived",F1503&lt;=10,"Least Deprived")</f>
        <v>Most Deprived</v>
      </c>
      <c r="H1503">
        <v>5.0999999999999996</v>
      </c>
      <c r="I1503" t="s">
        <v>42</v>
      </c>
      <c r="J1503" t="s">
        <v>26</v>
      </c>
      <c r="K1503" s="1">
        <v>45871</v>
      </c>
      <c r="L1503" s="1">
        <v>45878</v>
      </c>
      <c r="M1503" s="1" t="str">
        <f>TEXT(Table1[[#This Row],[appointment_date]],"MM/YYYY")</f>
        <v>08/2025</v>
      </c>
      <c r="N1503">
        <v>7</v>
      </c>
      <c r="O1503" t="str" cm="1">
        <f t="array" ref="O1503">_xlfn.IFS(Table1[[#This Row],[lead_time_days]]&lt;=7,"0-7 days",N1503&lt;=14,"8-14 days",N1503&lt;=30,"15-30 days",N1503&lt;=60,"31-60 days",TRUE,"61+ days")</f>
        <v>0-7 days</v>
      </c>
      <c r="P1503" t="s">
        <v>55</v>
      </c>
      <c r="Q1503" t="s">
        <v>21</v>
      </c>
      <c r="R1503">
        <v>0</v>
      </c>
      <c r="S1503" t="str">
        <f>IF(Table1[prior_dna_count]&gt;=1,"Has prior DNA history","No prior DNA history")</f>
        <v>No prior DNA history</v>
      </c>
      <c r="T1503" t="s">
        <v>22</v>
      </c>
      <c r="U1503" t="str">
        <f t="shared" si="23"/>
        <v>1</v>
      </c>
      <c r="V1503" t="str">
        <f>IF(Table1[appointment_status]="Attended","1","0")</f>
        <v>1</v>
      </c>
      <c r="W1503" t="str">
        <f>IF(Table1[appointment_status]="Cancelled","1","0")</f>
        <v>0</v>
      </c>
    </row>
    <row r="1504" spans="1:23">
      <c r="A1504" t="s">
        <v>2526</v>
      </c>
      <c r="B1504" t="s">
        <v>2527</v>
      </c>
      <c r="C1504">
        <v>29</v>
      </c>
      <c r="D1504" t="str" cm="1">
        <f t="array" ref="D1504">_xlfn.IFS(Table1[[#This Row],[age]]&lt;=17,"0-17",C1504&lt;=29,"18-29",C1504&lt;=44,"30-44",C1504&lt;=59,"45-59",C1504&lt;=74,"60-74",TRUE,"75+")</f>
        <v>18-29</v>
      </c>
      <c r="E1504" t="s">
        <v>29</v>
      </c>
      <c r="F1504">
        <v>9</v>
      </c>
      <c r="G1504" t="str" cm="1">
        <f t="array" ref="G1504">_xlfn.IFS(_xlfn.SINGLE(Table1[imd_decile])&lt;=3,"Most Deprived",F1504&lt;=7,"Moderately Deprived",F1504&lt;=10,"Least Deprived")</f>
        <v>Least Deprived</v>
      </c>
      <c r="H1504">
        <v>7.6</v>
      </c>
      <c r="I1504" t="s">
        <v>38</v>
      </c>
      <c r="J1504" t="s">
        <v>19</v>
      </c>
      <c r="K1504" s="1">
        <v>45842</v>
      </c>
      <c r="L1504" s="1">
        <v>45879</v>
      </c>
      <c r="M1504" s="1" t="str">
        <f>TEXT(Table1[[#This Row],[appointment_date]],"MM/YYYY")</f>
        <v>08/2025</v>
      </c>
      <c r="N1504">
        <v>37</v>
      </c>
      <c r="O1504" t="str" cm="1">
        <f t="array" ref="O1504">_xlfn.IFS(Table1[[#This Row],[lead_time_days]]&lt;=7,"0-7 days",N1504&lt;=14,"8-14 days",N1504&lt;=30,"15-30 days",N1504&lt;=60,"31-60 days",TRUE,"61+ days")</f>
        <v>31-60 days</v>
      </c>
      <c r="P1504" t="s">
        <v>31</v>
      </c>
      <c r="Q1504" t="s">
        <v>21</v>
      </c>
      <c r="R1504">
        <v>0</v>
      </c>
      <c r="S1504" t="str">
        <f>IF(Table1[prior_dna_count]&gt;=1,"Has prior DNA history","No prior DNA history")</f>
        <v>No prior DNA history</v>
      </c>
      <c r="T1504" t="s">
        <v>22</v>
      </c>
      <c r="U1504" t="str">
        <f t="shared" si="23"/>
        <v>1</v>
      </c>
      <c r="V1504" t="str">
        <f>IF(Table1[appointment_status]="Attended","1","0")</f>
        <v>1</v>
      </c>
      <c r="W1504" t="str">
        <f>IF(Table1[appointment_status]="Cancelled","1","0")</f>
        <v>0</v>
      </c>
    </row>
    <row r="1505" spans="1:23">
      <c r="A1505" t="s">
        <v>2528</v>
      </c>
      <c r="B1505" t="s">
        <v>1184</v>
      </c>
      <c r="C1505">
        <v>64</v>
      </c>
      <c r="D1505" t="str" cm="1">
        <f t="array" ref="D1505">_xlfn.IFS(Table1[[#This Row],[age]]&lt;=17,"0-17",C1505&lt;=29,"18-29",C1505&lt;=44,"30-44",C1505&lt;=59,"45-59",C1505&lt;=74,"60-74",TRUE,"75+")</f>
        <v>60-74</v>
      </c>
      <c r="E1505" t="s">
        <v>17</v>
      </c>
      <c r="F1505">
        <v>1</v>
      </c>
      <c r="G1505" t="str" cm="1">
        <f t="array" ref="G1505">_xlfn.IFS(_xlfn.SINGLE(Table1[imd_decile])&lt;=3,"Most Deprived",F1505&lt;=7,"Moderately Deprived",F1505&lt;=10,"Least Deprived")</f>
        <v>Most Deprived</v>
      </c>
      <c r="H1505">
        <v>11.1</v>
      </c>
      <c r="I1505" t="s">
        <v>91</v>
      </c>
      <c r="J1505" t="s">
        <v>26</v>
      </c>
      <c r="K1505" s="1">
        <v>45833</v>
      </c>
      <c r="L1505" s="1">
        <v>45879</v>
      </c>
      <c r="M1505" s="1" t="str">
        <f>TEXT(Table1[[#This Row],[appointment_date]],"MM/YYYY")</f>
        <v>08/2025</v>
      </c>
      <c r="N1505">
        <v>46</v>
      </c>
      <c r="O1505" t="str" cm="1">
        <f t="array" ref="O1505">_xlfn.IFS(Table1[[#This Row],[lead_time_days]]&lt;=7,"0-7 days",N1505&lt;=14,"8-14 days",N1505&lt;=30,"15-30 days",N1505&lt;=60,"31-60 days",TRUE,"61+ days")</f>
        <v>31-60 days</v>
      </c>
      <c r="P1505" t="s">
        <v>31</v>
      </c>
      <c r="Q1505" t="s">
        <v>21</v>
      </c>
      <c r="R1505">
        <v>1</v>
      </c>
      <c r="S1505" t="str">
        <f>IF(Table1[prior_dna_count]&gt;=1,"Has prior DNA history","No prior DNA history")</f>
        <v>Has prior DNA history</v>
      </c>
      <c r="T1505" t="s">
        <v>46</v>
      </c>
      <c r="U1505" t="str">
        <f t="shared" si="23"/>
        <v>1</v>
      </c>
      <c r="V1505" t="str">
        <f>IF(Table1[appointment_status]="Attended","1","0")</f>
        <v>0</v>
      </c>
      <c r="W1505" t="str">
        <f>IF(Table1[appointment_status]="Cancelled","1","0")</f>
        <v>1</v>
      </c>
    </row>
    <row r="1506" spans="1:23">
      <c r="A1506" t="s">
        <v>2529</v>
      </c>
      <c r="B1506" t="s">
        <v>84</v>
      </c>
      <c r="C1506">
        <v>44</v>
      </c>
      <c r="D1506" t="str" cm="1">
        <f t="array" ref="D1506">_xlfn.IFS(Table1[[#This Row],[age]]&lt;=17,"0-17",C1506&lt;=29,"18-29",C1506&lt;=44,"30-44",C1506&lt;=59,"45-59",C1506&lt;=74,"60-74",TRUE,"75+")</f>
        <v>30-44</v>
      </c>
      <c r="E1506" t="s">
        <v>29</v>
      </c>
      <c r="F1506">
        <v>4</v>
      </c>
      <c r="G1506" t="str" cm="1">
        <f t="array" ref="G1506">_xlfn.IFS(_xlfn.SINGLE(Table1[imd_decile])&lt;=3,"Most Deprived",F1506&lt;=7,"Moderately Deprived",F1506&lt;=10,"Least Deprived")</f>
        <v>Moderately Deprived</v>
      </c>
      <c r="H1506">
        <v>8.6</v>
      </c>
      <c r="I1506" t="s">
        <v>30</v>
      </c>
      <c r="J1506" t="s">
        <v>19</v>
      </c>
      <c r="K1506" s="1">
        <v>45854</v>
      </c>
      <c r="L1506" s="1">
        <v>45879</v>
      </c>
      <c r="M1506" s="1" t="str">
        <f>TEXT(Table1[[#This Row],[appointment_date]],"MM/YYYY")</f>
        <v>08/2025</v>
      </c>
      <c r="N1506">
        <v>25</v>
      </c>
      <c r="O1506" t="str" cm="1">
        <f t="array" ref="O1506">_xlfn.IFS(Table1[[#This Row],[lead_time_days]]&lt;=7,"0-7 days",N1506&lt;=14,"8-14 days",N1506&lt;=30,"15-30 days",N1506&lt;=60,"31-60 days",TRUE,"61+ days")</f>
        <v>15-30 days</v>
      </c>
      <c r="P1506" t="s">
        <v>31</v>
      </c>
      <c r="Q1506" t="s">
        <v>21</v>
      </c>
      <c r="R1506">
        <v>0</v>
      </c>
      <c r="S1506" t="str">
        <f>IF(Table1[prior_dna_count]&gt;=1,"Has prior DNA history","No prior DNA history")</f>
        <v>No prior DNA history</v>
      </c>
      <c r="T1506" t="s">
        <v>22</v>
      </c>
      <c r="U1506" t="str">
        <f t="shared" si="23"/>
        <v>0</v>
      </c>
      <c r="V1506" t="str">
        <f>IF(Table1[appointment_status]="Attended","1","0")</f>
        <v>1</v>
      </c>
      <c r="W1506" t="str">
        <f>IF(Table1[appointment_status]="Cancelled","1","0")</f>
        <v>0</v>
      </c>
    </row>
    <row r="1507" spans="1:23">
      <c r="A1507" t="s">
        <v>2530</v>
      </c>
      <c r="B1507" t="s">
        <v>1559</v>
      </c>
      <c r="C1507">
        <v>61</v>
      </c>
      <c r="D1507" t="str" cm="1">
        <f t="array" ref="D1507">_xlfn.IFS(Table1[[#This Row],[age]]&lt;=17,"0-17",C1507&lt;=29,"18-29",C1507&lt;=44,"30-44",C1507&lt;=59,"45-59",C1507&lt;=74,"60-74",TRUE,"75+")</f>
        <v>60-74</v>
      </c>
      <c r="E1507" t="s">
        <v>29</v>
      </c>
      <c r="F1507">
        <v>10</v>
      </c>
      <c r="G1507" t="str" cm="1">
        <f t="array" ref="G1507">_xlfn.IFS(_xlfn.SINGLE(Table1[imd_decile])&lt;=3,"Most Deprived",F1507&lt;=7,"Moderately Deprived",F1507&lt;=10,"Least Deprived")</f>
        <v>Least Deprived</v>
      </c>
      <c r="H1507">
        <v>12.2</v>
      </c>
      <c r="I1507" t="s">
        <v>45</v>
      </c>
      <c r="J1507" t="s">
        <v>26</v>
      </c>
      <c r="K1507" s="1">
        <v>45844</v>
      </c>
      <c r="L1507" s="1">
        <v>45879</v>
      </c>
      <c r="M1507" s="1" t="str">
        <f>TEXT(Table1[[#This Row],[appointment_date]],"MM/YYYY")</f>
        <v>08/2025</v>
      </c>
      <c r="N1507">
        <v>35</v>
      </c>
      <c r="O1507" t="str" cm="1">
        <f t="array" ref="O1507">_xlfn.IFS(Table1[[#This Row],[lead_time_days]]&lt;=7,"0-7 days",N1507&lt;=14,"8-14 days",N1507&lt;=30,"15-30 days",N1507&lt;=60,"31-60 days",TRUE,"61+ days")</f>
        <v>31-60 days</v>
      </c>
      <c r="P1507" t="s">
        <v>31</v>
      </c>
      <c r="Q1507" t="s">
        <v>21</v>
      </c>
      <c r="R1507">
        <v>0</v>
      </c>
      <c r="S1507" t="str">
        <f>IF(Table1[prior_dna_count]&gt;=1,"Has prior DNA history","No prior DNA history")</f>
        <v>No prior DNA history</v>
      </c>
      <c r="T1507" t="s">
        <v>22</v>
      </c>
      <c r="U1507" t="str">
        <f t="shared" si="23"/>
        <v>1</v>
      </c>
      <c r="V1507" t="str">
        <f>IF(Table1[appointment_status]="Attended","1","0")</f>
        <v>1</v>
      </c>
      <c r="W1507" t="str">
        <f>IF(Table1[appointment_status]="Cancelled","1","0")</f>
        <v>0</v>
      </c>
    </row>
    <row r="1508" spans="1:23">
      <c r="A1508" t="s">
        <v>2531</v>
      </c>
      <c r="B1508" t="s">
        <v>578</v>
      </c>
      <c r="C1508">
        <v>84</v>
      </c>
      <c r="D1508" t="str" cm="1">
        <f t="array" ref="D1508">_xlfn.IFS(Table1[[#This Row],[age]]&lt;=17,"0-17",C1508&lt;=29,"18-29",C1508&lt;=44,"30-44",C1508&lt;=59,"45-59",C1508&lt;=74,"60-74",TRUE,"75+")</f>
        <v>75+</v>
      </c>
      <c r="E1508" t="s">
        <v>29</v>
      </c>
      <c r="F1508">
        <v>10</v>
      </c>
      <c r="G1508" t="str" cm="1">
        <f t="array" ref="G1508">_xlfn.IFS(_xlfn.SINGLE(Table1[imd_decile])&lt;=3,"Most Deprived",F1508&lt;=7,"Moderately Deprived",F1508&lt;=10,"Least Deprived")</f>
        <v>Least Deprived</v>
      </c>
      <c r="H1508">
        <v>11.9</v>
      </c>
      <c r="I1508" t="s">
        <v>18</v>
      </c>
      <c r="J1508" t="s">
        <v>19</v>
      </c>
      <c r="K1508" s="1">
        <v>45832</v>
      </c>
      <c r="L1508" s="1">
        <v>45879</v>
      </c>
      <c r="M1508" s="1" t="str">
        <f>TEXT(Table1[[#This Row],[appointment_date]],"MM/YYYY")</f>
        <v>08/2025</v>
      </c>
      <c r="N1508">
        <v>47</v>
      </c>
      <c r="O1508" t="str" cm="1">
        <f t="array" ref="O1508">_xlfn.IFS(Table1[[#This Row],[lead_time_days]]&lt;=7,"0-7 days",N1508&lt;=14,"8-14 days",N1508&lt;=30,"15-30 days",N1508&lt;=60,"31-60 days",TRUE,"61+ days")</f>
        <v>31-60 days</v>
      </c>
      <c r="P1508" t="s">
        <v>31</v>
      </c>
      <c r="Q1508" t="s">
        <v>21</v>
      </c>
      <c r="R1508">
        <v>0</v>
      </c>
      <c r="S1508" t="str">
        <f>IF(Table1[prior_dna_count]&gt;=1,"Has prior DNA history","No prior DNA history")</f>
        <v>No prior DNA history</v>
      </c>
      <c r="T1508" t="s">
        <v>22</v>
      </c>
      <c r="U1508" t="str">
        <f t="shared" si="23"/>
        <v>1</v>
      </c>
      <c r="V1508" t="str">
        <f>IF(Table1[appointment_status]="Attended","1","0")</f>
        <v>1</v>
      </c>
      <c r="W1508" t="str">
        <f>IF(Table1[appointment_status]="Cancelled","1","0")</f>
        <v>0</v>
      </c>
    </row>
    <row r="1509" spans="1:23">
      <c r="A1509" t="s">
        <v>2532</v>
      </c>
      <c r="B1509" t="s">
        <v>522</v>
      </c>
      <c r="C1509">
        <v>43</v>
      </c>
      <c r="D1509" t="str" cm="1">
        <f t="array" ref="D1509">_xlfn.IFS(Table1[[#This Row],[age]]&lt;=17,"0-17",C1509&lt;=29,"18-29",C1509&lt;=44,"30-44",C1509&lt;=59,"45-59",C1509&lt;=74,"60-74",TRUE,"75+")</f>
        <v>30-44</v>
      </c>
      <c r="E1509" t="s">
        <v>17</v>
      </c>
      <c r="F1509">
        <v>3</v>
      </c>
      <c r="G1509" t="str" cm="1">
        <f t="array" ref="G1509">_xlfn.IFS(_xlfn.SINGLE(Table1[imd_decile])&lt;=3,"Most Deprived",F1509&lt;=7,"Moderately Deprived",F1509&lt;=10,"Least Deprived")</f>
        <v>Most Deprived</v>
      </c>
      <c r="H1509">
        <v>3.8</v>
      </c>
      <c r="I1509" t="s">
        <v>18</v>
      </c>
      <c r="J1509" t="s">
        <v>19</v>
      </c>
      <c r="K1509" s="1">
        <v>45852</v>
      </c>
      <c r="L1509" s="1">
        <v>45879</v>
      </c>
      <c r="M1509" s="1" t="str">
        <f>TEXT(Table1[[#This Row],[appointment_date]],"MM/YYYY")</f>
        <v>08/2025</v>
      </c>
      <c r="N1509">
        <v>27</v>
      </c>
      <c r="O1509" t="str" cm="1">
        <f t="array" ref="O1509">_xlfn.IFS(Table1[[#This Row],[lead_time_days]]&lt;=7,"0-7 days",N1509&lt;=14,"8-14 days",N1509&lt;=30,"15-30 days",N1509&lt;=60,"31-60 days",TRUE,"61+ days")</f>
        <v>15-30 days</v>
      </c>
      <c r="P1509" t="s">
        <v>31</v>
      </c>
      <c r="Q1509" t="s">
        <v>21</v>
      </c>
      <c r="R1509">
        <v>0</v>
      </c>
      <c r="S1509" t="str">
        <f>IF(Table1[prior_dna_count]&gt;=1,"Has prior DNA history","No prior DNA history")</f>
        <v>No prior DNA history</v>
      </c>
      <c r="T1509" t="s">
        <v>22</v>
      </c>
      <c r="U1509" t="str">
        <f t="shared" si="23"/>
        <v>1</v>
      </c>
      <c r="V1509" t="str">
        <f>IF(Table1[appointment_status]="Attended","1","0")</f>
        <v>1</v>
      </c>
      <c r="W1509" t="str">
        <f>IF(Table1[appointment_status]="Cancelled","1","0")</f>
        <v>0</v>
      </c>
    </row>
    <row r="1510" spans="1:23">
      <c r="A1510" t="s">
        <v>2533</v>
      </c>
      <c r="B1510" t="s">
        <v>211</v>
      </c>
      <c r="C1510">
        <v>51</v>
      </c>
      <c r="D1510" t="str" cm="1">
        <f t="array" ref="D1510">_xlfn.IFS(Table1[[#This Row],[age]]&lt;=17,"0-17",C1510&lt;=29,"18-29",C1510&lt;=44,"30-44",C1510&lt;=59,"45-59",C1510&lt;=74,"60-74",TRUE,"75+")</f>
        <v>45-59</v>
      </c>
      <c r="E1510" t="s">
        <v>29</v>
      </c>
      <c r="F1510">
        <v>3</v>
      </c>
      <c r="G1510" t="str" cm="1">
        <f t="array" ref="G1510">_xlfn.IFS(_xlfn.SINGLE(Table1[imd_decile])&lt;=3,"Most Deprived",F1510&lt;=7,"Moderately Deprived",F1510&lt;=10,"Least Deprived")</f>
        <v>Most Deprived</v>
      </c>
      <c r="H1510">
        <v>4.9000000000000004</v>
      </c>
      <c r="I1510" t="s">
        <v>91</v>
      </c>
      <c r="J1510" t="s">
        <v>26</v>
      </c>
      <c r="K1510" s="1">
        <v>45847</v>
      </c>
      <c r="L1510" s="1">
        <v>45879</v>
      </c>
      <c r="M1510" s="1" t="str">
        <f>TEXT(Table1[[#This Row],[appointment_date]],"MM/YYYY")</f>
        <v>08/2025</v>
      </c>
      <c r="N1510">
        <v>32</v>
      </c>
      <c r="O1510" t="str" cm="1">
        <f t="array" ref="O1510">_xlfn.IFS(Table1[[#This Row],[lead_time_days]]&lt;=7,"0-7 days",N1510&lt;=14,"8-14 days",N1510&lt;=30,"15-30 days",N1510&lt;=60,"31-60 days",TRUE,"61+ days")</f>
        <v>31-60 days</v>
      </c>
      <c r="P1510" t="s">
        <v>31</v>
      </c>
      <c r="Q1510" t="s">
        <v>21</v>
      </c>
      <c r="R1510">
        <v>0</v>
      </c>
      <c r="S1510" t="str">
        <f>IF(Table1[prior_dna_count]&gt;=1,"Has prior DNA history","No prior DNA history")</f>
        <v>No prior DNA history</v>
      </c>
      <c r="T1510" t="s">
        <v>22</v>
      </c>
      <c r="U1510" t="str">
        <f t="shared" si="23"/>
        <v>1</v>
      </c>
      <c r="V1510" t="str">
        <f>IF(Table1[appointment_status]="Attended","1","0")</f>
        <v>1</v>
      </c>
      <c r="W1510" t="str">
        <f>IF(Table1[appointment_status]="Cancelled","1","0")</f>
        <v>0</v>
      </c>
    </row>
    <row r="1511" spans="1:23">
      <c r="A1511" t="s">
        <v>2534</v>
      </c>
      <c r="B1511" t="s">
        <v>1044</v>
      </c>
      <c r="C1511">
        <v>53</v>
      </c>
      <c r="D1511" t="str" cm="1">
        <f t="array" ref="D1511">_xlfn.IFS(Table1[[#This Row],[age]]&lt;=17,"0-17",C1511&lt;=29,"18-29",C1511&lt;=44,"30-44",C1511&lt;=59,"45-59",C1511&lt;=74,"60-74",TRUE,"75+")</f>
        <v>45-59</v>
      </c>
      <c r="E1511" t="s">
        <v>17</v>
      </c>
      <c r="F1511">
        <v>7</v>
      </c>
      <c r="G1511" t="str" cm="1">
        <f t="array" ref="G1511">_xlfn.IFS(_xlfn.SINGLE(Table1[imd_decile])&lt;=3,"Most Deprived",F1511&lt;=7,"Moderately Deprived",F1511&lt;=10,"Least Deprived")</f>
        <v>Moderately Deprived</v>
      </c>
      <c r="H1511">
        <v>12.6</v>
      </c>
      <c r="I1511" t="s">
        <v>25</v>
      </c>
      <c r="J1511" t="s">
        <v>19</v>
      </c>
      <c r="K1511" s="1">
        <v>45857</v>
      </c>
      <c r="L1511" s="1">
        <v>45879</v>
      </c>
      <c r="M1511" s="1" t="str">
        <f>TEXT(Table1[[#This Row],[appointment_date]],"MM/YYYY")</f>
        <v>08/2025</v>
      </c>
      <c r="N1511">
        <v>22</v>
      </c>
      <c r="O1511" t="str" cm="1">
        <f t="array" ref="O1511">_xlfn.IFS(Table1[[#This Row],[lead_time_days]]&lt;=7,"0-7 days",N1511&lt;=14,"8-14 days",N1511&lt;=30,"15-30 days",N1511&lt;=60,"31-60 days",TRUE,"61+ days")</f>
        <v>15-30 days</v>
      </c>
      <c r="P1511" t="s">
        <v>31</v>
      </c>
      <c r="Q1511" t="s">
        <v>21</v>
      </c>
      <c r="R1511">
        <v>0</v>
      </c>
      <c r="S1511" t="str">
        <f>IF(Table1[prior_dna_count]&gt;=1,"Has prior DNA history","No prior DNA history")</f>
        <v>No prior DNA history</v>
      </c>
      <c r="T1511" t="s">
        <v>22</v>
      </c>
      <c r="U1511" t="str">
        <f t="shared" si="23"/>
        <v>1</v>
      </c>
      <c r="V1511" t="str">
        <f>IF(Table1[appointment_status]="Attended","1","0")</f>
        <v>1</v>
      </c>
      <c r="W1511" t="str">
        <f>IF(Table1[appointment_status]="Cancelled","1","0")</f>
        <v>0</v>
      </c>
    </row>
    <row r="1512" spans="1:23">
      <c r="A1512" t="s">
        <v>2535</v>
      </c>
      <c r="B1512" t="s">
        <v>2536</v>
      </c>
      <c r="C1512">
        <v>52</v>
      </c>
      <c r="D1512" t="str" cm="1">
        <f t="array" ref="D1512">_xlfn.IFS(Table1[[#This Row],[age]]&lt;=17,"0-17",C1512&lt;=29,"18-29",C1512&lt;=44,"30-44",C1512&lt;=59,"45-59",C1512&lt;=74,"60-74",TRUE,"75+")</f>
        <v>45-59</v>
      </c>
      <c r="E1512" t="s">
        <v>17</v>
      </c>
      <c r="F1512">
        <v>1</v>
      </c>
      <c r="G1512" t="str" cm="1">
        <f t="array" ref="G1512">_xlfn.IFS(_xlfn.SINGLE(Table1[imd_decile])&lt;=3,"Most Deprived",F1512&lt;=7,"Moderately Deprived",F1512&lt;=10,"Least Deprived")</f>
        <v>Most Deprived</v>
      </c>
      <c r="H1512">
        <v>5.0999999999999996</v>
      </c>
      <c r="I1512" t="s">
        <v>18</v>
      </c>
      <c r="J1512" t="s">
        <v>19</v>
      </c>
      <c r="K1512" s="1">
        <v>45856</v>
      </c>
      <c r="L1512" s="1">
        <v>45879</v>
      </c>
      <c r="M1512" s="1" t="str">
        <f>TEXT(Table1[[#This Row],[appointment_date]],"MM/YYYY")</f>
        <v>08/2025</v>
      </c>
      <c r="N1512">
        <v>23</v>
      </c>
      <c r="O1512" t="str" cm="1">
        <f t="array" ref="O1512">_xlfn.IFS(Table1[[#This Row],[lead_time_days]]&lt;=7,"0-7 days",N1512&lt;=14,"8-14 days",N1512&lt;=30,"15-30 days",N1512&lt;=60,"31-60 days",TRUE,"61+ days")</f>
        <v>15-30 days</v>
      </c>
      <c r="P1512" t="s">
        <v>31</v>
      </c>
      <c r="Q1512" t="s">
        <v>21</v>
      </c>
      <c r="R1512">
        <v>0</v>
      </c>
      <c r="S1512" t="str">
        <f>IF(Table1[prior_dna_count]&gt;=1,"Has prior DNA history","No prior DNA history")</f>
        <v>No prior DNA history</v>
      </c>
      <c r="T1512" t="s">
        <v>22</v>
      </c>
      <c r="U1512" t="str">
        <f t="shared" si="23"/>
        <v>1</v>
      </c>
      <c r="V1512" t="str">
        <f>IF(Table1[appointment_status]="Attended","1","0")</f>
        <v>1</v>
      </c>
      <c r="W1512" t="str">
        <f>IF(Table1[appointment_status]="Cancelled","1","0")</f>
        <v>0</v>
      </c>
    </row>
    <row r="1513" spans="1:23">
      <c r="A1513" t="s">
        <v>2537</v>
      </c>
      <c r="B1513" t="s">
        <v>2033</v>
      </c>
      <c r="C1513">
        <v>66</v>
      </c>
      <c r="D1513" t="str" cm="1">
        <f t="array" ref="D1513">_xlfn.IFS(Table1[[#This Row],[age]]&lt;=17,"0-17",C1513&lt;=29,"18-29",C1513&lt;=44,"30-44",C1513&lt;=59,"45-59",C1513&lt;=74,"60-74",TRUE,"75+")</f>
        <v>60-74</v>
      </c>
      <c r="E1513" t="s">
        <v>29</v>
      </c>
      <c r="F1513">
        <v>10</v>
      </c>
      <c r="G1513" t="str" cm="1">
        <f t="array" ref="G1513">_xlfn.IFS(_xlfn.SINGLE(Table1[imd_decile])&lt;=3,"Most Deprived",F1513&lt;=7,"Moderately Deprived",F1513&lt;=10,"Least Deprived")</f>
        <v>Least Deprived</v>
      </c>
      <c r="H1513">
        <v>14</v>
      </c>
      <c r="I1513" t="s">
        <v>30</v>
      </c>
      <c r="J1513" t="s">
        <v>19</v>
      </c>
      <c r="K1513" s="1">
        <v>45849</v>
      </c>
      <c r="L1513" s="1">
        <v>45879</v>
      </c>
      <c r="M1513" s="1" t="str">
        <f>TEXT(Table1[[#This Row],[appointment_date]],"MM/YYYY")</f>
        <v>08/2025</v>
      </c>
      <c r="N1513">
        <v>30</v>
      </c>
      <c r="O1513" t="str" cm="1">
        <f t="array" ref="O1513">_xlfn.IFS(Table1[[#This Row],[lead_time_days]]&lt;=7,"0-7 days",N1513&lt;=14,"8-14 days",N1513&lt;=30,"15-30 days",N1513&lt;=60,"31-60 days",TRUE,"61+ days")</f>
        <v>15-30 days</v>
      </c>
      <c r="P1513" t="s">
        <v>31</v>
      </c>
      <c r="Q1513" t="s">
        <v>21</v>
      </c>
      <c r="R1513">
        <v>0</v>
      </c>
      <c r="S1513" t="str">
        <f>IF(Table1[prior_dna_count]&gt;=1,"Has prior DNA history","No prior DNA history")</f>
        <v>No prior DNA history</v>
      </c>
      <c r="T1513" t="s">
        <v>46</v>
      </c>
      <c r="U1513" t="str">
        <f t="shared" si="23"/>
        <v>1</v>
      </c>
      <c r="V1513" t="str">
        <f>IF(Table1[appointment_status]="Attended","1","0")</f>
        <v>0</v>
      </c>
      <c r="W1513" t="str">
        <f>IF(Table1[appointment_status]="Cancelled","1","0")</f>
        <v>1</v>
      </c>
    </row>
    <row r="1514" spans="1:23">
      <c r="A1514" t="s">
        <v>2538</v>
      </c>
      <c r="B1514" t="s">
        <v>2539</v>
      </c>
      <c r="C1514">
        <v>30</v>
      </c>
      <c r="D1514" t="str" cm="1">
        <f t="array" ref="D1514">_xlfn.IFS(Table1[[#This Row],[age]]&lt;=17,"0-17",C1514&lt;=29,"18-29",C1514&lt;=44,"30-44",C1514&lt;=59,"45-59",C1514&lt;=74,"60-74",TRUE,"75+")</f>
        <v>30-44</v>
      </c>
      <c r="E1514" t="s">
        <v>17</v>
      </c>
      <c r="F1514">
        <v>9</v>
      </c>
      <c r="G1514" t="str" cm="1">
        <f t="array" ref="G1514">_xlfn.IFS(_xlfn.SINGLE(Table1[imd_decile])&lt;=3,"Most Deprived",F1514&lt;=7,"Moderately Deprived",F1514&lt;=10,"Least Deprived")</f>
        <v>Least Deprived</v>
      </c>
      <c r="H1514">
        <v>11.2</v>
      </c>
      <c r="I1514" t="s">
        <v>91</v>
      </c>
      <c r="J1514" t="s">
        <v>19</v>
      </c>
      <c r="K1514" s="1">
        <v>45842</v>
      </c>
      <c r="L1514" s="1">
        <v>45879</v>
      </c>
      <c r="M1514" s="1" t="str">
        <f>TEXT(Table1[[#This Row],[appointment_date]],"MM/YYYY")</f>
        <v>08/2025</v>
      </c>
      <c r="N1514">
        <v>37</v>
      </c>
      <c r="O1514" t="str" cm="1">
        <f t="array" ref="O1514">_xlfn.IFS(Table1[[#This Row],[lead_time_days]]&lt;=7,"0-7 days",N1514&lt;=14,"8-14 days",N1514&lt;=30,"15-30 days",N1514&lt;=60,"31-60 days",TRUE,"61+ days")</f>
        <v>31-60 days</v>
      </c>
      <c r="P1514" t="s">
        <v>31</v>
      </c>
      <c r="Q1514" t="s">
        <v>32</v>
      </c>
      <c r="R1514">
        <v>0</v>
      </c>
      <c r="S1514" t="str">
        <f>IF(Table1[prior_dna_count]&gt;=1,"Has prior DNA history","No prior DNA history")</f>
        <v>No prior DNA history</v>
      </c>
      <c r="T1514" t="s">
        <v>22</v>
      </c>
      <c r="U1514" t="str">
        <f t="shared" si="23"/>
        <v>0</v>
      </c>
      <c r="V1514" t="str">
        <f>IF(Table1[appointment_status]="Attended","1","0")</f>
        <v>1</v>
      </c>
      <c r="W1514" t="str">
        <f>IF(Table1[appointment_status]="Cancelled","1","0")</f>
        <v>0</v>
      </c>
    </row>
    <row r="1515" spans="1:23">
      <c r="A1515" t="s">
        <v>2540</v>
      </c>
      <c r="B1515" t="s">
        <v>1180</v>
      </c>
      <c r="C1515">
        <v>44</v>
      </c>
      <c r="D1515" t="str" cm="1">
        <f t="array" ref="D1515">_xlfn.IFS(Table1[[#This Row],[age]]&lt;=17,"0-17",C1515&lt;=29,"18-29",C1515&lt;=44,"30-44",C1515&lt;=59,"45-59",C1515&lt;=74,"60-74",TRUE,"75+")</f>
        <v>30-44</v>
      </c>
      <c r="E1515" t="s">
        <v>29</v>
      </c>
      <c r="F1515">
        <v>6</v>
      </c>
      <c r="G1515" t="str" cm="1">
        <f t="array" ref="G1515">_xlfn.IFS(_xlfn.SINGLE(Table1[imd_decile])&lt;=3,"Most Deprived",F1515&lt;=7,"Moderately Deprived",F1515&lt;=10,"Least Deprived")</f>
        <v>Moderately Deprived</v>
      </c>
      <c r="H1515">
        <v>0.7</v>
      </c>
      <c r="I1515" t="s">
        <v>42</v>
      </c>
      <c r="J1515" t="s">
        <v>19</v>
      </c>
      <c r="K1515" s="1">
        <v>45831</v>
      </c>
      <c r="L1515" s="1">
        <v>45880</v>
      </c>
      <c r="M1515" s="1" t="str">
        <f>TEXT(Table1[[#This Row],[appointment_date]],"MM/YYYY")</f>
        <v>08/2025</v>
      </c>
      <c r="N1515">
        <v>49</v>
      </c>
      <c r="O1515" t="str" cm="1">
        <f t="array" ref="O1515">_xlfn.IFS(Table1[[#This Row],[lead_time_days]]&lt;=7,"0-7 days",N1515&lt;=14,"8-14 days",N1515&lt;=30,"15-30 days",N1515&lt;=60,"31-60 days",TRUE,"61+ days")</f>
        <v>31-60 days</v>
      </c>
      <c r="P1515" t="s">
        <v>35</v>
      </c>
      <c r="Q1515" t="s">
        <v>21</v>
      </c>
      <c r="R1515">
        <v>0</v>
      </c>
      <c r="S1515" t="str">
        <f>IF(Table1[prior_dna_count]&gt;=1,"Has prior DNA history","No prior DNA history")</f>
        <v>No prior DNA history</v>
      </c>
      <c r="T1515" t="s">
        <v>39</v>
      </c>
      <c r="U1515" t="str">
        <f t="shared" si="23"/>
        <v>1</v>
      </c>
      <c r="V1515" t="str">
        <f>IF(Table1[appointment_status]="Attended","1","0")</f>
        <v>0</v>
      </c>
      <c r="W1515" t="str">
        <f>IF(Table1[appointment_status]="Cancelled","1","0")</f>
        <v>0</v>
      </c>
    </row>
    <row r="1516" spans="1:23">
      <c r="A1516" t="s">
        <v>2541</v>
      </c>
      <c r="B1516" t="s">
        <v>549</v>
      </c>
      <c r="C1516">
        <v>50</v>
      </c>
      <c r="D1516" t="str" cm="1">
        <f t="array" ref="D1516">_xlfn.IFS(Table1[[#This Row],[age]]&lt;=17,"0-17",C1516&lt;=29,"18-29",C1516&lt;=44,"30-44",C1516&lt;=59,"45-59",C1516&lt;=74,"60-74",TRUE,"75+")</f>
        <v>45-59</v>
      </c>
      <c r="E1516" t="s">
        <v>29</v>
      </c>
      <c r="F1516">
        <v>8</v>
      </c>
      <c r="G1516" t="str" cm="1">
        <f t="array" ref="G1516">_xlfn.IFS(_xlfn.SINGLE(Table1[imd_decile])&lt;=3,"Most Deprived",F1516&lt;=7,"Moderately Deprived",F1516&lt;=10,"Least Deprived")</f>
        <v>Least Deprived</v>
      </c>
      <c r="H1516">
        <v>6.1</v>
      </c>
      <c r="I1516" t="s">
        <v>25</v>
      </c>
      <c r="J1516" t="s">
        <v>26</v>
      </c>
      <c r="K1516" s="1">
        <v>45865</v>
      </c>
      <c r="L1516" s="1">
        <v>45880</v>
      </c>
      <c r="M1516" s="1" t="str">
        <f>TEXT(Table1[[#This Row],[appointment_date]],"MM/YYYY")</f>
        <v>08/2025</v>
      </c>
      <c r="N1516">
        <v>15</v>
      </c>
      <c r="O1516" t="str" cm="1">
        <f t="array" ref="O1516">_xlfn.IFS(Table1[[#This Row],[lead_time_days]]&lt;=7,"0-7 days",N1516&lt;=14,"8-14 days",N1516&lt;=30,"15-30 days",N1516&lt;=60,"31-60 days",TRUE,"61+ days")</f>
        <v>15-30 days</v>
      </c>
      <c r="P1516" t="s">
        <v>35</v>
      </c>
      <c r="Q1516" t="s">
        <v>21</v>
      </c>
      <c r="R1516">
        <v>0</v>
      </c>
      <c r="S1516" t="str">
        <f>IF(Table1[prior_dna_count]&gt;=1,"Has prior DNA history","No prior DNA history")</f>
        <v>No prior DNA history</v>
      </c>
      <c r="T1516" t="s">
        <v>22</v>
      </c>
      <c r="U1516" t="str">
        <f t="shared" si="23"/>
        <v>0</v>
      </c>
      <c r="V1516" t="str">
        <f>IF(Table1[appointment_status]="Attended","1","0")</f>
        <v>1</v>
      </c>
      <c r="W1516" t="str">
        <f>IF(Table1[appointment_status]="Cancelled","1","0")</f>
        <v>0</v>
      </c>
    </row>
    <row r="1517" spans="1:23">
      <c r="A1517" t="s">
        <v>2542</v>
      </c>
      <c r="B1517" t="s">
        <v>2543</v>
      </c>
      <c r="C1517">
        <v>40</v>
      </c>
      <c r="D1517" t="str" cm="1">
        <f t="array" ref="D1517">_xlfn.IFS(Table1[[#This Row],[age]]&lt;=17,"0-17",C1517&lt;=29,"18-29",C1517&lt;=44,"30-44",C1517&lt;=59,"45-59",C1517&lt;=74,"60-74",TRUE,"75+")</f>
        <v>30-44</v>
      </c>
      <c r="E1517" t="s">
        <v>29</v>
      </c>
      <c r="F1517">
        <v>5</v>
      </c>
      <c r="G1517" t="str" cm="1">
        <f t="array" ref="G1517">_xlfn.IFS(_xlfn.SINGLE(Table1[imd_decile])&lt;=3,"Most Deprived",F1517&lt;=7,"Moderately Deprived",F1517&lt;=10,"Least Deprived")</f>
        <v>Moderately Deprived</v>
      </c>
      <c r="H1517">
        <v>0.5</v>
      </c>
      <c r="I1517" t="s">
        <v>45</v>
      </c>
      <c r="J1517" t="s">
        <v>26</v>
      </c>
      <c r="K1517" s="1">
        <v>45875</v>
      </c>
      <c r="L1517" s="1">
        <v>45880</v>
      </c>
      <c r="M1517" s="1" t="str">
        <f>TEXT(Table1[[#This Row],[appointment_date]],"MM/YYYY")</f>
        <v>08/2025</v>
      </c>
      <c r="N1517">
        <v>5</v>
      </c>
      <c r="O1517" t="str" cm="1">
        <f t="array" ref="O1517">_xlfn.IFS(Table1[[#This Row],[lead_time_days]]&lt;=7,"0-7 days",N1517&lt;=14,"8-14 days",N1517&lt;=30,"15-30 days",N1517&lt;=60,"31-60 days",TRUE,"61+ days")</f>
        <v>0-7 days</v>
      </c>
      <c r="P1517" t="s">
        <v>35</v>
      </c>
      <c r="Q1517" t="s">
        <v>32</v>
      </c>
      <c r="R1517">
        <v>0</v>
      </c>
      <c r="S1517" t="str">
        <f>IF(Table1[prior_dna_count]&gt;=1,"Has prior DNA history","No prior DNA history")</f>
        <v>No prior DNA history</v>
      </c>
      <c r="T1517" t="s">
        <v>39</v>
      </c>
      <c r="U1517" t="str">
        <f t="shared" si="23"/>
        <v>1</v>
      </c>
      <c r="V1517" t="str">
        <f>IF(Table1[appointment_status]="Attended","1","0")</f>
        <v>0</v>
      </c>
      <c r="W1517" t="str">
        <f>IF(Table1[appointment_status]="Cancelled","1","0")</f>
        <v>0</v>
      </c>
    </row>
    <row r="1518" spans="1:23">
      <c r="A1518" t="s">
        <v>2544</v>
      </c>
      <c r="B1518" t="s">
        <v>2545</v>
      </c>
      <c r="C1518">
        <v>86</v>
      </c>
      <c r="D1518" t="str" cm="1">
        <f t="array" ref="D1518">_xlfn.IFS(Table1[[#This Row],[age]]&lt;=17,"0-17",C1518&lt;=29,"18-29",C1518&lt;=44,"30-44",C1518&lt;=59,"45-59",C1518&lt;=74,"60-74",TRUE,"75+")</f>
        <v>75+</v>
      </c>
      <c r="E1518" t="s">
        <v>17</v>
      </c>
      <c r="F1518">
        <v>3</v>
      </c>
      <c r="G1518" t="str" cm="1">
        <f t="array" ref="G1518">_xlfn.IFS(_xlfn.SINGLE(Table1[imd_decile])&lt;=3,"Most Deprived",F1518&lt;=7,"Moderately Deprived",F1518&lt;=10,"Least Deprived")</f>
        <v>Most Deprived</v>
      </c>
      <c r="H1518">
        <v>0.8</v>
      </c>
      <c r="I1518" t="s">
        <v>30</v>
      </c>
      <c r="J1518" t="s">
        <v>19</v>
      </c>
      <c r="K1518" s="1">
        <v>45868</v>
      </c>
      <c r="L1518" s="1">
        <v>45880</v>
      </c>
      <c r="M1518" s="1" t="str">
        <f>TEXT(Table1[[#This Row],[appointment_date]],"MM/YYYY")</f>
        <v>08/2025</v>
      </c>
      <c r="N1518">
        <v>12</v>
      </c>
      <c r="O1518" t="str" cm="1">
        <f t="array" ref="O1518">_xlfn.IFS(Table1[[#This Row],[lead_time_days]]&lt;=7,"0-7 days",N1518&lt;=14,"8-14 days",N1518&lt;=30,"15-30 days",N1518&lt;=60,"31-60 days",TRUE,"61+ days")</f>
        <v>8-14 days</v>
      </c>
      <c r="P1518" t="s">
        <v>35</v>
      </c>
      <c r="Q1518" t="s">
        <v>21</v>
      </c>
      <c r="R1518">
        <v>0</v>
      </c>
      <c r="S1518" t="str">
        <f>IF(Table1[prior_dna_count]&gt;=1,"Has prior DNA history","No prior DNA history")</f>
        <v>No prior DNA history</v>
      </c>
      <c r="T1518" t="s">
        <v>22</v>
      </c>
      <c r="U1518" t="str">
        <f t="shared" si="23"/>
        <v>0</v>
      </c>
      <c r="V1518" t="str">
        <f>IF(Table1[appointment_status]="Attended","1","0")</f>
        <v>1</v>
      </c>
      <c r="W1518" t="str">
        <f>IF(Table1[appointment_status]="Cancelled","1","0")</f>
        <v>0</v>
      </c>
    </row>
    <row r="1519" spans="1:23">
      <c r="A1519" t="s">
        <v>2546</v>
      </c>
      <c r="B1519" t="s">
        <v>2547</v>
      </c>
      <c r="C1519">
        <v>32</v>
      </c>
      <c r="D1519" t="str" cm="1">
        <f t="array" ref="D1519">_xlfn.IFS(Table1[[#This Row],[age]]&lt;=17,"0-17",C1519&lt;=29,"18-29",C1519&lt;=44,"30-44",C1519&lt;=59,"45-59",C1519&lt;=74,"60-74",TRUE,"75+")</f>
        <v>30-44</v>
      </c>
      <c r="E1519" t="s">
        <v>17</v>
      </c>
      <c r="F1519">
        <v>6</v>
      </c>
      <c r="G1519" t="str" cm="1">
        <f t="array" ref="G1519">_xlfn.IFS(_xlfn.SINGLE(Table1[imd_decile])&lt;=3,"Most Deprived",F1519&lt;=7,"Moderately Deprived",F1519&lt;=10,"Least Deprived")</f>
        <v>Moderately Deprived</v>
      </c>
      <c r="H1519">
        <v>10.5</v>
      </c>
      <c r="I1519" t="s">
        <v>49</v>
      </c>
      <c r="J1519" t="s">
        <v>19</v>
      </c>
      <c r="K1519" s="1">
        <v>45846</v>
      </c>
      <c r="L1519" s="1">
        <v>45880</v>
      </c>
      <c r="M1519" s="1" t="str">
        <f>TEXT(Table1[[#This Row],[appointment_date]],"MM/YYYY")</f>
        <v>08/2025</v>
      </c>
      <c r="N1519">
        <v>34</v>
      </c>
      <c r="O1519" t="str" cm="1">
        <f t="array" ref="O1519">_xlfn.IFS(Table1[[#This Row],[lead_time_days]]&lt;=7,"0-7 days",N1519&lt;=14,"8-14 days",N1519&lt;=30,"15-30 days",N1519&lt;=60,"31-60 days",TRUE,"61+ days")</f>
        <v>31-60 days</v>
      </c>
      <c r="P1519" t="s">
        <v>35</v>
      </c>
      <c r="Q1519" t="s">
        <v>32</v>
      </c>
      <c r="R1519">
        <v>0</v>
      </c>
      <c r="S1519" t="str">
        <f>IF(Table1[prior_dna_count]&gt;=1,"Has prior DNA history","No prior DNA history")</f>
        <v>No prior DNA history</v>
      </c>
      <c r="T1519" t="s">
        <v>22</v>
      </c>
      <c r="U1519" t="str">
        <f t="shared" si="23"/>
        <v>1</v>
      </c>
      <c r="V1519" t="str">
        <f>IF(Table1[appointment_status]="Attended","1","0")</f>
        <v>1</v>
      </c>
      <c r="W1519" t="str">
        <f>IF(Table1[appointment_status]="Cancelled","1","0")</f>
        <v>0</v>
      </c>
    </row>
    <row r="1520" spans="1:23">
      <c r="A1520" t="s">
        <v>2548</v>
      </c>
      <c r="B1520" t="s">
        <v>1409</v>
      </c>
      <c r="C1520">
        <v>53</v>
      </c>
      <c r="D1520" t="str" cm="1">
        <f t="array" ref="D1520">_xlfn.IFS(Table1[[#This Row],[age]]&lt;=17,"0-17",C1520&lt;=29,"18-29",C1520&lt;=44,"30-44",C1520&lt;=59,"45-59",C1520&lt;=74,"60-74",TRUE,"75+")</f>
        <v>45-59</v>
      </c>
      <c r="E1520" t="s">
        <v>29</v>
      </c>
      <c r="F1520">
        <v>1</v>
      </c>
      <c r="G1520" t="str" cm="1">
        <f t="array" ref="G1520">_xlfn.IFS(_xlfn.SINGLE(Table1[imd_decile])&lt;=3,"Most Deprived",F1520&lt;=7,"Moderately Deprived",F1520&lt;=10,"Least Deprived")</f>
        <v>Most Deprived</v>
      </c>
      <c r="H1520">
        <v>5.8</v>
      </c>
      <c r="I1520" t="s">
        <v>45</v>
      </c>
      <c r="J1520" t="s">
        <v>19</v>
      </c>
      <c r="K1520" s="1">
        <v>45823</v>
      </c>
      <c r="L1520" s="1">
        <v>45880</v>
      </c>
      <c r="M1520" s="1" t="str">
        <f>TEXT(Table1[[#This Row],[appointment_date]],"MM/YYYY")</f>
        <v>08/2025</v>
      </c>
      <c r="N1520">
        <v>57</v>
      </c>
      <c r="O1520" t="str" cm="1">
        <f t="array" ref="O1520">_xlfn.IFS(Table1[[#This Row],[lead_time_days]]&lt;=7,"0-7 days",N1520&lt;=14,"8-14 days",N1520&lt;=30,"15-30 days",N1520&lt;=60,"31-60 days",TRUE,"61+ days")</f>
        <v>31-60 days</v>
      </c>
      <c r="P1520" t="s">
        <v>35</v>
      </c>
      <c r="Q1520" t="s">
        <v>21</v>
      </c>
      <c r="R1520">
        <v>0</v>
      </c>
      <c r="S1520" t="str">
        <f>IF(Table1[prior_dna_count]&gt;=1,"Has prior DNA history","No prior DNA history")</f>
        <v>No prior DNA history</v>
      </c>
      <c r="T1520" t="s">
        <v>22</v>
      </c>
      <c r="U1520" t="str">
        <f t="shared" si="23"/>
        <v>1</v>
      </c>
      <c r="V1520" t="str">
        <f>IF(Table1[appointment_status]="Attended","1","0")</f>
        <v>1</v>
      </c>
      <c r="W1520" t="str">
        <f>IF(Table1[appointment_status]="Cancelled","1","0")</f>
        <v>0</v>
      </c>
    </row>
    <row r="1521" spans="1:23">
      <c r="A1521" t="s">
        <v>2549</v>
      </c>
      <c r="B1521" t="s">
        <v>2458</v>
      </c>
      <c r="C1521">
        <v>70</v>
      </c>
      <c r="D1521" t="str" cm="1">
        <f t="array" ref="D1521">_xlfn.IFS(Table1[[#This Row],[age]]&lt;=17,"0-17",C1521&lt;=29,"18-29",C1521&lt;=44,"30-44",C1521&lt;=59,"45-59",C1521&lt;=74,"60-74",TRUE,"75+")</f>
        <v>60-74</v>
      </c>
      <c r="E1521" t="s">
        <v>17</v>
      </c>
      <c r="F1521">
        <v>8</v>
      </c>
      <c r="G1521" t="str" cm="1">
        <f t="array" ref="G1521">_xlfn.IFS(_xlfn.SINGLE(Table1[imd_decile])&lt;=3,"Most Deprived",F1521&lt;=7,"Moderately Deprived",F1521&lt;=10,"Least Deprived")</f>
        <v>Least Deprived</v>
      </c>
      <c r="H1521">
        <v>8.1999999999999993</v>
      </c>
      <c r="I1521" t="s">
        <v>38</v>
      </c>
      <c r="J1521" t="s">
        <v>19</v>
      </c>
      <c r="K1521" s="1">
        <v>45867</v>
      </c>
      <c r="L1521" s="1">
        <v>45880</v>
      </c>
      <c r="M1521" s="1" t="str">
        <f>TEXT(Table1[[#This Row],[appointment_date]],"MM/YYYY")</f>
        <v>08/2025</v>
      </c>
      <c r="N1521">
        <v>13</v>
      </c>
      <c r="O1521" t="str" cm="1">
        <f t="array" ref="O1521">_xlfn.IFS(Table1[[#This Row],[lead_time_days]]&lt;=7,"0-7 days",N1521&lt;=14,"8-14 days",N1521&lt;=30,"15-30 days",N1521&lt;=60,"31-60 days",TRUE,"61+ days")</f>
        <v>8-14 days</v>
      </c>
      <c r="P1521" t="s">
        <v>35</v>
      </c>
      <c r="Q1521" t="s">
        <v>32</v>
      </c>
      <c r="R1521">
        <v>0</v>
      </c>
      <c r="S1521" t="str">
        <f>IF(Table1[prior_dna_count]&gt;=1,"Has prior DNA history","No prior DNA history")</f>
        <v>No prior DNA history</v>
      </c>
      <c r="T1521" t="s">
        <v>39</v>
      </c>
      <c r="U1521" t="str">
        <f t="shared" si="23"/>
        <v>1</v>
      </c>
      <c r="V1521" t="str">
        <f>IF(Table1[appointment_status]="Attended","1","0")</f>
        <v>0</v>
      </c>
      <c r="W1521" t="str">
        <f>IF(Table1[appointment_status]="Cancelled","1","0")</f>
        <v>0</v>
      </c>
    </row>
    <row r="1522" spans="1:23">
      <c r="A1522" t="s">
        <v>2550</v>
      </c>
      <c r="B1522" t="s">
        <v>1519</v>
      </c>
      <c r="C1522">
        <v>44</v>
      </c>
      <c r="D1522" t="str" cm="1">
        <f t="array" ref="D1522">_xlfn.IFS(Table1[[#This Row],[age]]&lt;=17,"0-17",C1522&lt;=29,"18-29",C1522&lt;=44,"30-44",C1522&lt;=59,"45-59",C1522&lt;=74,"60-74",TRUE,"75+")</f>
        <v>30-44</v>
      </c>
      <c r="E1522" t="s">
        <v>17</v>
      </c>
      <c r="F1522">
        <v>10</v>
      </c>
      <c r="G1522" t="str" cm="1">
        <f t="array" ref="G1522">_xlfn.IFS(_xlfn.SINGLE(Table1[imd_decile])&lt;=3,"Most Deprived",F1522&lt;=7,"Moderately Deprived",F1522&lt;=10,"Least Deprived")</f>
        <v>Least Deprived</v>
      </c>
      <c r="H1522">
        <v>2.2000000000000002</v>
      </c>
      <c r="I1522" t="s">
        <v>42</v>
      </c>
      <c r="J1522" t="s">
        <v>19</v>
      </c>
      <c r="K1522" s="1">
        <v>45847</v>
      </c>
      <c r="L1522" s="1">
        <v>45880</v>
      </c>
      <c r="M1522" s="1" t="str">
        <f>TEXT(Table1[[#This Row],[appointment_date]],"MM/YYYY")</f>
        <v>08/2025</v>
      </c>
      <c r="N1522">
        <v>33</v>
      </c>
      <c r="O1522" t="str" cm="1">
        <f t="array" ref="O1522">_xlfn.IFS(Table1[[#This Row],[lead_time_days]]&lt;=7,"0-7 days",N1522&lt;=14,"8-14 days",N1522&lt;=30,"15-30 days",N1522&lt;=60,"31-60 days",TRUE,"61+ days")</f>
        <v>31-60 days</v>
      </c>
      <c r="P1522" t="s">
        <v>35</v>
      </c>
      <c r="Q1522" t="s">
        <v>21</v>
      </c>
      <c r="R1522">
        <v>0</v>
      </c>
      <c r="S1522" t="str">
        <f>IF(Table1[prior_dna_count]&gt;=1,"Has prior DNA history","No prior DNA history")</f>
        <v>No prior DNA history</v>
      </c>
      <c r="T1522" t="s">
        <v>22</v>
      </c>
      <c r="U1522" t="str">
        <f t="shared" si="23"/>
        <v>0</v>
      </c>
      <c r="V1522" t="str">
        <f>IF(Table1[appointment_status]="Attended","1","0")</f>
        <v>1</v>
      </c>
      <c r="W1522" t="str">
        <f>IF(Table1[appointment_status]="Cancelled","1","0")</f>
        <v>0</v>
      </c>
    </row>
    <row r="1523" spans="1:23">
      <c r="A1523" t="s">
        <v>2551</v>
      </c>
      <c r="B1523" t="s">
        <v>1622</v>
      </c>
      <c r="C1523">
        <v>53</v>
      </c>
      <c r="D1523" t="str" cm="1">
        <f t="array" ref="D1523">_xlfn.IFS(Table1[[#This Row],[age]]&lt;=17,"0-17",C1523&lt;=29,"18-29",C1523&lt;=44,"30-44",C1523&lt;=59,"45-59",C1523&lt;=74,"60-74",TRUE,"75+")</f>
        <v>45-59</v>
      </c>
      <c r="E1523" t="s">
        <v>29</v>
      </c>
      <c r="F1523">
        <v>8</v>
      </c>
      <c r="G1523" t="str" cm="1">
        <f t="array" ref="G1523">_xlfn.IFS(_xlfn.SINGLE(Table1[imd_decile])&lt;=3,"Most Deprived",F1523&lt;=7,"Moderately Deprived",F1523&lt;=10,"Least Deprived")</f>
        <v>Least Deprived</v>
      </c>
      <c r="H1523">
        <v>3.3</v>
      </c>
      <c r="I1523" t="s">
        <v>45</v>
      </c>
      <c r="J1523" t="s">
        <v>19</v>
      </c>
      <c r="K1523" s="1">
        <v>45860</v>
      </c>
      <c r="L1523" s="1">
        <v>45880</v>
      </c>
      <c r="M1523" s="1" t="str">
        <f>TEXT(Table1[[#This Row],[appointment_date]],"MM/YYYY")</f>
        <v>08/2025</v>
      </c>
      <c r="N1523">
        <v>20</v>
      </c>
      <c r="O1523" t="str" cm="1">
        <f t="array" ref="O1523">_xlfn.IFS(Table1[[#This Row],[lead_time_days]]&lt;=7,"0-7 days",N1523&lt;=14,"8-14 days",N1523&lt;=30,"15-30 days",N1523&lt;=60,"31-60 days",TRUE,"61+ days")</f>
        <v>15-30 days</v>
      </c>
      <c r="P1523" t="s">
        <v>35</v>
      </c>
      <c r="Q1523" t="s">
        <v>21</v>
      </c>
      <c r="R1523">
        <v>0</v>
      </c>
      <c r="S1523" t="str">
        <f>IF(Table1[prior_dna_count]&gt;=1,"Has prior DNA history","No prior DNA history")</f>
        <v>No prior DNA history</v>
      </c>
      <c r="T1523" t="s">
        <v>22</v>
      </c>
      <c r="U1523" t="str">
        <f t="shared" si="23"/>
        <v>1</v>
      </c>
      <c r="V1523" t="str">
        <f>IF(Table1[appointment_status]="Attended","1","0")</f>
        <v>1</v>
      </c>
      <c r="W1523" t="str">
        <f>IF(Table1[appointment_status]="Cancelled","1","0")</f>
        <v>0</v>
      </c>
    </row>
    <row r="1524" spans="1:23">
      <c r="A1524" t="s">
        <v>2552</v>
      </c>
      <c r="B1524" t="s">
        <v>2553</v>
      </c>
      <c r="C1524">
        <v>73</v>
      </c>
      <c r="D1524" t="str" cm="1">
        <f t="array" ref="D1524">_xlfn.IFS(Table1[[#This Row],[age]]&lt;=17,"0-17",C1524&lt;=29,"18-29",C1524&lt;=44,"30-44",C1524&lt;=59,"45-59",C1524&lt;=74,"60-74",TRUE,"75+")</f>
        <v>60-74</v>
      </c>
      <c r="E1524" t="s">
        <v>29</v>
      </c>
      <c r="F1524">
        <v>6</v>
      </c>
      <c r="G1524" t="str" cm="1">
        <f t="array" ref="G1524">_xlfn.IFS(_xlfn.SINGLE(Table1[imd_decile])&lt;=3,"Most Deprived",F1524&lt;=7,"Moderately Deprived",F1524&lt;=10,"Least Deprived")</f>
        <v>Moderately Deprived</v>
      </c>
      <c r="H1524">
        <v>7.4</v>
      </c>
      <c r="I1524" t="s">
        <v>25</v>
      </c>
      <c r="J1524" t="s">
        <v>19</v>
      </c>
      <c r="K1524" s="1">
        <v>45869</v>
      </c>
      <c r="L1524" s="1">
        <v>45880</v>
      </c>
      <c r="M1524" s="1" t="str">
        <f>TEXT(Table1[[#This Row],[appointment_date]],"MM/YYYY")</f>
        <v>08/2025</v>
      </c>
      <c r="N1524">
        <v>11</v>
      </c>
      <c r="O1524" t="str" cm="1">
        <f t="array" ref="O1524">_xlfn.IFS(Table1[[#This Row],[lead_time_days]]&lt;=7,"0-7 days",N1524&lt;=14,"8-14 days",N1524&lt;=30,"15-30 days",N1524&lt;=60,"31-60 days",TRUE,"61+ days")</f>
        <v>8-14 days</v>
      </c>
      <c r="P1524" t="s">
        <v>35</v>
      </c>
      <c r="Q1524" t="s">
        <v>32</v>
      </c>
      <c r="R1524">
        <v>0</v>
      </c>
      <c r="S1524" t="str">
        <f>IF(Table1[prior_dna_count]&gt;=1,"Has prior DNA history","No prior DNA history")</f>
        <v>No prior DNA history</v>
      </c>
      <c r="T1524" t="s">
        <v>22</v>
      </c>
      <c r="U1524" t="str">
        <f t="shared" si="23"/>
        <v>1</v>
      </c>
      <c r="V1524" t="str">
        <f>IF(Table1[appointment_status]="Attended","1","0")</f>
        <v>1</v>
      </c>
      <c r="W1524" t="str">
        <f>IF(Table1[appointment_status]="Cancelled","1","0")</f>
        <v>0</v>
      </c>
    </row>
    <row r="1525" spans="1:23">
      <c r="A1525" t="s">
        <v>2554</v>
      </c>
      <c r="B1525" t="s">
        <v>2555</v>
      </c>
      <c r="C1525">
        <v>48</v>
      </c>
      <c r="D1525" t="str" cm="1">
        <f t="array" ref="D1525">_xlfn.IFS(Table1[[#This Row],[age]]&lt;=17,"0-17",C1525&lt;=29,"18-29",C1525&lt;=44,"30-44",C1525&lt;=59,"45-59",C1525&lt;=74,"60-74",TRUE,"75+")</f>
        <v>45-59</v>
      </c>
      <c r="E1525" t="s">
        <v>29</v>
      </c>
      <c r="F1525">
        <v>9</v>
      </c>
      <c r="G1525" t="str" cm="1">
        <f t="array" ref="G1525">_xlfn.IFS(_xlfn.SINGLE(Table1[imd_decile])&lt;=3,"Most Deprived",F1525&lt;=7,"Moderately Deprived",F1525&lt;=10,"Least Deprived")</f>
        <v>Least Deprived</v>
      </c>
      <c r="H1525">
        <v>9.3000000000000007</v>
      </c>
      <c r="I1525" t="s">
        <v>42</v>
      </c>
      <c r="J1525" t="s">
        <v>26</v>
      </c>
      <c r="K1525" s="1">
        <v>45871</v>
      </c>
      <c r="L1525" s="1">
        <v>45881</v>
      </c>
      <c r="M1525" s="1" t="str">
        <f>TEXT(Table1[[#This Row],[appointment_date]],"MM/YYYY")</f>
        <v>08/2025</v>
      </c>
      <c r="N1525">
        <v>10</v>
      </c>
      <c r="O1525" t="str" cm="1">
        <f t="array" ref="O1525">_xlfn.IFS(Table1[[#This Row],[lead_time_days]]&lt;=7,"0-7 days",N1525&lt;=14,"8-14 days",N1525&lt;=30,"15-30 days",N1525&lt;=60,"31-60 days",TRUE,"61+ days")</f>
        <v>8-14 days</v>
      </c>
      <c r="P1525" t="s">
        <v>71</v>
      </c>
      <c r="Q1525" t="s">
        <v>32</v>
      </c>
      <c r="R1525">
        <v>0</v>
      </c>
      <c r="S1525" t="str">
        <f>IF(Table1[prior_dna_count]&gt;=1,"Has prior DNA history","No prior DNA history")</f>
        <v>No prior DNA history</v>
      </c>
      <c r="T1525" t="s">
        <v>22</v>
      </c>
      <c r="U1525" t="str">
        <f t="shared" si="23"/>
        <v>1</v>
      </c>
      <c r="V1525" t="str">
        <f>IF(Table1[appointment_status]="Attended","1","0")</f>
        <v>1</v>
      </c>
      <c r="W1525" t="str">
        <f>IF(Table1[appointment_status]="Cancelled","1","0")</f>
        <v>0</v>
      </c>
    </row>
    <row r="1526" spans="1:23">
      <c r="A1526" t="s">
        <v>2556</v>
      </c>
      <c r="B1526" t="s">
        <v>2327</v>
      </c>
      <c r="C1526">
        <v>23</v>
      </c>
      <c r="D1526" t="str" cm="1">
        <f t="array" ref="D1526">_xlfn.IFS(Table1[[#This Row],[age]]&lt;=17,"0-17",C1526&lt;=29,"18-29",C1526&lt;=44,"30-44",C1526&lt;=59,"45-59",C1526&lt;=74,"60-74",TRUE,"75+")</f>
        <v>18-29</v>
      </c>
      <c r="E1526" t="s">
        <v>17</v>
      </c>
      <c r="F1526">
        <v>10</v>
      </c>
      <c r="G1526" t="str" cm="1">
        <f t="array" ref="G1526">_xlfn.IFS(_xlfn.SINGLE(Table1[imd_decile])&lt;=3,"Most Deprived",F1526&lt;=7,"Moderately Deprived",F1526&lt;=10,"Least Deprived")</f>
        <v>Least Deprived</v>
      </c>
      <c r="H1526">
        <v>3.5</v>
      </c>
      <c r="I1526" t="s">
        <v>155</v>
      </c>
      <c r="J1526" t="s">
        <v>19</v>
      </c>
      <c r="K1526" s="1">
        <v>45844</v>
      </c>
      <c r="L1526" s="1">
        <v>45881</v>
      </c>
      <c r="M1526" s="1" t="str">
        <f>TEXT(Table1[[#This Row],[appointment_date]],"MM/YYYY")</f>
        <v>08/2025</v>
      </c>
      <c r="N1526">
        <v>37</v>
      </c>
      <c r="O1526" t="str" cm="1">
        <f t="array" ref="O1526">_xlfn.IFS(Table1[[#This Row],[lead_time_days]]&lt;=7,"0-7 days",N1526&lt;=14,"8-14 days",N1526&lt;=30,"15-30 days",N1526&lt;=60,"31-60 days",TRUE,"61+ days")</f>
        <v>31-60 days</v>
      </c>
      <c r="P1526" t="s">
        <v>71</v>
      </c>
      <c r="Q1526" t="s">
        <v>21</v>
      </c>
      <c r="R1526">
        <v>0</v>
      </c>
      <c r="S1526" t="str">
        <f>IF(Table1[prior_dna_count]&gt;=1,"Has prior DNA history","No prior DNA history")</f>
        <v>No prior DNA history</v>
      </c>
      <c r="T1526" t="s">
        <v>22</v>
      </c>
      <c r="U1526" t="str">
        <f t="shared" si="23"/>
        <v>1</v>
      </c>
      <c r="V1526" t="str">
        <f>IF(Table1[appointment_status]="Attended","1","0")</f>
        <v>1</v>
      </c>
      <c r="W1526" t="str">
        <f>IF(Table1[appointment_status]="Cancelled","1","0")</f>
        <v>0</v>
      </c>
    </row>
    <row r="1527" spans="1:23">
      <c r="A1527" t="s">
        <v>2557</v>
      </c>
      <c r="B1527" t="s">
        <v>1788</v>
      </c>
      <c r="C1527">
        <v>58</v>
      </c>
      <c r="D1527" t="str" cm="1">
        <f t="array" ref="D1527">_xlfn.IFS(Table1[[#This Row],[age]]&lt;=17,"0-17",C1527&lt;=29,"18-29",C1527&lt;=44,"30-44",C1527&lt;=59,"45-59",C1527&lt;=74,"60-74",TRUE,"75+")</f>
        <v>45-59</v>
      </c>
      <c r="E1527" t="s">
        <v>29</v>
      </c>
      <c r="F1527">
        <v>10</v>
      </c>
      <c r="G1527" t="str" cm="1">
        <f t="array" ref="G1527">_xlfn.IFS(_xlfn.SINGLE(Table1[imd_decile])&lt;=3,"Most Deprived",F1527&lt;=7,"Moderately Deprived",F1527&lt;=10,"Least Deprived")</f>
        <v>Least Deprived</v>
      </c>
      <c r="H1527">
        <v>3.8</v>
      </c>
      <c r="I1527" t="s">
        <v>25</v>
      </c>
      <c r="J1527" t="s">
        <v>19</v>
      </c>
      <c r="K1527" s="1">
        <v>45821</v>
      </c>
      <c r="L1527" s="1">
        <v>45881</v>
      </c>
      <c r="M1527" s="1" t="str">
        <f>TEXT(Table1[[#This Row],[appointment_date]],"MM/YYYY")</f>
        <v>08/2025</v>
      </c>
      <c r="N1527">
        <v>60</v>
      </c>
      <c r="O1527" t="str" cm="1">
        <f t="array" ref="O1527">_xlfn.IFS(Table1[[#This Row],[lead_time_days]]&lt;=7,"0-7 days",N1527&lt;=14,"8-14 days",N1527&lt;=30,"15-30 days",N1527&lt;=60,"31-60 days",TRUE,"61+ days")</f>
        <v>31-60 days</v>
      </c>
      <c r="P1527" t="s">
        <v>71</v>
      </c>
      <c r="Q1527" t="s">
        <v>21</v>
      </c>
      <c r="R1527">
        <v>0</v>
      </c>
      <c r="S1527" t="str">
        <f>IF(Table1[prior_dna_count]&gt;=1,"Has prior DNA history","No prior DNA history")</f>
        <v>No prior DNA history</v>
      </c>
      <c r="T1527" t="s">
        <v>22</v>
      </c>
      <c r="U1527" t="str">
        <f t="shared" si="23"/>
        <v>1</v>
      </c>
      <c r="V1527" t="str">
        <f>IF(Table1[appointment_status]="Attended","1","0")</f>
        <v>1</v>
      </c>
      <c r="W1527" t="str">
        <f>IF(Table1[appointment_status]="Cancelled","1","0")</f>
        <v>0</v>
      </c>
    </row>
    <row r="1528" spans="1:23">
      <c r="A1528" t="s">
        <v>2558</v>
      </c>
      <c r="B1528" t="s">
        <v>2516</v>
      </c>
      <c r="C1528">
        <v>66</v>
      </c>
      <c r="D1528" t="str" cm="1">
        <f t="array" ref="D1528">_xlfn.IFS(Table1[[#This Row],[age]]&lt;=17,"0-17",C1528&lt;=29,"18-29",C1528&lt;=44,"30-44",C1528&lt;=59,"45-59",C1528&lt;=74,"60-74",TRUE,"75+")</f>
        <v>60-74</v>
      </c>
      <c r="E1528" t="s">
        <v>17</v>
      </c>
      <c r="F1528">
        <v>6</v>
      </c>
      <c r="G1528" t="str" cm="1">
        <f t="array" ref="G1528">_xlfn.IFS(_xlfn.SINGLE(Table1[imd_decile])&lt;=3,"Most Deprived",F1528&lt;=7,"Moderately Deprived",F1528&lt;=10,"Least Deprived")</f>
        <v>Moderately Deprived</v>
      </c>
      <c r="H1528">
        <v>11.6</v>
      </c>
      <c r="I1528" t="s">
        <v>25</v>
      </c>
      <c r="J1528" t="s">
        <v>26</v>
      </c>
      <c r="K1528" s="1">
        <v>45849</v>
      </c>
      <c r="L1528" s="1">
        <v>45881</v>
      </c>
      <c r="M1528" s="1" t="str">
        <f>TEXT(Table1[[#This Row],[appointment_date]],"MM/YYYY")</f>
        <v>08/2025</v>
      </c>
      <c r="N1528">
        <v>32</v>
      </c>
      <c r="O1528" t="str" cm="1">
        <f t="array" ref="O1528">_xlfn.IFS(Table1[[#This Row],[lead_time_days]]&lt;=7,"0-7 days",N1528&lt;=14,"8-14 days",N1528&lt;=30,"15-30 days",N1528&lt;=60,"31-60 days",TRUE,"61+ days")</f>
        <v>31-60 days</v>
      </c>
      <c r="P1528" t="s">
        <v>71</v>
      </c>
      <c r="Q1528" t="s">
        <v>21</v>
      </c>
      <c r="R1528">
        <v>0</v>
      </c>
      <c r="S1528" t="str">
        <f>IF(Table1[prior_dna_count]&gt;=1,"Has prior DNA history","No prior DNA history")</f>
        <v>No prior DNA history</v>
      </c>
      <c r="T1528" t="s">
        <v>22</v>
      </c>
      <c r="U1528" t="str">
        <f t="shared" si="23"/>
        <v>1</v>
      </c>
      <c r="V1528" t="str">
        <f>IF(Table1[appointment_status]="Attended","1","0")</f>
        <v>1</v>
      </c>
      <c r="W1528" t="str">
        <f>IF(Table1[appointment_status]="Cancelled","1","0")</f>
        <v>0</v>
      </c>
    </row>
    <row r="1529" spans="1:23">
      <c r="A1529" t="s">
        <v>2559</v>
      </c>
      <c r="B1529" t="s">
        <v>191</v>
      </c>
      <c r="C1529">
        <v>9</v>
      </c>
      <c r="D1529" t="str" cm="1">
        <f t="array" ref="D1529">_xlfn.IFS(Table1[[#This Row],[age]]&lt;=17,"0-17",C1529&lt;=29,"18-29",C1529&lt;=44,"30-44",C1529&lt;=59,"45-59",C1529&lt;=74,"60-74",TRUE,"75+")</f>
        <v>0-17</v>
      </c>
      <c r="E1529" t="s">
        <v>17</v>
      </c>
      <c r="F1529">
        <v>6</v>
      </c>
      <c r="G1529" t="str" cm="1">
        <f t="array" ref="G1529">_xlfn.IFS(_xlfn.SINGLE(Table1[imd_decile])&lt;=3,"Most Deprived",F1529&lt;=7,"Moderately Deprived",F1529&lt;=10,"Least Deprived")</f>
        <v>Moderately Deprived</v>
      </c>
      <c r="H1529">
        <v>34.1</v>
      </c>
      <c r="I1529" t="s">
        <v>91</v>
      </c>
      <c r="J1529" t="s">
        <v>19</v>
      </c>
      <c r="K1529" s="1">
        <v>45816</v>
      </c>
      <c r="L1529" s="1">
        <v>45881</v>
      </c>
      <c r="M1529" s="1" t="str">
        <f>TEXT(Table1[[#This Row],[appointment_date]],"MM/YYYY")</f>
        <v>08/2025</v>
      </c>
      <c r="N1529">
        <v>65</v>
      </c>
      <c r="O1529" t="str" cm="1">
        <f t="array" ref="O1529">_xlfn.IFS(Table1[[#This Row],[lead_time_days]]&lt;=7,"0-7 days",N1529&lt;=14,"8-14 days",N1529&lt;=30,"15-30 days",N1529&lt;=60,"31-60 days",TRUE,"61+ days")</f>
        <v>61+ days</v>
      </c>
      <c r="P1529" t="s">
        <v>71</v>
      </c>
      <c r="Q1529" t="s">
        <v>21</v>
      </c>
      <c r="R1529">
        <v>0</v>
      </c>
      <c r="S1529" t="str">
        <f>IF(Table1[prior_dna_count]&gt;=1,"Has prior DNA history","No prior DNA history")</f>
        <v>No prior DNA history</v>
      </c>
      <c r="T1529" t="s">
        <v>22</v>
      </c>
      <c r="U1529" t="str">
        <f t="shared" si="23"/>
        <v>1</v>
      </c>
      <c r="V1529" t="str">
        <f>IF(Table1[appointment_status]="Attended","1","0")</f>
        <v>1</v>
      </c>
      <c r="W1529" t="str">
        <f>IF(Table1[appointment_status]="Cancelled","1","0")</f>
        <v>0</v>
      </c>
    </row>
    <row r="1530" spans="1:23">
      <c r="A1530" t="s">
        <v>2560</v>
      </c>
      <c r="B1530" t="s">
        <v>2561</v>
      </c>
      <c r="C1530">
        <v>32</v>
      </c>
      <c r="D1530" t="str" cm="1">
        <f t="array" ref="D1530">_xlfn.IFS(Table1[[#This Row],[age]]&lt;=17,"0-17",C1530&lt;=29,"18-29",C1530&lt;=44,"30-44",C1530&lt;=59,"45-59",C1530&lt;=74,"60-74",TRUE,"75+")</f>
        <v>30-44</v>
      </c>
      <c r="E1530" t="s">
        <v>17</v>
      </c>
      <c r="F1530">
        <v>2</v>
      </c>
      <c r="G1530" t="str" cm="1">
        <f t="array" ref="G1530">_xlfn.IFS(_xlfn.SINGLE(Table1[imd_decile])&lt;=3,"Most Deprived",F1530&lt;=7,"Moderately Deprived",F1530&lt;=10,"Least Deprived")</f>
        <v>Most Deprived</v>
      </c>
      <c r="H1530">
        <v>0.7</v>
      </c>
      <c r="I1530" t="s">
        <v>38</v>
      </c>
      <c r="J1530" t="s">
        <v>26</v>
      </c>
      <c r="K1530" s="1">
        <v>45836</v>
      </c>
      <c r="L1530" s="1">
        <v>45881</v>
      </c>
      <c r="M1530" s="1" t="str">
        <f>TEXT(Table1[[#This Row],[appointment_date]],"MM/YYYY")</f>
        <v>08/2025</v>
      </c>
      <c r="N1530">
        <v>45</v>
      </c>
      <c r="O1530" t="str" cm="1">
        <f t="array" ref="O1530">_xlfn.IFS(Table1[[#This Row],[lead_time_days]]&lt;=7,"0-7 days",N1530&lt;=14,"8-14 days",N1530&lt;=30,"15-30 days",N1530&lt;=60,"31-60 days",TRUE,"61+ days")</f>
        <v>31-60 days</v>
      </c>
      <c r="P1530" t="s">
        <v>71</v>
      </c>
      <c r="Q1530" t="s">
        <v>21</v>
      </c>
      <c r="R1530">
        <v>0</v>
      </c>
      <c r="S1530" t="str">
        <f>IF(Table1[prior_dna_count]&gt;=1,"Has prior DNA history","No prior DNA history")</f>
        <v>No prior DNA history</v>
      </c>
      <c r="T1530" t="s">
        <v>22</v>
      </c>
      <c r="U1530" t="str">
        <f t="shared" si="23"/>
        <v>1</v>
      </c>
      <c r="V1530" t="str">
        <f>IF(Table1[appointment_status]="Attended","1","0")</f>
        <v>1</v>
      </c>
      <c r="W1530" t="str">
        <f>IF(Table1[appointment_status]="Cancelled","1","0")</f>
        <v>0</v>
      </c>
    </row>
    <row r="1531" spans="1:23">
      <c r="A1531" t="s">
        <v>2562</v>
      </c>
      <c r="B1531" t="s">
        <v>2563</v>
      </c>
      <c r="C1531">
        <v>69</v>
      </c>
      <c r="D1531" t="str" cm="1">
        <f t="array" ref="D1531">_xlfn.IFS(Table1[[#This Row],[age]]&lt;=17,"0-17",C1531&lt;=29,"18-29",C1531&lt;=44,"30-44",C1531&lt;=59,"45-59",C1531&lt;=74,"60-74",TRUE,"75+")</f>
        <v>60-74</v>
      </c>
      <c r="E1531" t="s">
        <v>17</v>
      </c>
      <c r="F1531">
        <v>4</v>
      </c>
      <c r="G1531" t="str" cm="1">
        <f t="array" ref="G1531">_xlfn.IFS(_xlfn.SINGLE(Table1[imd_decile])&lt;=3,"Most Deprived",F1531&lt;=7,"Moderately Deprived",F1531&lt;=10,"Least Deprived")</f>
        <v>Moderately Deprived</v>
      </c>
      <c r="H1531">
        <v>6</v>
      </c>
      <c r="I1531" t="s">
        <v>58</v>
      </c>
      <c r="J1531" t="s">
        <v>19</v>
      </c>
      <c r="K1531" s="1">
        <v>45834</v>
      </c>
      <c r="L1531" s="1">
        <v>45881</v>
      </c>
      <c r="M1531" s="1" t="str">
        <f>TEXT(Table1[[#This Row],[appointment_date]],"MM/YYYY")</f>
        <v>08/2025</v>
      </c>
      <c r="N1531">
        <v>47</v>
      </c>
      <c r="O1531" t="str" cm="1">
        <f t="array" ref="O1531">_xlfn.IFS(Table1[[#This Row],[lead_time_days]]&lt;=7,"0-7 days",N1531&lt;=14,"8-14 days",N1531&lt;=30,"15-30 days",N1531&lt;=60,"31-60 days",TRUE,"61+ days")</f>
        <v>31-60 days</v>
      </c>
      <c r="P1531" t="s">
        <v>71</v>
      </c>
      <c r="Q1531" t="s">
        <v>21</v>
      </c>
      <c r="R1531">
        <v>0</v>
      </c>
      <c r="S1531" t="str">
        <f>IF(Table1[prior_dna_count]&gt;=1,"Has prior DNA history","No prior DNA history")</f>
        <v>No prior DNA history</v>
      </c>
      <c r="T1531" t="s">
        <v>22</v>
      </c>
      <c r="U1531" t="str">
        <f t="shared" si="23"/>
        <v>1</v>
      </c>
      <c r="V1531" t="str">
        <f>IF(Table1[appointment_status]="Attended","1","0")</f>
        <v>1</v>
      </c>
      <c r="W1531" t="str">
        <f>IF(Table1[appointment_status]="Cancelled","1","0")</f>
        <v>0</v>
      </c>
    </row>
    <row r="1532" spans="1:23">
      <c r="A1532" t="s">
        <v>2564</v>
      </c>
      <c r="B1532" t="s">
        <v>2024</v>
      </c>
      <c r="C1532">
        <v>63</v>
      </c>
      <c r="D1532" t="str" cm="1">
        <f t="array" ref="D1532">_xlfn.IFS(Table1[[#This Row],[age]]&lt;=17,"0-17",C1532&lt;=29,"18-29",C1532&lt;=44,"30-44",C1532&lt;=59,"45-59",C1532&lt;=74,"60-74",TRUE,"75+")</f>
        <v>60-74</v>
      </c>
      <c r="E1532" t="s">
        <v>29</v>
      </c>
      <c r="F1532">
        <v>7</v>
      </c>
      <c r="G1532" t="str" cm="1">
        <f t="array" ref="G1532">_xlfn.IFS(_xlfn.SINGLE(Table1[imd_decile])&lt;=3,"Most Deprived",F1532&lt;=7,"Moderately Deprived",F1532&lt;=10,"Least Deprived")</f>
        <v>Moderately Deprived</v>
      </c>
      <c r="H1532">
        <v>9.3000000000000007</v>
      </c>
      <c r="I1532" t="s">
        <v>49</v>
      </c>
      <c r="J1532" t="s">
        <v>19</v>
      </c>
      <c r="K1532" s="1">
        <v>45801</v>
      </c>
      <c r="L1532" s="1">
        <v>45881</v>
      </c>
      <c r="M1532" s="1" t="str">
        <f>TEXT(Table1[[#This Row],[appointment_date]],"MM/YYYY")</f>
        <v>08/2025</v>
      </c>
      <c r="N1532">
        <v>80</v>
      </c>
      <c r="O1532" t="str" cm="1">
        <f t="array" ref="O1532">_xlfn.IFS(Table1[[#This Row],[lead_time_days]]&lt;=7,"0-7 days",N1532&lt;=14,"8-14 days",N1532&lt;=30,"15-30 days",N1532&lt;=60,"31-60 days",TRUE,"61+ days")</f>
        <v>61+ days</v>
      </c>
      <c r="P1532" t="s">
        <v>71</v>
      </c>
      <c r="Q1532" t="s">
        <v>21</v>
      </c>
      <c r="R1532">
        <v>0</v>
      </c>
      <c r="S1532" t="str">
        <f>IF(Table1[prior_dna_count]&gt;=1,"Has prior DNA history","No prior DNA history")</f>
        <v>No prior DNA history</v>
      </c>
      <c r="T1532" t="s">
        <v>22</v>
      </c>
      <c r="U1532" t="str">
        <f t="shared" si="23"/>
        <v>1</v>
      </c>
      <c r="V1532" t="str">
        <f>IF(Table1[appointment_status]="Attended","1","0")</f>
        <v>1</v>
      </c>
      <c r="W1532" t="str">
        <f>IF(Table1[appointment_status]="Cancelled","1","0")</f>
        <v>0</v>
      </c>
    </row>
    <row r="1533" spans="1:23">
      <c r="A1533" t="s">
        <v>2565</v>
      </c>
      <c r="B1533" t="s">
        <v>834</v>
      </c>
      <c r="C1533">
        <v>59</v>
      </c>
      <c r="D1533" t="str" cm="1">
        <f t="array" ref="D1533">_xlfn.IFS(Table1[[#This Row],[age]]&lt;=17,"0-17",C1533&lt;=29,"18-29",C1533&lt;=44,"30-44",C1533&lt;=59,"45-59",C1533&lt;=74,"60-74",TRUE,"75+")</f>
        <v>45-59</v>
      </c>
      <c r="E1533" t="s">
        <v>17</v>
      </c>
      <c r="F1533">
        <v>5</v>
      </c>
      <c r="G1533" t="str" cm="1">
        <f t="array" ref="G1533">_xlfn.IFS(_xlfn.SINGLE(Table1[imd_decile])&lt;=3,"Most Deprived",F1533&lt;=7,"Moderately Deprived",F1533&lt;=10,"Least Deprived")</f>
        <v>Moderately Deprived</v>
      </c>
      <c r="H1533">
        <v>4.2</v>
      </c>
      <c r="I1533" t="s">
        <v>58</v>
      </c>
      <c r="J1533" t="s">
        <v>19</v>
      </c>
      <c r="K1533" s="1">
        <v>45864</v>
      </c>
      <c r="L1533" s="1">
        <v>45881</v>
      </c>
      <c r="M1533" s="1" t="str">
        <f>TEXT(Table1[[#This Row],[appointment_date]],"MM/YYYY")</f>
        <v>08/2025</v>
      </c>
      <c r="N1533">
        <v>17</v>
      </c>
      <c r="O1533" t="str" cm="1">
        <f t="array" ref="O1533">_xlfn.IFS(Table1[[#This Row],[lead_time_days]]&lt;=7,"0-7 days",N1533&lt;=14,"8-14 days",N1533&lt;=30,"15-30 days",N1533&lt;=60,"31-60 days",TRUE,"61+ days")</f>
        <v>15-30 days</v>
      </c>
      <c r="P1533" t="s">
        <v>71</v>
      </c>
      <c r="Q1533" t="s">
        <v>32</v>
      </c>
      <c r="R1533">
        <v>0</v>
      </c>
      <c r="S1533" t="str">
        <f>IF(Table1[prior_dna_count]&gt;=1,"Has prior DNA history","No prior DNA history")</f>
        <v>No prior DNA history</v>
      </c>
      <c r="T1533" t="s">
        <v>22</v>
      </c>
      <c r="U1533" t="str">
        <f t="shared" si="23"/>
        <v>1</v>
      </c>
      <c r="V1533" t="str">
        <f>IF(Table1[appointment_status]="Attended","1","0")</f>
        <v>1</v>
      </c>
      <c r="W1533" t="str">
        <f>IF(Table1[appointment_status]="Cancelled","1","0")</f>
        <v>0</v>
      </c>
    </row>
    <row r="1534" spans="1:23">
      <c r="A1534" t="s">
        <v>2566</v>
      </c>
      <c r="B1534" t="s">
        <v>2146</v>
      </c>
      <c r="C1534">
        <v>36</v>
      </c>
      <c r="D1534" t="str" cm="1">
        <f t="array" ref="D1534">_xlfn.IFS(Table1[[#This Row],[age]]&lt;=17,"0-17",C1534&lt;=29,"18-29",C1534&lt;=44,"30-44",C1534&lt;=59,"45-59",C1534&lt;=74,"60-74",TRUE,"75+")</f>
        <v>30-44</v>
      </c>
      <c r="E1534" t="s">
        <v>29</v>
      </c>
      <c r="F1534">
        <v>3</v>
      </c>
      <c r="G1534" t="str" cm="1">
        <f t="array" ref="G1534">_xlfn.IFS(_xlfn.SINGLE(Table1[imd_decile])&lt;=3,"Most Deprived",F1534&lt;=7,"Moderately Deprived",F1534&lt;=10,"Least Deprived")</f>
        <v>Most Deprived</v>
      </c>
      <c r="H1534">
        <v>4.0999999999999996</v>
      </c>
      <c r="I1534" t="s">
        <v>18</v>
      </c>
      <c r="J1534" t="s">
        <v>19</v>
      </c>
      <c r="K1534" s="1">
        <v>45876</v>
      </c>
      <c r="L1534" s="1">
        <v>45881</v>
      </c>
      <c r="M1534" s="1" t="str">
        <f>TEXT(Table1[[#This Row],[appointment_date]],"MM/YYYY")</f>
        <v>08/2025</v>
      </c>
      <c r="N1534">
        <v>5</v>
      </c>
      <c r="O1534" t="str" cm="1">
        <f t="array" ref="O1534">_xlfn.IFS(Table1[[#This Row],[lead_time_days]]&lt;=7,"0-7 days",N1534&lt;=14,"8-14 days",N1534&lt;=30,"15-30 days",N1534&lt;=60,"31-60 days",TRUE,"61+ days")</f>
        <v>0-7 days</v>
      </c>
      <c r="P1534" t="s">
        <v>71</v>
      </c>
      <c r="Q1534" t="s">
        <v>21</v>
      </c>
      <c r="R1534">
        <v>0</v>
      </c>
      <c r="S1534" t="str">
        <f>IF(Table1[prior_dna_count]&gt;=1,"Has prior DNA history","No prior DNA history")</f>
        <v>No prior DNA history</v>
      </c>
      <c r="T1534" t="s">
        <v>22</v>
      </c>
      <c r="U1534" t="str">
        <f t="shared" si="23"/>
        <v>1</v>
      </c>
      <c r="V1534" t="str">
        <f>IF(Table1[appointment_status]="Attended","1","0")</f>
        <v>1</v>
      </c>
      <c r="W1534" t="str">
        <f>IF(Table1[appointment_status]="Cancelled","1","0")</f>
        <v>0</v>
      </c>
    </row>
    <row r="1535" spans="1:23">
      <c r="A1535" t="s">
        <v>2567</v>
      </c>
      <c r="B1535" t="s">
        <v>1109</v>
      </c>
      <c r="C1535">
        <v>54</v>
      </c>
      <c r="D1535" t="str" cm="1">
        <f t="array" ref="D1535">_xlfn.IFS(Table1[[#This Row],[age]]&lt;=17,"0-17",C1535&lt;=29,"18-29",C1535&lt;=44,"30-44",C1535&lt;=59,"45-59",C1535&lt;=74,"60-74",TRUE,"75+")</f>
        <v>45-59</v>
      </c>
      <c r="E1535" t="s">
        <v>17</v>
      </c>
      <c r="F1535">
        <v>5</v>
      </c>
      <c r="G1535" t="str" cm="1">
        <f t="array" ref="G1535">_xlfn.IFS(_xlfn.SINGLE(Table1[imd_decile])&lt;=3,"Most Deprived",F1535&lt;=7,"Moderately Deprived",F1535&lt;=10,"Least Deprived")</f>
        <v>Moderately Deprived</v>
      </c>
      <c r="H1535">
        <v>22.7</v>
      </c>
      <c r="I1535" t="s">
        <v>49</v>
      </c>
      <c r="J1535" t="s">
        <v>26</v>
      </c>
      <c r="K1535" s="1">
        <v>45868</v>
      </c>
      <c r="L1535" s="1">
        <v>45881</v>
      </c>
      <c r="M1535" s="1" t="str">
        <f>TEXT(Table1[[#This Row],[appointment_date]],"MM/YYYY")</f>
        <v>08/2025</v>
      </c>
      <c r="N1535">
        <v>13</v>
      </c>
      <c r="O1535" t="str" cm="1">
        <f t="array" ref="O1535">_xlfn.IFS(Table1[[#This Row],[lead_time_days]]&lt;=7,"0-7 days",N1535&lt;=14,"8-14 days",N1535&lt;=30,"15-30 days",N1535&lt;=60,"31-60 days",TRUE,"61+ days")</f>
        <v>8-14 days</v>
      </c>
      <c r="P1535" t="s">
        <v>71</v>
      </c>
      <c r="Q1535" t="s">
        <v>21</v>
      </c>
      <c r="R1535">
        <v>0</v>
      </c>
      <c r="S1535" t="str">
        <f>IF(Table1[prior_dna_count]&gt;=1,"Has prior DNA history","No prior DNA history")</f>
        <v>No prior DNA history</v>
      </c>
      <c r="T1535" t="s">
        <v>22</v>
      </c>
      <c r="U1535" t="str">
        <f t="shared" si="23"/>
        <v>1</v>
      </c>
      <c r="V1535" t="str">
        <f>IF(Table1[appointment_status]="Attended","1","0")</f>
        <v>1</v>
      </c>
      <c r="W1535" t="str">
        <f>IF(Table1[appointment_status]="Cancelled","1","0")</f>
        <v>0</v>
      </c>
    </row>
    <row r="1536" spans="1:23">
      <c r="A1536" t="s">
        <v>2568</v>
      </c>
      <c r="B1536" t="s">
        <v>758</v>
      </c>
      <c r="C1536">
        <v>80</v>
      </c>
      <c r="D1536" t="str" cm="1">
        <f t="array" ref="D1536">_xlfn.IFS(Table1[[#This Row],[age]]&lt;=17,"0-17",C1536&lt;=29,"18-29",C1536&lt;=44,"30-44",C1536&lt;=59,"45-59",C1536&lt;=74,"60-74",TRUE,"75+")</f>
        <v>75+</v>
      </c>
      <c r="E1536" t="s">
        <v>29</v>
      </c>
      <c r="F1536">
        <v>1</v>
      </c>
      <c r="G1536" t="str" cm="1">
        <f t="array" ref="G1536">_xlfn.IFS(_xlfn.SINGLE(Table1[imd_decile])&lt;=3,"Most Deprived",F1536&lt;=7,"Moderately Deprived",F1536&lt;=10,"Least Deprived")</f>
        <v>Most Deprived</v>
      </c>
      <c r="H1536">
        <v>1.4</v>
      </c>
      <c r="I1536" t="s">
        <v>42</v>
      </c>
      <c r="J1536" t="s">
        <v>19</v>
      </c>
      <c r="K1536" s="1">
        <v>45870</v>
      </c>
      <c r="L1536" s="1">
        <v>45882</v>
      </c>
      <c r="M1536" s="1" t="str">
        <f>TEXT(Table1[[#This Row],[appointment_date]],"MM/YYYY")</f>
        <v>08/2025</v>
      </c>
      <c r="N1536">
        <v>12</v>
      </c>
      <c r="O1536" t="str" cm="1">
        <f t="array" ref="O1536">_xlfn.IFS(Table1[[#This Row],[lead_time_days]]&lt;=7,"0-7 days",N1536&lt;=14,"8-14 days",N1536&lt;=30,"15-30 days",N1536&lt;=60,"31-60 days",TRUE,"61+ days")</f>
        <v>8-14 days</v>
      </c>
      <c r="P1536" t="s">
        <v>80</v>
      </c>
      <c r="Q1536" t="s">
        <v>21</v>
      </c>
      <c r="R1536">
        <v>0</v>
      </c>
      <c r="S1536" t="str">
        <f>IF(Table1[prior_dna_count]&gt;=1,"Has prior DNA history","No prior DNA history")</f>
        <v>No prior DNA history</v>
      </c>
      <c r="T1536" t="s">
        <v>22</v>
      </c>
      <c r="U1536" t="str">
        <f t="shared" si="23"/>
        <v>1</v>
      </c>
      <c r="V1536" t="str">
        <f>IF(Table1[appointment_status]="Attended","1","0")</f>
        <v>1</v>
      </c>
      <c r="W1536" t="str">
        <f>IF(Table1[appointment_status]="Cancelled","1","0")</f>
        <v>0</v>
      </c>
    </row>
    <row r="1537" spans="1:23">
      <c r="A1537" t="s">
        <v>2569</v>
      </c>
      <c r="B1537" t="s">
        <v>780</v>
      </c>
      <c r="C1537">
        <v>59</v>
      </c>
      <c r="D1537" t="str" cm="1">
        <f t="array" ref="D1537">_xlfn.IFS(Table1[[#This Row],[age]]&lt;=17,"0-17",C1537&lt;=29,"18-29",C1537&lt;=44,"30-44",C1537&lt;=59,"45-59",C1537&lt;=74,"60-74",TRUE,"75+")</f>
        <v>45-59</v>
      </c>
      <c r="E1537" t="s">
        <v>29</v>
      </c>
      <c r="F1537">
        <v>1</v>
      </c>
      <c r="G1537" t="str" cm="1">
        <f t="array" ref="G1537">_xlfn.IFS(_xlfn.SINGLE(Table1[imd_decile])&lt;=3,"Most Deprived",F1537&lt;=7,"Moderately Deprived",F1537&lt;=10,"Least Deprived")</f>
        <v>Most Deprived</v>
      </c>
      <c r="H1537">
        <v>11.6</v>
      </c>
      <c r="I1537" t="s">
        <v>45</v>
      </c>
      <c r="J1537" t="s">
        <v>19</v>
      </c>
      <c r="K1537" s="1">
        <v>45853</v>
      </c>
      <c r="L1537" s="1">
        <v>45882</v>
      </c>
      <c r="M1537" s="1" t="str">
        <f>TEXT(Table1[[#This Row],[appointment_date]],"MM/YYYY")</f>
        <v>08/2025</v>
      </c>
      <c r="N1537">
        <v>29</v>
      </c>
      <c r="O1537" t="str" cm="1">
        <f t="array" ref="O1537">_xlfn.IFS(Table1[[#This Row],[lead_time_days]]&lt;=7,"0-7 days",N1537&lt;=14,"8-14 days",N1537&lt;=30,"15-30 days",N1537&lt;=60,"31-60 days",TRUE,"61+ days")</f>
        <v>15-30 days</v>
      </c>
      <c r="P1537" t="s">
        <v>80</v>
      </c>
      <c r="Q1537" t="s">
        <v>32</v>
      </c>
      <c r="R1537">
        <v>0</v>
      </c>
      <c r="S1537" t="str">
        <f>IF(Table1[prior_dna_count]&gt;=1,"Has prior DNA history","No prior DNA history")</f>
        <v>No prior DNA history</v>
      </c>
      <c r="T1537" t="s">
        <v>22</v>
      </c>
      <c r="U1537" t="str">
        <f t="shared" si="23"/>
        <v>1</v>
      </c>
      <c r="V1537" t="str">
        <f>IF(Table1[appointment_status]="Attended","1","0")</f>
        <v>1</v>
      </c>
      <c r="W1537" t="str">
        <f>IF(Table1[appointment_status]="Cancelled","1","0")</f>
        <v>0</v>
      </c>
    </row>
    <row r="1538" spans="1:23">
      <c r="A1538" t="s">
        <v>2570</v>
      </c>
      <c r="B1538" t="s">
        <v>2571</v>
      </c>
      <c r="C1538">
        <v>95</v>
      </c>
      <c r="D1538" t="str" cm="1">
        <f t="array" ref="D1538">_xlfn.IFS(Table1[[#This Row],[age]]&lt;=17,"0-17",C1538&lt;=29,"18-29",C1538&lt;=44,"30-44",C1538&lt;=59,"45-59",C1538&lt;=74,"60-74",TRUE,"75+")</f>
        <v>75+</v>
      </c>
      <c r="E1538" t="s">
        <v>17</v>
      </c>
      <c r="F1538">
        <v>6</v>
      </c>
      <c r="G1538" t="str" cm="1">
        <f t="array" ref="G1538">_xlfn.IFS(_xlfn.SINGLE(Table1[imd_decile])&lt;=3,"Most Deprived",F1538&lt;=7,"Moderately Deprived",F1538&lt;=10,"Least Deprived")</f>
        <v>Moderately Deprived</v>
      </c>
      <c r="H1538">
        <v>10</v>
      </c>
      <c r="I1538" t="s">
        <v>49</v>
      </c>
      <c r="J1538" t="s">
        <v>19</v>
      </c>
      <c r="K1538" s="1">
        <v>45851</v>
      </c>
      <c r="L1538" s="1">
        <v>45882</v>
      </c>
      <c r="M1538" s="1" t="str">
        <f>TEXT(Table1[[#This Row],[appointment_date]],"MM/YYYY")</f>
        <v>08/2025</v>
      </c>
      <c r="N1538">
        <v>31</v>
      </c>
      <c r="O1538" t="str" cm="1">
        <f t="array" ref="O1538">_xlfn.IFS(Table1[[#This Row],[lead_time_days]]&lt;=7,"0-7 days",N1538&lt;=14,"8-14 days",N1538&lt;=30,"15-30 days",N1538&lt;=60,"31-60 days",TRUE,"61+ days")</f>
        <v>31-60 days</v>
      </c>
      <c r="P1538" t="s">
        <v>80</v>
      </c>
      <c r="Q1538" t="s">
        <v>21</v>
      </c>
      <c r="R1538">
        <v>0</v>
      </c>
      <c r="S1538" t="str">
        <f>IF(Table1[prior_dna_count]&gt;=1,"Has prior DNA history","No prior DNA history")</f>
        <v>No prior DNA history</v>
      </c>
      <c r="T1538" t="s">
        <v>22</v>
      </c>
      <c r="U1538" t="str">
        <f t="shared" ref="U1538:U1601" si="24">V1537</f>
        <v>1</v>
      </c>
      <c r="V1538" t="str">
        <f>IF(Table1[appointment_status]="Attended","1","0")</f>
        <v>1</v>
      </c>
      <c r="W1538" t="str">
        <f>IF(Table1[appointment_status]="Cancelled","1","0")</f>
        <v>0</v>
      </c>
    </row>
    <row r="1539" spans="1:23">
      <c r="A1539" t="s">
        <v>2572</v>
      </c>
      <c r="B1539" t="s">
        <v>298</v>
      </c>
      <c r="C1539">
        <v>29</v>
      </c>
      <c r="D1539" t="str" cm="1">
        <f t="array" ref="D1539">_xlfn.IFS(Table1[[#This Row],[age]]&lt;=17,"0-17",C1539&lt;=29,"18-29",C1539&lt;=44,"30-44",C1539&lt;=59,"45-59",C1539&lt;=74,"60-74",TRUE,"75+")</f>
        <v>18-29</v>
      </c>
      <c r="E1539" t="s">
        <v>17</v>
      </c>
      <c r="F1539">
        <v>1</v>
      </c>
      <c r="G1539" t="str" cm="1">
        <f t="array" ref="G1539">_xlfn.IFS(_xlfn.SINGLE(Table1[imd_decile])&lt;=3,"Most Deprived",F1539&lt;=7,"Moderately Deprived",F1539&lt;=10,"Least Deprived")</f>
        <v>Most Deprived</v>
      </c>
      <c r="H1539">
        <v>5.9</v>
      </c>
      <c r="I1539" t="s">
        <v>45</v>
      </c>
      <c r="J1539" t="s">
        <v>19</v>
      </c>
      <c r="K1539" s="1">
        <v>45820</v>
      </c>
      <c r="L1539" s="1">
        <v>45882</v>
      </c>
      <c r="M1539" s="1" t="str">
        <f>TEXT(Table1[[#This Row],[appointment_date]],"MM/YYYY")</f>
        <v>08/2025</v>
      </c>
      <c r="N1539">
        <v>62</v>
      </c>
      <c r="O1539" t="str" cm="1">
        <f t="array" ref="O1539">_xlfn.IFS(Table1[[#This Row],[lead_time_days]]&lt;=7,"0-7 days",N1539&lt;=14,"8-14 days",N1539&lt;=30,"15-30 days",N1539&lt;=60,"31-60 days",TRUE,"61+ days")</f>
        <v>61+ days</v>
      </c>
      <c r="P1539" t="s">
        <v>80</v>
      </c>
      <c r="Q1539" t="s">
        <v>21</v>
      </c>
      <c r="R1539">
        <v>2</v>
      </c>
      <c r="S1539" t="str">
        <f>IF(Table1[prior_dna_count]&gt;=1,"Has prior DNA history","No prior DNA history")</f>
        <v>Has prior DNA history</v>
      </c>
      <c r="T1539" t="s">
        <v>39</v>
      </c>
      <c r="U1539" t="str">
        <f t="shared" si="24"/>
        <v>1</v>
      </c>
      <c r="V1539" t="str">
        <f>IF(Table1[appointment_status]="Attended","1","0")</f>
        <v>0</v>
      </c>
      <c r="W1539" t="str">
        <f>IF(Table1[appointment_status]="Cancelled","1","0")</f>
        <v>0</v>
      </c>
    </row>
    <row r="1540" spans="1:23">
      <c r="A1540" t="s">
        <v>2573</v>
      </c>
      <c r="B1540" t="s">
        <v>2574</v>
      </c>
      <c r="C1540">
        <v>63</v>
      </c>
      <c r="D1540" t="str" cm="1">
        <f t="array" ref="D1540">_xlfn.IFS(Table1[[#This Row],[age]]&lt;=17,"0-17",C1540&lt;=29,"18-29",C1540&lt;=44,"30-44",C1540&lt;=59,"45-59",C1540&lt;=74,"60-74",TRUE,"75+")</f>
        <v>60-74</v>
      </c>
      <c r="E1540" t="s">
        <v>29</v>
      </c>
      <c r="F1540">
        <v>2</v>
      </c>
      <c r="G1540" t="str" cm="1">
        <f t="array" ref="G1540">_xlfn.IFS(_xlfn.SINGLE(Table1[imd_decile])&lt;=3,"Most Deprived",F1540&lt;=7,"Moderately Deprived",F1540&lt;=10,"Least Deprived")</f>
        <v>Most Deprived</v>
      </c>
      <c r="H1540">
        <v>8</v>
      </c>
      <c r="I1540" t="s">
        <v>49</v>
      </c>
      <c r="J1540" t="s">
        <v>19</v>
      </c>
      <c r="K1540" s="1">
        <v>45835</v>
      </c>
      <c r="L1540" s="1">
        <v>45882</v>
      </c>
      <c r="M1540" s="1" t="str">
        <f>TEXT(Table1[[#This Row],[appointment_date]],"MM/YYYY")</f>
        <v>08/2025</v>
      </c>
      <c r="N1540">
        <v>47</v>
      </c>
      <c r="O1540" t="str" cm="1">
        <f t="array" ref="O1540">_xlfn.IFS(Table1[[#This Row],[lead_time_days]]&lt;=7,"0-7 days",N1540&lt;=14,"8-14 days",N1540&lt;=30,"15-30 days",N1540&lt;=60,"31-60 days",TRUE,"61+ days")</f>
        <v>31-60 days</v>
      </c>
      <c r="P1540" t="s">
        <v>80</v>
      </c>
      <c r="Q1540" t="s">
        <v>21</v>
      </c>
      <c r="R1540">
        <v>0</v>
      </c>
      <c r="S1540" t="str">
        <f>IF(Table1[prior_dna_count]&gt;=1,"Has prior DNA history","No prior DNA history")</f>
        <v>No prior DNA history</v>
      </c>
      <c r="T1540" t="s">
        <v>22</v>
      </c>
      <c r="U1540" t="str">
        <f t="shared" si="24"/>
        <v>0</v>
      </c>
      <c r="V1540" t="str">
        <f>IF(Table1[appointment_status]="Attended","1","0")</f>
        <v>1</v>
      </c>
      <c r="W1540" t="str">
        <f>IF(Table1[appointment_status]="Cancelled","1","0")</f>
        <v>0</v>
      </c>
    </row>
    <row r="1541" spans="1:23">
      <c r="A1541" t="s">
        <v>2575</v>
      </c>
      <c r="B1541" t="s">
        <v>1989</v>
      </c>
      <c r="C1541">
        <v>65</v>
      </c>
      <c r="D1541" t="str" cm="1">
        <f t="array" ref="D1541">_xlfn.IFS(Table1[[#This Row],[age]]&lt;=17,"0-17",C1541&lt;=29,"18-29",C1541&lt;=44,"30-44",C1541&lt;=59,"45-59",C1541&lt;=74,"60-74",TRUE,"75+")</f>
        <v>60-74</v>
      </c>
      <c r="E1541" t="s">
        <v>17</v>
      </c>
      <c r="F1541">
        <v>6</v>
      </c>
      <c r="G1541" t="str" cm="1">
        <f t="array" ref="G1541">_xlfn.IFS(_xlfn.SINGLE(Table1[imd_decile])&lt;=3,"Most Deprived",F1541&lt;=7,"Moderately Deprived",F1541&lt;=10,"Least Deprived")</f>
        <v>Moderately Deprived</v>
      </c>
      <c r="H1541">
        <v>1.7</v>
      </c>
      <c r="I1541" t="s">
        <v>25</v>
      </c>
      <c r="J1541" t="s">
        <v>19</v>
      </c>
      <c r="K1541" s="1">
        <v>45860</v>
      </c>
      <c r="L1541" s="1">
        <v>45882</v>
      </c>
      <c r="M1541" s="1" t="str">
        <f>TEXT(Table1[[#This Row],[appointment_date]],"MM/YYYY")</f>
        <v>08/2025</v>
      </c>
      <c r="N1541">
        <v>22</v>
      </c>
      <c r="O1541" t="str" cm="1">
        <f t="array" ref="O1541">_xlfn.IFS(Table1[[#This Row],[lead_time_days]]&lt;=7,"0-7 days",N1541&lt;=14,"8-14 days",N1541&lt;=30,"15-30 days",N1541&lt;=60,"31-60 days",TRUE,"61+ days")</f>
        <v>15-30 days</v>
      </c>
      <c r="P1541" t="s">
        <v>80</v>
      </c>
      <c r="Q1541" t="s">
        <v>21</v>
      </c>
      <c r="R1541">
        <v>0</v>
      </c>
      <c r="S1541" t="str">
        <f>IF(Table1[prior_dna_count]&gt;=1,"Has prior DNA history","No prior DNA history")</f>
        <v>No prior DNA history</v>
      </c>
      <c r="T1541" t="s">
        <v>22</v>
      </c>
      <c r="U1541" t="str">
        <f t="shared" si="24"/>
        <v>1</v>
      </c>
      <c r="V1541" t="str">
        <f>IF(Table1[appointment_status]="Attended","1","0")</f>
        <v>1</v>
      </c>
      <c r="W1541" t="str">
        <f>IF(Table1[appointment_status]="Cancelled","1","0")</f>
        <v>0</v>
      </c>
    </row>
    <row r="1542" spans="1:23">
      <c r="A1542" t="s">
        <v>2576</v>
      </c>
      <c r="B1542" t="s">
        <v>2577</v>
      </c>
      <c r="C1542">
        <v>65</v>
      </c>
      <c r="D1542" t="str" cm="1">
        <f t="array" ref="D1542">_xlfn.IFS(Table1[[#This Row],[age]]&lt;=17,"0-17",C1542&lt;=29,"18-29",C1542&lt;=44,"30-44",C1542&lt;=59,"45-59",C1542&lt;=74,"60-74",TRUE,"75+")</f>
        <v>60-74</v>
      </c>
      <c r="E1542" t="s">
        <v>29</v>
      </c>
      <c r="F1542">
        <v>8</v>
      </c>
      <c r="G1542" t="str" cm="1">
        <f t="array" ref="G1542">_xlfn.IFS(_xlfn.SINGLE(Table1[imd_decile])&lt;=3,"Most Deprived",F1542&lt;=7,"Moderately Deprived",F1542&lt;=10,"Least Deprived")</f>
        <v>Least Deprived</v>
      </c>
      <c r="H1542">
        <v>1.7</v>
      </c>
      <c r="I1542" t="s">
        <v>42</v>
      </c>
      <c r="J1542" t="s">
        <v>19</v>
      </c>
      <c r="K1542" s="1">
        <v>45841</v>
      </c>
      <c r="L1542" s="1">
        <v>45882</v>
      </c>
      <c r="M1542" s="1" t="str">
        <f>TEXT(Table1[[#This Row],[appointment_date]],"MM/YYYY")</f>
        <v>08/2025</v>
      </c>
      <c r="N1542">
        <v>41</v>
      </c>
      <c r="O1542" t="str" cm="1">
        <f t="array" ref="O1542">_xlfn.IFS(Table1[[#This Row],[lead_time_days]]&lt;=7,"0-7 days",N1542&lt;=14,"8-14 days",N1542&lt;=30,"15-30 days",N1542&lt;=60,"31-60 days",TRUE,"61+ days")</f>
        <v>31-60 days</v>
      </c>
      <c r="P1542" t="s">
        <v>80</v>
      </c>
      <c r="Q1542" t="s">
        <v>32</v>
      </c>
      <c r="R1542">
        <v>0</v>
      </c>
      <c r="S1542" t="str">
        <f>IF(Table1[prior_dna_count]&gt;=1,"Has prior DNA history","No prior DNA history")</f>
        <v>No prior DNA history</v>
      </c>
      <c r="T1542" t="s">
        <v>22</v>
      </c>
      <c r="U1542" t="str">
        <f t="shared" si="24"/>
        <v>1</v>
      </c>
      <c r="V1542" t="str">
        <f>IF(Table1[appointment_status]="Attended","1","0")</f>
        <v>1</v>
      </c>
      <c r="W1542" t="str">
        <f>IF(Table1[appointment_status]="Cancelled","1","0")</f>
        <v>0</v>
      </c>
    </row>
    <row r="1543" spans="1:23">
      <c r="A1543" t="s">
        <v>2578</v>
      </c>
      <c r="B1543" t="s">
        <v>255</v>
      </c>
      <c r="C1543">
        <v>50</v>
      </c>
      <c r="D1543" t="str" cm="1">
        <f t="array" ref="D1543">_xlfn.IFS(Table1[[#This Row],[age]]&lt;=17,"0-17",C1543&lt;=29,"18-29",C1543&lt;=44,"30-44",C1543&lt;=59,"45-59",C1543&lt;=74,"60-74",TRUE,"75+")</f>
        <v>45-59</v>
      </c>
      <c r="E1543" t="s">
        <v>17</v>
      </c>
      <c r="F1543">
        <v>7</v>
      </c>
      <c r="G1543" t="str" cm="1">
        <f t="array" ref="G1543">_xlfn.IFS(_xlfn.SINGLE(Table1[imd_decile])&lt;=3,"Most Deprived",F1543&lt;=7,"Moderately Deprived",F1543&lt;=10,"Least Deprived")</f>
        <v>Moderately Deprived</v>
      </c>
      <c r="H1543">
        <v>5.5</v>
      </c>
      <c r="I1543" t="s">
        <v>45</v>
      </c>
      <c r="J1543" t="s">
        <v>19</v>
      </c>
      <c r="K1543" s="1">
        <v>45868</v>
      </c>
      <c r="L1543" s="1">
        <v>45882</v>
      </c>
      <c r="M1543" s="1" t="str">
        <f>TEXT(Table1[[#This Row],[appointment_date]],"MM/YYYY")</f>
        <v>08/2025</v>
      </c>
      <c r="N1543">
        <v>14</v>
      </c>
      <c r="O1543" t="str" cm="1">
        <f t="array" ref="O1543">_xlfn.IFS(Table1[[#This Row],[lead_time_days]]&lt;=7,"0-7 days",N1543&lt;=14,"8-14 days",N1543&lt;=30,"15-30 days",N1543&lt;=60,"31-60 days",TRUE,"61+ days")</f>
        <v>8-14 days</v>
      </c>
      <c r="P1543" t="s">
        <v>80</v>
      </c>
      <c r="Q1543" t="s">
        <v>21</v>
      </c>
      <c r="R1543">
        <v>0</v>
      </c>
      <c r="S1543" t="str">
        <f>IF(Table1[prior_dna_count]&gt;=1,"Has prior DNA history","No prior DNA history")</f>
        <v>No prior DNA history</v>
      </c>
      <c r="T1543" t="s">
        <v>22</v>
      </c>
      <c r="U1543" t="str">
        <f t="shared" si="24"/>
        <v>1</v>
      </c>
      <c r="V1543" t="str">
        <f>IF(Table1[appointment_status]="Attended","1","0")</f>
        <v>1</v>
      </c>
      <c r="W1543" t="str">
        <f>IF(Table1[appointment_status]="Cancelled","1","0")</f>
        <v>0</v>
      </c>
    </row>
    <row r="1544" spans="1:23">
      <c r="A1544" t="s">
        <v>2579</v>
      </c>
      <c r="B1544" t="s">
        <v>2580</v>
      </c>
      <c r="C1544">
        <v>45</v>
      </c>
      <c r="D1544" t="str" cm="1">
        <f t="array" ref="D1544">_xlfn.IFS(Table1[[#This Row],[age]]&lt;=17,"0-17",C1544&lt;=29,"18-29",C1544&lt;=44,"30-44",C1544&lt;=59,"45-59",C1544&lt;=74,"60-74",TRUE,"75+")</f>
        <v>45-59</v>
      </c>
      <c r="E1544" t="s">
        <v>29</v>
      </c>
      <c r="F1544">
        <v>6</v>
      </c>
      <c r="G1544" t="str" cm="1">
        <f t="array" ref="G1544">_xlfn.IFS(_xlfn.SINGLE(Table1[imd_decile])&lt;=3,"Most Deprived",F1544&lt;=7,"Moderately Deprived",F1544&lt;=10,"Least Deprived")</f>
        <v>Moderately Deprived</v>
      </c>
      <c r="H1544">
        <v>8.6</v>
      </c>
      <c r="I1544" t="s">
        <v>25</v>
      </c>
      <c r="J1544" t="s">
        <v>26</v>
      </c>
      <c r="K1544" s="1">
        <v>45857</v>
      </c>
      <c r="L1544" s="1">
        <v>45883</v>
      </c>
      <c r="M1544" s="1" t="str">
        <f>TEXT(Table1[[#This Row],[appointment_date]],"MM/YYYY")</f>
        <v>08/2025</v>
      </c>
      <c r="N1544">
        <v>26</v>
      </c>
      <c r="O1544" t="str" cm="1">
        <f t="array" ref="O1544">_xlfn.IFS(Table1[[#This Row],[lead_time_days]]&lt;=7,"0-7 days",N1544&lt;=14,"8-14 days",N1544&lt;=30,"15-30 days",N1544&lt;=60,"31-60 days",TRUE,"61+ days")</f>
        <v>15-30 days</v>
      </c>
      <c r="P1544" t="s">
        <v>20</v>
      </c>
      <c r="Q1544" t="s">
        <v>32</v>
      </c>
      <c r="R1544">
        <v>0</v>
      </c>
      <c r="S1544" t="str">
        <f>IF(Table1[prior_dna_count]&gt;=1,"Has prior DNA history","No prior DNA history")</f>
        <v>No prior DNA history</v>
      </c>
      <c r="T1544" t="s">
        <v>22</v>
      </c>
      <c r="U1544" t="str">
        <f t="shared" si="24"/>
        <v>1</v>
      </c>
      <c r="V1544" t="str">
        <f>IF(Table1[appointment_status]="Attended","1","0")</f>
        <v>1</v>
      </c>
      <c r="W1544" t="str">
        <f>IF(Table1[appointment_status]="Cancelled","1","0")</f>
        <v>0</v>
      </c>
    </row>
    <row r="1545" spans="1:23">
      <c r="A1545" t="s">
        <v>2581</v>
      </c>
      <c r="B1545" t="s">
        <v>936</v>
      </c>
      <c r="C1545">
        <v>62</v>
      </c>
      <c r="D1545" t="str" cm="1">
        <f t="array" ref="D1545">_xlfn.IFS(Table1[[#This Row],[age]]&lt;=17,"0-17",C1545&lt;=29,"18-29",C1545&lt;=44,"30-44",C1545&lt;=59,"45-59",C1545&lt;=74,"60-74",TRUE,"75+")</f>
        <v>60-74</v>
      </c>
      <c r="E1545" t="s">
        <v>17</v>
      </c>
      <c r="F1545">
        <v>5</v>
      </c>
      <c r="G1545" t="str" cm="1">
        <f t="array" ref="G1545">_xlfn.IFS(_xlfn.SINGLE(Table1[imd_decile])&lt;=3,"Most Deprived",F1545&lt;=7,"Moderately Deprived",F1545&lt;=10,"Least Deprived")</f>
        <v>Moderately Deprived</v>
      </c>
      <c r="H1545">
        <v>18.7</v>
      </c>
      <c r="I1545" t="s">
        <v>38</v>
      </c>
      <c r="J1545" t="s">
        <v>19</v>
      </c>
      <c r="K1545" s="1">
        <v>45844</v>
      </c>
      <c r="L1545" s="1">
        <v>45883</v>
      </c>
      <c r="M1545" s="1" t="str">
        <f>TEXT(Table1[[#This Row],[appointment_date]],"MM/YYYY")</f>
        <v>08/2025</v>
      </c>
      <c r="N1545">
        <v>39</v>
      </c>
      <c r="O1545" t="str" cm="1">
        <f t="array" ref="O1545">_xlfn.IFS(Table1[[#This Row],[lead_time_days]]&lt;=7,"0-7 days",N1545&lt;=14,"8-14 days",N1545&lt;=30,"15-30 days",N1545&lt;=60,"31-60 days",TRUE,"61+ days")</f>
        <v>31-60 days</v>
      </c>
      <c r="P1545" t="s">
        <v>20</v>
      </c>
      <c r="Q1545" t="s">
        <v>32</v>
      </c>
      <c r="R1545">
        <v>0</v>
      </c>
      <c r="S1545" t="str">
        <f>IF(Table1[prior_dna_count]&gt;=1,"Has prior DNA history","No prior DNA history")</f>
        <v>No prior DNA history</v>
      </c>
      <c r="T1545" t="s">
        <v>39</v>
      </c>
      <c r="U1545" t="str">
        <f t="shared" si="24"/>
        <v>1</v>
      </c>
      <c r="V1545" t="str">
        <f>IF(Table1[appointment_status]="Attended","1","0")</f>
        <v>0</v>
      </c>
      <c r="W1545" t="str">
        <f>IF(Table1[appointment_status]="Cancelled","1","0")</f>
        <v>0</v>
      </c>
    </row>
    <row r="1546" spans="1:23">
      <c r="A1546" t="s">
        <v>2582</v>
      </c>
      <c r="B1546" t="s">
        <v>533</v>
      </c>
      <c r="C1546">
        <v>50</v>
      </c>
      <c r="D1546" t="str" cm="1">
        <f t="array" ref="D1546">_xlfn.IFS(Table1[[#This Row],[age]]&lt;=17,"0-17",C1546&lt;=29,"18-29",C1546&lt;=44,"30-44",C1546&lt;=59,"45-59",C1546&lt;=74,"60-74",TRUE,"75+")</f>
        <v>45-59</v>
      </c>
      <c r="E1546" t="s">
        <v>29</v>
      </c>
      <c r="F1546">
        <v>4</v>
      </c>
      <c r="G1546" t="str" cm="1">
        <f t="array" ref="G1546">_xlfn.IFS(_xlfn.SINGLE(Table1[imd_decile])&lt;=3,"Most Deprived",F1546&lt;=7,"Moderately Deprived",F1546&lt;=10,"Least Deprived")</f>
        <v>Moderately Deprived</v>
      </c>
      <c r="H1546">
        <v>6.4</v>
      </c>
      <c r="I1546" t="s">
        <v>49</v>
      </c>
      <c r="J1546" t="s">
        <v>19</v>
      </c>
      <c r="K1546" s="1">
        <v>45864</v>
      </c>
      <c r="L1546" s="1">
        <v>45883</v>
      </c>
      <c r="M1546" s="1" t="str">
        <f>TEXT(Table1[[#This Row],[appointment_date]],"MM/YYYY")</f>
        <v>08/2025</v>
      </c>
      <c r="N1546">
        <v>19</v>
      </c>
      <c r="O1546" t="str" cm="1">
        <f t="array" ref="O1546">_xlfn.IFS(Table1[[#This Row],[lead_time_days]]&lt;=7,"0-7 days",N1546&lt;=14,"8-14 days",N1546&lt;=30,"15-30 days",N1546&lt;=60,"31-60 days",TRUE,"61+ days")</f>
        <v>15-30 days</v>
      </c>
      <c r="P1546" t="s">
        <v>20</v>
      </c>
      <c r="Q1546" t="s">
        <v>32</v>
      </c>
      <c r="R1546">
        <v>0</v>
      </c>
      <c r="S1546" t="str">
        <f>IF(Table1[prior_dna_count]&gt;=1,"Has prior DNA history","No prior DNA history")</f>
        <v>No prior DNA history</v>
      </c>
      <c r="T1546" t="s">
        <v>22</v>
      </c>
      <c r="U1546" t="str">
        <f t="shared" si="24"/>
        <v>0</v>
      </c>
      <c r="V1546" t="str">
        <f>IF(Table1[appointment_status]="Attended","1","0")</f>
        <v>1</v>
      </c>
      <c r="W1546" t="str">
        <f>IF(Table1[appointment_status]="Cancelled","1","0")</f>
        <v>0</v>
      </c>
    </row>
    <row r="1547" spans="1:23">
      <c r="A1547" t="s">
        <v>2583</v>
      </c>
      <c r="B1547" t="s">
        <v>129</v>
      </c>
      <c r="C1547">
        <v>52</v>
      </c>
      <c r="D1547" t="str" cm="1">
        <f t="array" ref="D1547">_xlfn.IFS(Table1[[#This Row],[age]]&lt;=17,"0-17",C1547&lt;=29,"18-29",C1547&lt;=44,"30-44",C1547&lt;=59,"45-59",C1547&lt;=74,"60-74",TRUE,"75+")</f>
        <v>45-59</v>
      </c>
      <c r="E1547" t="s">
        <v>29</v>
      </c>
      <c r="F1547">
        <v>8</v>
      </c>
      <c r="G1547" t="str" cm="1">
        <f t="array" ref="G1547">_xlfn.IFS(_xlfn.SINGLE(Table1[imd_decile])&lt;=3,"Most Deprived",F1547&lt;=7,"Moderately Deprived",F1547&lt;=10,"Least Deprived")</f>
        <v>Least Deprived</v>
      </c>
      <c r="H1547">
        <v>6.6</v>
      </c>
      <c r="I1547" t="s">
        <v>18</v>
      </c>
      <c r="J1547" t="s">
        <v>26</v>
      </c>
      <c r="K1547" s="1">
        <v>45874</v>
      </c>
      <c r="L1547" s="1">
        <v>45883</v>
      </c>
      <c r="M1547" s="1" t="str">
        <f>TEXT(Table1[[#This Row],[appointment_date]],"MM/YYYY")</f>
        <v>08/2025</v>
      </c>
      <c r="N1547">
        <v>9</v>
      </c>
      <c r="O1547" t="str" cm="1">
        <f t="array" ref="O1547">_xlfn.IFS(Table1[[#This Row],[lead_time_days]]&lt;=7,"0-7 days",N1547&lt;=14,"8-14 days",N1547&lt;=30,"15-30 days",N1547&lt;=60,"31-60 days",TRUE,"61+ days")</f>
        <v>8-14 days</v>
      </c>
      <c r="P1547" t="s">
        <v>20</v>
      </c>
      <c r="Q1547" t="s">
        <v>32</v>
      </c>
      <c r="R1547">
        <v>0</v>
      </c>
      <c r="S1547" t="str">
        <f>IF(Table1[prior_dna_count]&gt;=1,"Has prior DNA history","No prior DNA history")</f>
        <v>No prior DNA history</v>
      </c>
      <c r="T1547" t="s">
        <v>22</v>
      </c>
      <c r="U1547" t="str">
        <f t="shared" si="24"/>
        <v>1</v>
      </c>
      <c r="V1547" t="str">
        <f>IF(Table1[appointment_status]="Attended","1","0")</f>
        <v>1</v>
      </c>
      <c r="W1547" t="str">
        <f>IF(Table1[appointment_status]="Cancelled","1","0")</f>
        <v>0</v>
      </c>
    </row>
    <row r="1548" spans="1:23">
      <c r="A1548" t="s">
        <v>2584</v>
      </c>
      <c r="B1548" t="s">
        <v>2186</v>
      </c>
      <c r="C1548">
        <v>78</v>
      </c>
      <c r="D1548" t="str" cm="1">
        <f t="array" ref="D1548">_xlfn.IFS(Table1[[#This Row],[age]]&lt;=17,"0-17",C1548&lt;=29,"18-29",C1548&lt;=44,"30-44",C1548&lt;=59,"45-59",C1548&lt;=74,"60-74",TRUE,"75+")</f>
        <v>75+</v>
      </c>
      <c r="E1548" t="s">
        <v>29</v>
      </c>
      <c r="F1548">
        <v>8</v>
      </c>
      <c r="G1548" t="str" cm="1">
        <f t="array" ref="G1548">_xlfn.IFS(_xlfn.SINGLE(Table1[imd_decile])&lt;=3,"Most Deprived",F1548&lt;=7,"Moderately Deprived",F1548&lt;=10,"Least Deprived")</f>
        <v>Least Deprived</v>
      </c>
      <c r="H1548">
        <v>6.7</v>
      </c>
      <c r="I1548" t="s">
        <v>45</v>
      </c>
      <c r="J1548" t="s">
        <v>19</v>
      </c>
      <c r="K1548" s="1">
        <v>45859</v>
      </c>
      <c r="L1548" s="1">
        <v>45883</v>
      </c>
      <c r="M1548" s="1" t="str">
        <f>TEXT(Table1[[#This Row],[appointment_date]],"MM/YYYY")</f>
        <v>08/2025</v>
      </c>
      <c r="N1548">
        <v>24</v>
      </c>
      <c r="O1548" t="str" cm="1">
        <f t="array" ref="O1548">_xlfn.IFS(Table1[[#This Row],[lead_time_days]]&lt;=7,"0-7 days",N1548&lt;=14,"8-14 days",N1548&lt;=30,"15-30 days",N1548&lt;=60,"31-60 days",TRUE,"61+ days")</f>
        <v>15-30 days</v>
      </c>
      <c r="P1548" t="s">
        <v>20</v>
      </c>
      <c r="Q1548" t="s">
        <v>21</v>
      </c>
      <c r="R1548">
        <v>0</v>
      </c>
      <c r="S1548" t="str">
        <f>IF(Table1[prior_dna_count]&gt;=1,"Has prior DNA history","No prior DNA history")</f>
        <v>No prior DNA history</v>
      </c>
      <c r="T1548" t="s">
        <v>22</v>
      </c>
      <c r="U1548" t="str">
        <f t="shared" si="24"/>
        <v>1</v>
      </c>
      <c r="V1548" t="str">
        <f>IF(Table1[appointment_status]="Attended","1","0")</f>
        <v>1</v>
      </c>
      <c r="W1548" t="str">
        <f>IF(Table1[appointment_status]="Cancelled","1","0")</f>
        <v>0</v>
      </c>
    </row>
    <row r="1549" spans="1:23">
      <c r="A1549" t="s">
        <v>2585</v>
      </c>
      <c r="B1549" t="s">
        <v>1604</v>
      </c>
      <c r="C1549">
        <v>67</v>
      </c>
      <c r="D1549" t="str" cm="1">
        <f t="array" ref="D1549">_xlfn.IFS(Table1[[#This Row],[age]]&lt;=17,"0-17",C1549&lt;=29,"18-29",C1549&lt;=44,"30-44",C1549&lt;=59,"45-59",C1549&lt;=74,"60-74",TRUE,"75+")</f>
        <v>60-74</v>
      </c>
      <c r="E1549" t="s">
        <v>29</v>
      </c>
      <c r="F1549">
        <v>4</v>
      </c>
      <c r="G1549" t="str" cm="1">
        <f t="array" ref="G1549">_xlfn.IFS(_xlfn.SINGLE(Table1[imd_decile])&lt;=3,"Most Deprived",F1549&lt;=7,"Moderately Deprived",F1549&lt;=10,"Least Deprived")</f>
        <v>Moderately Deprived</v>
      </c>
      <c r="H1549">
        <v>11.5</v>
      </c>
      <c r="I1549" t="s">
        <v>42</v>
      </c>
      <c r="J1549" t="s">
        <v>19</v>
      </c>
      <c r="K1549" s="1">
        <v>45815</v>
      </c>
      <c r="L1549" s="1">
        <v>45883</v>
      </c>
      <c r="M1549" s="1" t="str">
        <f>TEXT(Table1[[#This Row],[appointment_date]],"MM/YYYY")</f>
        <v>08/2025</v>
      </c>
      <c r="N1549">
        <v>68</v>
      </c>
      <c r="O1549" t="str" cm="1">
        <f t="array" ref="O1549">_xlfn.IFS(Table1[[#This Row],[lead_time_days]]&lt;=7,"0-7 days",N1549&lt;=14,"8-14 days",N1549&lt;=30,"15-30 days",N1549&lt;=60,"31-60 days",TRUE,"61+ days")</f>
        <v>61+ days</v>
      </c>
      <c r="P1549" t="s">
        <v>20</v>
      </c>
      <c r="Q1549" t="s">
        <v>32</v>
      </c>
      <c r="R1549">
        <v>0</v>
      </c>
      <c r="S1549" t="str">
        <f>IF(Table1[prior_dna_count]&gt;=1,"Has prior DNA history","No prior DNA history")</f>
        <v>No prior DNA history</v>
      </c>
      <c r="T1549" t="s">
        <v>22</v>
      </c>
      <c r="U1549" t="str">
        <f t="shared" si="24"/>
        <v>1</v>
      </c>
      <c r="V1549" t="str">
        <f>IF(Table1[appointment_status]="Attended","1","0")</f>
        <v>1</v>
      </c>
      <c r="W1549" t="str">
        <f>IF(Table1[appointment_status]="Cancelled","1","0")</f>
        <v>0</v>
      </c>
    </row>
    <row r="1550" spans="1:23">
      <c r="A1550" t="s">
        <v>2586</v>
      </c>
      <c r="B1550" t="s">
        <v>1294</v>
      </c>
      <c r="C1550">
        <v>37</v>
      </c>
      <c r="D1550" t="str" cm="1">
        <f t="array" ref="D1550">_xlfn.IFS(Table1[[#This Row],[age]]&lt;=17,"0-17",C1550&lt;=29,"18-29",C1550&lt;=44,"30-44",C1550&lt;=59,"45-59",C1550&lt;=74,"60-74",TRUE,"75+")</f>
        <v>30-44</v>
      </c>
      <c r="E1550" t="s">
        <v>17</v>
      </c>
      <c r="F1550">
        <v>1</v>
      </c>
      <c r="G1550" t="str" cm="1">
        <f t="array" ref="G1550">_xlfn.IFS(_xlfn.SINGLE(Table1[imd_decile])&lt;=3,"Most Deprived",F1550&lt;=7,"Moderately Deprived",F1550&lt;=10,"Least Deprived")</f>
        <v>Most Deprived</v>
      </c>
      <c r="H1550">
        <v>6.4</v>
      </c>
      <c r="I1550" t="s">
        <v>18</v>
      </c>
      <c r="J1550" t="s">
        <v>19</v>
      </c>
      <c r="K1550" s="1">
        <v>45855</v>
      </c>
      <c r="L1550" s="1">
        <v>45883</v>
      </c>
      <c r="M1550" s="1" t="str">
        <f>TEXT(Table1[[#This Row],[appointment_date]],"MM/YYYY")</f>
        <v>08/2025</v>
      </c>
      <c r="N1550">
        <v>28</v>
      </c>
      <c r="O1550" t="str" cm="1">
        <f t="array" ref="O1550">_xlfn.IFS(Table1[[#This Row],[lead_time_days]]&lt;=7,"0-7 days",N1550&lt;=14,"8-14 days",N1550&lt;=30,"15-30 days",N1550&lt;=60,"31-60 days",TRUE,"61+ days")</f>
        <v>15-30 days</v>
      </c>
      <c r="P1550" t="s">
        <v>20</v>
      </c>
      <c r="Q1550" t="s">
        <v>32</v>
      </c>
      <c r="R1550">
        <v>0</v>
      </c>
      <c r="S1550" t="str">
        <f>IF(Table1[prior_dna_count]&gt;=1,"Has prior DNA history","No prior DNA history")</f>
        <v>No prior DNA history</v>
      </c>
      <c r="T1550" t="s">
        <v>39</v>
      </c>
      <c r="U1550" t="str">
        <f t="shared" si="24"/>
        <v>1</v>
      </c>
      <c r="V1550" t="str">
        <f>IF(Table1[appointment_status]="Attended","1","0")</f>
        <v>0</v>
      </c>
      <c r="W1550" t="str">
        <f>IF(Table1[appointment_status]="Cancelled","1","0")</f>
        <v>0</v>
      </c>
    </row>
    <row r="1551" spans="1:23">
      <c r="A1551" t="s">
        <v>2587</v>
      </c>
      <c r="B1551" t="s">
        <v>2588</v>
      </c>
      <c r="C1551">
        <v>72</v>
      </c>
      <c r="D1551" t="str" cm="1">
        <f t="array" ref="D1551">_xlfn.IFS(Table1[[#This Row],[age]]&lt;=17,"0-17",C1551&lt;=29,"18-29",C1551&lt;=44,"30-44",C1551&lt;=59,"45-59",C1551&lt;=74,"60-74",TRUE,"75+")</f>
        <v>60-74</v>
      </c>
      <c r="E1551" t="s">
        <v>17</v>
      </c>
      <c r="F1551">
        <v>4</v>
      </c>
      <c r="G1551" t="str" cm="1">
        <f t="array" ref="G1551">_xlfn.IFS(_xlfn.SINGLE(Table1[imd_decile])&lt;=3,"Most Deprived",F1551&lt;=7,"Moderately Deprived",F1551&lt;=10,"Least Deprived")</f>
        <v>Moderately Deprived</v>
      </c>
      <c r="H1551">
        <v>23.2</v>
      </c>
      <c r="I1551" t="s">
        <v>25</v>
      </c>
      <c r="J1551" t="s">
        <v>26</v>
      </c>
      <c r="K1551" s="1">
        <v>45880</v>
      </c>
      <c r="L1551" s="1">
        <v>45883</v>
      </c>
      <c r="M1551" s="1" t="str">
        <f>TEXT(Table1[[#This Row],[appointment_date]],"MM/YYYY")</f>
        <v>08/2025</v>
      </c>
      <c r="N1551">
        <v>3</v>
      </c>
      <c r="O1551" t="str" cm="1">
        <f t="array" ref="O1551">_xlfn.IFS(Table1[[#This Row],[lead_time_days]]&lt;=7,"0-7 days",N1551&lt;=14,"8-14 days",N1551&lt;=30,"15-30 days",N1551&lt;=60,"31-60 days",TRUE,"61+ days")</f>
        <v>0-7 days</v>
      </c>
      <c r="P1551" t="s">
        <v>20</v>
      </c>
      <c r="Q1551" t="s">
        <v>32</v>
      </c>
      <c r="R1551">
        <v>0</v>
      </c>
      <c r="S1551" t="str">
        <f>IF(Table1[prior_dna_count]&gt;=1,"Has prior DNA history","No prior DNA history")</f>
        <v>No prior DNA history</v>
      </c>
      <c r="T1551" t="s">
        <v>46</v>
      </c>
      <c r="U1551" t="str">
        <f t="shared" si="24"/>
        <v>0</v>
      </c>
      <c r="V1551" t="str">
        <f>IF(Table1[appointment_status]="Attended","1","0")</f>
        <v>0</v>
      </c>
      <c r="W1551" t="str">
        <f>IF(Table1[appointment_status]="Cancelled","1","0")</f>
        <v>1</v>
      </c>
    </row>
    <row r="1552" spans="1:23">
      <c r="A1552" t="s">
        <v>2589</v>
      </c>
      <c r="B1552" t="s">
        <v>2590</v>
      </c>
      <c r="C1552">
        <v>69</v>
      </c>
      <c r="D1552" t="str" cm="1">
        <f t="array" ref="D1552">_xlfn.IFS(Table1[[#This Row],[age]]&lt;=17,"0-17",C1552&lt;=29,"18-29",C1552&lt;=44,"30-44",C1552&lt;=59,"45-59",C1552&lt;=74,"60-74",TRUE,"75+")</f>
        <v>60-74</v>
      </c>
      <c r="E1552" t="s">
        <v>17</v>
      </c>
      <c r="F1552">
        <v>3</v>
      </c>
      <c r="G1552" t="str" cm="1">
        <f t="array" ref="G1552">_xlfn.IFS(_xlfn.SINGLE(Table1[imd_decile])&lt;=3,"Most Deprived",F1552&lt;=7,"Moderately Deprived",F1552&lt;=10,"Least Deprived")</f>
        <v>Most Deprived</v>
      </c>
      <c r="H1552">
        <v>4.9000000000000004</v>
      </c>
      <c r="I1552" t="s">
        <v>18</v>
      </c>
      <c r="J1552" t="s">
        <v>19</v>
      </c>
      <c r="K1552" s="1">
        <v>45862</v>
      </c>
      <c r="L1552" s="1">
        <v>45884</v>
      </c>
      <c r="M1552" s="1" t="str">
        <f>TEXT(Table1[[#This Row],[appointment_date]],"MM/YYYY")</f>
        <v>08/2025</v>
      </c>
      <c r="N1552">
        <v>22</v>
      </c>
      <c r="O1552" t="str" cm="1">
        <f t="array" ref="O1552">_xlfn.IFS(Table1[[#This Row],[lead_time_days]]&lt;=7,"0-7 days",N1552&lt;=14,"8-14 days",N1552&lt;=30,"15-30 days",N1552&lt;=60,"31-60 days",TRUE,"61+ days")</f>
        <v>15-30 days</v>
      </c>
      <c r="P1552" t="s">
        <v>52</v>
      </c>
      <c r="Q1552" t="s">
        <v>21</v>
      </c>
      <c r="R1552">
        <v>0</v>
      </c>
      <c r="S1552" t="str">
        <f>IF(Table1[prior_dna_count]&gt;=1,"Has prior DNA history","No prior DNA history")</f>
        <v>No prior DNA history</v>
      </c>
      <c r="T1552" t="s">
        <v>22</v>
      </c>
      <c r="U1552" t="str">
        <f t="shared" si="24"/>
        <v>0</v>
      </c>
      <c r="V1552" t="str">
        <f>IF(Table1[appointment_status]="Attended","1","0")</f>
        <v>1</v>
      </c>
      <c r="W1552" t="str">
        <f>IF(Table1[appointment_status]="Cancelled","1","0")</f>
        <v>0</v>
      </c>
    </row>
    <row r="1553" spans="1:23">
      <c r="A1553" t="s">
        <v>2591</v>
      </c>
      <c r="B1553" t="s">
        <v>607</v>
      </c>
      <c r="C1553">
        <v>58</v>
      </c>
      <c r="D1553" t="str" cm="1">
        <f t="array" ref="D1553">_xlfn.IFS(Table1[[#This Row],[age]]&lt;=17,"0-17",C1553&lt;=29,"18-29",C1553&lt;=44,"30-44",C1553&lt;=59,"45-59",C1553&lt;=74,"60-74",TRUE,"75+")</f>
        <v>45-59</v>
      </c>
      <c r="E1553" t="s">
        <v>29</v>
      </c>
      <c r="F1553">
        <v>1</v>
      </c>
      <c r="G1553" t="str" cm="1">
        <f t="array" ref="G1553">_xlfn.IFS(_xlfn.SINGLE(Table1[imd_decile])&lt;=3,"Most Deprived",F1553&lt;=7,"Moderately Deprived",F1553&lt;=10,"Least Deprived")</f>
        <v>Most Deprived</v>
      </c>
      <c r="H1553">
        <v>17.399999999999999</v>
      </c>
      <c r="I1553" t="s">
        <v>91</v>
      </c>
      <c r="J1553" t="s">
        <v>19</v>
      </c>
      <c r="K1553" s="1">
        <v>45856</v>
      </c>
      <c r="L1553" s="1">
        <v>45884</v>
      </c>
      <c r="M1553" s="1" t="str">
        <f>TEXT(Table1[[#This Row],[appointment_date]],"MM/YYYY")</f>
        <v>08/2025</v>
      </c>
      <c r="N1553">
        <v>28</v>
      </c>
      <c r="O1553" t="str" cm="1">
        <f t="array" ref="O1553">_xlfn.IFS(Table1[[#This Row],[lead_time_days]]&lt;=7,"0-7 days",N1553&lt;=14,"8-14 days",N1553&lt;=30,"15-30 days",N1553&lt;=60,"31-60 days",TRUE,"61+ days")</f>
        <v>15-30 days</v>
      </c>
      <c r="P1553" t="s">
        <v>52</v>
      </c>
      <c r="Q1553" t="s">
        <v>32</v>
      </c>
      <c r="R1553">
        <v>0</v>
      </c>
      <c r="S1553" t="str">
        <f>IF(Table1[prior_dna_count]&gt;=1,"Has prior DNA history","No prior DNA history")</f>
        <v>No prior DNA history</v>
      </c>
      <c r="T1553" t="s">
        <v>22</v>
      </c>
      <c r="U1553" t="str">
        <f t="shared" si="24"/>
        <v>1</v>
      </c>
      <c r="V1553" t="str">
        <f>IF(Table1[appointment_status]="Attended","1","0")</f>
        <v>1</v>
      </c>
      <c r="W1553" t="str">
        <f>IF(Table1[appointment_status]="Cancelled","1","0")</f>
        <v>0</v>
      </c>
    </row>
    <row r="1554" spans="1:23">
      <c r="A1554" t="s">
        <v>2592</v>
      </c>
      <c r="B1554" t="s">
        <v>2593</v>
      </c>
      <c r="C1554">
        <v>67</v>
      </c>
      <c r="D1554" t="str" cm="1">
        <f t="array" ref="D1554">_xlfn.IFS(Table1[[#This Row],[age]]&lt;=17,"0-17",C1554&lt;=29,"18-29",C1554&lt;=44,"30-44",C1554&lt;=59,"45-59",C1554&lt;=74,"60-74",TRUE,"75+")</f>
        <v>60-74</v>
      </c>
      <c r="E1554" t="s">
        <v>17</v>
      </c>
      <c r="F1554">
        <v>5</v>
      </c>
      <c r="G1554" t="str" cm="1">
        <f t="array" ref="G1554">_xlfn.IFS(_xlfn.SINGLE(Table1[imd_decile])&lt;=3,"Most Deprived",F1554&lt;=7,"Moderately Deprived",F1554&lt;=10,"Least Deprived")</f>
        <v>Moderately Deprived</v>
      </c>
      <c r="H1554">
        <v>8.8000000000000007</v>
      </c>
      <c r="I1554" t="s">
        <v>18</v>
      </c>
      <c r="J1554" t="s">
        <v>19</v>
      </c>
      <c r="K1554" s="1">
        <v>45878</v>
      </c>
      <c r="L1554" s="1">
        <v>45884</v>
      </c>
      <c r="M1554" s="1" t="str">
        <f>TEXT(Table1[[#This Row],[appointment_date]],"MM/YYYY")</f>
        <v>08/2025</v>
      </c>
      <c r="N1554">
        <v>6</v>
      </c>
      <c r="O1554" t="str" cm="1">
        <f t="array" ref="O1554">_xlfn.IFS(Table1[[#This Row],[lead_time_days]]&lt;=7,"0-7 days",N1554&lt;=14,"8-14 days",N1554&lt;=30,"15-30 days",N1554&lt;=60,"31-60 days",TRUE,"61+ days")</f>
        <v>0-7 days</v>
      </c>
      <c r="P1554" t="s">
        <v>52</v>
      </c>
      <c r="Q1554" t="s">
        <v>21</v>
      </c>
      <c r="R1554">
        <v>0</v>
      </c>
      <c r="S1554" t="str">
        <f>IF(Table1[prior_dna_count]&gt;=1,"Has prior DNA history","No prior DNA history")</f>
        <v>No prior DNA history</v>
      </c>
      <c r="T1554" t="s">
        <v>22</v>
      </c>
      <c r="U1554" t="str">
        <f t="shared" si="24"/>
        <v>1</v>
      </c>
      <c r="V1554" t="str">
        <f>IF(Table1[appointment_status]="Attended","1","0")</f>
        <v>1</v>
      </c>
      <c r="W1554" t="str">
        <f>IF(Table1[appointment_status]="Cancelled","1","0")</f>
        <v>0</v>
      </c>
    </row>
    <row r="1555" spans="1:23">
      <c r="A1555" t="s">
        <v>2594</v>
      </c>
      <c r="B1555" t="s">
        <v>2595</v>
      </c>
      <c r="C1555">
        <v>25</v>
      </c>
      <c r="D1555" t="str" cm="1">
        <f t="array" ref="D1555">_xlfn.IFS(Table1[[#This Row],[age]]&lt;=17,"0-17",C1555&lt;=29,"18-29",C1555&lt;=44,"30-44",C1555&lt;=59,"45-59",C1555&lt;=74,"60-74",TRUE,"75+")</f>
        <v>18-29</v>
      </c>
      <c r="E1555" t="s">
        <v>29</v>
      </c>
      <c r="F1555">
        <v>4</v>
      </c>
      <c r="G1555" t="str" cm="1">
        <f t="array" ref="G1555">_xlfn.IFS(_xlfn.SINGLE(Table1[imd_decile])&lt;=3,"Most Deprived",F1555&lt;=7,"Moderately Deprived",F1555&lt;=10,"Least Deprived")</f>
        <v>Moderately Deprived</v>
      </c>
      <c r="H1555">
        <v>8.3000000000000007</v>
      </c>
      <c r="I1555" t="s">
        <v>25</v>
      </c>
      <c r="J1555" t="s">
        <v>26</v>
      </c>
      <c r="K1555" s="1">
        <v>45880</v>
      </c>
      <c r="L1555" s="1">
        <v>45884</v>
      </c>
      <c r="M1555" s="1" t="str">
        <f>TEXT(Table1[[#This Row],[appointment_date]],"MM/YYYY")</f>
        <v>08/2025</v>
      </c>
      <c r="N1555">
        <v>4</v>
      </c>
      <c r="O1555" t="str" cm="1">
        <f t="array" ref="O1555">_xlfn.IFS(Table1[[#This Row],[lead_time_days]]&lt;=7,"0-7 days",N1555&lt;=14,"8-14 days",N1555&lt;=30,"15-30 days",N1555&lt;=60,"31-60 days",TRUE,"61+ days")</f>
        <v>0-7 days</v>
      </c>
      <c r="P1555" t="s">
        <v>52</v>
      </c>
      <c r="Q1555" t="s">
        <v>21</v>
      </c>
      <c r="R1555">
        <v>0</v>
      </c>
      <c r="S1555" t="str">
        <f>IF(Table1[prior_dna_count]&gt;=1,"Has prior DNA history","No prior DNA history")</f>
        <v>No prior DNA history</v>
      </c>
      <c r="T1555" t="s">
        <v>22</v>
      </c>
      <c r="U1555" t="str">
        <f t="shared" si="24"/>
        <v>1</v>
      </c>
      <c r="V1555" t="str">
        <f>IF(Table1[appointment_status]="Attended","1","0")</f>
        <v>1</v>
      </c>
      <c r="W1555" t="str">
        <f>IF(Table1[appointment_status]="Cancelled","1","0")</f>
        <v>0</v>
      </c>
    </row>
    <row r="1556" spans="1:23">
      <c r="A1556" t="s">
        <v>2596</v>
      </c>
      <c r="B1556" t="s">
        <v>2597</v>
      </c>
      <c r="C1556">
        <v>62</v>
      </c>
      <c r="D1556" t="str" cm="1">
        <f t="array" ref="D1556">_xlfn.IFS(Table1[[#This Row],[age]]&lt;=17,"0-17",C1556&lt;=29,"18-29",C1556&lt;=44,"30-44",C1556&lt;=59,"45-59",C1556&lt;=74,"60-74",TRUE,"75+")</f>
        <v>60-74</v>
      </c>
      <c r="E1556" t="s">
        <v>17</v>
      </c>
      <c r="F1556">
        <v>7</v>
      </c>
      <c r="G1556" t="str" cm="1">
        <f t="array" ref="G1556">_xlfn.IFS(_xlfn.SINGLE(Table1[imd_decile])&lt;=3,"Most Deprived",F1556&lt;=7,"Moderately Deprived",F1556&lt;=10,"Least Deprived")</f>
        <v>Moderately Deprived</v>
      </c>
      <c r="H1556">
        <v>4.7</v>
      </c>
      <c r="I1556" t="s">
        <v>38</v>
      </c>
      <c r="J1556" t="s">
        <v>26</v>
      </c>
      <c r="K1556" s="1">
        <v>45858</v>
      </c>
      <c r="L1556" s="1">
        <v>45884</v>
      </c>
      <c r="M1556" s="1" t="str">
        <f>TEXT(Table1[[#This Row],[appointment_date]],"MM/YYYY")</f>
        <v>08/2025</v>
      </c>
      <c r="N1556">
        <v>26</v>
      </c>
      <c r="O1556" t="str" cm="1">
        <f t="array" ref="O1556">_xlfn.IFS(Table1[[#This Row],[lead_time_days]]&lt;=7,"0-7 days",N1556&lt;=14,"8-14 days",N1556&lt;=30,"15-30 days",N1556&lt;=60,"31-60 days",TRUE,"61+ days")</f>
        <v>15-30 days</v>
      </c>
      <c r="P1556" t="s">
        <v>52</v>
      </c>
      <c r="Q1556" t="s">
        <v>21</v>
      </c>
      <c r="R1556">
        <v>0</v>
      </c>
      <c r="S1556" t="str">
        <f>IF(Table1[prior_dna_count]&gt;=1,"Has prior DNA history","No prior DNA history")</f>
        <v>No prior DNA history</v>
      </c>
      <c r="T1556" t="s">
        <v>22</v>
      </c>
      <c r="U1556" t="str">
        <f t="shared" si="24"/>
        <v>1</v>
      </c>
      <c r="V1556" t="str">
        <f>IF(Table1[appointment_status]="Attended","1","0")</f>
        <v>1</v>
      </c>
      <c r="W1556" t="str">
        <f>IF(Table1[appointment_status]="Cancelled","1","0")</f>
        <v>0</v>
      </c>
    </row>
    <row r="1557" spans="1:23">
      <c r="A1557" t="s">
        <v>2598</v>
      </c>
      <c r="B1557" t="s">
        <v>494</v>
      </c>
      <c r="C1557">
        <v>45</v>
      </c>
      <c r="D1557" t="str" cm="1">
        <f t="array" ref="D1557">_xlfn.IFS(Table1[[#This Row],[age]]&lt;=17,"0-17",C1557&lt;=29,"18-29",C1557&lt;=44,"30-44",C1557&lt;=59,"45-59",C1557&lt;=74,"60-74",TRUE,"75+")</f>
        <v>45-59</v>
      </c>
      <c r="E1557" t="s">
        <v>17</v>
      </c>
      <c r="F1557">
        <v>10</v>
      </c>
      <c r="G1557" t="str" cm="1">
        <f t="array" ref="G1557">_xlfn.IFS(_xlfn.SINGLE(Table1[imd_decile])&lt;=3,"Most Deprived",F1557&lt;=7,"Moderately Deprived",F1557&lt;=10,"Least Deprived")</f>
        <v>Least Deprived</v>
      </c>
      <c r="H1557">
        <v>8.9</v>
      </c>
      <c r="I1557" t="s">
        <v>155</v>
      </c>
      <c r="J1557" t="s">
        <v>26</v>
      </c>
      <c r="K1557" s="1">
        <v>45882</v>
      </c>
      <c r="L1557" s="1">
        <v>45884</v>
      </c>
      <c r="M1557" s="1" t="str">
        <f>TEXT(Table1[[#This Row],[appointment_date]],"MM/YYYY")</f>
        <v>08/2025</v>
      </c>
      <c r="N1557">
        <v>2</v>
      </c>
      <c r="O1557" t="str" cm="1">
        <f t="array" ref="O1557">_xlfn.IFS(Table1[[#This Row],[lead_time_days]]&lt;=7,"0-7 days",N1557&lt;=14,"8-14 days",N1557&lt;=30,"15-30 days",N1557&lt;=60,"31-60 days",TRUE,"61+ days")</f>
        <v>0-7 days</v>
      </c>
      <c r="P1557" t="s">
        <v>52</v>
      </c>
      <c r="Q1557" t="s">
        <v>32</v>
      </c>
      <c r="R1557">
        <v>0</v>
      </c>
      <c r="S1557" t="str">
        <f>IF(Table1[prior_dna_count]&gt;=1,"Has prior DNA history","No prior DNA history")</f>
        <v>No prior DNA history</v>
      </c>
      <c r="T1557" t="s">
        <v>22</v>
      </c>
      <c r="U1557" t="str">
        <f t="shared" si="24"/>
        <v>1</v>
      </c>
      <c r="V1557" t="str">
        <f>IF(Table1[appointment_status]="Attended","1","0")</f>
        <v>1</v>
      </c>
      <c r="W1557" t="str">
        <f>IF(Table1[appointment_status]="Cancelled","1","0")</f>
        <v>0</v>
      </c>
    </row>
    <row r="1558" spans="1:23">
      <c r="A1558" t="s">
        <v>2599</v>
      </c>
      <c r="B1558" t="s">
        <v>2600</v>
      </c>
      <c r="C1558">
        <v>66</v>
      </c>
      <c r="D1558" t="str" cm="1">
        <f t="array" ref="D1558">_xlfn.IFS(Table1[[#This Row],[age]]&lt;=17,"0-17",C1558&lt;=29,"18-29",C1558&lt;=44,"30-44",C1558&lt;=59,"45-59",C1558&lt;=74,"60-74",TRUE,"75+")</f>
        <v>60-74</v>
      </c>
      <c r="E1558" t="s">
        <v>29</v>
      </c>
      <c r="F1558">
        <v>5</v>
      </c>
      <c r="G1558" t="str" cm="1">
        <f t="array" ref="G1558">_xlfn.IFS(_xlfn.SINGLE(Table1[imd_decile])&lt;=3,"Most Deprived",F1558&lt;=7,"Moderately Deprived",F1558&lt;=10,"Least Deprived")</f>
        <v>Moderately Deprived</v>
      </c>
      <c r="H1558">
        <v>7</v>
      </c>
      <c r="I1558" t="s">
        <v>42</v>
      </c>
      <c r="J1558" t="s">
        <v>19</v>
      </c>
      <c r="K1558" s="1">
        <v>45855</v>
      </c>
      <c r="L1558" s="1">
        <v>45884</v>
      </c>
      <c r="M1558" s="1" t="str">
        <f>TEXT(Table1[[#This Row],[appointment_date]],"MM/YYYY")</f>
        <v>08/2025</v>
      </c>
      <c r="N1558">
        <v>29</v>
      </c>
      <c r="O1558" t="str" cm="1">
        <f t="array" ref="O1558">_xlfn.IFS(Table1[[#This Row],[lead_time_days]]&lt;=7,"0-7 days",N1558&lt;=14,"8-14 days",N1558&lt;=30,"15-30 days",N1558&lt;=60,"31-60 days",TRUE,"61+ days")</f>
        <v>15-30 days</v>
      </c>
      <c r="P1558" t="s">
        <v>52</v>
      </c>
      <c r="Q1558" t="s">
        <v>32</v>
      </c>
      <c r="R1558">
        <v>0</v>
      </c>
      <c r="S1558" t="str">
        <f>IF(Table1[prior_dna_count]&gt;=1,"Has prior DNA history","No prior DNA history")</f>
        <v>No prior DNA history</v>
      </c>
      <c r="T1558" t="s">
        <v>39</v>
      </c>
      <c r="U1558" t="str">
        <f t="shared" si="24"/>
        <v>1</v>
      </c>
      <c r="V1558" t="str">
        <f>IF(Table1[appointment_status]="Attended","1","0")</f>
        <v>0</v>
      </c>
      <c r="W1558" t="str">
        <f>IF(Table1[appointment_status]="Cancelled","1","0")</f>
        <v>0</v>
      </c>
    </row>
    <row r="1559" spans="1:23">
      <c r="A1559" t="s">
        <v>2601</v>
      </c>
      <c r="B1559" t="s">
        <v>531</v>
      </c>
      <c r="C1559">
        <v>26</v>
      </c>
      <c r="D1559" t="str" cm="1">
        <f t="array" ref="D1559">_xlfn.IFS(Table1[[#This Row],[age]]&lt;=17,"0-17",C1559&lt;=29,"18-29",C1559&lt;=44,"30-44",C1559&lt;=59,"45-59",C1559&lt;=74,"60-74",TRUE,"75+")</f>
        <v>18-29</v>
      </c>
      <c r="E1559" t="s">
        <v>29</v>
      </c>
      <c r="F1559">
        <v>5</v>
      </c>
      <c r="G1559" t="str" cm="1">
        <f t="array" ref="G1559">_xlfn.IFS(_xlfn.SINGLE(Table1[imd_decile])&lt;=3,"Most Deprived",F1559&lt;=7,"Moderately Deprived",F1559&lt;=10,"Least Deprived")</f>
        <v>Moderately Deprived</v>
      </c>
      <c r="H1559">
        <v>1.8</v>
      </c>
      <c r="I1559" t="s">
        <v>155</v>
      </c>
      <c r="J1559" t="s">
        <v>19</v>
      </c>
      <c r="K1559" s="1">
        <v>45867</v>
      </c>
      <c r="L1559" s="1">
        <v>45885</v>
      </c>
      <c r="M1559" s="1" t="str">
        <f>TEXT(Table1[[#This Row],[appointment_date]],"MM/YYYY")</f>
        <v>08/2025</v>
      </c>
      <c r="N1559">
        <v>18</v>
      </c>
      <c r="O1559" t="str" cm="1">
        <f t="array" ref="O1559">_xlfn.IFS(Table1[[#This Row],[lead_time_days]]&lt;=7,"0-7 days",N1559&lt;=14,"8-14 days",N1559&lt;=30,"15-30 days",N1559&lt;=60,"31-60 days",TRUE,"61+ days")</f>
        <v>15-30 days</v>
      </c>
      <c r="P1559" t="s">
        <v>55</v>
      </c>
      <c r="Q1559" t="s">
        <v>32</v>
      </c>
      <c r="R1559">
        <v>0</v>
      </c>
      <c r="S1559" t="str">
        <f>IF(Table1[prior_dna_count]&gt;=1,"Has prior DNA history","No prior DNA history")</f>
        <v>No prior DNA history</v>
      </c>
      <c r="T1559" t="s">
        <v>22</v>
      </c>
      <c r="U1559" t="str">
        <f t="shared" si="24"/>
        <v>0</v>
      </c>
      <c r="V1559" t="str">
        <f>IF(Table1[appointment_status]="Attended","1","0")</f>
        <v>1</v>
      </c>
      <c r="W1559" t="str">
        <f>IF(Table1[appointment_status]="Cancelled","1","0")</f>
        <v>0</v>
      </c>
    </row>
    <row r="1560" spans="1:23">
      <c r="A1560" t="s">
        <v>2602</v>
      </c>
      <c r="B1560" t="s">
        <v>2603</v>
      </c>
      <c r="C1560">
        <v>49</v>
      </c>
      <c r="D1560" t="str" cm="1">
        <f t="array" ref="D1560">_xlfn.IFS(Table1[[#This Row],[age]]&lt;=17,"0-17",C1560&lt;=29,"18-29",C1560&lt;=44,"30-44",C1560&lt;=59,"45-59",C1560&lt;=74,"60-74",TRUE,"75+")</f>
        <v>45-59</v>
      </c>
      <c r="E1560" t="s">
        <v>29</v>
      </c>
      <c r="F1560">
        <v>6</v>
      </c>
      <c r="G1560" t="str" cm="1">
        <f t="array" ref="G1560">_xlfn.IFS(_xlfn.SINGLE(Table1[imd_decile])&lt;=3,"Most Deprived",F1560&lt;=7,"Moderately Deprived",F1560&lt;=10,"Least Deprived")</f>
        <v>Moderately Deprived</v>
      </c>
      <c r="H1560">
        <v>4.0999999999999996</v>
      </c>
      <c r="I1560" t="s">
        <v>38</v>
      </c>
      <c r="J1560" t="s">
        <v>26</v>
      </c>
      <c r="K1560" s="1">
        <v>45870</v>
      </c>
      <c r="L1560" s="1">
        <v>45885</v>
      </c>
      <c r="M1560" s="1" t="str">
        <f>TEXT(Table1[[#This Row],[appointment_date]],"MM/YYYY")</f>
        <v>08/2025</v>
      </c>
      <c r="N1560">
        <v>15</v>
      </c>
      <c r="O1560" t="str" cm="1">
        <f t="array" ref="O1560">_xlfn.IFS(Table1[[#This Row],[lead_time_days]]&lt;=7,"0-7 days",N1560&lt;=14,"8-14 days",N1560&lt;=30,"15-30 days",N1560&lt;=60,"31-60 days",TRUE,"61+ days")</f>
        <v>15-30 days</v>
      </c>
      <c r="P1560" t="s">
        <v>55</v>
      </c>
      <c r="Q1560" t="s">
        <v>21</v>
      </c>
      <c r="R1560">
        <v>0</v>
      </c>
      <c r="S1560" t="str">
        <f>IF(Table1[prior_dna_count]&gt;=1,"Has prior DNA history","No prior DNA history")</f>
        <v>No prior DNA history</v>
      </c>
      <c r="T1560" t="s">
        <v>22</v>
      </c>
      <c r="U1560" t="str">
        <f t="shared" si="24"/>
        <v>1</v>
      </c>
      <c r="V1560" t="str">
        <f>IF(Table1[appointment_status]="Attended","1","0")</f>
        <v>1</v>
      </c>
      <c r="W1560" t="str">
        <f>IF(Table1[appointment_status]="Cancelled","1","0")</f>
        <v>0</v>
      </c>
    </row>
    <row r="1561" spans="1:23">
      <c r="A1561" t="s">
        <v>2604</v>
      </c>
      <c r="B1561" t="s">
        <v>1559</v>
      </c>
      <c r="C1561">
        <v>61</v>
      </c>
      <c r="D1561" t="str" cm="1">
        <f t="array" ref="D1561">_xlfn.IFS(Table1[[#This Row],[age]]&lt;=17,"0-17",C1561&lt;=29,"18-29",C1561&lt;=44,"30-44",C1561&lt;=59,"45-59",C1561&lt;=74,"60-74",TRUE,"75+")</f>
        <v>60-74</v>
      </c>
      <c r="E1561" t="s">
        <v>29</v>
      </c>
      <c r="F1561">
        <v>10</v>
      </c>
      <c r="G1561" t="str" cm="1">
        <f t="array" ref="G1561">_xlfn.IFS(_xlfn.SINGLE(Table1[imd_decile])&lt;=3,"Most Deprived",F1561&lt;=7,"Moderately Deprived",F1561&lt;=10,"Least Deprived")</f>
        <v>Least Deprived</v>
      </c>
      <c r="H1561">
        <v>12.2</v>
      </c>
      <c r="I1561" t="s">
        <v>45</v>
      </c>
      <c r="J1561" t="s">
        <v>19</v>
      </c>
      <c r="K1561" s="1">
        <v>45870</v>
      </c>
      <c r="L1561" s="1">
        <v>45885</v>
      </c>
      <c r="M1561" s="1" t="str">
        <f>TEXT(Table1[[#This Row],[appointment_date]],"MM/YYYY")</f>
        <v>08/2025</v>
      </c>
      <c r="N1561">
        <v>15</v>
      </c>
      <c r="O1561" t="str" cm="1">
        <f t="array" ref="O1561">_xlfn.IFS(Table1[[#This Row],[lead_time_days]]&lt;=7,"0-7 days",N1561&lt;=14,"8-14 days",N1561&lt;=30,"15-30 days",N1561&lt;=60,"31-60 days",TRUE,"61+ days")</f>
        <v>15-30 days</v>
      </c>
      <c r="P1561" t="s">
        <v>55</v>
      </c>
      <c r="Q1561" t="s">
        <v>21</v>
      </c>
      <c r="R1561">
        <v>0</v>
      </c>
      <c r="S1561" t="str">
        <f>IF(Table1[prior_dna_count]&gt;=1,"Has prior DNA history","No prior DNA history")</f>
        <v>No prior DNA history</v>
      </c>
      <c r="T1561" t="s">
        <v>22</v>
      </c>
      <c r="U1561" t="str">
        <f t="shared" si="24"/>
        <v>1</v>
      </c>
      <c r="V1561" t="str">
        <f>IF(Table1[appointment_status]="Attended","1","0")</f>
        <v>1</v>
      </c>
      <c r="W1561" t="str">
        <f>IF(Table1[appointment_status]="Cancelled","1","0")</f>
        <v>0</v>
      </c>
    </row>
    <row r="1562" spans="1:23">
      <c r="A1562" t="s">
        <v>2605</v>
      </c>
      <c r="B1562" t="s">
        <v>2063</v>
      </c>
      <c r="C1562">
        <v>36</v>
      </c>
      <c r="D1562" t="str" cm="1">
        <f t="array" ref="D1562">_xlfn.IFS(Table1[[#This Row],[age]]&lt;=17,"0-17",C1562&lt;=29,"18-29",C1562&lt;=44,"30-44",C1562&lt;=59,"45-59",C1562&lt;=74,"60-74",TRUE,"75+")</f>
        <v>30-44</v>
      </c>
      <c r="E1562" t="s">
        <v>29</v>
      </c>
      <c r="F1562">
        <v>3</v>
      </c>
      <c r="G1562" t="str" cm="1">
        <f t="array" ref="G1562">_xlfn.IFS(_xlfn.SINGLE(Table1[imd_decile])&lt;=3,"Most Deprived",F1562&lt;=7,"Moderately Deprived",F1562&lt;=10,"Least Deprived")</f>
        <v>Most Deprived</v>
      </c>
      <c r="H1562">
        <v>3.2</v>
      </c>
      <c r="I1562" t="s">
        <v>91</v>
      </c>
      <c r="J1562" t="s">
        <v>19</v>
      </c>
      <c r="K1562" s="1">
        <v>45870</v>
      </c>
      <c r="L1562" s="1">
        <v>45885</v>
      </c>
      <c r="M1562" s="1" t="str">
        <f>TEXT(Table1[[#This Row],[appointment_date]],"MM/YYYY")</f>
        <v>08/2025</v>
      </c>
      <c r="N1562">
        <v>15</v>
      </c>
      <c r="O1562" t="str" cm="1">
        <f t="array" ref="O1562">_xlfn.IFS(Table1[[#This Row],[lead_time_days]]&lt;=7,"0-7 days",N1562&lt;=14,"8-14 days",N1562&lt;=30,"15-30 days",N1562&lt;=60,"31-60 days",TRUE,"61+ days")</f>
        <v>15-30 days</v>
      </c>
      <c r="P1562" t="s">
        <v>55</v>
      </c>
      <c r="Q1562" t="s">
        <v>32</v>
      </c>
      <c r="R1562">
        <v>1</v>
      </c>
      <c r="S1562" t="str">
        <f>IF(Table1[prior_dna_count]&gt;=1,"Has prior DNA history","No prior DNA history")</f>
        <v>Has prior DNA history</v>
      </c>
      <c r="T1562" t="s">
        <v>22</v>
      </c>
      <c r="U1562" t="str">
        <f t="shared" si="24"/>
        <v>1</v>
      </c>
      <c r="V1562" t="str">
        <f>IF(Table1[appointment_status]="Attended","1","0")</f>
        <v>1</v>
      </c>
      <c r="W1562" t="str">
        <f>IF(Table1[appointment_status]="Cancelled","1","0")</f>
        <v>0</v>
      </c>
    </row>
    <row r="1563" spans="1:23">
      <c r="A1563" t="s">
        <v>2606</v>
      </c>
      <c r="B1563" t="s">
        <v>874</v>
      </c>
      <c r="C1563">
        <v>49</v>
      </c>
      <c r="D1563" t="str" cm="1">
        <f t="array" ref="D1563">_xlfn.IFS(Table1[[#This Row],[age]]&lt;=17,"0-17",C1563&lt;=29,"18-29",C1563&lt;=44,"30-44",C1563&lt;=59,"45-59",C1563&lt;=74,"60-74",TRUE,"75+")</f>
        <v>45-59</v>
      </c>
      <c r="E1563" t="s">
        <v>17</v>
      </c>
      <c r="F1563">
        <v>1</v>
      </c>
      <c r="G1563" t="str" cm="1">
        <f t="array" ref="G1563">_xlfn.IFS(_xlfn.SINGLE(Table1[imd_decile])&lt;=3,"Most Deprived",F1563&lt;=7,"Moderately Deprived",F1563&lt;=10,"Least Deprived")</f>
        <v>Most Deprived</v>
      </c>
      <c r="H1563">
        <v>8.3000000000000007</v>
      </c>
      <c r="I1563" t="s">
        <v>30</v>
      </c>
      <c r="J1563" t="s">
        <v>26</v>
      </c>
      <c r="K1563" s="1">
        <v>45869</v>
      </c>
      <c r="L1563" s="1">
        <v>45885</v>
      </c>
      <c r="M1563" s="1" t="str">
        <f>TEXT(Table1[[#This Row],[appointment_date]],"MM/YYYY")</f>
        <v>08/2025</v>
      </c>
      <c r="N1563">
        <v>16</v>
      </c>
      <c r="O1563" t="str" cm="1">
        <f t="array" ref="O1563">_xlfn.IFS(Table1[[#This Row],[lead_time_days]]&lt;=7,"0-7 days",N1563&lt;=14,"8-14 days",N1563&lt;=30,"15-30 days",N1563&lt;=60,"31-60 days",TRUE,"61+ days")</f>
        <v>15-30 days</v>
      </c>
      <c r="P1563" t="s">
        <v>55</v>
      </c>
      <c r="Q1563" t="s">
        <v>32</v>
      </c>
      <c r="R1563">
        <v>0</v>
      </c>
      <c r="S1563" t="str">
        <f>IF(Table1[prior_dna_count]&gt;=1,"Has prior DNA history","No prior DNA history")</f>
        <v>No prior DNA history</v>
      </c>
      <c r="T1563" t="s">
        <v>22</v>
      </c>
      <c r="U1563" t="str">
        <f t="shared" si="24"/>
        <v>1</v>
      </c>
      <c r="V1563" t="str">
        <f>IF(Table1[appointment_status]="Attended","1","0")</f>
        <v>1</v>
      </c>
      <c r="W1563" t="str">
        <f>IF(Table1[appointment_status]="Cancelled","1","0")</f>
        <v>0</v>
      </c>
    </row>
    <row r="1564" spans="1:23">
      <c r="A1564" t="s">
        <v>2607</v>
      </c>
      <c r="B1564" t="s">
        <v>436</v>
      </c>
      <c r="C1564">
        <v>5</v>
      </c>
      <c r="D1564" t="str" cm="1">
        <f t="array" ref="D1564">_xlfn.IFS(Table1[[#This Row],[age]]&lt;=17,"0-17",C1564&lt;=29,"18-29",C1564&lt;=44,"30-44",C1564&lt;=59,"45-59",C1564&lt;=74,"60-74",TRUE,"75+")</f>
        <v>0-17</v>
      </c>
      <c r="E1564" t="s">
        <v>17</v>
      </c>
      <c r="F1564">
        <v>7</v>
      </c>
      <c r="G1564" t="str" cm="1">
        <f t="array" ref="G1564">_xlfn.IFS(_xlfn.SINGLE(Table1[imd_decile])&lt;=3,"Most Deprived",F1564&lt;=7,"Moderately Deprived",F1564&lt;=10,"Least Deprived")</f>
        <v>Moderately Deprived</v>
      </c>
      <c r="H1564">
        <v>1.9</v>
      </c>
      <c r="I1564" t="s">
        <v>91</v>
      </c>
      <c r="J1564" t="s">
        <v>19</v>
      </c>
      <c r="K1564" s="1">
        <v>45872</v>
      </c>
      <c r="L1564" s="1">
        <v>45885</v>
      </c>
      <c r="M1564" s="1" t="str">
        <f>TEXT(Table1[[#This Row],[appointment_date]],"MM/YYYY")</f>
        <v>08/2025</v>
      </c>
      <c r="N1564">
        <v>13</v>
      </c>
      <c r="O1564" t="str" cm="1">
        <f t="array" ref="O1564">_xlfn.IFS(Table1[[#This Row],[lead_time_days]]&lt;=7,"0-7 days",N1564&lt;=14,"8-14 days",N1564&lt;=30,"15-30 days",N1564&lt;=60,"31-60 days",TRUE,"61+ days")</f>
        <v>8-14 days</v>
      </c>
      <c r="P1564" t="s">
        <v>55</v>
      </c>
      <c r="Q1564" t="s">
        <v>32</v>
      </c>
      <c r="R1564">
        <v>0</v>
      </c>
      <c r="S1564" t="str">
        <f>IF(Table1[prior_dna_count]&gt;=1,"Has prior DNA history","No prior DNA history")</f>
        <v>No prior DNA history</v>
      </c>
      <c r="T1564" t="s">
        <v>22</v>
      </c>
      <c r="U1564" t="str">
        <f t="shared" si="24"/>
        <v>1</v>
      </c>
      <c r="V1564" t="str">
        <f>IF(Table1[appointment_status]="Attended","1","0")</f>
        <v>1</v>
      </c>
      <c r="W1564" t="str">
        <f>IF(Table1[appointment_status]="Cancelled","1","0")</f>
        <v>0</v>
      </c>
    </row>
    <row r="1565" spans="1:23">
      <c r="A1565" t="s">
        <v>2608</v>
      </c>
      <c r="B1565" t="s">
        <v>2609</v>
      </c>
      <c r="C1565">
        <v>1</v>
      </c>
      <c r="D1565" t="str" cm="1">
        <f t="array" ref="D1565">_xlfn.IFS(Table1[[#This Row],[age]]&lt;=17,"0-17",C1565&lt;=29,"18-29",C1565&lt;=44,"30-44",C1565&lt;=59,"45-59",C1565&lt;=74,"60-74",TRUE,"75+")</f>
        <v>0-17</v>
      </c>
      <c r="E1565" t="s">
        <v>17</v>
      </c>
      <c r="F1565">
        <v>10</v>
      </c>
      <c r="G1565" t="str" cm="1">
        <f t="array" ref="G1565">_xlfn.IFS(_xlfn.SINGLE(Table1[imd_decile])&lt;=3,"Most Deprived",F1565&lt;=7,"Moderately Deprived",F1565&lt;=10,"Least Deprived")</f>
        <v>Least Deprived</v>
      </c>
      <c r="H1565">
        <v>5.4</v>
      </c>
      <c r="I1565" t="s">
        <v>49</v>
      </c>
      <c r="J1565" t="s">
        <v>19</v>
      </c>
      <c r="K1565" s="1">
        <v>45841</v>
      </c>
      <c r="L1565" s="1">
        <v>45885</v>
      </c>
      <c r="M1565" s="1" t="str">
        <f>TEXT(Table1[[#This Row],[appointment_date]],"MM/YYYY")</f>
        <v>08/2025</v>
      </c>
      <c r="N1565">
        <v>44</v>
      </c>
      <c r="O1565" t="str" cm="1">
        <f t="array" ref="O1565">_xlfn.IFS(Table1[[#This Row],[lead_time_days]]&lt;=7,"0-7 days",N1565&lt;=14,"8-14 days",N1565&lt;=30,"15-30 days",N1565&lt;=60,"31-60 days",TRUE,"61+ days")</f>
        <v>31-60 days</v>
      </c>
      <c r="P1565" t="s">
        <v>55</v>
      </c>
      <c r="Q1565" t="s">
        <v>32</v>
      </c>
      <c r="R1565">
        <v>0</v>
      </c>
      <c r="S1565" t="str">
        <f>IF(Table1[prior_dna_count]&gt;=1,"Has prior DNA history","No prior DNA history")</f>
        <v>No prior DNA history</v>
      </c>
      <c r="T1565" t="s">
        <v>22</v>
      </c>
      <c r="U1565" t="str">
        <f t="shared" si="24"/>
        <v>1</v>
      </c>
      <c r="V1565" t="str">
        <f>IF(Table1[appointment_status]="Attended","1","0")</f>
        <v>1</v>
      </c>
      <c r="W1565" t="str">
        <f>IF(Table1[appointment_status]="Cancelled","1","0")</f>
        <v>0</v>
      </c>
    </row>
    <row r="1566" spans="1:23">
      <c r="A1566" t="s">
        <v>2610</v>
      </c>
      <c r="B1566" t="s">
        <v>341</v>
      </c>
      <c r="C1566">
        <v>17</v>
      </c>
      <c r="D1566" t="str" cm="1">
        <f t="array" ref="D1566">_xlfn.IFS(Table1[[#This Row],[age]]&lt;=17,"0-17",C1566&lt;=29,"18-29",C1566&lt;=44,"30-44",C1566&lt;=59,"45-59",C1566&lt;=74,"60-74",TRUE,"75+")</f>
        <v>0-17</v>
      </c>
      <c r="E1566" t="s">
        <v>29</v>
      </c>
      <c r="F1566">
        <v>5</v>
      </c>
      <c r="G1566" t="str" cm="1">
        <f t="array" ref="G1566">_xlfn.IFS(_xlfn.SINGLE(Table1[imd_decile])&lt;=3,"Most Deprived",F1566&lt;=7,"Moderately Deprived",F1566&lt;=10,"Least Deprived")</f>
        <v>Moderately Deprived</v>
      </c>
      <c r="H1566">
        <v>2.6</v>
      </c>
      <c r="I1566" t="s">
        <v>49</v>
      </c>
      <c r="J1566" t="s">
        <v>19</v>
      </c>
      <c r="K1566" s="1">
        <v>45876</v>
      </c>
      <c r="L1566" s="1">
        <v>45885</v>
      </c>
      <c r="M1566" s="1" t="str">
        <f>TEXT(Table1[[#This Row],[appointment_date]],"MM/YYYY")</f>
        <v>08/2025</v>
      </c>
      <c r="N1566">
        <v>9</v>
      </c>
      <c r="O1566" t="str" cm="1">
        <f t="array" ref="O1566">_xlfn.IFS(Table1[[#This Row],[lead_time_days]]&lt;=7,"0-7 days",N1566&lt;=14,"8-14 days",N1566&lt;=30,"15-30 days",N1566&lt;=60,"31-60 days",TRUE,"61+ days")</f>
        <v>8-14 days</v>
      </c>
      <c r="P1566" t="s">
        <v>55</v>
      </c>
      <c r="Q1566" t="s">
        <v>21</v>
      </c>
      <c r="R1566">
        <v>0</v>
      </c>
      <c r="S1566" t="str">
        <f>IF(Table1[prior_dna_count]&gt;=1,"Has prior DNA history","No prior DNA history")</f>
        <v>No prior DNA history</v>
      </c>
      <c r="T1566" t="s">
        <v>22</v>
      </c>
      <c r="U1566" t="str">
        <f t="shared" si="24"/>
        <v>1</v>
      </c>
      <c r="V1566" t="str">
        <f>IF(Table1[appointment_status]="Attended","1","0")</f>
        <v>1</v>
      </c>
      <c r="W1566" t="str">
        <f>IF(Table1[appointment_status]="Cancelled","1","0")</f>
        <v>0</v>
      </c>
    </row>
    <row r="1567" spans="1:23">
      <c r="A1567" t="s">
        <v>2611</v>
      </c>
      <c r="B1567" t="s">
        <v>2612</v>
      </c>
      <c r="C1567">
        <v>25</v>
      </c>
      <c r="D1567" t="str" cm="1">
        <f t="array" ref="D1567">_xlfn.IFS(Table1[[#This Row],[age]]&lt;=17,"0-17",C1567&lt;=29,"18-29",C1567&lt;=44,"30-44",C1567&lt;=59,"45-59",C1567&lt;=74,"60-74",TRUE,"75+")</f>
        <v>18-29</v>
      </c>
      <c r="E1567" t="s">
        <v>17</v>
      </c>
      <c r="F1567">
        <v>10</v>
      </c>
      <c r="G1567" t="str" cm="1">
        <f t="array" ref="G1567">_xlfn.IFS(_xlfn.SINGLE(Table1[imd_decile])&lt;=3,"Most Deprived",F1567&lt;=7,"Moderately Deprived",F1567&lt;=10,"Least Deprived")</f>
        <v>Least Deprived</v>
      </c>
      <c r="H1567">
        <v>8.4</v>
      </c>
      <c r="I1567" t="s">
        <v>25</v>
      </c>
      <c r="J1567" t="s">
        <v>19</v>
      </c>
      <c r="K1567" s="1">
        <v>45850</v>
      </c>
      <c r="L1567" s="1">
        <v>45886</v>
      </c>
      <c r="M1567" s="1" t="str">
        <f>TEXT(Table1[[#This Row],[appointment_date]],"MM/YYYY")</f>
        <v>08/2025</v>
      </c>
      <c r="N1567">
        <v>36</v>
      </c>
      <c r="O1567" t="str" cm="1">
        <f t="array" ref="O1567">_xlfn.IFS(Table1[[#This Row],[lead_time_days]]&lt;=7,"0-7 days",N1567&lt;=14,"8-14 days",N1567&lt;=30,"15-30 days",N1567&lt;=60,"31-60 days",TRUE,"61+ days")</f>
        <v>31-60 days</v>
      </c>
      <c r="P1567" t="s">
        <v>31</v>
      </c>
      <c r="Q1567" t="s">
        <v>21</v>
      </c>
      <c r="R1567">
        <v>0</v>
      </c>
      <c r="S1567" t="str">
        <f>IF(Table1[prior_dna_count]&gt;=1,"Has prior DNA history","No prior DNA history")</f>
        <v>No prior DNA history</v>
      </c>
      <c r="T1567" t="s">
        <v>46</v>
      </c>
      <c r="U1567" t="str">
        <f t="shared" si="24"/>
        <v>1</v>
      </c>
      <c r="V1567" t="str">
        <f>IF(Table1[appointment_status]="Attended","1","0")</f>
        <v>0</v>
      </c>
      <c r="W1567" t="str">
        <f>IF(Table1[appointment_status]="Cancelled","1","0")</f>
        <v>1</v>
      </c>
    </row>
    <row r="1568" spans="1:23">
      <c r="A1568" t="s">
        <v>2613</v>
      </c>
      <c r="B1568" t="s">
        <v>2614</v>
      </c>
      <c r="C1568">
        <v>19</v>
      </c>
      <c r="D1568" t="str" cm="1">
        <f t="array" ref="D1568">_xlfn.IFS(Table1[[#This Row],[age]]&lt;=17,"0-17",C1568&lt;=29,"18-29",C1568&lt;=44,"30-44",C1568&lt;=59,"45-59",C1568&lt;=74,"60-74",TRUE,"75+")</f>
        <v>18-29</v>
      </c>
      <c r="E1568" t="s">
        <v>29</v>
      </c>
      <c r="F1568">
        <v>2</v>
      </c>
      <c r="G1568" t="str" cm="1">
        <f t="array" ref="G1568">_xlfn.IFS(_xlfn.SINGLE(Table1[imd_decile])&lt;=3,"Most Deprived",F1568&lt;=7,"Moderately Deprived",F1568&lt;=10,"Least Deprived")</f>
        <v>Most Deprived</v>
      </c>
      <c r="H1568">
        <v>9.6</v>
      </c>
      <c r="I1568" t="s">
        <v>42</v>
      </c>
      <c r="J1568" t="s">
        <v>19</v>
      </c>
      <c r="K1568" s="1">
        <v>45858</v>
      </c>
      <c r="L1568" s="1">
        <v>45886</v>
      </c>
      <c r="M1568" s="1" t="str">
        <f>TEXT(Table1[[#This Row],[appointment_date]],"MM/YYYY")</f>
        <v>08/2025</v>
      </c>
      <c r="N1568">
        <v>28</v>
      </c>
      <c r="O1568" t="str" cm="1">
        <f t="array" ref="O1568">_xlfn.IFS(Table1[[#This Row],[lead_time_days]]&lt;=7,"0-7 days",N1568&lt;=14,"8-14 days",N1568&lt;=30,"15-30 days",N1568&lt;=60,"31-60 days",TRUE,"61+ days")</f>
        <v>15-30 days</v>
      </c>
      <c r="P1568" t="s">
        <v>31</v>
      </c>
      <c r="Q1568" t="s">
        <v>21</v>
      </c>
      <c r="R1568">
        <v>0</v>
      </c>
      <c r="S1568" t="str">
        <f>IF(Table1[prior_dna_count]&gt;=1,"Has prior DNA history","No prior DNA history")</f>
        <v>No prior DNA history</v>
      </c>
      <c r="T1568" t="s">
        <v>22</v>
      </c>
      <c r="U1568" t="str">
        <f t="shared" si="24"/>
        <v>0</v>
      </c>
      <c r="V1568" t="str">
        <f>IF(Table1[appointment_status]="Attended","1","0")</f>
        <v>1</v>
      </c>
      <c r="W1568" t="str">
        <f>IF(Table1[appointment_status]="Cancelled","1","0")</f>
        <v>0</v>
      </c>
    </row>
    <row r="1569" spans="1:23">
      <c r="A1569" t="s">
        <v>2615</v>
      </c>
      <c r="B1569" t="s">
        <v>1701</v>
      </c>
      <c r="C1569">
        <v>87</v>
      </c>
      <c r="D1569" t="str" cm="1">
        <f t="array" ref="D1569">_xlfn.IFS(Table1[[#This Row],[age]]&lt;=17,"0-17",C1569&lt;=29,"18-29",C1569&lt;=44,"30-44",C1569&lt;=59,"45-59",C1569&lt;=74,"60-74",TRUE,"75+")</f>
        <v>75+</v>
      </c>
      <c r="E1569" t="s">
        <v>17</v>
      </c>
      <c r="F1569">
        <v>7</v>
      </c>
      <c r="G1569" t="str" cm="1">
        <f t="array" ref="G1569">_xlfn.IFS(_xlfn.SINGLE(Table1[imd_decile])&lt;=3,"Most Deprived",F1569&lt;=7,"Moderately Deprived",F1569&lt;=10,"Least Deprived")</f>
        <v>Moderately Deprived</v>
      </c>
      <c r="H1569">
        <v>12.8</v>
      </c>
      <c r="I1569" t="s">
        <v>25</v>
      </c>
      <c r="J1569" t="s">
        <v>19</v>
      </c>
      <c r="K1569" s="1">
        <v>45855</v>
      </c>
      <c r="L1569" s="1">
        <v>45886</v>
      </c>
      <c r="M1569" s="1" t="str">
        <f>TEXT(Table1[[#This Row],[appointment_date]],"MM/YYYY")</f>
        <v>08/2025</v>
      </c>
      <c r="N1569">
        <v>31</v>
      </c>
      <c r="O1569" t="str" cm="1">
        <f t="array" ref="O1569">_xlfn.IFS(Table1[[#This Row],[lead_time_days]]&lt;=7,"0-7 days",N1569&lt;=14,"8-14 days",N1569&lt;=30,"15-30 days",N1569&lt;=60,"31-60 days",TRUE,"61+ days")</f>
        <v>31-60 days</v>
      </c>
      <c r="P1569" t="s">
        <v>31</v>
      </c>
      <c r="Q1569" t="s">
        <v>21</v>
      </c>
      <c r="R1569">
        <v>0</v>
      </c>
      <c r="S1569" t="str">
        <f>IF(Table1[prior_dna_count]&gt;=1,"Has prior DNA history","No prior DNA history")</f>
        <v>No prior DNA history</v>
      </c>
      <c r="T1569" t="s">
        <v>22</v>
      </c>
      <c r="U1569" t="str">
        <f t="shared" si="24"/>
        <v>1</v>
      </c>
      <c r="V1569" t="str">
        <f>IF(Table1[appointment_status]="Attended","1","0")</f>
        <v>1</v>
      </c>
      <c r="W1569" t="str">
        <f>IF(Table1[appointment_status]="Cancelled","1","0")</f>
        <v>0</v>
      </c>
    </row>
    <row r="1570" spans="1:23">
      <c r="A1570" t="s">
        <v>2616</v>
      </c>
      <c r="B1570" t="s">
        <v>436</v>
      </c>
      <c r="C1570">
        <v>5</v>
      </c>
      <c r="D1570" t="str" cm="1">
        <f t="array" ref="D1570">_xlfn.IFS(Table1[[#This Row],[age]]&lt;=17,"0-17",C1570&lt;=29,"18-29",C1570&lt;=44,"30-44",C1570&lt;=59,"45-59",C1570&lt;=74,"60-74",TRUE,"75+")</f>
        <v>0-17</v>
      </c>
      <c r="E1570" t="s">
        <v>17</v>
      </c>
      <c r="F1570">
        <v>7</v>
      </c>
      <c r="G1570" t="str" cm="1">
        <f t="array" ref="G1570">_xlfn.IFS(_xlfn.SINGLE(Table1[imd_decile])&lt;=3,"Most Deprived",F1570&lt;=7,"Moderately Deprived",F1570&lt;=10,"Least Deprived")</f>
        <v>Moderately Deprived</v>
      </c>
      <c r="H1570">
        <v>1.9</v>
      </c>
      <c r="I1570" t="s">
        <v>49</v>
      </c>
      <c r="J1570" t="s">
        <v>19</v>
      </c>
      <c r="K1570" s="1">
        <v>45857</v>
      </c>
      <c r="L1570" s="1">
        <v>45886</v>
      </c>
      <c r="M1570" s="1" t="str">
        <f>TEXT(Table1[[#This Row],[appointment_date]],"MM/YYYY")</f>
        <v>08/2025</v>
      </c>
      <c r="N1570">
        <v>29</v>
      </c>
      <c r="O1570" t="str" cm="1">
        <f t="array" ref="O1570">_xlfn.IFS(Table1[[#This Row],[lead_time_days]]&lt;=7,"0-7 days",N1570&lt;=14,"8-14 days",N1570&lt;=30,"15-30 days",N1570&lt;=60,"31-60 days",TRUE,"61+ days")</f>
        <v>15-30 days</v>
      </c>
      <c r="P1570" t="s">
        <v>31</v>
      </c>
      <c r="Q1570" t="s">
        <v>32</v>
      </c>
      <c r="R1570">
        <v>0</v>
      </c>
      <c r="S1570" t="str">
        <f>IF(Table1[prior_dna_count]&gt;=1,"Has prior DNA history","No prior DNA history")</f>
        <v>No prior DNA history</v>
      </c>
      <c r="T1570" t="s">
        <v>39</v>
      </c>
      <c r="U1570" t="str">
        <f t="shared" si="24"/>
        <v>1</v>
      </c>
      <c r="V1570" t="str">
        <f>IF(Table1[appointment_status]="Attended","1","0")</f>
        <v>0</v>
      </c>
      <c r="W1570" t="str">
        <f>IF(Table1[appointment_status]="Cancelled","1","0")</f>
        <v>0</v>
      </c>
    </row>
    <row r="1571" spans="1:23">
      <c r="A1571" t="s">
        <v>2617</v>
      </c>
      <c r="B1571" t="s">
        <v>843</v>
      </c>
      <c r="C1571">
        <v>18</v>
      </c>
      <c r="D1571" t="str" cm="1">
        <f t="array" ref="D1571">_xlfn.IFS(Table1[[#This Row],[age]]&lt;=17,"0-17",C1571&lt;=29,"18-29",C1571&lt;=44,"30-44",C1571&lt;=59,"45-59",C1571&lt;=74,"60-74",TRUE,"75+")</f>
        <v>18-29</v>
      </c>
      <c r="E1571" t="s">
        <v>29</v>
      </c>
      <c r="F1571">
        <v>4</v>
      </c>
      <c r="G1571" t="str" cm="1">
        <f t="array" ref="G1571">_xlfn.IFS(_xlfn.SINGLE(Table1[imd_decile])&lt;=3,"Most Deprived",F1571&lt;=7,"Moderately Deprived",F1571&lt;=10,"Least Deprived")</f>
        <v>Moderately Deprived</v>
      </c>
      <c r="H1571">
        <v>23.2</v>
      </c>
      <c r="I1571" t="s">
        <v>25</v>
      </c>
      <c r="J1571" t="s">
        <v>19</v>
      </c>
      <c r="K1571" s="1">
        <v>45865</v>
      </c>
      <c r="L1571" s="1">
        <v>45886</v>
      </c>
      <c r="M1571" s="1" t="str">
        <f>TEXT(Table1[[#This Row],[appointment_date]],"MM/YYYY")</f>
        <v>08/2025</v>
      </c>
      <c r="N1571">
        <v>21</v>
      </c>
      <c r="O1571" t="str" cm="1">
        <f t="array" ref="O1571">_xlfn.IFS(Table1[[#This Row],[lead_time_days]]&lt;=7,"0-7 days",N1571&lt;=14,"8-14 days",N1571&lt;=30,"15-30 days",N1571&lt;=60,"31-60 days",TRUE,"61+ days")</f>
        <v>15-30 days</v>
      </c>
      <c r="P1571" t="s">
        <v>31</v>
      </c>
      <c r="Q1571" t="s">
        <v>21</v>
      </c>
      <c r="R1571">
        <v>0</v>
      </c>
      <c r="S1571" t="str">
        <f>IF(Table1[prior_dna_count]&gt;=1,"Has prior DNA history","No prior DNA history")</f>
        <v>No prior DNA history</v>
      </c>
      <c r="T1571" t="s">
        <v>22</v>
      </c>
      <c r="U1571" t="str">
        <f t="shared" si="24"/>
        <v>0</v>
      </c>
      <c r="V1571" t="str">
        <f>IF(Table1[appointment_status]="Attended","1","0")</f>
        <v>1</v>
      </c>
      <c r="W1571" t="str">
        <f>IF(Table1[appointment_status]="Cancelled","1","0")</f>
        <v>0</v>
      </c>
    </row>
    <row r="1572" spans="1:23">
      <c r="A1572" t="s">
        <v>2618</v>
      </c>
      <c r="B1572" t="s">
        <v>2619</v>
      </c>
      <c r="C1572">
        <v>26</v>
      </c>
      <c r="D1572" t="str" cm="1">
        <f t="array" ref="D1572">_xlfn.IFS(Table1[[#This Row],[age]]&lt;=17,"0-17",C1572&lt;=29,"18-29",C1572&lt;=44,"30-44",C1572&lt;=59,"45-59",C1572&lt;=74,"60-74",TRUE,"75+")</f>
        <v>18-29</v>
      </c>
      <c r="E1572" t="s">
        <v>29</v>
      </c>
      <c r="F1572">
        <v>8</v>
      </c>
      <c r="G1572" t="str" cm="1">
        <f t="array" ref="G1572">_xlfn.IFS(_xlfn.SINGLE(Table1[imd_decile])&lt;=3,"Most Deprived",F1572&lt;=7,"Moderately Deprived",F1572&lt;=10,"Least Deprived")</f>
        <v>Least Deprived</v>
      </c>
      <c r="H1572">
        <v>1.4</v>
      </c>
      <c r="I1572" t="s">
        <v>91</v>
      </c>
      <c r="J1572" t="s">
        <v>19</v>
      </c>
      <c r="K1572" s="1">
        <v>45863</v>
      </c>
      <c r="L1572" s="1">
        <v>45886</v>
      </c>
      <c r="M1572" s="1" t="str">
        <f>TEXT(Table1[[#This Row],[appointment_date]],"MM/YYYY")</f>
        <v>08/2025</v>
      </c>
      <c r="N1572">
        <v>23</v>
      </c>
      <c r="O1572" t="str" cm="1">
        <f t="array" ref="O1572">_xlfn.IFS(Table1[[#This Row],[lead_time_days]]&lt;=7,"0-7 days",N1572&lt;=14,"8-14 days",N1572&lt;=30,"15-30 days",N1572&lt;=60,"31-60 days",TRUE,"61+ days")</f>
        <v>15-30 days</v>
      </c>
      <c r="P1572" t="s">
        <v>31</v>
      </c>
      <c r="Q1572" t="s">
        <v>32</v>
      </c>
      <c r="R1572">
        <v>0</v>
      </c>
      <c r="S1572" t="str">
        <f>IF(Table1[prior_dna_count]&gt;=1,"Has prior DNA history","No prior DNA history")</f>
        <v>No prior DNA history</v>
      </c>
      <c r="T1572" t="s">
        <v>22</v>
      </c>
      <c r="U1572" t="str">
        <f t="shared" si="24"/>
        <v>1</v>
      </c>
      <c r="V1572" t="str">
        <f>IF(Table1[appointment_status]="Attended","1","0")</f>
        <v>1</v>
      </c>
      <c r="W1572" t="str">
        <f>IF(Table1[appointment_status]="Cancelled","1","0")</f>
        <v>0</v>
      </c>
    </row>
    <row r="1573" spans="1:23">
      <c r="A1573" t="s">
        <v>2620</v>
      </c>
      <c r="B1573" t="s">
        <v>1644</v>
      </c>
      <c r="C1573">
        <v>26</v>
      </c>
      <c r="D1573" t="str" cm="1">
        <f t="array" ref="D1573">_xlfn.IFS(Table1[[#This Row],[age]]&lt;=17,"0-17",C1573&lt;=29,"18-29",C1573&lt;=44,"30-44",C1573&lt;=59,"45-59",C1573&lt;=74,"60-74",TRUE,"75+")</f>
        <v>18-29</v>
      </c>
      <c r="E1573" t="s">
        <v>17</v>
      </c>
      <c r="F1573">
        <v>6</v>
      </c>
      <c r="G1573" t="str" cm="1">
        <f t="array" ref="G1573">_xlfn.IFS(_xlfn.SINGLE(Table1[imd_decile])&lt;=3,"Most Deprived",F1573&lt;=7,"Moderately Deprived",F1573&lt;=10,"Least Deprived")</f>
        <v>Moderately Deprived</v>
      </c>
      <c r="H1573">
        <v>21.4</v>
      </c>
      <c r="I1573" t="s">
        <v>42</v>
      </c>
      <c r="J1573" t="s">
        <v>19</v>
      </c>
      <c r="K1573" s="1">
        <v>45839</v>
      </c>
      <c r="L1573" s="1">
        <v>45886</v>
      </c>
      <c r="M1573" s="1" t="str">
        <f>TEXT(Table1[[#This Row],[appointment_date]],"MM/YYYY")</f>
        <v>08/2025</v>
      </c>
      <c r="N1573">
        <v>47</v>
      </c>
      <c r="O1573" t="str" cm="1">
        <f t="array" ref="O1573">_xlfn.IFS(Table1[[#This Row],[lead_time_days]]&lt;=7,"0-7 days",N1573&lt;=14,"8-14 days",N1573&lt;=30,"15-30 days",N1573&lt;=60,"31-60 days",TRUE,"61+ days")</f>
        <v>31-60 days</v>
      </c>
      <c r="P1573" t="s">
        <v>31</v>
      </c>
      <c r="Q1573" t="s">
        <v>21</v>
      </c>
      <c r="R1573">
        <v>0</v>
      </c>
      <c r="S1573" t="str">
        <f>IF(Table1[prior_dna_count]&gt;=1,"Has prior DNA history","No prior DNA history")</f>
        <v>No prior DNA history</v>
      </c>
      <c r="T1573" t="s">
        <v>39</v>
      </c>
      <c r="U1573" t="str">
        <f t="shared" si="24"/>
        <v>1</v>
      </c>
      <c r="V1573" t="str">
        <f>IF(Table1[appointment_status]="Attended","1","0")</f>
        <v>0</v>
      </c>
      <c r="W1573" t="str">
        <f>IF(Table1[appointment_status]="Cancelled","1","0")</f>
        <v>0</v>
      </c>
    </row>
    <row r="1574" spans="1:23">
      <c r="A1574" t="s">
        <v>2621</v>
      </c>
      <c r="B1574" t="s">
        <v>2622</v>
      </c>
      <c r="C1574">
        <v>9</v>
      </c>
      <c r="D1574" t="str" cm="1">
        <f t="array" ref="D1574">_xlfn.IFS(Table1[[#This Row],[age]]&lt;=17,"0-17",C1574&lt;=29,"18-29",C1574&lt;=44,"30-44",C1574&lt;=59,"45-59",C1574&lt;=74,"60-74",TRUE,"75+")</f>
        <v>0-17</v>
      </c>
      <c r="E1574" t="s">
        <v>29</v>
      </c>
      <c r="F1574">
        <v>9</v>
      </c>
      <c r="G1574" t="str" cm="1">
        <f t="array" ref="G1574">_xlfn.IFS(_xlfn.SINGLE(Table1[imd_decile])&lt;=3,"Most Deprived",F1574&lt;=7,"Moderately Deprived",F1574&lt;=10,"Least Deprived")</f>
        <v>Least Deprived</v>
      </c>
      <c r="H1574">
        <v>12.5</v>
      </c>
      <c r="I1574" t="s">
        <v>38</v>
      </c>
      <c r="J1574" t="s">
        <v>26</v>
      </c>
      <c r="K1574" s="1">
        <v>45865</v>
      </c>
      <c r="L1574" s="1">
        <v>45886</v>
      </c>
      <c r="M1574" s="1" t="str">
        <f>TEXT(Table1[[#This Row],[appointment_date]],"MM/YYYY")</f>
        <v>08/2025</v>
      </c>
      <c r="N1574">
        <v>21</v>
      </c>
      <c r="O1574" t="str" cm="1">
        <f t="array" ref="O1574">_xlfn.IFS(Table1[[#This Row],[lead_time_days]]&lt;=7,"0-7 days",N1574&lt;=14,"8-14 days",N1574&lt;=30,"15-30 days",N1574&lt;=60,"31-60 days",TRUE,"61+ days")</f>
        <v>15-30 days</v>
      </c>
      <c r="P1574" t="s">
        <v>31</v>
      </c>
      <c r="Q1574" t="s">
        <v>21</v>
      </c>
      <c r="R1574">
        <v>0</v>
      </c>
      <c r="S1574" t="str">
        <f>IF(Table1[prior_dna_count]&gt;=1,"Has prior DNA history","No prior DNA history")</f>
        <v>No prior DNA history</v>
      </c>
      <c r="T1574" t="s">
        <v>22</v>
      </c>
      <c r="U1574" t="str">
        <f t="shared" si="24"/>
        <v>0</v>
      </c>
      <c r="V1574" t="str">
        <f>IF(Table1[appointment_status]="Attended","1","0")</f>
        <v>1</v>
      </c>
      <c r="W1574" t="str">
        <f>IF(Table1[appointment_status]="Cancelled","1","0")</f>
        <v>0</v>
      </c>
    </row>
    <row r="1575" spans="1:23">
      <c r="A1575" t="s">
        <v>2623</v>
      </c>
      <c r="B1575" t="s">
        <v>2624</v>
      </c>
      <c r="C1575">
        <v>39</v>
      </c>
      <c r="D1575" t="str" cm="1">
        <f t="array" ref="D1575">_xlfn.IFS(Table1[[#This Row],[age]]&lt;=17,"0-17",C1575&lt;=29,"18-29",C1575&lt;=44,"30-44",C1575&lt;=59,"45-59",C1575&lt;=74,"60-74",TRUE,"75+")</f>
        <v>30-44</v>
      </c>
      <c r="E1575" t="s">
        <v>17</v>
      </c>
      <c r="F1575">
        <v>4</v>
      </c>
      <c r="G1575" t="str" cm="1">
        <f t="array" ref="G1575">_xlfn.IFS(_xlfn.SINGLE(Table1[imd_decile])&lt;=3,"Most Deprived",F1575&lt;=7,"Moderately Deprived",F1575&lt;=10,"Least Deprived")</f>
        <v>Moderately Deprived</v>
      </c>
      <c r="H1575">
        <v>4.3</v>
      </c>
      <c r="I1575" t="s">
        <v>18</v>
      </c>
      <c r="J1575" t="s">
        <v>19</v>
      </c>
      <c r="K1575" s="1">
        <v>45858</v>
      </c>
      <c r="L1575" s="1">
        <v>45886</v>
      </c>
      <c r="M1575" s="1" t="str">
        <f>TEXT(Table1[[#This Row],[appointment_date]],"MM/YYYY")</f>
        <v>08/2025</v>
      </c>
      <c r="N1575">
        <v>28</v>
      </c>
      <c r="O1575" t="str" cm="1">
        <f t="array" ref="O1575">_xlfn.IFS(Table1[[#This Row],[lead_time_days]]&lt;=7,"0-7 days",N1575&lt;=14,"8-14 days",N1575&lt;=30,"15-30 days",N1575&lt;=60,"31-60 days",TRUE,"61+ days")</f>
        <v>15-30 days</v>
      </c>
      <c r="P1575" t="s">
        <v>31</v>
      </c>
      <c r="Q1575" t="s">
        <v>21</v>
      </c>
      <c r="R1575">
        <v>0</v>
      </c>
      <c r="S1575" t="str">
        <f>IF(Table1[prior_dna_count]&gt;=1,"Has prior DNA history","No prior DNA history")</f>
        <v>No prior DNA history</v>
      </c>
      <c r="T1575" t="s">
        <v>22</v>
      </c>
      <c r="U1575" t="str">
        <f t="shared" si="24"/>
        <v>1</v>
      </c>
      <c r="V1575" t="str">
        <f>IF(Table1[appointment_status]="Attended","1","0")</f>
        <v>1</v>
      </c>
      <c r="W1575" t="str">
        <f>IF(Table1[appointment_status]="Cancelled","1","0")</f>
        <v>0</v>
      </c>
    </row>
    <row r="1576" spans="1:23">
      <c r="A1576" t="s">
        <v>2625</v>
      </c>
      <c r="B1576" t="s">
        <v>891</v>
      </c>
      <c r="C1576">
        <v>33</v>
      </c>
      <c r="D1576" t="str" cm="1">
        <f t="array" ref="D1576">_xlfn.IFS(Table1[[#This Row],[age]]&lt;=17,"0-17",C1576&lt;=29,"18-29",C1576&lt;=44,"30-44",C1576&lt;=59,"45-59",C1576&lt;=74,"60-74",TRUE,"75+")</f>
        <v>30-44</v>
      </c>
      <c r="E1576" t="s">
        <v>17</v>
      </c>
      <c r="F1576">
        <v>9</v>
      </c>
      <c r="G1576" t="str" cm="1">
        <f t="array" ref="G1576">_xlfn.IFS(_xlfn.SINGLE(Table1[imd_decile])&lt;=3,"Most Deprived",F1576&lt;=7,"Moderately Deprived",F1576&lt;=10,"Least Deprived")</f>
        <v>Least Deprived</v>
      </c>
      <c r="H1576">
        <v>2.6</v>
      </c>
      <c r="I1576" t="s">
        <v>91</v>
      </c>
      <c r="J1576" t="s">
        <v>19</v>
      </c>
      <c r="K1576" s="1">
        <v>45828</v>
      </c>
      <c r="L1576" s="1">
        <v>45886</v>
      </c>
      <c r="M1576" s="1" t="str">
        <f>TEXT(Table1[[#This Row],[appointment_date]],"MM/YYYY")</f>
        <v>08/2025</v>
      </c>
      <c r="N1576">
        <v>58</v>
      </c>
      <c r="O1576" t="str" cm="1">
        <f t="array" ref="O1576">_xlfn.IFS(Table1[[#This Row],[lead_time_days]]&lt;=7,"0-7 days",N1576&lt;=14,"8-14 days",N1576&lt;=30,"15-30 days",N1576&lt;=60,"31-60 days",TRUE,"61+ days")</f>
        <v>31-60 days</v>
      </c>
      <c r="P1576" t="s">
        <v>31</v>
      </c>
      <c r="Q1576" t="s">
        <v>21</v>
      </c>
      <c r="R1576">
        <v>0</v>
      </c>
      <c r="S1576" t="str">
        <f>IF(Table1[prior_dna_count]&gt;=1,"Has prior DNA history","No prior DNA history")</f>
        <v>No prior DNA history</v>
      </c>
      <c r="T1576" t="s">
        <v>22</v>
      </c>
      <c r="U1576" t="str">
        <f t="shared" si="24"/>
        <v>1</v>
      </c>
      <c r="V1576" t="str">
        <f>IF(Table1[appointment_status]="Attended","1","0")</f>
        <v>1</v>
      </c>
      <c r="W1576" t="str">
        <f>IF(Table1[appointment_status]="Cancelled","1","0")</f>
        <v>0</v>
      </c>
    </row>
    <row r="1577" spans="1:23">
      <c r="A1577" t="s">
        <v>2626</v>
      </c>
      <c r="B1577" t="s">
        <v>947</v>
      </c>
      <c r="C1577">
        <v>83</v>
      </c>
      <c r="D1577" t="str" cm="1">
        <f t="array" ref="D1577">_xlfn.IFS(Table1[[#This Row],[age]]&lt;=17,"0-17",C1577&lt;=29,"18-29",C1577&lt;=44,"30-44",C1577&lt;=59,"45-59",C1577&lt;=74,"60-74",TRUE,"75+")</f>
        <v>75+</v>
      </c>
      <c r="E1577" t="s">
        <v>29</v>
      </c>
      <c r="F1577">
        <v>9</v>
      </c>
      <c r="G1577" t="str" cm="1">
        <f t="array" ref="G1577">_xlfn.IFS(_xlfn.SINGLE(Table1[imd_decile])&lt;=3,"Most Deprived",F1577&lt;=7,"Moderately Deprived",F1577&lt;=10,"Least Deprived")</f>
        <v>Least Deprived</v>
      </c>
      <c r="H1577">
        <v>6.4</v>
      </c>
      <c r="I1577" t="s">
        <v>25</v>
      </c>
      <c r="J1577" t="s">
        <v>26</v>
      </c>
      <c r="K1577" s="1">
        <v>45871</v>
      </c>
      <c r="L1577" s="1">
        <v>45887</v>
      </c>
      <c r="M1577" s="1" t="str">
        <f>TEXT(Table1[[#This Row],[appointment_date]],"MM/YYYY")</f>
        <v>08/2025</v>
      </c>
      <c r="N1577">
        <v>16</v>
      </c>
      <c r="O1577" t="str" cm="1">
        <f t="array" ref="O1577">_xlfn.IFS(Table1[[#This Row],[lead_time_days]]&lt;=7,"0-7 days",N1577&lt;=14,"8-14 days",N1577&lt;=30,"15-30 days",N1577&lt;=60,"31-60 days",TRUE,"61+ days")</f>
        <v>15-30 days</v>
      </c>
      <c r="P1577" t="s">
        <v>35</v>
      </c>
      <c r="Q1577" t="s">
        <v>21</v>
      </c>
      <c r="R1577">
        <v>0</v>
      </c>
      <c r="S1577" t="str">
        <f>IF(Table1[prior_dna_count]&gt;=1,"Has prior DNA history","No prior DNA history")</f>
        <v>No prior DNA history</v>
      </c>
      <c r="T1577" t="s">
        <v>22</v>
      </c>
      <c r="U1577" t="str">
        <f t="shared" si="24"/>
        <v>1</v>
      </c>
      <c r="V1577" t="str">
        <f>IF(Table1[appointment_status]="Attended","1","0")</f>
        <v>1</v>
      </c>
      <c r="W1577" t="str">
        <f>IF(Table1[appointment_status]="Cancelled","1","0")</f>
        <v>0</v>
      </c>
    </row>
    <row r="1578" spans="1:23">
      <c r="A1578" t="s">
        <v>2627</v>
      </c>
      <c r="B1578" t="s">
        <v>1671</v>
      </c>
      <c r="C1578">
        <v>25</v>
      </c>
      <c r="D1578" t="str" cm="1">
        <f t="array" ref="D1578">_xlfn.IFS(Table1[[#This Row],[age]]&lt;=17,"0-17",C1578&lt;=29,"18-29",C1578&lt;=44,"30-44",C1578&lt;=59,"45-59",C1578&lt;=74,"60-74",TRUE,"75+")</f>
        <v>18-29</v>
      </c>
      <c r="E1578" t="s">
        <v>17</v>
      </c>
      <c r="F1578">
        <v>8</v>
      </c>
      <c r="G1578" t="str" cm="1">
        <f t="array" ref="G1578">_xlfn.IFS(_xlfn.SINGLE(Table1[imd_decile])&lt;=3,"Most Deprived",F1578&lt;=7,"Moderately Deprived",F1578&lt;=10,"Least Deprived")</f>
        <v>Least Deprived</v>
      </c>
      <c r="H1578">
        <v>12.7</v>
      </c>
      <c r="I1578" t="s">
        <v>18</v>
      </c>
      <c r="J1578" t="s">
        <v>19</v>
      </c>
      <c r="K1578" s="1">
        <v>45867</v>
      </c>
      <c r="L1578" s="1">
        <v>45887</v>
      </c>
      <c r="M1578" s="1" t="str">
        <f>TEXT(Table1[[#This Row],[appointment_date]],"MM/YYYY")</f>
        <v>08/2025</v>
      </c>
      <c r="N1578">
        <v>20</v>
      </c>
      <c r="O1578" t="str" cm="1">
        <f t="array" ref="O1578">_xlfn.IFS(Table1[[#This Row],[lead_time_days]]&lt;=7,"0-7 days",N1578&lt;=14,"8-14 days",N1578&lt;=30,"15-30 days",N1578&lt;=60,"31-60 days",TRUE,"61+ days")</f>
        <v>15-30 days</v>
      </c>
      <c r="P1578" t="s">
        <v>35</v>
      </c>
      <c r="Q1578" t="s">
        <v>32</v>
      </c>
      <c r="R1578">
        <v>0</v>
      </c>
      <c r="S1578" t="str">
        <f>IF(Table1[prior_dna_count]&gt;=1,"Has prior DNA history","No prior DNA history")</f>
        <v>No prior DNA history</v>
      </c>
      <c r="T1578" t="s">
        <v>22</v>
      </c>
      <c r="U1578" t="str">
        <f t="shared" si="24"/>
        <v>1</v>
      </c>
      <c r="V1578" t="str">
        <f>IF(Table1[appointment_status]="Attended","1","0")</f>
        <v>1</v>
      </c>
      <c r="W1578" t="str">
        <f>IF(Table1[appointment_status]="Cancelled","1","0")</f>
        <v>0</v>
      </c>
    </row>
    <row r="1579" spans="1:23">
      <c r="A1579" t="s">
        <v>2628</v>
      </c>
      <c r="B1579" t="s">
        <v>157</v>
      </c>
      <c r="C1579">
        <v>21</v>
      </c>
      <c r="D1579" t="str" cm="1">
        <f t="array" ref="D1579">_xlfn.IFS(Table1[[#This Row],[age]]&lt;=17,"0-17",C1579&lt;=29,"18-29",C1579&lt;=44,"30-44",C1579&lt;=59,"45-59",C1579&lt;=74,"60-74",TRUE,"75+")</f>
        <v>18-29</v>
      </c>
      <c r="E1579" t="s">
        <v>29</v>
      </c>
      <c r="F1579">
        <v>9</v>
      </c>
      <c r="G1579" t="str" cm="1">
        <f t="array" ref="G1579">_xlfn.IFS(_xlfn.SINGLE(Table1[imd_decile])&lt;=3,"Most Deprived",F1579&lt;=7,"Moderately Deprived",F1579&lt;=10,"Least Deprived")</f>
        <v>Least Deprived</v>
      </c>
      <c r="H1579">
        <v>13.3</v>
      </c>
      <c r="I1579" t="s">
        <v>155</v>
      </c>
      <c r="J1579" t="s">
        <v>26</v>
      </c>
      <c r="K1579" s="1">
        <v>45883</v>
      </c>
      <c r="L1579" s="1">
        <v>45887</v>
      </c>
      <c r="M1579" s="1" t="str">
        <f>TEXT(Table1[[#This Row],[appointment_date]],"MM/YYYY")</f>
        <v>08/2025</v>
      </c>
      <c r="N1579">
        <v>4</v>
      </c>
      <c r="O1579" t="str" cm="1">
        <f t="array" ref="O1579">_xlfn.IFS(Table1[[#This Row],[lead_time_days]]&lt;=7,"0-7 days",N1579&lt;=14,"8-14 days",N1579&lt;=30,"15-30 days",N1579&lt;=60,"31-60 days",TRUE,"61+ days")</f>
        <v>0-7 days</v>
      </c>
      <c r="P1579" t="s">
        <v>35</v>
      </c>
      <c r="Q1579" t="s">
        <v>21</v>
      </c>
      <c r="R1579">
        <v>0</v>
      </c>
      <c r="S1579" t="str">
        <f>IF(Table1[prior_dna_count]&gt;=1,"Has prior DNA history","No prior DNA history")</f>
        <v>No prior DNA history</v>
      </c>
      <c r="T1579" t="s">
        <v>39</v>
      </c>
      <c r="U1579" t="str">
        <f t="shared" si="24"/>
        <v>1</v>
      </c>
      <c r="V1579" t="str">
        <f>IF(Table1[appointment_status]="Attended","1","0")</f>
        <v>0</v>
      </c>
      <c r="W1579" t="str">
        <f>IF(Table1[appointment_status]="Cancelled","1","0")</f>
        <v>0</v>
      </c>
    </row>
    <row r="1580" spans="1:23">
      <c r="A1580" t="s">
        <v>2629</v>
      </c>
      <c r="B1580" t="s">
        <v>2630</v>
      </c>
      <c r="C1580">
        <v>29</v>
      </c>
      <c r="D1580" t="str" cm="1">
        <f t="array" ref="D1580">_xlfn.IFS(Table1[[#This Row],[age]]&lt;=17,"0-17",C1580&lt;=29,"18-29",C1580&lt;=44,"30-44",C1580&lt;=59,"45-59",C1580&lt;=74,"60-74",TRUE,"75+")</f>
        <v>18-29</v>
      </c>
      <c r="E1580" t="s">
        <v>29</v>
      </c>
      <c r="F1580">
        <v>9</v>
      </c>
      <c r="G1580" t="str" cm="1">
        <f t="array" ref="G1580">_xlfn.IFS(_xlfn.SINGLE(Table1[imd_decile])&lt;=3,"Most Deprived",F1580&lt;=7,"Moderately Deprived",F1580&lt;=10,"Least Deprived")</f>
        <v>Least Deprived</v>
      </c>
      <c r="H1580">
        <v>8.5</v>
      </c>
      <c r="I1580" t="s">
        <v>45</v>
      </c>
      <c r="J1580" t="s">
        <v>26</v>
      </c>
      <c r="K1580" s="1">
        <v>45872</v>
      </c>
      <c r="L1580" s="1">
        <v>45887</v>
      </c>
      <c r="M1580" s="1" t="str">
        <f>TEXT(Table1[[#This Row],[appointment_date]],"MM/YYYY")</f>
        <v>08/2025</v>
      </c>
      <c r="N1580">
        <v>15</v>
      </c>
      <c r="O1580" t="str" cm="1">
        <f t="array" ref="O1580">_xlfn.IFS(Table1[[#This Row],[lead_time_days]]&lt;=7,"0-7 days",N1580&lt;=14,"8-14 days",N1580&lt;=30,"15-30 days",N1580&lt;=60,"31-60 days",TRUE,"61+ days")</f>
        <v>15-30 days</v>
      </c>
      <c r="P1580" t="s">
        <v>35</v>
      </c>
      <c r="Q1580" t="s">
        <v>21</v>
      </c>
      <c r="R1580">
        <v>0</v>
      </c>
      <c r="S1580" t="str">
        <f>IF(Table1[prior_dna_count]&gt;=1,"Has prior DNA history","No prior DNA history")</f>
        <v>No prior DNA history</v>
      </c>
      <c r="T1580" t="s">
        <v>22</v>
      </c>
      <c r="U1580" t="str">
        <f t="shared" si="24"/>
        <v>0</v>
      </c>
      <c r="V1580" t="str">
        <f>IF(Table1[appointment_status]="Attended","1","0")</f>
        <v>1</v>
      </c>
      <c r="W1580" t="str">
        <f>IF(Table1[appointment_status]="Cancelled","1","0")</f>
        <v>0</v>
      </c>
    </row>
    <row r="1581" spans="1:23">
      <c r="A1581" t="s">
        <v>2631</v>
      </c>
      <c r="B1581" t="s">
        <v>2632</v>
      </c>
      <c r="C1581">
        <v>82</v>
      </c>
      <c r="D1581" t="str" cm="1">
        <f t="array" ref="D1581">_xlfn.IFS(Table1[[#This Row],[age]]&lt;=17,"0-17",C1581&lt;=29,"18-29",C1581&lt;=44,"30-44",C1581&lt;=59,"45-59",C1581&lt;=74,"60-74",TRUE,"75+")</f>
        <v>75+</v>
      </c>
      <c r="E1581" t="s">
        <v>29</v>
      </c>
      <c r="F1581">
        <v>5</v>
      </c>
      <c r="G1581" t="str" cm="1">
        <f t="array" ref="G1581">_xlfn.IFS(_xlfn.SINGLE(Table1[imd_decile])&lt;=3,"Most Deprived",F1581&lt;=7,"Moderately Deprived",F1581&lt;=10,"Least Deprived")</f>
        <v>Moderately Deprived</v>
      </c>
      <c r="H1581">
        <v>5.3</v>
      </c>
      <c r="I1581" t="s">
        <v>42</v>
      </c>
      <c r="J1581" t="s">
        <v>19</v>
      </c>
      <c r="K1581" s="1">
        <v>45855</v>
      </c>
      <c r="L1581" s="1">
        <v>45887</v>
      </c>
      <c r="M1581" s="1" t="str">
        <f>TEXT(Table1[[#This Row],[appointment_date]],"MM/YYYY")</f>
        <v>08/2025</v>
      </c>
      <c r="N1581">
        <v>32</v>
      </c>
      <c r="O1581" t="str" cm="1">
        <f t="array" ref="O1581">_xlfn.IFS(Table1[[#This Row],[lead_time_days]]&lt;=7,"0-7 days",N1581&lt;=14,"8-14 days",N1581&lt;=30,"15-30 days",N1581&lt;=60,"31-60 days",TRUE,"61+ days")</f>
        <v>31-60 days</v>
      </c>
      <c r="P1581" t="s">
        <v>35</v>
      </c>
      <c r="Q1581" t="s">
        <v>21</v>
      </c>
      <c r="R1581">
        <v>0</v>
      </c>
      <c r="S1581" t="str">
        <f>IF(Table1[prior_dna_count]&gt;=1,"Has prior DNA history","No prior DNA history")</f>
        <v>No prior DNA history</v>
      </c>
      <c r="T1581" t="s">
        <v>22</v>
      </c>
      <c r="U1581" t="str">
        <f t="shared" si="24"/>
        <v>1</v>
      </c>
      <c r="V1581" t="str">
        <f>IF(Table1[appointment_status]="Attended","1","0")</f>
        <v>1</v>
      </c>
      <c r="W1581" t="str">
        <f>IF(Table1[appointment_status]="Cancelled","1","0")</f>
        <v>0</v>
      </c>
    </row>
    <row r="1582" spans="1:23">
      <c r="A1582" t="s">
        <v>2633</v>
      </c>
      <c r="B1582" t="s">
        <v>2347</v>
      </c>
      <c r="C1582">
        <v>61</v>
      </c>
      <c r="D1582" t="str" cm="1">
        <f t="array" ref="D1582">_xlfn.IFS(Table1[[#This Row],[age]]&lt;=17,"0-17",C1582&lt;=29,"18-29",C1582&lt;=44,"30-44",C1582&lt;=59,"45-59",C1582&lt;=74,"60-74",TRUE,"75+")</f>
        <v>60-74</v>
      </c>
      <c r="E1582" t="s">
        <v>17</v>
      </c>
      <c r="F1582">
        <v>9</v>
      </c>
      <c r="G1582" t="str" cm="1">
        <f t="array" ref="G1582">_xlfn.IFS(_xlfn.SINGLE(Table1[imd_decile])&lt;=3,"Most Deprived",F1582&lt;=7,"Moderately Deprived",F1582&lt;=10,"Least Deprived")</f>
        <v>Least Deprived</v>
      </c>
      <c r="H1582">
        <v>9.1</v>
      </c>
      <c r="I1582" t="s">
        <v>49</v>
      </c>
      <c r="J1582" t="s">
        <v>19</v>
      </c>
      <c r="K1582" s="1">
        <v>45858</v>
      </c>
      <c r="L1582" s="1">
        <v>45887</v>
      </c>
      <c r="M1582" s="1" t="str">
        <f>TEXT(Table1[[#This Row],[appointment_date]],"MM/YYYY")</f>
        <v>08/2025</v>
      </c>
      <c r="N1582">
        <v>29</v>
      </c>
      <c r="O1582" t="str" cm="1">
        <f t="array" ref="O1582">_xlfn.IFS(Table1[[#This Row],[lead_time_days]]&lt;=7,"0-7 days",N1582&lt;=14,"8-14 days",N1582&lt;=30,"15-30 days",N1582&lt;=60,"31-60 days",TRUE,"61+ days")</f>
        <v>15-30 days</v>
      </c>
      <c r="P1582" t="s">
        <v>35</v>
      </c>
      <c r="Q1582" t="s">
        <v>32</v>
      </c>
      <c r="R1582">
        <v>0</v>
      </c>
      <c r="S1582" t="str">
        <f>IF(Table1[prior_dna_count]&gt;=1,"Has prior DNA history","No prior DNA history")</f>
        <v>No prior DNA history</v>
      </c>
      <c r="T1582" t="s">
        <v>22</v>
      </c>
      <c r="U1582" t="str">
        <f t="shared" si="24"/>
        <v>1</v>
      </c>
      <c r="V1582" t="str">
        <f>IF(Table1[appointment_status]="Attended","1","0")</f>
        <v>1</v>
      </c>
      <c r="W1582" t="str">
        <f>IF(Table1[appointment_status]="Cancelled","1","0")</f>
        <v>0</v>
      </c>
    </row>
    <row r="1583" spans="1:23">
      <c r="A1583" t="s">
        <v>2634</v>
      </c>
      <c r="B1583" t="s">
        <v>1827</v>
      </c>
      <c r="C1583">
        <v>52</v>
      </c>
      <c r="D1583" t="str" cm="1">
        <f t="array" ref="D1583">_xlfn.IFS(Table1[[#This Row],[age]]&lt;=17,"0-17",C1583&lt;=29,"18-29",C1583&lt;=44,"30-44",C1583&lt;=59,"45-59",C1583&lt;=74,"60-74",TRUE,"75+")</f>
        <v>45-59</v>
      </c>
      <c r="E1583" t="s">
        <v>29</v>
      </c>
      <c r="F1583">
        <v>6</v>
      </c>
      <c r="G1583" t="str" cm="1">
        <f t="array" ref="G1583">_xlfn.IFS(_xlfn.SINGLE(Table1[imd_decile])&lt;=3,"Most Deprived",F1583&lt;=7,"Moderately Deprived",F1583&lt;=10,"Least Deprived")</f>
        <v>Moderately Deprived</v>
      </c>
      <c r="H1583">
        <v>9.9</v>
      </c>
      <c r="I1583" t="s">
        <v>49</v>
      </c>
      <c r="J1583" t="s">
        <v>19</v>
      </c>
      <c r="K1583" s="1">
        <v>45866</v>
      </c>
      <c r="L1583" s="1">
        <v>45887</v>
      </c>
      <c r="M1583" s="1" t="str">
        <f>TEXT(Table1[[#This Row],[appointment_date]],"MM/YYYY")</f>
        <v>08/2025</v>
      </c>
      <c r="N1583">
        <v>21</v>
      </c>
      <c r="O1583" t="str" cm="1">
        <f t="array" ref="O1583">_xlfn.IFS(Table1[[#This Row],[lead_time_days]]&lt;=7,"0-7 days",N1583&lt;=14,"8-14 days",N1583&lt;=30,"15-30 days",N1583&lt;=60,"31-60 days",TRUE,"61+ days")</f>
        <v>15-30 days</v>
      </c>
      <c r="P1583" t="s">
        <v>35</v>
      </c>
      <c r="Q1583" t="s">
        <v>21</v>
      </c>
      <c r="R1583">
        <v>0</v>
      </c>
      <c r="S1583" t="str">
        <f>IF(Table1[prior_dna_count]&gt;=1,"Has prior DNA history","No prior DNA history")</f>
        <v>No prior DNA history</v>
      </c>
      <c r="T1583" t="s">
        <v>22</v>
      </c>
      <c r="U1583" t="str">
        <f t="shared" si="24"/>
        <v>1</v>
      </c>
      <c r="V1583" t="str">
        <f>IF(Table1[appointment_status]="Attended","1","0")</f>
        <v>1</v>
      </c>
      <c r="W1583" t="str">
        <f>IF(Table1[appointment_status]="Cancelled","1","0")</f>
        <v>0</v>
      </c>
    </row>
    <row r="1584" spans="1:23">
      <c r="A1584" t="s">
        <v>2635</v>
      </c>
      <c r="B1584" t="s">
        <v>924</v>
      </c>
      <c r="C1584">
        <v>30</v>
      </c>
      <c r="D1584" t="str" cm="1">
        <f t="array" ref="D1584">_xlfn.IFS(Table1[[#This Row],[age]]&lt;=17,"0-17",C1584&lt;=29,"18-29",C1584&lt;=44,"30-44",C1584&lt;=59,"45-59",C1584&lt;=74,"60-74",TRUE,"75+")</f>
        <v>30-44</v>
      </c>
      <c r="E1584" t="s">
        <v>29</v>
      </c>
      <c r="F1584">
        <v>5</v>
      </c>
      <c r="G1584" t="str" cm="1">
        <f t="array" ref="G1584">_xlfn.IFS(_xlfn.SINGLE(Table1[imd_decile])&lt;=3,"Most Deprived",F1584&lt;=7,"Moderately Deprived",F1584&lt;=10,"Least Deprived")</f>
        <v>Moderately Deprived</v>
      </c>
      <c r="H1584">
        <v>4.9000000000000004</v>
      </c>
      <c r="I1584" t="s">
        <v>155</v>
      </c>
      <c r="J1584" t="s">
        <v>19</v>
      </c>
      <c r="K1584" s="1">
        <v>45865</v>
      </c>
      <c r="L1584" s="1">
        <v>45887</v>
      </c>
      <c r="M1584" s="1" t="str">
        <f>TEXT(Table1[[#This Row],[appointment_date]],"MM/YYYY")</f>
        <v>08/2025</v>
      </c>
      <c r="N1584">
        <v>22</v>
      </c>
      <c r="O1584" t="str" cm="1">
        <f t="array" ref="O1584">_xlfn.IFS(Table1[[#This Row],[lead_time_days]]&lt;=7,"0-7 days",N1584&lt;=14,"8-14 days",N1584&lt;=30,"15-30 days",N1584&lt;=60,"31-60 days",TRUE,"61+ days")</f>
        <v>15-30 days</v>
      </c>
      <c r="P1584" t="s">
        <v>35</v>
      </c>
      <c r="Q1584" t="s">
        <v>21</v>
      </c>
      <c r="R1584">
        <v>0</v>
      </c>
      <c r="S1584" t="str">
        <f>IF(Table1[prior_dna_count]&gt;=1,"Has prior DNA history","No prior DNA history")</f>
        <v>No prior DNA history</v>
      </c>
      <c r="T1584" t="s">
        <v>22</v>
      </c>
      <c r="U1584" t="str">
        <f t="shared" si="24"/>
        <v>1</v>
      </c>
      <c r="V1584" t="str">
        <f>IF(Table1[appointment_status]="Attended","1","0")</f>
        <v>1</v>
      </c>
      <c r="W1584" t="str">
        <f>IF(Table1[appointment_status]="Cancelled","1","0")</f>
        <v>0</v>
      </c>
    </row>
    <row r="1585" spans="1:23">
      <c r="A1585" t="s">
        <v>2636</v>
      </c>
      <c r="B1585" t="s">
        <v>193</v>
      </c>
      <c r="C1585">
        <v>27</v>
      </c>
      <c r="D1585" t="str" cm="1">
        <f t="array" ref="D1585">_xlfn.IFS(Table1[[#This Row],[age]]&lt;=17,"0-17",C1585&lt;=29,"18-29",C1585&lt;=44,"30-44",C1585&lt;=59,"45-59",C1585&lt;=74,"60-74",TRUE,"75+")</f>
        <v>18-29</v>
      </c>
      <c r="E1585" t="s">
        <v>17</v>
      </c>
      <c r="F1585">
        <v>9</v>
      </c>
      <c r="G1585" t="str" cm="1">
        <f t="array" ref="G1585">_xlfn.IFS(_xlfn.SINGLE(Table1[imd_decile])&lt;=3,"Most Deprived",F1585&lt;=7,"Moderately Deprived",F1585&lt;=10,"Least Deprived")</f>
        <v>Least Deprived</v>
      </c>
      <c r="H1585">
        <v>12.5</v>
      </c>
      <c r="I1585" t="s">
        <v>58</v>
      </c>
      <c r="J1585" t="s">
        <v>19</v>
      </c>
      <c r="K1585" s="1">
        <v>45876</v>
      </c>
      <c r="L1585" s="1">
        <v>45887</v>
      </c>
      <c r="M1585" s="1" t="str">
        <f>TEXT(Table1[[#This Row],[appointment_date]],"MM/YYYY")</f>
        <v>08/2025</v>
      </c>
      <c r="N1585">
        <v>11</v>
      </c>
      <c r="O1585" t="str" cm="1">
        <f t="array" ref="O1585">_xlfn.IFS(Table1[[#This Row],[lead_time_days]]&lt;=7,"0-7 days",N1585&lt;=14,"8-14 days",N1585&lt;=30,"15-30 days",N1585&lt;=60,"31-60 days",TRUE,"61+ days")</f>
        <v>8-14 days</v>
      </c>
      <c r="P1585" t="s">
        <v>35</v>
      </c>
      <c r="Q1585" t="s">
        <v>21</v>
      </c>
      <c r="R1585">
        <v>0</v>
      </c>
      <c r="S1585" t="str">
        <f>IF(Table1[prior_dna_count]&gt;=1,"Has prior DNA history","No prior DNA history")</f>
        <v>No prior DNA history</v>
      </c>
      <c r="T1585" t="s">
        <v>22</v>
      </c>
      <c r="U1585" t="str">
        <f t="shared" si="24"/>
        <v>1</v>
      </c>
      <c r="V1585" t="str">
        <f>IF(Table1[appointment_status]="Attended","1","0")</f>
        <v>1</v>
      </c>
      <c r="W1585" t="str">
        <f>IF(Table1[appointment_status]="Cancelled","1","0")</f>
        <v>0</v>
      </c>
    </row>
    <row r="1586" spans="1:23">
      <c r="A1586" t="s">
        <v>2637</v>
      </c>
      <c r="B1586" t="s">
        <v>2638</v>
      </c>
      <c r="C1586">
        <v>14</v>
      </c>
      <c r="D1586" t="str" cm="1">
        <f t="array" ref="D1586">_xlfn.IFS(Table1[[#This Row],[age]]&lt;=17,"0-17",C1586&lt;=29,"18-29",C1586&lt;=44,"30-44",C1586&lt;=59,"45-59",C1586&lt;=74,"60-74",TRUE,"75+")</f>
        <v>0-17</v>
      </c>
      <c r="E1586" t="s">
        <v>29</v>
      </c>
      <c r="F1586">
        <v>1</v>
      </c>
      <c r="G1586" t="str" cm="1">
        <f t="array" ref="G1586">_xlfn.IFS(_xlfn.SINGLE(Table1[imd_decile])&lt;=3,"Most Deprived",F1586&lt;=7,"Moderately Deprived",F1586&lt;=10,"Least Deprived")</f>
        <v>Most Deprived</v>
      </c>
      <c r="H1586">
        <v>11.8</v>
      </c>
      <c r="I1586" t="s">
        <v>49</v>
      </c>
      <c r="J1586" t="s">
        <v>19</v>
      </c>
      <c r="K1586" s="1">
        <v>45876</v>
      </c>
      <c r="L1586" s="1">
        <v>45887</v>
      </c>
      <c r="M1586" s="1" t="str">
        <f>TEXT(Table1[[#This Row],[appointment_date]],"MM/YYYY")</f>
        <v>08/2025</v>
      </c>
      <c r="N1586">
        <v>11</v>
      </c>
      <c r="O1586" t="str" cm="1">
        <f t="array" ref="O1586">_xlfn.IFS(Table1[[#This Row],[lead_time_days]]&lt;=7,"0-7 days",N1586&lt;=14,"8-14 days",N1586&lt;=30,"15-30 days",N1586&lt;=60,"31-60 days",TRUE,"61+ days")</f>
        <v>8-14 days</v>
      </c>
      <c r="P1586" t="s">
        <v>35</v>
      </c>
      <c r="Q1586" t="s">
        <v>21</v>
      </c>
      <c r="R1586">
        <v>0</v>
      </c>
      <c r="S1586" t="str">
        <f>IF(Table1[prior_dna_count]&gt;=1,"Has prior DNA history","No prior DNA history")</f>
        <v>No prior DNA history</v>
      </c>
      <c r="T1586" t="s">
        <v>22</v>
      </c>
      <c r="U1586" t="str">
        <f t="shared" si="24"/>
        <v>1</v>
      </c>
      <c r="V1586" t="str">
        <f>IF(Table1[appointment_status]="Attended","1","0")</f>
        <v>1</v>
      </c>
      <c r="W1586" t="str">
        <f>IF(Table1[appointment_status]="Cancelled","1","0")</f>
        <v>0</v>
      </c>
    </row>
    <row r="1587" spans="1:23">
      <c r="A1587" t="s">
        <v>2639</v>
      </c>
      <c r="B1587" t="s">
        <v>2212</v>
      </c>
      <c r="C1587">
        <v>67</v>
      </c>
      <c r="D1587" t="str" cm="1">
        <f t="array" ref="D1587">_xlfn.IFS(Table1[[#This Row],[age]]&lt;=17,"0-17",C1587&lt;=29,"18-29",C1587&lt;=44,"30-44",C1587&lt;=59,"45-59",C1587&lt;=74,"60-74",TRUE,"75+")</f>
        <v>60-74</v>
      </c>
      <c r="E1587" t="s">
        <v>29</v>
      </c>
      <c r="F1587">
        <v>6</v>
      </c>
      <c r="G1587" t="str" cm="1">
        <f t="array" ref="G1587">_xlfn.IFS(_xlfn.SINGLE(Table1[imd_decile])&lt;=3,"Most Deprived",F1587&lt;=7,"Moderately Deprived",F1587&lt;=10,"Least Deprived")</f>
        <v>Moderately Deprived</v>
      </c>
      <c r="H1587">
        <v>2.4</v>
      </c>
      <c r="I1587" t="s">
        <v>91</v>
      </c>
      <c r="J1587" t="s">
        <v>19</v>
      </c>
      <c r="K1587" s="1">
        <v>45844</v>
      </c>
      <c r="L1587" s="1">
        <v>45888</v>
      </c>
      <c r="M1587" s="1" t="str">
        <f>TEXT(Table1[[#This Row],[appointment_date]],"MM/YYYY")</f>
        <v>08/2025</v>
      </c>
      <c r="N1587">
        <v>44</v>
      </c>
      <c r="O1587" t="str" cm="1">
        <f t="array" ref="O1587">_xlfn.IFS(Table1[[#This Row],[lead_time_days]]&lt;=7,"0-7 days",N1587&lt;=14,"8-14 days",N1587&lt;=30,"15-30 days",N1587&lt;=60,"31-60 days",TRUE,"61+ days")</f>
        <v>31-60 days</v>
      </c>
      <c r="P1587" t="s">
        <v>71</v>
      </c>
      <c r="Q1587" t="s">
        <v>21</v>
      </c>
      <c r="R1587">
        <v>0</v>
      </c>
      <c r="S1587" t="str">
        <f>IF(Table1[prior_dna_count]&gt;=1,"Has prior DNA history","No prior DNA history")</f>
        <v>No prior DNA history</v>
      </c>
      <c r="T1587" t="s">
        <v>22</v>
      </c>
      <c r="U1587" t="str">
        <f t="shared" si="24"/>
        <v>1</v>
      </c>
      <c r="V1587" t="str">
        <f>IF(Table1[appointment_status]="Attended","1","0")</f>
        <v>1</v>
      </c>
      <c r="W1587" t="str">
        <f>IF(Table1[appointment_status]="Cancelled","1","0")</f>
        <v>0</v>
      </c>
    </row>
    <row r="1588" spans="1:23">
      <c r="A1588" t="s">
        <v>2640</v>
      </c>
      <c r="B1588" t="s">
        <v>1911</v>
      </c>
      <c r="C1588">
        <v>44</v>
      </c>
      <c r="D1588" t="str" cm="1">
        <f t="array" ref="D1588">_xlfn.IFS(Table1[[#This Row],[age]]&lt;=17,"0-17",C1588&lt;=29,"18-29",C1588&lt;=44,"30-44",C1588&lt;=59,"45-59",C1588&lt;=74,"60-74",TRUE,"75+")</f>
        <v>30-44</v>
      </c>
      <c r="E1588" t="s">
        <v>17</v>
      </c>
      <c r="F1588">
        <v>7</v>
      </c>
      <c r="G1588" t="str" cm="1">
        <f t="array" ref="G1588">_xlfn.IFS(_xlfn.SINGLE(Table1[imd_decile])&lt;=3,"Most Deprived",F1588&lt;=7,"Moderately Deprived",F1588&lt;=10,"Least Deprived")</f>
        <v>Moderately Deprived</v>
      </c>
      <c r="H1588">
        <v>3.8</v>
      </c>
      <c r="I1588" t="s">
        <v>42</v>
      </c>
      <c r="J1588" t="s">
        <v>19</v>
      </c>
      <c r="K1588" s="1">
        <v>45855</v>
      </c>
      <c r="L1588" s="1">
        <v>45888</v>
      </c>
      <c r="M1588" s="1" t="str">
        <f>TEXT(Table1[[#This Row],[appointment_date]],"MM/YYYY")</f>
        <v>08/2025</v>
      </c>
      <c r="N1588">
        <v>33</v>
      </c>
      <c r="O1588" t="str" cm="1">
        <f t="array" ref="O1588">_xlfn.IFS(Table1[[#This Row],[lead_time_days]]&lt;=7,"0-7 days",N1588&lt;=14,"8-14 days",N1588&lt;=30,"15-30 days",N1588&lt;=60,"31-60 days",TRUE,"61+ days")</f>
        <v>31-60 days</v>
      </c>
      <c r="P1588" t="s">
        <v>71</v>
      </c>
      <c r="Q1588" t="s">
        <v>21</v>
      </c>
      <c r="R1588">
        <v>0</v>
      </c>
      <c r="S1588" t="str">
        <f>IF(Table1[prior_dna_count]&gt;=1,"Has prior DNA history","No prior DNA history")</f>
        <v>No prior DNA history</v>
      </c>
      <c r="T1588" t="s">
        <v>22</v>
      </c>
      <c r="U1588" t="str">
        <f t="shared" si="24"/>
        <v>1</v>
      </c>
      <c r="V1588" t="str">
        <f>IF(Table1[appointment_status]="Attended","1","0")</f>
        <v>1</v>
      </c>
      <c r="W1588" t="str">
        <f>IF(Table1[appointment_status]="Cancelled","1","0")</f>
        <v>0</v>
      </c>
    </row>
    <row r="1589" spans="1:23">
      <c r="A1589" t="s">
        <v>2641</v>
      </c>
      <c r="B1589" t="s">
        <v>1025</v>
      </c>
      <c r="C1589">
        <v>45</v>
      </c>
      <c r="D1589" t="str" cm="1">
        <f t="array" ref="D1589">_xlfn.IFS(Table1[[#This Row],[age]]&lt;=17,"0-17",C1589&lt;=29,"18-29",C1589&lt;=44,"30-44",C1589&lt;=59,"45-59",C1589&lt;=74,"60-74",TRUE,"75+")</f>
        <v>45-59</v>
      </c>
      <c r="E1589" t="s">
        <v>29</v>
      </c>
      <c r="F1589">
        <v>5</v>
      </c>
      <c r="G1589" t="str" cm="1">
        <f t="array" ref="G1589">_xlfn.IFS(_xlfn.SINGLE(Table1[imd_decile])&lt;=3,"Most Deprived",F1589&lt;=7,"Moderately Deprived",F1589&lt;=10,"Least Deprived")</f>
        <v>Moderately Deprived</v>
      </c>
      <c r="H1589">
        <v>9.3000000000000007</v>
      </c>
      <c r="I1589" t="s">
        <v>155</v>
      </c>
      <c r="J1589" t="s">
        <v>19</v>
      </c>
      <c r="K1589" s="1">
        <v>45836</v>
      </c>
      <c r="L1589" s="1">
        <v>45888</v>
      </c>
      <c r="M1589" s="1" t="str">
        <f>TEXT(Table1[[#This Row],[appointment_date]],"MM/YYYY")</f>
        <v>08/2025</v>
      </c>
      <c r="N1589">
        <v>52</v>
      </c>
      <c r="O1589" t="str" cm="1">
        <f t="array" ref="O1589">_xlfn.IFS(Table1[[#This Row],[lead_time_days]]&lt;=7,"0-7 days",N1589&lt;=14,"8-14 days",N1589&lt;=30,"15-30 days",N1589&lt;=60,"31-60 days",TRUE,"61+ days")</f>
        <v>31-60 days</v>
      </c>
      <c r="P1589" t="s">
        <v>71</v>
      </c>
      <c r="Q1589" t="s">
        <v>32</v>
      </c>
      <c r="R1589">
        <v>0</v>
      </c>
      <c r="S1589" t="str">
        <f>IF(Table1[prior_dna_count]&gt;=1,"Has prior DNA history","No prior DNA history")</f>
        <v>No prior DNA history</v>
      </c>
      <c r="T1589" t="s">
        <v>22</v>
      </c>
      <c r="U1589" t="str">
        <f t="shared" si="24"/>
        <v>1</v>
      </c>
      <c r="V1589" t="str">
        <f>IF(Table1[appointment_status]="Attended","1","0")</f>
        <v>1</v>
      </c>
      <c r="W1589" t="str">
        <f>IF(Table1[appointment_status]="Cancelled","1","0")</f>
        <v>0</v>
      </c>
    </row>
    <row r="1590" spans="1:23">
      <c r="A1590" t="s">
        <v>2642</v>
      </c>
      <c r="B1590" t="s">
        <v>2643</v>
      </c>
      <c r="C1590">
        <v>37</v>
      </c>
      <c r="D1590" t="str" cm="1">
        <f t="array" ref="D1590">_xlfn.IFS(Table1[[#This Row],[age]]&lt;=17,"0-17",C1590&lt;=29,"18-29",C1590&lt;=44,"30-44",C1590&lt;=59,"45-59",C1590&lt;=74,"60-74",TRUE,"75+")</f>
        <v>30-44</v>
      </c>
      <c r="E1590" t="s">
        <v>29</v>
      </c>
      <c r="F1590">
        <v>3</v>
      </c>
      <c r="G1590" t="str" cm="1">
        <f t="array" ref="G1590">_xlfn.IFS(_xlfn.SINGLE(Table1[imd_decile])&lt;=3,"Most Deprived",F1590&lt;=7,"Moderately Deprived",F1590&lt;=10,"Least Deprived")</f>
        <v>Most Deprived</v>
      </c>
      <c r="H1590">
        <v>7.3</v>
      </c>
      <c r="I1590" t="s">
        <v>91</v>
      </c>
      <c r="J1590" t="s">
        <v>19</v>
      </c>
      <c r="K1590" s="1">
        <v>45873</v>
      </c>
      <c r="L1590" s="1">
        <v>45888</v>
      </c>
      <c r="M1590" s="1" t="str">
        <f>TEXT(Table1[[#This Row],[appointment_date]],"MM/YYYY")</f>
        <v>08/2025</v>
      </c>
      <c r="N1590">
        <v>15</v>
      </c>
      <c r="O1590" t="str" cm="1">
        <f t="array" ref="O1590">_xlfn.IFS(Table1[[#This Row],[lead_time_days]]&lt;=7,"0-7 days",N1590&lt;=14,"8-14 days",N1590&lt;=30,"15-30 days",N1590&lt;=60,"31-60 days",TRUE,"61+ days")</f>
        <v>15-30 days</v>
      </c>
      <c r="P1590" t="s">
        <v>71</v>
      </c>
      <c r="Q1590" t="s">
        <v>21</v>
      </c>
      <c r="R1590">
        <v>0</v>
      </c>
      <c r="S1590" t="str">
        <f>IF(Table1[prior_dna_count]&gt;=1,"Has prior DNA history","No prior DNA history")</f>
        <v>No prior DNA history</v>
      </c>
      <c r="T1590" t="s">
        <v>46</v>
      </c>
      <c r="U1590" t="str">
        <f t="shared" si="24"/>
        <v>1</v>
      </c>
      <c r="V1590" t="str">
        <f>IF(Table1[appointment_status]="Attended","1","0")</f>
        <v>0</v>
      </c>
      <c r="W1590" t="str">
        <f>IF(Table1[appointment_status]="Cancelled","1","0")</f>
        <v>1</v>
      </c>
    </row>
    <row r="1591" spans="1:23">
      <c r="A1591" t="s">
        <v>2644</v>
      </c>
      <c r="B1591" t="s">
        <v>2645</v>
      </c>
      <c r="C1591">
        <v>45</v>
      </c>
      <c r="D1591" t="str" cm="1">
        <f t="array" ref="D1591">_xlfn.IFS(Table1[[#This Row],[age]]&lt;=17,"0-17",C1591&lt;=29,"18-29",C1591&lt;=44,"30-44",C1591&lt;=59,"45-59",C1591&lt;=74,"60-74",TRUE,"75+")</f>
        <v>45-59</v>
      </c>
      <c r="E1591" t="s">
        <v>29</v>
      </c>
      <c r="F1591">
        <v>7</v>
      </c>
      <c r="G1591" t="str" cm="1">
        <f t="array" ref="G1591">_xlfn.IFS(_xlfn.SINGLE(Table1[imd_decile])&lt;=3,"Most Deprived",F1591&lt;=7,"Moderately Deprived",F1591&lt;=10,"Least Deprived")</f>
        <v>Moderately Deprived</v>
      </c>
      <c r="H1591">
        <v>4.3</v>
      </c>
      <c r="I1591" t="s">
        <v>30</v>
      </c>
      <c r="J1591" t="s">
        <v>26</v>
      </c>
      <c r="K1591" s="1">
        <v>45857</v>
      </c>
      <c r="L1591" s="1">
        <v>45888</v>
      </c>
      <c r="M1591" s="1" t="str">
        <f>TEXT(Table1[[#This Row],[appointment_date]],"MM/YYYY")</f>
        <v>08/2025</v>
      </c>
      <c r="N1591">
        <v>31</v>
      </c>
      <c r="O1591" t="str" cm="1">
        <f t="array" ref="O1591">_xlfn.IFS(Table1[[#This Row],[lead_time_days]]&lt;=7,"0-7 days",N1591&lt;=14,"8-14 days",N1591&lt;=30,"15-30 days",N1591&lt;=60,"31-60 days",TRUE,"61+ days")</f>
        <v>31-60 days</v>
      </c>
      <c r="P1591" t="s">
        <v>71</v>
      </c>
      <c r="Q1591" t="s">
        <v>21</v>
      </c>
      <c r="R1591">
        <v>0</v>
      </c>
      <c r="S1591" t="str">
        <f>IF(Table1[prior_dna_count]&gt;=1,"Has prior DNA history","No prior DNA history")</f>
        <v>No prior DNA history</v>
      </c>
      <c r="T1591" t="s">
        <v>22</v>
      </c>
      <c r="U1591" t="str">
        <f t="shared" si="24"/>
        <v>0</v>
      </c>
      <c r="V1591" t="str">
        <f>IF(Table1[appointment_status]="Attended","1","0")</f>
        <v>1</v>
      </c>
      <c r="W1591" t="str">
        <f>IF(Table1[appointment_status]="Cancelled","1","0")</f>
        <v>0</v>
      </c>
    </row>
    <row r="1592" spans="1:23">
      <c r="A1592" t="s">
        <v>2646</v>
      </c>
      <c r="B1592" t="s">
        <v>2647</v>
      </c>
      <c r="C1592">
        <v>63</v>
      </c>
      <c r="D1592" t="str" cm="1">
        <f t="array" ref="D1592">_xlfn.IFS(Table1[[#This Row],[age]]&lt;=17,"0-17",C1592&lt;=29,"18-29",C1592&lt;=44,"30-44",C1592&lt;=59,"45-59",C1592&lt;=74,"60-74",TRUE,"75+")</f>
        <v>60-74</v>
      </c>
      <c r="E1592" t="s">
        <v>29</v>
      </c>
      <c r="F1592">
        <v>3</v>
      </c>
      <c r="G1592" t="str" cm="1">
        <f t="array" ref="G1592">_xlfn.IFS(_xlfn.SINGLE(Table1[imd_decile])&lt;=3,"Most Deprived",F1592&lt;=7,"Moderately Deprived",F1592&lt;=10,"Least Deprived")</f>
        <v>Most Deprived</v>
      </c>
      <c r="H1592">
        <v>11.4</v>
      </c>
      <c r="I1592" t="s">
        <v>18</v>
      </c>
      <c r="J1592" t="s">
        <v>19</v>
      </c>
      <c r="K1592" s="1">
        <v>45881</v>
      </c>
      <c r="L1592" s="1">
        <v>45888</v>
      </c>
      <c r="M1592" s="1" t="str">
        <f>TEXT(Table1[[#This Row],[appointment_date]],"MM/YYYY")</f>
        <v>08/2025</v>
      </c>
      <c r="N1592">
        <v>7</v>
      </c>
      <c r="O1592" t="str" cm="1">
        <f t="array" ref="O1592">_xlfn.IFS(Table1[[#This Row],[lead_time_days]]&lt;=7,"0-7 days",N1592&lt;=14,"8-14 days",N1592&lt;=30,"15-30 days",N1592&lt;=60,"31-60 days",TRUE,"61+ days")</f>
        <v>0-7 days</v>
      </c>
      <c r="P1592" t="s">
        <v>71</v>
      </c>
      <c r="Q1592" t="s">
        <v>32</v>
      </c>
      <c r="R1592">
        <v>0</v>
      </c>
      <c r="S1592" t="str">
        <f>IF(Table1[prior_dna_count]&gt;=1,"Has prior DNA history","No prior DNA history")</f>
        <v>No prior DNA history</v>
      </c>
      <c r="T1592" t="s">
        <v>46</v>
      </c>
      <c r="U1592" t="str">
        <f t="shared" si="24"/>
        <v>1</v>
      </c>
      <c r="V1592" t="str">
        <f>IF(Table1[appointment_status]="Attended","1","0")</f>
        <v>0</v>
      </c>
      <c r="W1592" t="str">
        <f>IF(Table1[appointment_status]="Cancelled","1","0")</f>
        <v>1</v>
      </c>
    </row>
    <row r="1593" spans="1:23">
      <c r="A1593" t="s">
        <v>2648</v>
      </c>
      <c r="B1593" t="s">
        <v>2406</v>
      </c>
      <c r="C1593">
        <v>18</v>
      </c>
      <c r="D1593" t="str" cm="1">
        <f t="array" ref="D1593">_xlfn.IFS(Table1[[#This Row],[age]]&lt;=17,"0-17",C1593&lt;=29,"18-29",C1593&lt;=44,"30-44",C1593&lt;=59,"45-59",C1593&lt;=74,"60-74",TRUE,"75+")</f>
        <v>18-29</v>
      </c>
      <c r="E1593" t="s">
        <v>29</v>
      </c>
      <c r="F1593">
        <v>10</v>
      </c>
      <c r="G1593" t="str" cm="1">
        <f t="array" ref="G1593">_xlfn.IFS(_xlfn.SINGLE(Table1[imd_decile])&lt;=3,"Most Deprived",F1593&lt;=7,"Moderately Deprived",F1593&lt;=10,"Least Deprived")</f>
        <v>Least Deprived</v>
      </c>
      <c r="H1593">
        <v>11.9</v>
      </c>
      <c r="I1593" t="s">
        <v>30</v>
      </c>
      <c r="J1593" t="s">
        <v>19</v>
      </c>
      <c r="K1593" s="1">
        <v>45829</v>
      </c>
      <c r="L1593" s="1">
        <v>45888</v>
      </c>
      <c r="M1593" s="1" t="str">
        <f>TEXT(Table1[[#This Row],[appointment_date]],"MM/YYYY")</f>
        <v>08/2025</v>
      </c>
      <c r="N1593">
        <v>59</v>
      </c>
      <c r="O1593" t="str" cm="1">
        <f t="array" ref="O1593">_xlfn.IFS(Table1[[#This Row],[lead_time_days]]&lt;=7,"0-7 days",N1593&lt;=14,"8-14 days",N1593&lt;=30,"15-30 days",N1593&lt;=60,"31-60 days",TRUE,"61+ days")</f>
        <v>31-60 days</v>
      </c>
      <c r="P1593" t="s">
        <v>71</v>
      </c>
      <c r="Q1593" t="s">
        <v>32</v>
      </c>
      <c r="R1593">
        <v>0</v>
      </c>
      <c r="S1593" t="str">
        <f>IF(Table1[prior_dna_count]&gt;=1,"Has prior DNA history","No prior DNA history")</f>
        <v>No prior DNA history</v>
      </c>
      <c r="T1593" t="s">
        <v>22</v>
      </c>
      <c r="U1593" t="str">
        <f t="shared" si="24"/>
        <v>0</v>
      </c>
      <c r="V1593" t="str">
        <f>IF(Table1[appointment_status]="Attended","1","0")</f>
        <v>1</v>
      </c>
      <c r="W1593" t="str">
        <f>IF(Table1[appointment_status]="Cancelled","1","0")</f>
        <v>0</v>
      </c>
    </row>
    <row r="1594" spans="1:23">
      <c r="A1594" t="s">
        <v>2649</v>
      </c>
      <c r="B1594" t="s">
        <v>2650</v>
      </c>
      <c r="C1594">
        <v>84</v>
      </c>
      <c r="D1594" t="str" cm="1">
        <f t="array" ref="D1594">_xlfn.IFS(Table1[[#This Row],[age]]&lt;=17,"0-17",C1594&lt;=29,"18-29",C1594&lt;=44,"30-44",C1594&lt;=59,"45-59",C1594&lt;=74,"60-74",TRUE,"75+")</f>
        <v>75+</v>
      </c>
      <c r="E1594" t="s">
        <v>29</v>
      </c>
      <c r="F1594">
        <v>5</v>
      </c>
      <c r="G1594" t="str" cm="1">
        <f t="array" ref="G1594">_xlfn.IFS(_xlfn.SINGLE(Table1[imd_decile])&lt;=3,"Most Deprived",F1594&lt;=7,"Moderately Deprived",F1594&lt;=10,"Least Deprived")</f>
        <v>Moderately Deprived</v>
      </c>
      <c r="H1594">
        <v>3</v>
      </c>
      <c r="I1594" t="s">
        <v>45</v>
      </c>
      <c r="J1594" t="s">
        <v>19</v>
      </c>
      <c r="K1594" s="1">
        <v>45865</v>
      </c>
      <c r="L1594" s="1">
        <v>45888</v>
      </c>
      <c r="M1594" s="1" t="str">
        <f>TEXT(Table1[[#This Row],[appointment_date]],"MM/YYYY")</f>
        <v>08/2025</v>
      </c>
      <c r="N1594">
        <v>23</v>
      </c>
      <c r="O1594" t="str" cm="1">
        <f t="array" ref="O1594">_xlfn.IFS(Table1[[#This Row],[lead_time_days]]&lt;=7,"0-7 days",N1594&lt;=14,"8-14 days",N1594&lt;=30,"15-30 days",N1594&lt;=60,"31-60 days",TRUE,"61+ days")</f>
        <v>15-30 days</v>
      </c>
      <c r="P1594" t="s">
        <v>71</v>
      </c>
      <c r="Q1594" t="s">
        <v>21</v>
      </c>
      <c r="R1594">
        <v>0</v>
      </c>
      <c r="S1594" t="str">
        <f>IF(Table1[prior_dna_count]&gt;=1,"Has prior DNA history","No prior DNA history")</f>
        <v>No prior DNA history</v>
      </c>
      <c r="T1594" t="s">
        <v>22</v>
      </c>
      <c r="U1594" t="str">
        <f t="shared" si="24"/>
        <v>1</v>
      </c>
      <c r="V1594" t="str">
        <f>IF(Table1[appointment_status]="Attended","1","0")</f>
        <v>1</v>
      </c>
      <c r="W1594" t="str">
        <f>IF(Table1[appointment_status]="Cancelled","1","0")</f>
        <v>0</v>
      </c>
    </row>
    <row r="1595" spans="1:23">
      <c r="A1595" t="s">
        <v>2651</v>
      </c>
      <c r="B1595" t="s">
        <v>60</v>
      </c>
      <c r="C1595">
        <v>46</v>
      </c>
      <c r="D1595" t="str" cm="1">
        <f t="array" ref="D1595">_xlfn.IFS(Table1[[#This Row],[age]]&lt;=17,"0-17",C1595&lt;=29,"18-29",C1595&lt;=44,"30-44",C1595&lt;=59,"45-59",C1595&lt;=74,"60-74",TRUE,"75+")</f>
        <v>45-59</v>
      </c>
      <c r="E1595" t="s">
        <v>17</v>
      </c>
      <c r="F1595">
        <v>10</v>
      </c>
      <c r="G1595" t="str" cm="1">
        <f t="array" ref="G1595">_xlfn.IFS(_xlfn.SINGLE(Table1[imd_decile])&lt;=3,"Most Deprived",F1595&lt;=7,"Moderately Deprived",F1595&lt;=10,"Least Deprived")</f>
        <v>Least Deprived</v>
      </c>
      <c r="H1595">
        <v>1.5</v>
      </c>
      <c r="I1595" t="s">
        <v>45</v>
      </c>
      <c r="J1595" t="s">
        <v>19</v>
      </c>
      <c r="K1595" s="1">
        <v>45858</v>
      </c>
      <c r="L1595" s="1">
        <v>45888</v>
      </c>
      <c r="M1595" s="1" t="str">
        <f>TEXT(Table1[[#This Row],[appointment_date]],"MM/YYYY")</f>
        <v>08/2025</v>
      </c>
      <c r="N1595">
        <v>30</v>
      </c>
      <c r="O1595" t="str" cm="1">
        <f t="array" ref="O1595">_xlfn.IFS(Table1[[#This Row],[lead_time_days]]&lt;=7,"0-7 days",N1595&lt;=14,"8-14 days",N1595&lt;=30,"15-30 days",N1595&lt;=60,"31-60 days",TRUE,"61+ days")</f>
        <v>15-30 days</v>
      </c>
      <c r="P1595" t="s">
        <v>71</v>
      </c>
      <c r="Q1595" t="s">
        <v>21</v>
      </c>
      <c r="R1595">
        <v>0</v>
      </c>
      <c r="S1595" t="str">
        <f>IF(Table1[prior_dna_count]&gt;=1,"Has prior DNA history","No prior DNA history")</f>
        <v>No prior DNA history</v>
      </c>
      <c r="T1595" t="s">
        <v>22</v>
      </c>
      <c r="U1595" t="str">
        <f t="shared" si="24"/>
        <v>1</v>
      </c>
      <c r="V1595" t="str">
        <f>IF(Table1[appointment_status]="Attended","1","0")</f>
        <v>1</v>
      </c>
      <c r="W1595" t="str">
        <f>IF(Table1[appointment_status]="Cancelled","1","0")</f>
        <v>0</v>
      </c>
    </row>
    <row r="1596" spans="1:23">
      <c r="A1596" t="s">
        <v>2652</v>
      </c>
      <c r="B1596" t="s">
        <v>2653</v>
      </c>
      <c r="C1596">
        <v>90</v>
      </c>
      <c r="D1596" t="str" cm="1">
        <f t="array" ref="D1596">_xlfn.IFS(Table1[[#This Row],[age]]&lt;=17,"0-17",C1596&lt;=29,"18-29",C1596&lt;=44,"30-44",C1596&lt;=59,"45-59",C1596&lt;=74,"60-74",TRUE,"75+")</f>
        <v>75+</v>
      </c>
      <c r="E1596" t="s">
        <v>29</v>
      </c>
      <c r="F1596">
        <v>9</v>
      </c>
      <c r="G1596" t="str" cm="1">
        <f t="array" ref="G1596">_xlfn.IFS(_xlfn.SINGLE(Table1[imd_decile])&lt;=3,"Most Deprived",F1596&lt;=7,"Moderately Deprived",F1596&lt;=10,"Least Deprived")</f>
        <v>Least Deprived</v>
      </c>
      <c r="H1596">
        <v>2.2999999999999998</v>
      </c>
      <c r="I1596" t="s">
        <v>25</v>
      </c>
      <c r="J1596" t="s">
        <v>19</v>
      </c>
      <c r="K1596" s="1">
        <v>45833</v>
      </c>
      <c r="L1596" s="1">
        <v>45889</v>
      </c>
      <c r="M1596" s="1" t="str">
        <f>TEXT(Table1[[#This Row],[appointment_date]],"MM/YYYY")</f>
        <v>08/2025</v>
      </c>
      <c r="N1596">
        <v>56</v>
      </c>
      <c r="O1596" t="str" cm="1">
        <f t="array" ref="O1596">_xlfn.IFS(Table1[[#This Row],[lead_time_days]]&lt;=7,"0-7 days",N1596&lt;=14,"8-14 days",N1596&lt;=30,"15-30 days",N1596&lt;=60,"31-60 days",TRUE,"61+ days")</f>
        <v>31-60 days</v>
      </c>
      <c r="P1596" t="s">
        <v>80</v>
      </c>
      <c r="Q1596" t="s">
        <v>21</v>
      </c>
      <c r="R1596">
        <v>0</v>
      </c>
      <c r="S1596" t="str">
        <f>IF(Table1[prior_dna_count]&gt;=1,"Has prior DNA history","No prior DNA history")</f>
        <v>No prior DNA history</v>
      </c>
      <c r="T1596" t="s">
        <v>22</v>
      </c>
      <c r="U1596" t="str">
        <f t="shared" si="24"/>
        <v>1</v>
      </c>
      <c r="V1596" t="str">
        <f>IF(Table1[appointment_status]="Attended","1","0")</f>
        <v>1</v>
      </c>
      <c r="W1596" t="str">
        <f>IF(Table1[appointment_status]="Cancelled","1","0")</f>
        <v>0</v>
      </c>
    </row>
    <row r="1597" spans="1:23">
      <c r="A1597" t="s">
        <v>2654</v>
      </c>
      <c r="B1597" t="s">
        <v>1310</v>
      </c>
      <c r="C1597">
        <v>73</v>
      </c>
      <c r="D1597" t="str" cm="1">
        <f t="array" ref="D1597">_xlfn.IFS(Table1[[#This Row],[age]]&lt;=17,"0-17",C1597&lt;=29,"18-29",C1597&lt;=44,"30-44",C1597&lt;=59,"45-59",C1597&lt;=74,"60-74",TRUE,"75+")</f>
        <v>60-74</v>
      </c>
      <c r="E1597" t="s">
        <v>29</v>
      </c>
      <c r="F1597">
        <v>3</v>
      </c>
      <c r="G1597" t="str" cm="1">
        <f t="array" ref="G1597">_xlfn.IFS(_xlfn.SINGLE(Table1[imd_decile])&lt;=3,"Most Deprived",F1597&lt;=7,"Moderately Deprived",F1597&lt;=10,"Least Deprived")</f>
        <v>Most Deprived</v>
      </c>
      <c r="H1597">
        <v>4.9000000000000004</v>
      </c>
      <c r="I1597" t="s">
        <v>58</v>
      </c>
      <c r="J1597" t="s">
        <v>19</v>
      </c>
      <c r="K1597" s="1">
        <v>45862</v>
      </c>
      <c r="L1597" s="1">
        <v>45889</v>
      </c>
      <c r="M1597" s="1" t="str">
        <f>TEXT(Table1[[#This Row],[appointment_date]],"MM/YYYY")</f>
        <v>08/2025</v>
      </c>
      <c r="N1597">
        <v>27</v>
      </c>
      <c r="O1597" t="str" cm="1">
        <f t="array" ref="O1597">_xlfn.IFS(Table1[[#This Row],[lead_time_days]]&lt;=7,"0-7 days",N1597&lt;=14,"8-14 days",N1597&lt;=30,"15-30 days",N1597&lt;=60,"31-60 days",TRUE,"61+ days")</f>
        <v>15-30 days</v>
      </c>
      <c r="P1597" t="s">
        <v>80</v>
      </c>
      <c r="Q1597" t="s">
        <v>21</v>
      </c>
      <c r="R1597">
        <v>0</v>
      </c>
      <c r="S1597" t="str">
        <f>IF(Table1[prior_dna_count]&gt;=1,"Has prior DNA history","No prior DNA history")</f>
        <v>No prior DNA history</v>
      </c>
      <c r="T1597" t="s">
        <v>22</v>
      </c>
      <c r="U1597" t="str">
        <f t="shared" si="24"/>
        <v>1</v>
      </c>
      <c r="V1597" t="str">
        <f>IF(Table1[appointment_status]="Attended","1","0")</f>
        <v>1</v>
      </c>
      <c r="W1597" t="str">
        <f>IF(Table1[appointment_status]="Cancelled","1","0")</f>
        <v>0</v>
      </c>
    </row>
    <row r="1598" spans="1:23">
      <c r="A1598" t="s">
        <v>2655</v>
      </c>
      <c r="B1598" t="s">
        <v>304</v>
      </c>
      <c r="C1598">
        <v>68</v>
      </c>
      <c r="D1598" t="str" cm="1">
        <f t="array" ref="D1598">_xlfn.IFS(Table1[[#This Row],[age]]&lt;=17,"0-17",C1598&lt;=29,"18-29",C1598&lt;=44,"30-44",C1598&lt;=59,"45-59",C1598&lt;=74,"60-74",TRUE,"75+")</f>
        <v>60-74</v>
      </c>
      <c r="E1598" t="s">
        <v>17</v>
      </c>
      <c r="F1598">
        <v>6</v>
      </c>
      <c r="G1598" t="str" cm="1">
        <f t="array" ref="G1598">_xlfn.IFS(_xlfn.SINGLE(Table1[imd_decile])&lt;=3,"Most Deprived",F1598&lt;=7,"Moderately Deprived",F1598&lt;=10,"Least Deprived")</f>
        <v>Moderately Deprived</v>
      </c>
      <c r="H1598">
        <v>14.4</v>
      </c>
      <c r="I1598" t="s">
        <v>18</v>
      </c>
      <c r="J1598" t="s">
        <v>26</v>
      </c>
      <c r="K1598" s="1">
        <v>45869</v>
      </c>
      <c r="L1598" s="1">
        <v>45889</v>
      </c>
      <c r="M1598" s="1" t="str">
        <f>TEXT(Table1[[#This Row],[appointment_date]],"MM/YYYY")</f>
        <v>08/2025</v>
      </c>
      <c r="N1598">
        <v>20</v>
      </c>
      <c r="O1598" t="str" cm="1">
        <f t="array" ref="O1598">_xlfn.IFS(Table1[[#This Row],[lead_time_days]]&lt;=7,"0-7 days",N1598&lt;=14,"8-14 days",N1598&lt;=30,"15-30 days",N1598&lt;=60,"31-60 days",TRUE,"61+ days")</f>
        <v>15-30 days</v>
      </c>
      <c r="P1598" t="s">
        <v>80</v>
      </c>
      <c r="Q1598" t="s">
        <v>21</v>
      </c>
      <c r="R1598">
        <v>0</v>
      </c>
      <c r="S1598" t="str">
        <f>IF(Table1[prior_dna_count]&gt;=1,"Has prior DNA history","No prior DNA history")</f>
        <v>No prior DNA history</v>
      </c>
      <c r="T1598" t="s">
        <v>22</v>
      </c>
      <c r="U1598" t="str">
        <f t="shared" si="24"/>
        <v>1</v>
      </c>
      <c r="V1598" t="str">
        <f>IF(Table1[appointment_status]="Attended","1","0")</f>
        <v>1</v>
      </c>
      <c r="W1598" t="str">
        <f>IF(Table1[appointment_status]="Cancelled","1","0")</f>
        <v>0</v>
      </c>
    </row>
    <row r="1599" spans="1:23">
      <c r="A1599" t="s">
        <v>2656</v>
      </c>
      <c r="B1599" t="s">
        <v>229</v>
      </c>
      <c r="C1599">
        <v>52</v>
      </c>
      <c r="D1599" t="str" cm="1">
        <f t="array" ref="D1599">_xlfn.IFS(Table1[[#This Row],[age]]&lt;=17,"0-17",C1599&lt;=29,"18-29",C1599&lt;=44,"30-44",C1599&lt;=59,"45-59",C1599&lt;=74,"60-74",TRUE,"75+")</f>
        <v>45-59</v>
      </c>
      <c r="E1599" t="s">
        <v>29</v>
      </c>
      <c r="F1599">
        <v>5</v>
      </c>
      <c r="G1599" t="str" cm="1">
        <f t="array" ref="G1599">_xlfn.IFS(_xlfn.SINGLE(Table1[imd_decile])&lt;=3,"Most Deprived",F1599&lt;=7,"Moderately Deprived",F1599&lt;=10,"Least Deprived")</f>
        <v>Moderately Deprived</v>
      </c>
      <c r="H1599">
        <v>7.2</v>
      </c>
      <c r="I1599" t="s">
        <v>25</v>
      </c>
      <c r="J1599" t="s">
        <v>26</v>
      </c>
      <c r="K1599" s="1">
        <v>45862</v>
      </c>
      <c r="L1599" s="1">
        <v>45889</v>
      </c>
      <c r="M1599" s="1" t="str">
        <f>TEXT(Table1[[#This Row],[appointment_date]],"MM/YYYY")</f>
        <v>08/2025</v>
      </c>
      <c r="N1599">
        <v>27</v>
      </c>
      <c r="O1599" t="str" cm="1">
        <f t="array" ref="O1599">_xlfn.IFS(Table1[[#This Row],[lead_time_days]]&lt;=7,"0-7 days",N1599&lt;=14,"8-14 days",N1599&lt;=30,"15-30 days",N1599&lt;=60,"31-60 days",TRUE,"61+ days")</f>
        <v>15-30 days</v>
      </c>
      <c r="P1599" t="s">
        <v>80</v>
      </c>
      <c r="Q1599" t="s">
        <v>21</v>
      </c>
      <c r="R1599">
        <v>0</v>
      </c>
      <c r="S1599" t="str">
        <f>IF(Table1[prior_dna_count]&gt;=1,"Has prior DNA history","No prior DNA history")</f>
        <v>No prior DNA history</v>
      </c>
      <c r="T1599" t="s">
        <v>22</v>
      </c>
      <c r="U1599" t="str">
        <f t="shared" si="24"/>
        <v>1</v>
      </c>
      <c r="V1599" t="str">
        <f>IF(Table1[appointment_status]="Attended","1","0")</f>
        <v>1</v>
      </c>
      <c r="W1599" t="str">
        <f>IF(Table1[appointment_status]="Cancelled","1","0")</f>
        <v>0</v>
      </c>
    </row>
    <row r="1600" spans="1:23">
      <c r="A1600" t="s">
        <v>2657</v>
      </c>
      <c r="B1600" t="s">
        <v>2658</v>
      </c>
      <c r="C1600">
        <v>38</v>
      </c>
      <c r="D1600" t="str" cm="1">
        <f t="array" ref="D1600">_xlfn.IFS(Table1[[#This Row],[age]]&lt;=17,"0-17",C1600&lt;=29,"18-29",C1600&lt;=44,"30-44",C1600&lt;=59,"45-59",C1600&lt;=74,"60-74",TRUE,"75+")</f>
        <v>30-44</v>
      </c>
      <c r="E1600" t="s">
        <v>17</v>
      </c>
      <c r="F1600">
        <v>5</v>
      </c>
      <c r="G1600" t="str" cm="1">
        <f t="array" ref="G1600">_xlfn.IFS(_xlfn.SINGLE(Table1[imd_decile])&lt;=3,"Most Deprived",F1600&lt;=7,"Moderately Deprived",F1600&lt;=10,"Least Deprived")</f>
        <v>Moderately Deprived</v>
      </c>
      <c r="H1600">
        <v>0.8</v>
      </c>
      <c r="I1600" t="s">
        <v>42</v>
      </c>
      <c r="J1600" t="s">
        <v>19</v>
      </c>
      <c r="K1600" s="1">
        <v>45873</v>
      </c>
      <c r="L1600" s="1">
        <v>45889</v>
      </c>
      <c r="M1600" s="1" t="str">
        <f>TEXT(Table1[[#This Row],[appointment_date]],"MM/YYYY")</f>
        <v>08/2025</v>
      </c>
      <c r="N1600">
        <v>16</v>
      </c>
      <c r="O1600" t="str" cm="1">
        <f t="array" ref="O1600">_xlfn.IFS(Table1[[#This Row],[lead_time_days]]&lt;=7,"0-7 days",N1600&lt;=14,"8-14 days",N1600&lt;=30,"15-30 days",N1600&lt;=60,"31-60 days",TRUE,"61+ days")</f>
        <v>15-30 days</v>
      </c>
      <c r="P1600" t="s">
        <v>80</v>
      </c>
      <c r="Q1600" t="s">
        <v>21</v>
      </c>
      <c r="R1600">
        <v>0</v>
      </c>
      <c r="S1600" t="str">
        <f>IF(Table1[prior_dna_count]&gt;=1,"Has prior DNA history","No prior DNA history")</f>
        <v>No prior DNA history</v>
      </c>
      <c r="T1600" t="s">
        <v>22</v>
      </c>
      <c r="U1600" t="str">
        <f t="shared" si="24"/>
        <v>1</v>
      </c>
      <c r="V1600" t="str">
        <f>IF(Table1[appointment_status]="Attended","1","0")</f>
        <v>1</v>
      </c>
      <c r="W1600" t="str">
        <f>IF(Table1[appointment_status]="Cancelled","1","0")</f>
        <v>0</v>
      </c>
    </row>
    <row r="1601" spans="1:23">
      <c r="A1601" t="s">
        <v>2659</v>
      </c>
      <c r="B1601" t="s">
        <v>1149</v>
      </c>
      <c r="C1601">
        <v>28</v>
      </c>
      <c r="D1601" t="str" cm="1">
        <f t="array" ref="D1601">_xlfn.IFS(Table1[[#This Row],[age]]&lt;=17,"0-17",C1601&lt;=29,"18-29",C1601&lt;=44,"30-44",C1601&lt;=59,"45-59",C1601&lt;=74,"60-74",TRUE,"75+")</f>
        <v>18-29</v>
      </c>
      <c r="E1601" t="s">
        <v>29</v>
      </c>
      <c r="F1601">
        <v>10</v>
      </c>
      <c r="G1601" t="str" cm="1">
        <f t="array" ref="G1601">_xlfn.IFS(_xlfn.SINGLE(Table1[imd_decile])&lt;=3,"Most Deprived",F1601&lt;=7,"Moderately Deprived",F1601&lt;=10,"Least Deprived")</f>
        <v>Least Deprived</v>
      </c>
      <c r="H1601">
        <v>0.9</v>
      </c>
      <c r="I1601" t="s">
        <v>25</v>
      </c>
      <c r="J1601" t="s">
        <v>26</v>
      </c>
      <c r="K1601" s="1">
        <v>45880</v>
      </c>
      <c r="L1601" s="1">
        <v>45889</v>
      </c>
      <c r="M1601" s="1" t="str">
        <f>TEXT(Table1[[#This Row],[appointment_date]],"MM/YYYY")</f>
        <v>08/2025</v>
      </c>
      <c r="N1601">
        <v>9</v>
      </c>
      <c r="O1601" t="str" cm="1">
        <f t="array" ref="O1601">_xlfn.IFS(Table1[[#This Row],[lead_time_days]]&lt;=7,"0-7 days",N1601&lt;=14,"8-14 days",N1601&lt;=30,"15-30 days",N1601&lt;=60,"31-60 days",TRUE,"61+ days")</f>
        <v>8-14 days</v>
      </c>
      <c r="P1601" t="s">
        <v>80</v>
      </c>
      <c r="Q1601" t="s">
        <v>21</v>
      </c>
      <c r="R1601">
        <v>0</v>
      </c>
      <c r="S1601" t="str">
        <f>IF(Table1[prior_dna_count]&gt;=1,"Has prior DNA history","No prior DNA history")</f>
        <v>No prior DNA history</v>
      </c>
      <c r="T1601" t="s">
        <v>22</v>
      </c>
      <c r="U1601" t="str">
        <f t="shared" si="24"/>
        <v>1</v>
      </c>
      <c r="V1601" t="str">
        <f>IF(Table1[appointment_status]="Attended","1","0")</f>
        <v>1</v>
      </c>
      <c r="W1601" t="str">
        <f>IF(Table1[appointment_status]="Cancelled","1","0")</f>
        <v>0</v>
      </c>
    </row>
    <row r="1602" spans="1:23">
      <c r="A1602" t="s">
        <v>2660</v>
      </c>
      <c r="B1602" t="s">
        <v>562</v>
      </c>
      <c r="C1602">
        <v>22</v>
      </c>
      <c r="D1602" t="str" cm="1">
        <f t="array" ref="D1602">_xlfn.IFS(Table1[[#This Row],[age]]&lt;=17,"0-17",C1602&lt;=29,"18-29",C1602&lt;=44,"30-44",C1602&lt;=59,"45-59",C1602&lt;=74,"60-74",TRUE,"75+")</f>
        <v>18-29</v>
      </c>
      <c r="E1602" t="s">
        <v>17</v>
      </c>
      <c r="F1602">
        <v>9</v>
      </c>
      <c r="G1602" t="str" cm="1">
        <f t="array" ref="G1602">_xlfn.IFS(_xlfn.SINGLE(Table1[imd_decile])&lt;=3,"Most Deprived",F1602&lt;=7,"Moderately Deprived",F1602&lt;=10,"Least Deprived")</f>
        <v>Least Deprived</v>
      </c>
      <c r="H1602">
        <v>4.3</v>
      </c>
      <c r="I1602" t="s">
        <v>30</v>
      </c>
      <c r="J1602" t="s">
        <v>19</v>
      </c>
      <c r="K1602" s="1">
        <v>45832</v>
      </c>
      <c r="L1602" s="1">
        <v>45889</v>
      </c>
      <c r="M1602" s="1" t="str">
        <f>TEXT(Table1[[#This Row],[appointment_date]],"MM/YYYY")</f>
        <v>08/2025</v>
      </c>
      <c r="N1602">
        <v>57</v>
      </c>
      <c r="O1602" t="str" cm="1">
        <f t="array" ref="O1602">_xlfn.IFS(Table1[[#This Row],[lead_time_days]]&lt;=7,"0-7 days",N1602&lt;=14,"8-14 days",N1602&lt;=30,"15-30 days",N1602&lt;=60,"31-60 days",TRUE,"61+ days")</f>
        <v>31-60 days</v>
      </c>
      <c r="P1602" t="s">
        <v>80</v>
      </c>
      <c r="Q1602" t="s">
        <v>21</v>
      </c>
      <c r="R1602">
        <v>0</v>
      </c>
      <c r="S1602" t="str">
        <f>IF(Table1[prior_dna_count]&gt;=1,"Has prior DNA history","No prior DNA history")</f>
        <v>No prior DNA history</v>
      </c>
      <c r="T1602" t="s">
        <v>22</v>
      </c>
      <c r="U1602" t="str">
        <f t="shared" ref="U1602:U1665" si="25">V1601</f>
        <v>1</v>
      </c>
      <c r="V1602" t="str">
        <f>IF(Table1[appointment_status]="Attended","1","0")</f>
        <v>1</v>
      </c>
      <c r="W1602" t="str">
        <f>IF(Table1[appointment_status]="Cancelled","1","0")</f>
        <v>0</v>
      </c>
    </row>
    <row r="1603" spans="1:23">
      <c r="A1603" t="s">
        <v>2661</v>
      </c>
      <c r="B1603" t="s">
        <v>1906</v>
      </c>
      <c r="C1603">
        <v>81</v>
      </c>
      <c r="D1603" t="str" cm="1">
        <f t="array" ref="D1603">_xlfn.IFS(Table1[[#This Row],[age]]&lt;=17,"0-17",C1603&lt;=29,"18-29",C1603&lt;=44,"30-44",C1603&lt;=59,"45-59",C1603&lt;=74,"60-74",TRUE,"75+")</f>
        <v>75+</v>
      </c>
      <c r="E1603" t="s">
        <v>29</v>
      </c>
      <c r="F1603">
        <v>9</v>
      </c>
      <c r="G1603" t="str" cm="1">
        <f t="array" ref="G1603">_xlfn.IFS(_xlfn.SINGLE(Table1[imd_decile])&lt;=3,"Most Deprived",F1603&lt;=7,"Moderately Deprived",F1603&lt;=10,"Least Deprived")</f>
        <v>Least Deprived</v>
      </c>
      <c r="H1603">
        <v>8.5</v>
      </c>
      <c r="I1603" t="s">
        <v>45</v>
      </c>
      <c r="J1603" t="s">
        <v>26</v>
      </c>
      <c r="K1603" s="1">
        <v>45860</v>
      </c>
      <c r="L1603" s="1">
        <v>45890</v>
      </c>
      <c r="M1603" s="1" t="str">
        <f>TEXT(Table1[[#This Row],[appointment_date]],"MM/YYYY")</f>
        <v>08/2025</v>
      </c>
      <c r="N1603">
        <v>30</v>
      </c>
      <c r="O1603" t="str" cm="1">
        <f t="array" ref="O1603">_xlfn.IFS(Table1[[#This Row],[lead_time_days]]&lt;=7,"0-7 days",N1603&lt;=14,"8-14 days",N1603&lt;=30,"15-30 days",N1603&lt;=60,"31-60 days",TRUE,"61+ days")</f>
        <v>15-30 days</v>
      </c>
      <c r="P1603" t="s">
        <v>20</v>
      </c>
      <c r="Q1603" t="s">
        <v>32</v>
      </c>
      <c r="R1603">
        <v>0</v>
      </c>
      <c r="S1603" t="str">
        <f>IF(Table1[prior_dna_count]&gt;=1,"Has prior DNA history","No prior DNA history")</f>
        <v>No prior DNA history</v>
      </c>
      <c r="T1603" t="s">
        <v>22</v>
      </c>
      <c r="U1603" t="str">
        <f t="shared" si="25"/>
        <v>1</v>
      </c>
      <c r="V1603" t="str">
        <f>IF(Table1[appointment_status]="Attended","1","0")</f>
        <v>1</v>
      </c>
      <c r="W1603" t="str">
        <f>IF(Table1[appointment_status]="Cancelled","1","0")</f>
        <v>0</v>
      </c>
    </row>
    <row r="1604" spans="1:23">
      <c r="A1604" t="s">
        <v>2662</v>
      </c>
      <c r="B1604" t="s">
        <v>1178</v>
      </c>
      <c r="C1604">
        <v>43</v>
      </c>
      <c r="D1604" t="str" cm="1">
        <f t="array" ref="D1604">_xlfn.IFS(Table1[[#This Row],[age]]&lt;=17,"0-17",C1604&lt;=29,"18-29",C1604&lt;=44,"30-44",C1604&lt;=59,"45-59",C1604&lt;=74,"60-74",TRUE,"75+")</f>
        <v>30-44</v>
      </c>
      <c r="E1604" t="s">
        <v>29</v>
      </c>
      <c r="F1604">
        <v>10</v>
      </c>
      <c r="G1604" t="str" cm="1">
        <f t="array" ref="G1604">_xlfn.IFS(_xlfn.SINGLE(Table1[imd_decile])&lt;=3,"Most Deprived",F1604&lt;=7,"Moderately Deprived",F1604&lt;=10,"Least Deprived")</f>
        <v>Least Deprived</v>
      </c>
      <c r="H1604">
        <v>7.7</v>
      </c>
      <c r="I1604" t="s">
        <v>42</v>
      </c>
      <c r="J1604" t="s">
        <v>26</v>
      </c>
      <c r="K1604" s="1">
        <v>45871</v>
      </c>
      <c r="L1604" s="1">
        <v>45890</v>
      </c>
      <c r="M1604" s="1" t="str">
        <f>TEXT(Table1[[#This Row],[appointment_date]],"MM/YYYY")</f>
        <v>08/2025</v>
      </c>
      <c r="N1604">
        <v>19</v>
      </c>
      <c r="O1604" t="str" cm="1">
        <f t="array" ref="O1604">_xlfn.IFS(Table1[[#This Row],[lead_time_days]]&lt;=7,"0-7 days",N1604&lt;=14,"8-14 days",N1604&lt;=30,"15-30 days",N1604&lt;=60,"31-60 days",TRUE,"61+ days")</f>
        <v>15-30 days</v>
      </c>
      <c r="P1604" t="s">
        <v>20</v>
      </c>
      <c r="Q1604" t="s">
        <v>32</v>
      </c>
      <c r="R1604">
        <v>0</v>
      </c>
      <c r="S1604" t="str">
        <f>IF(Table1[prior_dna_count]&gt;=1,"Has prior DNA history","No prior DNA history")</f>
        <v>No prior DNA history</v>
      </c>
      <c r="T1604" t="s">
        <v>39</v>
      </c>
      <c r="U1604" t="str">
        <f t="shared" si="25"/>
        <v>1</v>
      </c>
      <c r="V1604" t="str">
        <f>IF(Table1[appointment_status]="Attended","1","0")</f>
        <v>0</v>
      </c>
      <c r="W1604" t="str">
        <f>IF(Table1[appointment_status]="Cancelled","1","0")</f>
        <v>0</v>
      </c>
    </row>
    <row r="1605" spans="1:23">
      <c r="A1605" t="s">
        <v>2663</v>
      </c>
      <c r="B1605" t="s">
        <v>2664</v>
      </c>
      <c r="C1605">
        <v>53</v>
      </c>
      <c r="D1605" t="str" cm="1">
        <f t="array" ref="D1605">_xlfn.IFS(Table1[[#This Row],[age]]&lt;=17,"0-17",C1605&lt;=29,"18-29",C1605&lt;=44,"30-44",C1605&lt;=59,"45-59",C1605&lt;=74,"60-74",TRUE,"75+")</f>
        <v>45-59</v>
      </c>
      <c r="E1605" t="s">
        <v>17</v>
      </c>
      <c r="F1605">
        <v>1</v>
      </c>
      <c r="G1605" t="str" cm="1">
        <f t="array" ref="G1605">_xlfn.IFS(_xlfn.SINGLE(Table1[imd_decile])&lt;=3,"Most Deprived",F1605&lt;=7,"Moderately Deprived",F1605&lt;=10,"Least Deprived")</f>
        <v>Most Deprived</v>
      </c>
      <c r="H1605">
        <v>3.4</v>
      </c>
      <c r="I1605" t="s">
        <v>25</v>
      </c>
      <c r="J1605" t="s">
        <v>19</v>
      </c>
      <c r="K1605" s="1">
        <v>45859</v>
      </c>
      <c r="L1605" s="1">
        <v>45890</v>
      </c>
      <c r="M1605" s="1" t="str">
        <f>TEXT(Table1[[#This Row],[appointment_date]],"MM/YYYY")</f>
        <v>08/2025</v>
      </c>
      <c r="N1605">
        <v>31</v>
      </c>
      <c r="O1605" t="str" cm="1">
        <f t="array" ref="O1605">_xlfn.IFS(Table1[[#This Row],[lead_time_days]]&lt;=7,"0-7 days",N1605&lt;=14,"8-14 days",N1605&lt;=30,"15-30 days",N1605&lt;=60,"31-60 days",TRUE,"61+ days")</f>
        <v>31-60 days</v>
      </c>
      <c r="P1605" t="s">
        <v>20</v>
      </c>
      <c r="Q1605" t="s">
        <v>32</v>
      </c>
      <c r="R1605">
        <v>0</v>
      </c>
      <c r="S1605" t="str">
        <f>IF(Table1[prior_dna_count]&gt;=1,"Has prior DNA history","No prior DNA history")</f>
        <v>No prior DNA history</v>
      </c>
      <c r="T1605" t="s">
        <v>22</v>
      </c>
      <c r="U1605" t="str">
        <f t="shared" si="25"/>
        <v>0</v>
      </c>
      <c r="V1605" t="str">
        <f>IF(Table1[appointment_status]="Attended","1","0")</f>
        <v>1</v>
      </c>
      <c r="W1605" t="str">
        <f>IF(Table1[appointment_status]="Cancelled","1","0")</f>
        <v>0</v>
      </c>
    </row>
    <row r="1606" spans="1:23">
      <c r="A1606" t="s">
        <v>2665</v>
      </c>
      <c r="B1606" t="s">
        <v>2334</v>
      </c>
      <c r="C1606">
        <v>60</v>
      </c>
      <c r="D1606" t="str" cm="1">
        <f t="array" ref="D1606">_xlfn.IFS(Table1[[#This Row],[age]]&lt;=17,"0-17",C1606&lt;=29,"18-29",C1606&lt;=44,"30-44",C1606&lt;=59,"45-59",C1606&lt;=74,"60-74",TRUE,"75+")</f>
        <v>60-74</v>
      </c>
      <c r="E1606" t="s">
        <v>17</v>
      </c>
      <c r="F1606">
        <v>7</v>
      </c>
      <c r="G1606" t="str" cm="1">
        <f t="array" ref="G1606">_xlfn.IFS(_xlfn.SINGLE(Table1[imd_decile])&lt;=3,"Most Deprived",F1606&lt;=7,"Moderately Deprived",F1606&lt;=10,"Least Deprived")</f>
        <v>Moderately Deprived</v>
      </c>
      <c r="H1606">
        <v>8.6999999999999993</v>
      </c>
      <c r="I1606" t="s">
        <v>38</v>
      </c>
      <c r="J1606" t="s">
        <v>19</v>
      </c>
      <c r="K1606" s="1">
        <v>45859</v>
      </c>
      <c r="L1606" s="1">
        <v>45890</v>
      </c>
      <c r="M1606" s="1" t="str">
        <f>TEXT(Table1[[#This Row],[appointment_date]],"MM/YYYY")</f>
        <v>08/2025</v>
      </c>
      <c r="N1606">
        <v>31</v>
      </c>
      <c r="O1606" t="str" cm="1">
        <f t="array" ref="O1606">_xlfn.IFS(Table1[[#This Row],[lead_time_days]]&lt;=7,"0-7 days",N1606&lt;=14,"8-14 days",N1606&lt;=30,"15-30 days",N1606&lt;=60,"31-60 days",TRUE,"61+ days")</f>
        <v>31-60 days</v>
      </c>
      <c r="P1606" t="s">
        <v>20</v>
      </c>
      <c r="Q1606" t="s">
        <v>32</v>
      </c>
      <c r="R1606">
        <v>0</v>
      </c>
      <c r="S1606" t="str">
        <f>IF(Table1[prior_dna_count]&gt;=1,"Has prior DNA history","No prior DNA history")</f>
        <v>No prior DNA history</v>
      </c>
      <c r="T1606" t="s">
        <v>22</v>
      </c>
      <c r="U1606" t="str">
        <f t="shared" si="25"/>
        <v>1</v>
      </c>
      <c r="V1606" t="str">
        <f>IF(Table1[appointment_status]="Attended","1","0")</f>
        <v>1</v>
      </c>
      <c r="W1606" t="str">
        <f>IF(Table1[appointment_status]="Cancelled","1","0")</f>
        <v>0</v>
      </c>
    </row>
    <row r="1607" spans="1:23">
      <c r="A1607" t="s">
        <v>2666</v>
      </c>
      <c r="B1607" t="s">
        <v>2667</v>
      </c>
      <c r="C1607">
        <v>22</v>
      </c>
      <c r="D1607" t="str" cm="1">
        <f t="array" ref="D1607">_xlfn.IFS(Table1[[#This Row],[age]]&lt;=17,"0-17",C1607&lt;=29,"18-29",C1607&lt;=44,"30-44",C1607&lt;=59,"45-59",C1607&lt;=74,"60-74",TRUE,"75+")</f>
        <v>18-29</v>
      </c>
      <c r="E1607" t="s">
        <v>29</v>
      </c>
      <c r="F1607">
        <v>7</v>
      </c>
      <c r="G1607" t="str" cm="1">
        <f t="array" ref="G1607">_xlfn.IFS(_xlfn.SINGLE(Table1[imd_decile])&lt;=3,"Most Deprived",F1607&lt;=7,"Moderately Deprived",F1607&lt;=10,"Least Deprived")</f>
        <v>Moderately Deprived</v>
      </c>
      <c r="H1607">
        <v>0.6</v>
      </c>
      <c r="I1607" t="s">
        <v>155</v>
      </c>
      <c r="J1607" t="s">
        <v>19</v>
      </c>
      <c r="K1607" s="1">
        <v>45837</v>
      </c>
      <c r="L1607" s="1">
        <v>45890</v>
      </c>
      <c r="M1607" s="1" t="str">
        <f>TEXT(Table1[[#This Row],[appointment_date]],"MM/YYYY")</f>
        <v>08/2025</v>
      </c>
      <c r="N1607">
        <v>53</v>
      </c>
      <c r="O1607" t="str" cm="1">
        <f t="array" ref="O1607">_xlfn.IFS(Table1[[#This Row],[lead_time_days]]&lt;=7,"0-7 days",N1607&lt;=14,"8-14 days",N1607&lt;=30,"15-30 days",N1607&lt;=60,"31-60 days",TRUE,"61+ days")</f>
        <v>31-60 days</v>
      </c>
      <c r="P1607" t="s">
        <v>20</v>
      </c>
      <c r="Q1607" t="s">
        <v>21</v>
      </c>
      <c r="R1607">
        <v>0</v>
      </c>
      <c r="S1607" t="str">
        <f>IF(Table1[prior_dna_count]&gt;=1,"Has prior DNA history","No prior DNA history")</f>
        <v>No prior DNA history</v>
      </c>
      <c r="T1607" t="s">
        <v>22</v>
      </c>
      <c r="U1607" t="str">
        <f t="shared" si="25"/>
        <v>1</v>
      </c>
      <c r="V1607" t="str">
        <f>IF(Table1[appointment_status]="Attended","1","0")</f>
        <v>1</v>
      </c>
      <c r="W1607" t="str">
        <f>IF(Table1[appointment_status]="Cancelled","1","0")</f>
        <v>0</v>
      </c>
    </row>
    <row r="1608" spans="1:23">
      <c r="A1608" t="s">
        <v>2668</v>
      </c>
      <c r="B1608" t="s">
        <v>464</v>
      </c>
      <c r="C1608">
        <v>37</v>
      </c>
      <c r="D1608" t="str" cm="1">
        <f t="array" ref="D1608">_xlfn.IFS(Table1[[#This Row],[age]]&lt;=17,"0-17",C1608&lt;=29,"18-29",C1608&lt;=44,"30-44",C1608&lt;=59,"45-59",C1608&lt;=74,"60-74",TRUE,"75+")</f>
        <v>30-44</v>
      </c>
      <c r="E1608" t="s">
        <v>17</v>
      </c>
      <c r="F1608">
        <v>9</v>
      </c>
      <c r="G1608" t="str" cm="1">
        <f t="array" ref="G1608">_xlfn.IFS(_xlfn.SINGLE(Table1[imd_decile])&lt;=3,"Most Deprived",F1608&lt;=7,"Moderately Deprived",F1608&lt;=10,"Least Deprived")</f>
        <v>Least Deprived</v>
      </c>
      <c r="H1608">
        <v>2.8</v>
      </c>
      <c r="I1608" t="s">
        <v>18</v>
      </c>
      <c r="J1608" t="s">
        <v>26</v>
      </c>
      <c r="K1608" s="1">
        <v>45855</v>
      </c>
      <c r="L1608" s="1">
        <v>45890</v>
      </c>
      <c r="M1608" s="1" t="str">
        <f>TEXT(Table1[[#This Row],[appointment_date]],"MM/YYYY")</f>
        <v>08/2025</v>
      </c>
      <c r="N1608">
        <v>35</v>
      </c>
      <c r="O1608" t="str" cm="1">
        <f t="array" ref="O1608">_xlfn.IFS(Table1[[#This Row],[lead_time_days]]&lt;=7,"0-7 days",N1608&lt;=14,"8-14 days",N1608&lt;=30,"15-30 days",N1608&lt;=60,"31-60 days",TRUE,"61+ days")</f>
        <v>31-60 days</v>
      </c>
      <c r="P1608" t="s">
        <v>20</v>
      </c>
      <c r="Q1608" t="s">
        <v>21</v>
      </c>
      <c r="R1608">
        <v>0</v>
      </c>
      <c r="S1608" t="str">
        <f>IF(Table1[prior_dna_count]&gt;=1,"Has prior DNA history","No prior DNA history")</f>
        <v>No prior DNA history</v>
      </c>
      <c r="T1608" t="s">
        <v>22</v>
      </c>
      <c r="U1608" t="str">
        <f t="shared" si="25"/>
        <v>1</v>
      </c>
      <c r="V1608" t="str">
        <f>IF(Table1[appointment_status]="Attended","1","0")</f>
        <v>1</v>
      </c>
      <c r="W1608" t="str">
        <f>IF(Table1[appointment_status]="Cancelled","1","0")</f>
        <v>0</v>
      </c>
    </row>
    <row r="1609" spans="1:23">
      <c r="A1609" t="s">
        <v>2669</v>
      </c>
      <c r="B1609" t="s">
        <v>1756</v>
      </c>
      <c r="C1609">
        <v>34</v>
      </c>
      <c r="D1609" t="str" cm="1">
        <f t="array" ref="D1609">_xlfn.IFS(Table1[[#This Row],[age]]&lt;=17,"0-17",C1609&lt;=29,"18-29",C1609&lt;=44,"30-44",C1609&lt;=59,"45-59",C1609&lt;=74,"60-74",TRUE,"75+")</f>
        <v>30-44</v>
      </c>
      <c r="E1609" t="s">
        <v>17</v>
      </c>
      <c r="F1609">
        <v>8</v>
      </c>
      <c r="G1609" t="str" cm="1">
        <f t="array" ref="G1609">_xlfn.IFS(_xlfn.SINGLE(Table1[imd_decile])&lt;=3,"Most Deprived",F1609&lt;=7,"Moderately Deprived",F1609&lt;=10,"Least Deprived")</f>
        <v>Least Deprived</v>
      </c>
      <c r="H1609">
        <v>6.7</v>
      </c>
      <c r="I1609" t="s">
        <v>25</v>
      </c>
      <c r="J1609" t="s">
        <v>26</v>
      </c>
      <c r="K1609" s="1">
        <v>45868</v>
      </c>
      <c r="L1609" s="1">
        <v>45891</v>
      </c>
      <c r="M1609" s="1" t="str">
        <f>TEXT(Table1[[#This Row],[appointment_date]],"MM/YYYY")</f>
        <v>08/2025</v>
      </c>
      <c r="N1609">
        <v>23</v>
      </c>
      <c r="O1609" t="str" cm="1">
        <f t="array" ref="O1609">_xlfn.IFS(Table1[[#This Row],[lead_time_days]]&lt;=7,"0-7 days",N1609&lt;=14,"8-14 days",N1609&lt;=30,"15-30 days",N1609&lt;=60,"31-60 days",TRUE,"61+ days")</f>
        <v>15-30 days</v>
      </c>
      <c r="P1609" t="s">
        <v>52</v>
      </c>
      <c r="Q1609" t="s">
        <v>21</v>
      </c>
      <c r="R1609">
        <v>0</v>
      </c>
      <c r="S1609" t="str">
        <f>IF(Table1[prior_dna_count]&gt;=1,"Has prior DNA history","No prior DNA history")</f>
        <v>No prior DNA history</v>
      </c>
      <c r="T1609" t="s">
        <v>22</v>
      </c>
      <c r="U1609" t="str">
        <f t="shared" si="25"/>
        <v>1</v>
      </c>
      <c r="V1609" t="str">
        <f>IF(Table1[appointment_status]="Attended","1","0")</f>
        <v>1</v>
      </c>
      <c r="W1609" t="str">
        <f>IF(Table1[appointment_status]="Cancelled","1","0")</f>
        <v>0</v>
      </c>
    </row>
    <row r="1610" spans="1:23">
      <c r="A1610" t="s">
        <v>2670</v>
      </c>
      <c r="B1610" t="s">
        <v>2281</v>
      </c>
      <c r="C1610">
        <v>48</v>
      </c>
      <c r="D1610" t="str" cm="1">
        <f t="array" ref="D1610">_xlfn.IFS(Table1[[#This Row],[age]]&lt;=17,"0-17",C1610&lt;=29,"18-29",C1610&lt;=44,"30-44",C1610&lt;=59,"45-59",C1610&lt;=74,"60-74",TRUE,"75+")</f>
        <v>45-59</v>
      </c>
      <c r="E1610" t="s">
        <v>17</v>
      </c>
      <c r="F1610">
        <v>4</v>
      </c>
      <c r="G1610" t="str" cm="1">
        <f t="array" ref="G1610">_xlfn.IFS(_xlfn.SINGLE(Table1[imd_decile])&lt;=3,"Most Deprived",F1610&lt;=7,"Moderately Deprived",F1610&lt;=10,"Least Deprived")</f>
        <v>Moderately Deprived</v>
      </c>
      <c r="H1610">
        <v>6.6</v>
      </c>
      <c r="I1610" t="s">
        <v>18</v>
      </c>
      <c r="J1610" t="s">
        <v>26</v>
      </c>
      <c r="K1610" s="1">
        <v>45855</v>
      </c>
      <c r="L1610" s="1">
        <v>45891</v>
      </c>
      <c r="M1610" s="1" t="str">
        <f>TEXT(Table1[[#This Row],[appointment_date]],"MM/YYYY")</f>
        <v>08/2025</v>
      </c>
      <c r="N1610">
        <v>36</v>
      </c>
      <c r="O1610" t="str" cm="1">
        <f t="array" ref="O1610">_xlfn.IFS(Table1[[#This Row],[lead_time_days]]&lt;=7,"0-7 days",N1610&lt;=14,"8-14 days",N1610&lt;=30,"15-30 days",N1610&lt;=60,"31-60 days",TRUE,"61+ days")</f>
        <v>31-60 days</v>
      </c>
      <c r="P1610" t="s">
        <v>52</v>
      </c>
      <c r="Q1610" t="s">
        <v>21</v>
      </c>
      <c r="R1610">
        <v>0</v>
      </c>
      <c r="S1610" t="str">
        <f>IF(Table1[prior_dna_count]&gt;=1,"Has prior DNA history","No prior DNA history")</f>
        <v>No prior DNA history</v>
      </c>
      <c r="T1610" t="s">
        <v>22</v>
      </c>
      <c r="U1610" t="str">
        <f t="shared" si="25"/>
        <v>1</v>
      </c>
      <c r="V1610" t="str">
        <f>IF(Table1[appointment_status]="Attended","1","0")</f>
        <v>1</v>
      </c>
      <c r="W1610" t="str">
        <f>IF(Table1[appointment_status]="Cancelled","1","0")</f>
        <v>0</v>
      </c>
    </row>
    <row r="1611" spans="1:23">
      <c r="A1611" t="s">
        <v>2671</v>
      </c>
      <c r="B1611" t="s">
        <v>2672</v>
      </c>
      <c r="C1611">
        <v>45</v>
      </c>
      <c r="D1611" t="str" cm="1">
        <f t="array" ref="D1611">_xlfn.IFS(Table1[[#This Row],[age]]&lt;=17,"0-17",C1611&lt;=29,"18-29",C1611&lt;=44,"30-44",C1611&lt;=59,"45-59",C1611&lt;=74,"60-74",TRUE,"75+")</f>
        <v>45-59</v>
      </c>
      <c r="E1611" t="s">
        <v>29</v>
      </c>
      <c r="F1611">
        <v>8</v>
      </c>
      <c r="G1611" t="str" cm="1">
        <f t="array" ref="G1611">_xlfn.IFS(_xlfn.SINGLE(Table1[imd_decile])&lt;=3,"Most Deprived",F1611&lt;=7,"Moderately Deprived",F1611&lt;=10,"Least Deprived")</f>
        <v>Least Deprived</v>
      </c>
      <c r="H1611">
        <v>7.6</v>
      </c>
      <c r="I1611" t="s">
        <v>38</v>
      </c>
      <c r="J1611" t="s">
        <v>19</v>
      </c>
      <c r="K1611" s="1">
        <v>45861</v>
      </c>
      <c r="L1611" s="1">
        <v>45891</v>
      </c>
      <c r="M1611" s="1" t="str">
        <f>TEXT(Table1[[#This Row],[appointment_date]],"MM/YYYY")</f>
        <v>08/2025</v>
      </c>
      <c r="N1611">
        <v>30</v>
      </c>
      <c r="O1611" t="str" cm="1">
        <f t="array" ref="O1611">_xlfn.IFS(Table1[[#This Row],[lead_time_days]]&lt;=7,"0-7 days",N1611&lt;=14,"8-14 days",N1611&lt;=30,"15-30 days",N1611&lt;=60,"31-60 days",TRUE,"61+ days")</f>
        <v>15-30 days</v>
      </c>
      <c r="P1611" t="s">
        <v>52</v>
      </c>
      <c r="Q1611" t="s">
        <v>21</v>
      </c>
      <c r="R1611">
        <v>0</v>
      </c>
      <c r="S1611" t="str">
        <f>IF(Table1[prior_dna_count]&gt;=1,"Has prior DNA history","No prior DNA history")</f>
        <v>No prior DNA history</v>
      </c>
      <c r="T1611" t="s">
        <v>22</v>
      </c>
      <c r="U1611" t="str">
        <f t="shared" si="25"/>
        <v>1</v>
      </c>
      <c r="V1611" t="str">
        <f>IF(Table1[appointment_status]="Attended","1","0")</f>
        <v>1</v>
      </c>
      <c r="W1611" t="str">
        <f>IF(Table1[appointment_status]="Cancelled","1","0")</f>
        <v>0</v>
      </c>
    </row>
    <row r="1612" spans="1:23">
      <c r="A1612" t="s">
        <v>2673</v>
      </c>
      <c r="B1612" t="s">
        <v>2674</v>
      </c>
      <c r="C1612">
        <v>55</v>
      </c>
      <c r="D1612" t="str" cm="1">
        <f t="array" ref="D1612">_xlfn.IFS(Table1[[#This Row],[age]]&lt;=17,"0-17",C1612&lt;=29,"18-29",C1612&lt;=44,"30-44",C1612&lt;=59,"45-59",C1612&lt;=74,"60-74",TRUE,"75+")</f>
        <v>45-59</v>
      </c>
      <c r="E1612" t="s">
        <v>29</v>
      </c>
      <c r="F1612">
        <v>4</v>
      </c>
      <c r="G1612" t="str" cm="1">
        <f t="array" ref="G1612">_xlfn.IFS(_xlfn.SINGLE(Table1[imd_decile])&lt;=3,"Most Deprived",F1612&lt;=7,"Moderately Deprived",F1612&lt;=10,"Least Deprived")</f>
        <v>Moderately Deprived</v>
      </c>
      <c r="H1612">
        <v>14.7</v>
      </c>
      <c r="I1612" t="s">
        <v>42</v>
      </c>
      <c r="J1612" t="s">
        <v>19</v>
      </c>
      <c r="K1612" s="1">
        <v>45853</v>
      </c>
      <c r="L1612" s="1">
        <v>45891</v>
      </c>
      <c r="M1612" s="1" t="str">
        <f>TEXT(Table1[[#This Row],[appointment_date]],"MM/YYYY")</f>
        <v>08/2025</v>
      </c>
      <c r="N1612">
        <v>38</v>
      </c>
      <c r="O1612" t="str" cm="1">
        <f t="array" ref="O1612">_xlfn.IFS(Table1[[#This Row],[lead_time_days]]&lt;=7,"0-7 days",N1612&lt;=14,"8-14 days",N1612&lt;=30,"15-30 days",N1612&lt;=60,"31-60 days",TRUE,"61+ days")</f>
        <v>31-60 days</v>
      </c>
      <c r="P1612" t="s">
        <v>52</v>
      </c>
      <c r="Q1612" t="s">
        <v>21</v>
      </c>
      <c r="R1612">
        <v>0</v>
      </c>
      <c r="S1612" t="str">
        <f>IF(Table1[prior_dna_count]&gt;=1,"Has prior DNA history","No prior DNA history")</f>
        <v>No prior DNA history</v>
      </c>
      <c r="T1612" t="s">
        <v>22</v>
      </c>
      <c r="U1612" t="str">
        <f t="shared" si="25"/>
        <v>1</v>
      </c>
      <c r="V1612" t="str">
        <f>IF(Table1[appointment_status]="Attended","1","0")</f>
        <v>1</v>
      </c>
      <c r="W1612" t="str">
        <f>IF(Table1[appointment_status]="Cancelled","1","0")</f>
        <v>0</v>
      </c>
    </row>
    <row r="1613" spans="1:23">
      <c r="A1613" t="s">
        <v>2675</v>
      </c>
      <c r="B1613" t="s">
        <v>2676</v>
      </c>
      <c r="C1613">
        <v>40</v>
      </c>
      <c r="D1613" t="str" cm="1">
        <f t="array" ref="D1613">_xlfn.IFS(Table1[[#This Row],[age]]&lt;=17,"0-17",C1613&lt;=29,"18-29",C1613&lt;=44,"30-44",C1613&lt;=59,"45-59",C1613&lt;=74,"60-74",TRUE,"75+")</f>
        <v>30-44</v>
      </c>
      <c r="E1613" t="s">
        <v>29</v>
      </c>
      <c r="F1613">
        <v>8</v>
      </c>
      <c r="G1613" t="str" cm="1">
        <f t="array" ref="G1613">_xlfn.IFS(_xlfn.SINGLE(Table1[imd_decile])&lt;=3,"Most Deprived",F1613&lt;=7,"Moderately Deprived",F1613&lt;=10,"Least Deprived")</f>
        <v>Least Deprived</v>
      </c>
      <c r="H1613">
        <v>13.9</v>
      </c>
      <c r="I1613" t="s">
        <v>49</v>
      </c>
      <c r="J1613" t="s">
        <v>19</v>
      </c>
      <c r="K1613" s="1">
        <v>45868</v>
      </c>
      <c r="L1613" s="1">
        <v>45891</v>
      </c>
      <c r="M1613" s="1" t="str">
        <f>TEXT(Table1[[#This Row],[appointment_date]],"MM/YYYY")</f>
        <v>08/2025</v>
      </c>
      <c r="N1613">
        <v>23</v>
      </c>
      <c r="O1613" t="str" cm="1">
        <f t="array" ref="O1613">_xlfn.IFS(Table1[[#This Row],[lead_time_days]]&lt;=7,"0-7 days",N1613&lt;=14,"8-14 days",N1613&lt;=30,"15-30 days",N1613&lt;=60,"31-60 days",TRUE,"61+ days")</f>
        <v>15-30 days</v>
      </c>
      <c r="P1613" t="s">
        <v>52</v>
      </c>
      <c r="Q1613" t="s">
        <v>21</v>
      </c>
      <c r="R1613">
        <v>0</v>
      </c>
      <c r="S1613" t="str">
        <f>IF(Table1[prior_dna_count]&gt;=1,"Has prior DNA history","No prior DNA history")</f>
        <v>No prior DNA history</v>
      </c>
      <c r="T1613" t="s">
        <v>22</v>
      </c>
      <c r="U1613" t="str">
        <f t="shared" si="25"/>
        <v>1</v>
      </c>
      <c r="V1613" t="str">
        <f>IF(Table1[appointment_status]="Attended","1","0")</f>
        <v>1</v>
      </c>
      <c r="W1613" t="str">
        <f>IF(Table1[appointment_status]="Cancelled","1","0")</f>
        <v>0</v>
      </c>
    </row>
    <row r="1614" spans="1:23">
      <c r="A1614" t="s">
        <v>2677</v>
      </c>
      <c r="B1614" t="s">
        <v>1449</v>
      </c>
      <c r="C1614">
        <v>10</v>
      </c>
      <c r="D1614" t="str" cm="1">
        <f t="array" ref="D1614">_xlfn.IFS(Table1[[#This Row],[age]]&lt;=17,"0-17",C1614&lt;=29,"18-29",C1614&lt;=44,"30-44",C1614&lt;=59,"45-59",C1614&lt;=74,"60-74",TRUE,"75+")</f>
        <v>0-17</v>
      </c>
      <c r="E1614" t="s">
        <v>29</v>
      </c>
      <c r="F1614">
        <v>7</v>
      </c>
      <c r="G1614" t="str" cm="1">
        <f t="array" ref="G1614">_xlfn.IFS(_xlfn.SINGLE(Table1[imd_decile])&lt;=3,"Most Deprived",F1614&lt;=7,"Moderately Deprived",F1614&lt;=10,"Least Deprived")</f>
        <v>Moderately Deprived</v>
      </c>
      <c r="H1614">
        <v>10.9</v>
      </c>
      <c r="I1614" t="s">
        <v>45</v>
      </c>
      <c r="J1614" t="s">
        <v>26</v>
      </c>
      <c r="K1614" s="1">
        <v>45888</v>
      </c>
      <c r="L1614" s="1">
        <v>45891</v>
      </c>
      <c r="M1614" s="1" t="str">
        <f>TEXT(Table1[[#This Row],[appointment_date]],"MM/YYYY")</f>
        <v>08/2025</v>
      </c>
      <c r="N1614">
        <v>3</v>
      </c>
      <c r="O1614" t="str" cm="1">
        <f t="array" ref="O1614">_xlfn.IFS(Table1[[#This Row],[lead_time_days]]&lt;=7,"0-7 days",N1614&lt;=14,"8-14 days",N1614&lt;=30,"15-30 days",N1614&lt;=60,"31-60 days",TRUE,"61+ days")</f>
        <v>0-7 days</v>
      </c>
      <c r="P1614" t="s">
        <v>52</v>
      </c>
      <c r="Q1614" t="s">
        <v>21</v>
      </c>
      <c r="R1614">
        <v>0</v>
      </c>
      <c r="S1614" t="str">
        <f>IF(Table1[prior_dna_count]&gt;=1,"Has prior DNA history","No prior DNA history")</f>
        <v>No prior DNA history</v>
      </c>
      <c r="T1614" t="s">
        <v>46</v>
      </c>
      <c r="U1614" t="str">
        <f t="shared" si="25"/>
        <v>1</v>
      </c>
      <c r="V1614" t="str">
        <f>IF(Table1[appointment_status]="Attended","1","0")</f>
        <v>0</v>
      </c>
      <c r="W1614" t="str">
        <f>IF(Table1[appointment_status]="Cancelled","1","0")</f>
        <v>1</v>
      </c>
    </row>
    <row r="1615" spans="1:23">
      <c r="A1615" t="s">
        <v>2678</v>
      </c>
      <c r="B1615" t="s">
        <v>2368</v>
      </c>
      <c r="C1615">
        <v>51</v>
      </c>
      <c r="D1615" t="str" cm="1">
        <f t="array" ref="D1615">_xlfn.IFS(Table1[[#This Row],[age]]&lt;=17,"0-17",C1615&lt;=29,"18-29",C1615&lt;=44,"30-44",C1615&lt;=59,"45-59",C1615&lt;=74,"60-74",TRUE,"75+")</f>
        <v>45-59</v>
      </c>
      <c r="E1615" t="s">
        <v>17</v>
      </c>
      <c r="F1615">
        <v>6</v>
      </c>
      <c r="G1615" t="str" cm="1">
        <f t="array" ref="G1615">_xlfn.IFS(_xlfn.SINGLE(Table1[imd_decile])&lt;=3,"Most Deprived",F1615&lt;=7,"Moderately Deprived",F1615&lt;=10,"Least Deprived")</f>
        <v>Moderately Deprived</v>
      </c>
      <c r="H1615">
        <v>22.2</v>
      </c>
      <c r="I1615" t="s">
        <v>18</v>
      </c>
      <c r="J1615" t="s">
        <v>19</v>
      </c>
      <c r="K1615" s="1">
        <v>45870</v>
      </c>
      <c r="L1615" s="1">
        <v>45891</v>
      </c>
      <c r="M1615" s="1" t="str">
        <f>TEXT(Table1[[#This Row],[appointment_date]],"MM/YYYY")</f>
        <v>08/2025</v>
      </c>
      <c r="N1615">
        <v>21</v>
      </c>
      <c r="O1615" t="str" cm="1">
        <f t="array" ref="O1615">_xlfn.IFS(Table1[[#This Row],[lead_time_days]]&lt;=7,"0-7 days",N1615&lt;=14,"8-14 days",N1615&lt;=30,"15-30 days",N1615&lt;=60,"31-60 days",TRUE,"61+ days")</f>
        <v>15-30 days</v>
      </c>
      <c r="P1615" t="s">
        <v>52</v>
      </c>
      <c r="Q1615" t="s">
        <v>21</v>
      </c>
      <c r="R1615">
        <v>0</v>
      </c>
      <c r="S1615" t="str">
        <f>IF(Table1[prior_dna_count]&gt;=1,"Has prior DNA history","No prior DNA history")</f>
        <v>No prior DNA history</v>
      </c>
      <c r="T1615" t="s">
        <v>22</v>
      </c>
      <c r="U1615" t="str">
        <f t="shared" si="25"/>
        <v>0</v>
      </c>
      <c r="V1615" t="str">
        <f>IF(Table1[appointment_status]="Attended","1","0")</f>
        <v>1</v>
      </c>
      <c r="W1615" t="str">
        <f>IF(Table1[appointment_status]="Cancelled","1","0")</f>
        <v>0</v>
      </c>
    </row>
    <row r="1616" spans="1:23">
      <c r="A1616" t="s">
        <v>2679</v>
      </c>
      <c r="B1616" t="s">
        <v>2680</v>
      </c>
      <c r="C1616">
        <v>43</v>
      </c>
      <c r="D1616" t="str" cm="1">
        <f t="array" ref="D1616">_xlfn.IFS(Table1[[#This Row],[age]]&lt;=17,"0-17",C1616&lt;=29,"18-29",C1616&lt;=44,"30-44",C1616&lt;=59,"45-59",C1616&lt;=74,"60-74",TRUE,"75+")</f>
        <v>30-44</v>
      </c>
      <c r="E1616" t="s">
        <v>17</v>
      </c>
      <c r="F1616">
        <v>5</v>
      </c>
      <c r="G1616" t="str" cm="1">
        <f t="array" ref="G1616">_xlfn.IFS(_xlfn.SINGLE(Table1[imd_decile])&lt;=3,"Most Deprived",F1616&lt;=7,"Moderately Deprived",F1616&lt;=10,"Least Deprived")</f>
        <v>Moderately Deprived</v>
      </c>
      <c r="H1616">
        <v>22.9</v>
      </c>
      <c r="I1616" t="s">
        <v>155</v>
      </c>
      <c r="J1616" t="s">
        <v>19</v>
      </c>
      <c r="K1616" s="1">
        <v>45828</v>
      </c>
      <c r="L1616" s="1">
        <v>45891</v>
      </c>
      <c r="M1616" s="1" t="str">
        <f>TEXT(Table1[[#This Row],[appointment_date]],"MM/YYYY")</f>
        <v>08/2025</v>
      </c>
      <c r="N1616">
        <v>63</v>
      </c>
      <c r="O1616" t="str" cm="1">
        <f t="array" ref="O1616">_xlfn.IFS(Table1[[#This Row],[lead_time_days]]&lt;=7,"0-7 days",N1616&lt;=14,"8-14 days",N1616&lt;=30,"15-30 days",N1616&lt;=60,"31-60 days",TRUE,"61+ days")</f>
        <v>61+ days</v>
      </c>
      <c r="P1616" t="s">
        <v>52</v>
      </c>
      <c r="Q1616" t="s">
        <v>21</v>
      </c>
      <c r="R1616">
        <v>0</v>
      </c>
      <c r="S1616" t="str">
        <f>IF(Table1[prior_dna_count]&gt;=1,"Has prior DNA history","No prior DNA history")</f>
        <v>No prior DNA history</v>
      </c>
      <c r="T1616" t="s">
        <v>22</v>
      </c>
      <c r="U1616" t="str">
        <f t="shared" si="25"/>
        <v>1</v>
      </c>
      <c r="V1616" t="str">
        <f>IF(Table1[appointment_status]="Attended","1","0")</f>
        <v>1</v>
      </c>
      <c r="W1616" t="str">
        <f>IF(Table1[appointment_status]="Cancelled","1","0")</f>
        <v>0</v>
      </c>
    </row>
    <row r="1617" spans="1:23">
      <c r="A1617" t="s">
        <v>2681</v>
      </c>
      <c r="B1617" t="s">
        <v>1266</v>
      </c>
      <c r="C1617">
        <v>30</v>
      </c>
      <c r="D1617" t="str" cm="1">
        <f t="array" ref="D1617">_xlfn.IFS(Table1[[#This Row],[age]]&lt;=17,"0-17",C1617&lt;=29,"18-29",C1617&lt;=44,"30-44",C1617&lt;=59,"45-59",C1617&lt;=74,"60-74",TRUE,"75+")</f>
        <v>30-44</v>
      </c>
      <c r="E1617" t="s">
        <v>17</v>
      </c>
      <c r="F1617">
        <v>5</v>
      </c>
      <c r="G1617" t="str" cm="1">
        <f t="array" ref="G1617">_xlfn.IFS(_xlfn.SINGLE(Table1[imd_decile])&lt;=3,"Most Deprived",F1617&lt;=7,"Moderately Deprived",F1617&lt;=10,"Least Deprived")</f>
        <v>Moderately Deprived</v>
      </c>
      <c r="H1617">
        <v>18</v>
      </c>
      <c r="I1617" t="s">
        <v>42</v>
      </c>
      <c r="J1617" t="s">
        <v>19</v>
      </c>
      <c r="K1617" s="1">
        <v>45879</v>
      </c>
      <c r="L1617" s="1">
        <v>45892</v>
      </c>
      <c r="M1617" s="1" t="str">
        <f>TEXT(Table1[[#This Row],[appointment_date]],"MM/YYYY")</f>
        <v>08/2025</v>
      </c>
      <c r="N1617">
        <v>13</v>
      </c>
      <c r="O1617" t="str" cm="1">
        <f t="array" ref="O1617">_xlfn.IFS(Table1[[#This Row],[lead_time_days]]&lt;=7,"0-7 days",N1617&lt;=14,"8-14 days",N1617&lt;=30,"15-30 days",N1617&lt;=60,"31-60 days",TRUE,"61+ days")</f>
        <v>8-14 days</v>
      </c>
      <c r="P1617" t="s">
        <v>55</v>
      </c>
      <c r="Q1617" t="s">
        <v>21</v>
      </c>
      <c r="R1617">
        <v>0</v>
      </c>
      <c r="S1617" t="str">
        <f>IF(Table1[prior_dna_count]&gt;=1,"Has prior DNA history","No prior DNA history")</f>
        <v>No prior DNA history</v>
      </c>
      <c r="T1617" t="s">
        <v>22</v>
      </c>
      <c r="U1617" t="str">
        <f t="shared" si="25"/>
        <v>1</v>
      </c>
      <c r="V1617" t="str">
        <f>IF(Table1[appointment_status]="Attended","1","0")</f>
        <v>1</v>
      </c>
      <c r="W1617" t="str">
        <f>IF(Table1[appointment_status]="Cancelled","1","0")</f>
        <v>0</v>
      </c>
    </row>
    <row r="1618" spans="1:23">
      <c r="A1618" t="s">
        <v>2682</v>
      </c>
      <c r="B1618" t="s">
        <v>630</v>
      </c>
      <c r="C1618">
        <v>86</v>
      </c>
      <c r="D1618" t="str" cm="1">
        <f t="array" ref="D1618">_xlfn.IFS(Table1[[#This Row],[age]]&lt;=17,"0-17",C1618&lt;=29,"18-29",C1618&lt;=44,"30-44",C1618&lt;=59,"45-59",C1618&lt;=74,"60-74",TRUE,"75+")</f>
        <v>75+</v>
      </c>
      <c r="E1618" t="s">
        <v>17</v>
      </c>
      <c r="F1618">
        <v>7</v>
      </c>
      <c r="G1618" t="str" cm="1">
        <f t="array" ref="G1618">_xlfn.IFS(_xlfn.SINGLE(Table1[imd_decile])&lt;=3,"Most Deprived",F1618&lt;=7,"Moderately Deprived",F1618&lt;=10,"Least Deprived")</f>
        <v>Moderately Deprived</v>
      </c>
      <c r="H1618">
        <v>3.3</v>
      </c>
      <c r="I1618" t="s">
        <v>42</v>
      </c>
      <c r="J1618" t="s">
        <v>19</v>
      </c>
      <c r="K1618" s="1">
        <v>45848</v>
      </c>
      <c r="L1618" s="1">
        <v>45892</v>
      </c>
      <c r="M1618" s="1" t="str">
        <f>TEXT(Table1[[#This Row],[appointment_date]],"MM/YYYY")</f>
        <v>08/2025</v>
      </c>
      <c r="N1618">
        <v>44</v>
      </c>
      <c r="O1618" t="str" cm="1">
        <f t="array" ref="O1618">_xlfn.IFS(Table1[[#This Row],[lead_time_days]]&lt;=7,"0-7 days",N1618&lt;=14,"8-14 days",N1618&lt;=30,"15-30 days",N1618&lt;=60,"31-60 days",TRUE,"61+ days")</f>
        <v>31-60 days</v>
      </c>
      <c r="P1618" t="s">
        <v>55</v>
      </c>
      <c r="Q1618" t="s">
        <v>32</v>
      </c>
      <c r="R1618">
        <v>0</v>
      </c>
      <c r="S1618" t="str">
        <f>IF(Table1[prior_dna_count]&gt;=1,"Has prior DNA history","No prior DNA history")</f>
        <v>No prior DNA history</v>
      </c>
      <c r="T1618" t="s">
        <v>22</v>
      </c>
      <c r="U1618" t="str">
        <f t="shared" si="25"/>
        <v>1</v>
      </c>
      <c r="V1618" t="str">
        <f>IF(Table1[appointment_status]="Attended","1","0")</f>
        <v>1</v>
      </c>
      <c r="W1618" t="str">
        <f>IF(Table1[appointment_status]="Cancelled","1","0")</f>
        <v>0</v>
      </c>
    </row>
    <row r="1619" spans="1:23">
      <c r="A1619" t="s">
        <v>2683</v>
      </c>
      <c r="B1619" t="s">
        <v>965</v>
      </c>
      <c r="C1619">
        <v>47</v>
      </c>
      <c r="D1619" t="str" cm="1">
        <f t="array" ref="D1619">_xlfn.IFS(Table1[[#This Row],[age]]&lt;=17,"0-17",C1619&lt;=29,"18-29",C1619&lt;=44,"30-44",C1619&lt;=59,"45-59",C1619&lt;=74,"60-74",TRUE,"75+")</f>
        <v>45-59</v>
      </c>
      <c r="E1619" t="s">
        <v>17</v>
      </c>
      <c r="F1619">
        <v>5</v>
      </c>
      <c r="G1619" t="str" cm="1">
        <f t="array" ref="G1619">_xlfn.IFS(_xlfn.SINGLE(Table1[imd_decile])&lt;=3,"Most Deprived",F1619&lt;=7,"Moderately Deprived",F1619&lt;=10,"Least Deprived")</f>
        <v>Moderately Deprived</v>
      </c>
      <c r="H1619">
        <v>5.7</v>
      </c>
      <c r="I1619" t="s">
        <v>58</v>
      </c>
      <c r="J1619" t="s">
        <v>19</v>
      </c>
      <c r="K1619" s="1">
        <v>45854</v>
      </c>
      <c r="L1619" s="1">
        <v>45892</v>
      </c>
      <c r="M1619" s="1" t="str">
        <f>TEXT(Table1[[#This Row],[appointment_date]],"MM/YYYY")</f>
        <v>08/2025</v>
      </c>
      <c r="N1619">
        <v>38</v>
      </c>
      <c r="O1619" t="str" cm="1">
        <f t="array" ref="O1619">_xlfn.IFS(Table1[[#This Row],[lead_time_days]]&lt;=7,"0-7 days",N1619&lt;=14,"8-14 days",N1619&lt;=30,"15-30 days",N1619&lt;=60,"31-60 days",TRUE,"61+ days")</f>
        <v>31-60 days</v>
      </c>
      <c r="P1619" t="s">
        <v>55</v>
      </c>
      <c r="Q1619" t="s">
        <v>21</v>
      </c>
      <c r="R1619">
        <v>1</v>
      </c>
      <c r="S1619" t="str">
        <f>IF(Table1[prior_dna_count]&gt;=1,"Has prior DNA history","No prior DNA history")</f>
        <v>Has prior DNA history</v>
      </c>
      <c r="T1619" t="s">
        <v>22</v>
      </c>
      <c r="U1619" t="str">
        <f t="shared" si="25"/>
        <v>1</v>
      </c>
      <c r="V1619" t="str">
        <f>IF(Table1[appointment_status]="Attended","1","0")</f>
        <v>1</v>
      </c>
      <c r="W1619" t="str">
        <f>IF(Table1[appointment_status]="Cancelled","1","0")</f>
        <v>0</v>
      </c>
    </row>
    <row r="1620" spans="1:23">
      <c r="A1620" t="s">
        <v>2684</v>
      </c>
      <c r="B1620" t="s">
        <v>588</v>
      </c>
      <c r="C1620">
        <v>75</v>
      </c>
      <c r="D1620" t="str" cm="1">
        <f t="array" ref="D1620">_xlfn.IFS(Table1[[#This Row],[age]]&lt;=17,"0-17",C1620&lt;=29,"18-29",C1620&lt;=44,"30-44",C1620&lt;=59,"45-59",C1620&lt;=74,"60-74",TRUE,"75+")</f>
        <v>75+</v>
      </c>
      <c r="E1620" t="s">
        <v>17</v>
      </c>
      <c r="F1620">
        <v>8</v>
      </c>
      <c r="G1620" t="str" cm="1">
        <f t="array" ref="G1620">_xlfn.IFS(_xlfn.SINGLE(Table1[imd_decile])&lt;=3,"Most Deprived",F1620&lt;=7,"Moderately Deprived",F1620&lt;=10,"Least Deprived")</f>
        <v>Least Deprived</v>
      </c>
      <c r="H1620">
        <v>5.7</v>
      </c>
      <c r="I1620" t="s">
        <v>49</v>
      </c>
      <c r="J1620" t="s">
        <v>19</v>
      </c>
      <c r="K1620" s="1">
        <v>45864</v>
      </c>
      <c r="L1620" s="1">
        <v>45892</v>
      </c>
      <c r="M1620" s="1" t="str">
        <f>TEXT(Table1[[#This Row],[appointment_date]],"MM/YYYY")</f>
        <v>08/2025</v>
      </c>
      <c r="N1620">
        <v>28</v>
      </c>
      <c r="O1620" t="str" cm="1">
        <f t="array" ref="O1620">_xlfn.IFS(Table1[[#This Row],[lead_time_days]]&lt;=7,"0-7 days",N1620&lt;=14,"8-14 days",N1620&lt;=30,"15-30 days",N1620&lt;=60,"31-60 days",TRUE,"61+ days")</f>
        <v>15-30 days</v>
      </c>
      <c r="P1620" t="s">
        <v>55</v>
      </c>
      <c r="Q1620" t="s">
        <v>21</v>
      </c>
      <c r="R1620">
        <v>0</v>
      </c>
      <c r="S1620" t="str">
        <f>IF(Table1[prior_dna_count]&gt;=1,"Has prior DNA history","No prior DNA history")</f>
        <v>No prior DNA history</v>
      </c>
      <c r="T1620" t="s">
        <v>22</v>
      </c>
      <c r="U1620" t="str">
        <f t="shared" si="25"/>
        <v>1</v>
      </c>
      <c r="V1620" t="str">
        <f>IF(Table1[appointment_status]="Attended","1","0")</f>
        <v>1</v>
      </c>
      <c r="W1620" t="str">
        <f>IF(Table1[appointment_status]="Cancelled","1","0")</f>
        <v>0</v>
      </c>
    </row>
    <row r="1621" spans="1:23">
      <c r="A1621" t="s">
        <v>2685</v>
      </c>
      <c r="B1621" t="s">
        <v>1996</v>
      </c>
      <c r="C1621">
        <v>52</v>
      </c>
      <c r="D1621" t="str" cm="1">
        <f t="array" ref="D1621">_xlfn.IFS(Table1[[#This Row],[age]]&lt;=17,"0-17",C1621&lt;=29,"18-29",C1621&lt;=44,"30-44",C1621&lt;=59,"45-59",C1621&lt;=74,"60-74",TRUE,"75+")</f>
        <v>45-59</v>
      </c>
      <c r="E1621" t="s">
        <v>17</v>
      </c>
      <c r="F1621">
        <v>10</v>
      </c>
      <c r="G1621" t="str" cm="1">
        <f t="array" ref="G1621">_xlfn.IFS(_xlfn.SINGLE(Table1[imd_decile])&lt;=3,"Most Deprived",F1621&lt;=7,"Moderately Deprived",F1621&lt;=10,"Least Deprived")</f>
        <v>Least Deprived</v>
      </c>
      <c r="H1621">
        <v>1.4</v>
      </c>
      <c r="I1621" t="s">
        <v>30</v>
      </c>
      <c r="J1621" t="s">
        <v>19</v>
      </c>
      <c r="K1621" s="1">
        <v>45866</v>
      </c>
      <c r="L1621" s="1">
        <v>45892</v>
      </c>
      <c r="M1621" s="1" t="str">
        <f>TEXT(Table1[[#This Row],[appointment_date]],"MM/YYYY")</f>
        <v>08/2025</v>
      </c>
      <c r="N1621">
        <v>26</v>
      </c>
      <c r="O1621" t="str" cm="1">
        <f t="array" ref="O1621">_xlfn.IFS(Table1[[#This Row],[lead_time_days]]&lt;=7,"0-7 days",N1621&lt;=14,"8-14 days",N1621&lt;=30,"15-30 days",N1621&lt;=60,"31-60 days",TRUE,"61+ days")</f>
        <v>15-30 days</v>
      </c>
      <c r="P1621" t="s">
        <v>55</v>
      </c>
      <c r="Q1621" t="s">
        <v>21</v>
      </c>
      <c r="R1621">
        <v>0</v>
      </c>
      <c r="S1621" t="str">
        <f>IF(Table1[prior_dna_count]&gt;=1,"Has prior DNA history","No prior DNA history")</f>
        <v>No prior DNA history</v>
      </c>
      <c r="T1621" t="s">
        <v>22</v>
      </c>
      <c r="U1621" t="str">
        <f t="shared" si="25"/>
        <v>1</v>
      </c>
      <c r="V1621" t="str">
        <f>IF(Table1[appointment_status]="Attended","1","0")</f>
        <v>1</v>
      </c>
      <c r="W1621" t="str">
        <f>IF(Table1[appointment_status]="Cancelled","1","0")</f>
        <v>0</v>
      </c>
    </row>
    <row r="1622" spans="1:23">
      <c r="A1622" t="s">
        <v>2686</v>
      </c>
      <c r="B1622" t="s">
        <v>789</v>
      </c>
      <c r="C1622">
        <v>39</v>
      </c>
      <c r="D1622" t="str" cm="1">
        <f t="array" ref="D1622">_xlfn.IFS(Table1[[#This Row],[age]]&lt;=17,"0-17",C1622&lt;=29,"18-29",C1622&lt;=44,"30-44",C1622&lt;=59,"45-59",C1622&lt;=74,"60-74",TRUE,"75+")</f>
        <v>30-44</v>
      </c>
      <c r="E1622" t="s">
        <v>29</v>
      </c>
      <c r="F1622">
        <v>10</v>
      </c>
      <c r="G1622" t="str" cm="1">
        <f t="array" ref="G1622">_xlfn.IFS(_xlfn.SINGLE(Table1[imd_decile])&lt;=3,"Most Deprived",F1622&lt;=7,"Moderately Deprived",F1622&lt;=10,"Least Deprived")</f>
        <v>Least Deprived</v>
      </c>
      <c r="H1622">
        <v>10.1</v>
      </c>
      <c r="I1622" t="s">
        <v>58</v>
      </c>
      <c r="J1622" t="s">
        <v>19</v>
      </c>
      <c r="K1622" s="1">
        <v>45847</v>
      </c>
      <c r="L1622" s="1">
        <v>45892</v>
      </c>
      <c r="M1622" s="1" t="str">
        <f>TEXT(Table1[[#This Row],[appointment_date]],"MM/YYYY")</f>
        <v>08/2025</v>
      </c>
      <c r="N1622">
        <v>45</v>
      </c>
      <c r="O1622" t="str" cm="1">
        <f t="array" ref="O1622">_xlfn.IFS(Table1[[#This Row],[lead_time_days]]&lt;=7,"0-7 days",N1622&lt;=14,"8-14 days",N1622&lt;=30,"15-30 days",N1622&lt;=60,"31-60 days",TRUE,"61+ days")</f>
        <v>31-60 days</v>
      </c>
      <c r="P1622" t="s">
        <v>55</v>
      </c>
      <c r="Q1622" t="s">
        <v>32</v>
      </c>
      <c r="R1622">
        <v>0</v>
      </c>
      <c r="S1622" t="str">
        <f>IF(Table1[prior_dna_count]&gt;=1,"Has prior DNA history","No prior DNA history")</f>
        <v>No prior DNA history</v>
      </c>
      <c r="T1622" t="s">
        <v>39</v>
      </c>
      <c r="U1622" t="str">
        <f t="shared" si="25"/>
        <v>1</v>
      </c>
      <c r="V1622" t="str">
        <f>IF(Table1[appointment_status]="Attended","1","0")</f>
        <v>0</v>
      </c>
      <c r="W1622" t="str">
        <f>IF(Table1[appointment_status]="Cancelled","1","0")</f>
        <v>0</v>
      </c>
    </row>
    <row r="1623" spans="1:23">
      <c r="A1623" t="s">
        <v>2687</v>
      </c>
      <c r="B1623" t="s">
        <v>1447</v>
      </c>
      <c r="C1623">
        <v>66</v>
      </c>
      <c r="D1623" t="str" cm="1">
        <f t="array" ref="D1623">_xlfn.IFS(Table1[[#This Row],[age]]&lt;=17,"0-17",C1623&lt;=29,"18-29",C1623&lt;=44,"30-44",C1623&lt;=59,"45-59",C1623&lt;=74,"60-74",TRUE,"75+")</f>
        <v>60-74</v>
      </c>
      <c r="E1623" t="s">
        <v>29</v>
      </c>
      <c r="F1623">
        <v>8</v>
      </c>
      <c r="G1623" t="str" cm="1">
        <f t="array" ref="G1623">_xlfn.IFS(_xlfn.SINGLE(Table1[imd_decile])&lt;=3,"Most Deprived",F1623&lt;=7,"Moderately Deprived",F1623&lt;=10,"Least Deprived")</f>
        <v>Least Deprived</v>
      </c>
      <c r="H1623">
        <v>8.8000000000000007</v>
      </c>
      <c r="I1623" t="s">
        <v>18</v>
      </c>
      <c r="J1623" t="s">
        <v>26</v>
      </c>
      <c r="K1623" s="1">
        <v>45890</v>
      </c>
      <c r="L1623" s="1">
        <v>45892</v>
      </c>
      <c r="M1623" s="1" t="str">
        <f>TEXT(Table1[[#This Row],[appointment_date]],"MM/YYYY")</f>
        <v>08/2025</v>
      </c>
      <c r="N1623">
        <v>2</v>
      </c>
      <c r="O1623" t="str" cm="1">
        <f t="array" ref="O1623">_xlfn.IFS(Table1[[#This Row],[lead_time_days]]&lt;=7,"0-7 days",N1623&lt;=14,"8-14 days",N1623&lt;=30,"15-30 days",N1623&lt;=60,"31-60 days",TRUE,"61+ days")</f>
        <v>0-7 days</v>
      </c>
      <c r="P1623" t="s">
        <v>55</v>
      </c>
      <c r="Q1623" t="s">
        <v>21</v>
      </c>
      <c r="R1623">
        <v>0</v>
      </c>
      <c r="S1623" t="str">
        <f>IF(Table1[prior_dna_count]&gt;=1,"Has prior DNA history","No prior DNA history")</f>
        <v>No prior DNA history</v>
      </c>
      <c r="T1623" t="s">
        <v>39</v>
      </c>
      <c r="U1623" t="str">
        <f t="shared" si="25"/>
        <v>0</v>
      </c>
      <c r="V1623" t="str">
        <f>IF(Table1[appointment_status]="Attended","1","0")</f>
        <v>0</v>
      </c>
      <c r="W1623" t="str">
        <f>IF(Table1[appointment_status]="Cancelled","1","0")</f>
        <v>0</v>
      </c>
    </row>
    <row r="1624" spans="1:23">
      <c r="A1624" t="s">
        <v>2688</v>
      </c>
      <c r="B1624" t="s">
        <v>636</v>
      </c>
      <c r="C1624">
        <v>31</v>
      </c>
      <c r="D1624" t="str" cm="1">
        <f t="array" ref="D1624">_xlfn.IFS(Table1[[#This Row],[age]]&lt;=17,"0-17",C1624&lt;=29,"18-29",C1624&lt;=44,"30-44",C1624&lt;=59,"45-59",C1624&lt;=74,"60-74",TRUE,"75+")</f>
        <v>30-44</v>
      </c>
      <c r="E1624" t="s">
        <v>17</v>
      </c>
      <c r="F1624">
        <v>1</v>
      </c>
      <c r="G1624" t="str" cm="1">
        <f t="array" ref="G1624">_xlfn.IFS(_xlfn.SINGLE(Table1[imd_decile])&lt;=3,"Most Deprived",F1624&lt;=7,"Moderately Deprived",F1624&lt;=10,"Least Deprived")</f>
        <v>Most Deprived</v>
      </c>
      <c r="H1624">
        <v>4.5999999999999996</v>
      </c>
      <c r="I1624" t="s">
        <v>42</v>
      </c>
      <c r="J1624" t="s">
        <v>19</v>
      </c>
      <c r="K1624" s="1">
        <v>45861</v>
      </c>
      <c r="L1624" s="1">
        <v>45893</v>
      </c>
      <c r="M1624" s="1" t="str">
        <f>TEXT(Table1[[#This Row],[appointment_date]],"MM/YYYY")</f>
        <v>08/2025</v>
      </c>
      <c r="N1624">
        <v>32</v>
      </c>
      <c r="O1624" t="str" cm="1">
        <f t="array" ref="O1624">_xlfn.IFS(Table1[[#This Row],[lead_time_days]]&lt;=7,"0-7 days",N1624&lt;=14,"8-14 days",N1624&lt;=30,"15-30 days",N1624&lt;=60,"31-60 days",TRUE,"61+ days")</f>
        <v>31-60 days</v>
      </c>
      <c r="P1624" t="s">
        <v>31</v>
      </c>
      <c r="Q1624" t="s">
        <v>32</v>
      </c>
      <c r="R1624">
        <v>0</v>
      </c>
      <c r="S1624" t="str">
        <f>IF(Table1[prior_dna_count]&gt;=1,"Has prior DNA history","No prior DNA history")</f>
        <v>No prior DNA history</v>
      </c>
      <c r="T1624" t="s">
        <v>22</v>
      </c>
      <c r="U1624" t="str">
        <f t="shared" si="25"/>
        <v>0</v>
      </c>
      <c r="V1624" t="str">
        <f>IF(Table1[appointment_status]="Attended","1","0")</f>
        <v>1</v>
      </c>
      <c r="W1624" t="str">
        <f>IF(Table1[appointment_status]="Cancelled","1","0")</f>
        <v>0</v>
      </c>
    </row>
    <row r="1625" spans="1:23">
      <c r="A1625" t="s">
        <v>2689</v>
      </c>
      <c r="B1625" t="s">
        <v>2603</v>
      </c>
      <c r="C1625">
        <v>49</v>
      </c>
      <c r="D1625" t="str" cm="1">
        <f t="array" ref="D1625">_xlfn.IFS(Table1[[#This Row],[age]]&lt;=17,"0-17",C1625&lt;=29,"18-29",C1625&lt;=44,"30-44",C1625&lt;=59,"45-59",C1625&lt;=74,"60-74",TRUE,"75+")</f>
        <v>45-59</v>
      </c>
      <c r="E1625" t="s">
        <v>29</v>
      </c>
      <c r="F1625">
        <v>6</v>
      </c>
      <c r="G1625" t="str" cm="1">
        <f t="array" ref="G1625">_xlfn.IFS(_xlfn.SINGLE(Table1[imd_decile])&lt;=3,"Most Deprived",F1625&lt;=7,"Moderately Deprived",F1625&lt;=10,"Least Deprived")</f>
        <v>Moderately Deprived</v>
      </c>
      <c r="H1625">
        <v>4.0999999999999996</v>
      </c>
      <c r="I1625" t="s">
        <v>42</v>
      </c>
      <c r="J1625" t="s">
        <v>26</v>
      </c>
      <c r="K1625" s="1">
        <v>45890</v>
      </c>
      <c r="L1625" s="1">
        <v>45893</v>
      </c>
      <c r="M1625" s="1" t="str">
        <f>TEXT(Table1[[#This Row],[appointment_date]],"MM/YYYY")</f>
        <v>08/2025</v>
      </c>
      <c r="N1625">
        <v>3</v>
      </c>
      <c r="O1625" t="str" cm="1">
        <f t="array" ref="O1625">_xlfn.IFS(Table1[[#This Row],[lead_time_days]]&lt;=7,"0-7 days",N1625&lt;=14,"8-14 days",N1625&lt;=30,"15-30 days",N1625&lt;=60,"31-60 days",TRUE,"61+ days")</f>
        <v>0-7 days</v>
      </c>
      <c r="P1625" t="s">
        <v>31</v>
      </c>
      <c r="Q1625" t="s">
        <v>32</v>
      </c>
      <c r="R1625">
        <v>0</v>
      </c>
      <c r="S1625" t="str">
        <f>IF(Table1[prior_dna_count]&gt;=1,"Has prior DNA history","No prior DNA history")</f>
        <v>No prior DNA history</v>
      </c>
      <c r="T1625" t="s">
        <v>46</v>
      </c>
      <c r="U1625" t="str">
        <f t="shared" si="25"/>
        <v>1</v>
      </c>
      <c r="V1625" t="str">
        <f>IF(Table1[appointment_status]="Attended","1","0")</f>
        <v>0</v>
      </c>
      <c r="W1625" t="str">
        <f>IF(Table1[appointment_status]="Cancelled","1","0")</f>
        <v>1</v>
      </c>
    </row>
    <row r="1626" spans="1:23">
      <c r="A1626" t="s">
        <v>2690</v>
      </c>
      <c r="B1626" t="s">
        <v>2277</v>
      </c>
      <c r="C1626">
        <v>28</v>
      </c>
      <c r="D1626" t="str" cm="1">
        <f t="array" ref="D1626">_xlfn.IFS(Table1[[#This Row],[age]]&lt;=17,"0-17",C1626&lt;=29,"18-29",C1626&lt;=44,"30-44",C1626&lt;=59,"45-59",C1626&lt;=74,"60-74",TRUE,"75+")</f>
        <v>18-29</v>
      </c>
      <c r="E1626" t="s">
        <v>17</v>
      </c>
      <c r="F1626">
        <v>6</v>
      </c>
      <c r="G1626" t="str" cm="1">
        <f t="array" ref="G1626">_xlfn.IFS(_xlfn.SINGLE(Table1[imd_decile])&lt;=3,"Most Deprived",F1626&lt;=7,"Moderately Deprived",F1626&lt;=10,"Least Deprived")</f>
        <v>Moderately Deprived</v>
      </c>
      <c r="H1626">
        <v>6.4</v>
      </c>
      <c r="I1626" t="s">
        <v>30</v>
      </c>
      <c r="J1626" t="s">
        <v>19</v>
      </c>
      <c r="K1626" s="1">
        <v>45851</v>
      </c>
      <c r="L1626" s="1">
        <v>45893</v>
      </c>
      <c r="M1626" s="1" t="str">
        <f>TEXT(Table1[[#This Row],[appointment_date]],"MM/YYYY")</f>
        <v>08/2025</v>
      </c>
      <c r="N1626">
        <v>42</v>
      </c>
      <c r="O1626" t="str" cm="1">
        <f t="array" ref="O1626">_xlfn.IFS(Table1[[#This Row],[lead_time_days]]&lt;=7,"0-7 days",N1626&lt;=14,"8-14 days",N1626&lt;=30,"15-30 days",N1626&lt;=60,"31-60 days",TRUE,"61+ days")</f>
        <v>31-60 days</v>
      </c>
      <c r="P1626" t="s">
        <v>31</v>
      </c>
      <c r="Q1626" t="s">
        <v>32</v>
      </c>
      <c r="R1626">
        <v>0</v>
      </c>
      <c r="S1626" t="str">
        <f>IF(Table1[prior_dna_count]&gt;=1,"Has prior DNA history","No prior DNA history")</f>
        <v>No prior DNA history</v>
      </c>
      <c r="T1626" t="s">
        <v>22</v>
      </c>
      <c r="U1626" t="str">
        <f t="shared" si="25"/>
        <v>0</v>
      </c>
      <c r="V1626" t="str">
        <f>IF(Table1[appointment_status]="Attended","1","0")</f>
        <v>1</v>
      </c>
      <c r="W1626" t="str">
        <f>IF(Table1[appointment_status]="Cancelled","1","0")</f>
        <v>0</v>
      </c>
    </row>
    <row r="1627" spans="1:23">
      <c r="A1627" t="s">
        <v>2691</v>
      </c>
      <c r="B1627" t="s">
        <v>324</v>
      </c>
      <c r="C1627">
        <v>51</v>
      </c>
      <c r="D1627" t="str" cm="1">
        <f t="array" ref="D1627">_xlfn.IFS(Table1[[#This Row],[age]]&lt;=17,"0-17",C1627&lt;=29,"18-29",C1627&lt;=44,"30-44",C1627&lt;=59,"45-59",C1627&lt;=74,"60-74",TRUE,"75+")</f>
        <v>45-59</v>
      </c>
      <c r="E1627" t="s">
        <v>29</v>
      </c>
      <c r="F1627">
        <v>4</v>
      </c>
      <c r="G1627" t="str" cm="1">
        <f t="array" ref="G1627">_xlfn.IFS(_xlfn.SINGLE(Table1[imd_decile])&lt;=3,"Most Deprived",F1627&lt;=7,"Moderately Deprived",F1627&lt;=10,"Least Deprived")</f>
        <v>Moderately Deprived</v>
      </c>
      <c r="H1627">
        <v>5.9</v>
      </c>
      <c r="I1627" t="s">
        <v>25</v>
      </c>
      <c r="J1627" t="s">
        <v>19</v>
      </c>
      <c r="K1627" s="1">
        <v>45861</v>
      </c>
      <c r="L1627" s="1">
        <v>45893</v>
      </c>
      <c r="M1627" s="1" t="str">
        <f>TEXT(Table1[[#This Row],[appointment_date]],"MM/YYYY")</f>
        <v>08/2025</v>
      </c>
      <c r="N1627">
        <v>32</v>
      </c>
      <c r="O1627" t="str" cm="1">
        <f t="array" ref="O1627">_xlfn.IFS(Table1[[#This Row],[lead_time_days]]&lt;=7,"0-7 days",N1627&lt;=14,"8-14 days",N1627&lt;=30,"15-30 days",N1627&lt;=60,"31-60 days",TRUE,"61+ days")</f>
        <v>31-60 days</v>
      </c>
      <c r="P1627" t="s">
        <v>31</v>
      </c>
      <c r="Q1627" t="s">
        <v>32</v>
      </c>
      <c r="R1627">
        <v>0</v>
      </c>
      <c r="S1627" t="str">
        <f>IF(Table1[prior_dna_count]&gt;=1,"Has prior DNA history","No prior DNA history")</f>
        <v>No prior DNA history</v>
      </c>
      <c r="T1627" t="s">
        <v>22</v>
      </c>
      <c r="U1627" t="str">
        <f t="shared" si="25"/>
        <v>1</v>
      </c>
      <c r="V1627" t="str">
        <f>IF(Table1[appointment_status]="Attended","1","0")</f>
        <v>1</v>
      </c>
      <c r="W1627" t="str">
        <f>IF(Table1[appointment_status]="Cancelled","1","0")</f>
        <v>0</v>
      </c>
    </row>
    <row r="1628" spans="1:23">
      <c r="A1628" t="s">
        <v>2692</v>
      </c>
      <c r="B1628" t="s">
        <v>350</v>
      </c>
      <c r="C1628">
        <v>59</v>
      </c>
      <c r="D1628" t="str" cm="1">
        <f t="array" ref="D1628">_xlfn.IFS(Table1[[#This Row],[age]]&lt;=17,"0-17",C1628&lt;=29,"18-29",C1628&lt;=44,"30-44",C1628&lt;=59,"45-59",C1628&lt;=74,"60-74",TRUE,"75+")</f>
        <v>45-59</v>
      </c>
      <c r="E1628" t="s">
        <v>29</v>
      </c>
      <c r="F1628">
        <v>9</v>
      </c>
      <c r="G1628" t="str" cm="1">
        <f t="array" ref="G1628">_xlfn.IFS(_xlfn.SINGLE(Table1[imd_decile])&lt;=3,"Most Deprived",F1628&lt;=7,"Moderately Deprived",F1628&lt;=10,"Least Deprived")</f>
        <v>Least Deprived</v>
      </c>
      <c r="H1628">
        <v>8.9</v>
      </c>
      <c r="I1628" t="s">
        <v>18</v>
      </c>
      <c r="J1628" t="s">
        <v>19</v>
      </c>
      <c r="K1628" s="1">
        <v>45858</v>
      </c>
      <c r="L1628" s="1">
        <v>45893</v>
      </c>
      <c r="M1628" s="1" t="str">
        <f>TEXT(Table1[[#This Row],[appointment_date]],"MM/YYYY")</f>
        <v>08/2025</v>
      </c>
      <c r="N1628">
        <v>35</v>
      </c>
      <c r="O1628" t="str" cm="1">
        <f t="array" ref="O1628">_xlfn.IFS(Table1[[#This Row],[lead_time_days]]&lt;=7,"0-7 days",N1628&lt;=14,"8-14 days",N1628&lt;=30,"15-30 days",N1628&lt;=60,"31-60 days",TRUE,"61+ days")</f>
        <v>31-60 days</v>
      </c>
      <c r="P1628" t="s">
        <v>31</v>
      </c>
      <c r="Q1628" t="s">
        <v>21</v>
      </c>
      <c r="R1628">
        <v>0</v>
      </c>
      <c r="S1628" t="str">
        <f>IF(Table1[prior_dna_count]&gt;=1,"Has prior DNA history","No prior DNA history")</f>
        <v>No prior DNA history</v>
      </c>
      <c r="T1628" t="s">
        <v>39</v>
      </c>
      <c r="U1628" t="str">
        <f t="shared" si="25"/>
        <v>1</v>
      </c>
      <c r="V1628" t="str">
        <f>IF(Table1[appointment_status]="Attended","1","0")</f>
        <v>0</v>
      </c>
      <c r="W1628" t="str">
        <f>IF(Table1[appointment_status]="Cancelled","1","0")</f>
        <v>0</v>
      </c>
    </row>
    <row r="1629" spans="1:23">
      <c r="A1629" t="s">
        <v>2693</v>
      </c>
      <c r="B1629" t="s">
        <v>2066</v>
      </c>
      <c r="C1629">
        <v>17</v>
      </c>
      <c r="D1629" t="str" cm="1">
        <f t="array" ref="D1629">_xlfn.IFS(Table1[[#This Row],[age]]&lt;=17,"0-17",C1629&lt;=29,"18-29",C1629&lt;=44,"30-44",C1629&lt;=59,"45-59",C1629&lt;=74,"60-74",TRUE,"75+")</f>
        <v>0-17</v>
      </c>
      <c r="E1629" t="s">
        <v>17</v>
      </c>
      <c r="F1629">
        <v>8</v>
      </c>
      <c r="G1629" t="str" cm="1">
        <f t="array" ref="G1629">_xlfn.IFS(_xlfn.SINGLE(Table1[imd_decile])&lt;=3,"Most Deprived",F1629&lt;=7,"Moderately Deprived",F1629&lt;=10,"Least Deprived")</f>
        <v>Least Deprived</v>
      </c>
      <c r="H1629">
        <v>3.3</v>
      </c>
      <c r="I1629" t="s">
        <v>58</v>
      </c>
      <c r="J1629" t="s">
        <v>26</v>
      </c>
      <c r="K1629" s="1">
        <v>45856</v>
      </c>
      <c r="L1629" s="1">
        <v>45893</v>
      </c>
      <c r="M1629" s="1" t="str">
        <f>TEXT(Table1[[#This Row],[appointment_date]],"MM/YYYY")</f>
        <v>08/2025</v>
      </c>
      <c r="N1629">
        <v>37</v>
      </c>
      <c r="O1629" t="str" cm="1">
        <f t="array" ref="O1629">_xlfn.IFS(Table1[[#This Row],[lead_time_days]]&lt;=7,"0-7 days",N1629&lt;=14,"8-14 days",N1629&lt;=30,"15-30 days",N1629&lt;=60,"31-60 days",TRUE,"61+ days")</f>
        <v>31-60 days</v>
      </c>
      <c r="P1629" t="s">
        <v>31</v>
      </c>
      <c r="Q1629" t="s">
        <v>32</v>
      </c>
      <c r="R1629">
        <v>0</v>
      </c>
      <c r="S1629" t="str">
        <f>IF(Table1[prior_dna_count]&gt;=1,"Has prior DNA history","No prior DNA history")</f>
        <v>No prior DNA history</v>
      </c>
      <c r="T1629" t="s">
        <v>22</v>
      </c>
      <c r="U1629" t="str">
        <f t="shared" si="25"/>
        <v>0</v>
      </c>
      <c r="V1629" t="str">
        <f>IF(Table1[appointment_status]="Attended","1","0")</f>
        <v>1</v>
      </c>
      <c r="W1629" t="str">
        <f>IF(Table1[appointment_status]="Cancelled","1","0")</f>
        <v>0</v>
      </c>
    </row>
    <row r="1630" spans="1:23">
      <c r="A1630" t="s">
        <v>2694</v>
      </c>
      <c r="B1630" t="s">
        <v>2695</v>
      </c>
      <c r="C1630">
        <v>29</v>
      </c>
      <c r="D1630" t="str" cm="1">
        <f t="array" ref="D1630">_xlfn.IFS(Table1[[#This Row],[age]]&lt;=17,"0-17",C1630&lt;=29,"18-29",C1630&lt;=44,"30-44",C1630&lt;=59,"45-59",C1630&lt;=74,"60-74",TRUE,"75+")</f>
        <v>18-29</v>
      </c>
      <c r="E1630" t="s">
        <v>17</v>
      </c>
      <c r="F1630">
        <v>3</v>
      </c>
      <c r="G1630" t="str" cm="1">
        <f t="array" ref="G1630">_xlfn.IFS(_xlfn.SINGLE(Table1[imd_decile])&lt;=3,"Most Deprived",F1630&lt;=7,"Moderately Deprived",F1630&lt;=10,"Least Deprived")</f>
        <v>Most Deprived</v>
      </c>
      <c r="H1630">
        <v>2.2999999999999998</v>
      </c>
      <c r="I1630" t="s">
        <v>91</v>
      </c>
      <c r="J1630" t="s">
        <v>19</v>
      </c>
      <c r="K1630" s="1">
        <v>45867</v>
      </c>
      <c r="L1630" s="1">
        <v>45893</v>
      </c>
      <c r="M1630" s="1" t="str">
        <f>TEXT(Table1[[#This Row],[appointment_date]],"MM/YYYY")</f>
        <v>08/2025</v>
      </c>
      <c r="N1630">
        <v>26</v>
      </c>
      <c r="O1630" t="str" cm="1">
        <f t="array" ref="O1630">_xlfn.IFS(Table1[[#This Row],[lead_time_days]]&lt;=7,"0-7 days",N1630&lt;=14,"8-14 days",N1630&lt;=30,"15-30 days",N1630&lt;=60,"31-60 days",TRUE,"61+ days")</f>
        <v>15-30 days</v>
      </c>
      <c r="P1630" t="s">
        <v>31</v>
      </c>
      <c r="Q1630" t="s">
        <v>32</v>
      </c>
      <c r="R1630">
        <v>0</v>
      </c>
      <c r="S1630" t="str">
        <f>IF(Table1[prior_dna_count]&gt;=1,"Has prior DNA history","No prior DNA history")</f>
        <v>No prior DNA history</v>
      </c>
      <c r="T1630" t="s">
        <v>22</v>
      </c>
      <c r="U1630" t="str">
        <f t="shared" si="25"/>
        <v>1</v>
      </c>
      <c r="V1630" t="str">
        <f>IF(Table1[appointment_status]="Attended","1","0")</f>
        <v>1</v>
      </c>
      <c r="W1630" t="str">
        <f>IF(Table1[appointment_status]="Cancelled","1","0")</f>
        <v>0</v>
      </c>
    </row>
    <row r="1631" spans="1:23">
      <c r="A1631" t="s">
        <v>2696</v>
      </c>
      <c r="B1631" t="s">
        <v>292</v>
      </c>
      <c r="C1631">
        <v>56</v>
      </c>
      <c r="D1631" t="str" cm="1">
        <f t="array" ref="D1631">_xlfn.IFS(Table1[[#This Row],[age]]&lt;=17,"0-17",C1631&lt;=29,"18-29",C1631&lt;=44,"30-44",C1631&lt;=59,"45-59",C1631&lt;=74,"60-74",TRUE,"75+")</f>
        <v>45-59</v>
      </c>
      <c r="E1631" t="s">
        <v>29</v>
      </c>
      <c r="F1631">
        <v>1</v>
      </c>
      <c r="G1631" t="str" cm="1">
        <f t="array" ref="G1631">_xlfn.IFS(_xlfn.SINGLE(Table1[imd_decile])&lt;=3,"Most Deprived",F1631&lt;=7,"Moderately Deprived",F1631&lt;=10,"Least Deprived")</f>
        <v>Most Deprived</v>
      </c>
      <c r="H1631">
        <v>17.100000000000001</v>
      </c>
      <c r="I1631" t="s">
        <v>18</v>
      </c>
      <c r="J1631" t="s">
        <v>19</v>
      </c>
      <c r="K1631" s="1">
        <v>45829</v>
      </c>
      <c r="L1631" s="1">
        <v>45893</v>
      </c>
      <c r="M1631" s="1" t="str">
        <f>TEXT(Table1[[#This Row],[appointment_date]],"MM/YYYY")</f>
        <v>08/2025</v>
      </c>
      <c r="N1631">
        <v>64</v>
      </c>
      <c r="O1631" t="str" cm="1">
        <f t="array" ref="O1631">_xlfn.IFS(Table1[[#This Row],[lead_time_days]]&lt;=7,"0-7 days",N1631&lt;=14,"8-14 days",N1631&lt;=30,"15-30 days",N1631&lt;=60,"31-60 days",TRUE,"61+ days")</f>
        <v>61+ days</v>
      </c>
      <c r="P1631" t="s">
        <v>31</v>
      </c>
      <c r="Q1631" t="s">
        <v>32</v>
      </c>
      <c r="R1631">
        <v>0</v>
      </c>
      <c r="S1631" t="str">
        <f>IF(Table1[prior_dna_count]&gt;=1,"Has prior DNA history","No prior DNA history")</f>
        <v>No prior DNA history</v>
      </c>
      <c r="T1631" t="s">
        <v>39</v>
      </c>
      <c r="U1631" t="str">
        <f t="shared" si="25"/>
        <v>1</v>
      </c>
      <c r="V1631" t="str">
        <f>IF(Table1[appointment_status]="Attended","1","0")</f>
        <v>0</v>
      </c>
      <c r="W1631" t="str">
        <f>IF(Table1[appointment_status]="Cancelled","1","0")</f>
        <v>0</v>
      </c>
    </row>
    <row r="1632" spans="1:23">
      <c r="A1632" t="s">
        <v>2697</v>
      </c>
      <c r="B1632" t="s">
        <v>1260</v>
      </c>
      <c r="C1632">
        <v>56</v>
      </c>
      <c r="D1632" t="str" cm="1">
        <f t="array" ref="D1632">_xlfn.IFS(Table1[[#This Row],[age]]&lt;=17,"0-17",C1632&lt;=29,"18-29",C1632&lt;=44,"30-44",C1632&lt;=59,"45-59",C1632&lt;=74,"60-74",TRUE,"75+")</f>
        <v>45-59</v>
      </c>
      <c r="E1632" t="s">
        <v>29</v>
      </c>
      <c r="F1632">
        <v>3</v>
      </c>
      <c r="G1632" t="str" cm="1">
        <f t="array" ref="G1632">_xlfn.IFS(_xlfn.SINGLE(Table1[imd_decile])&lt;=3,"Most Deprived",F1632&lt;=7,"Moderately Deprived",F1632&lt;=10,"Least Deprived")</f>
        <v>Most Deprived</v>
      </c>
      <c r="H1632">
        <v>3.8</v>
      </c>
      <c r="I1632" t="s">
        <v>45</v>
      </c>
      <c r="J1632" t="s">
        <v>19</v>
      </c>
      <c r="K1632" s="1">
        <v>45878</v>
      </c>
      <c r="L1632" s="1">
        <v>45893</v>
      </c>
      <c r="M1632" s="1" t="str">
        <f>TEXT(Table1[[#This Row],[appointment_date]],"MM/YYYY")</f>
        <v>08/2025</v>
      </c>
      <c r="N1632">
        <v>15</v>
      </c>
      <c r="O1632" t="str" cm="1">
        <f t="array" ref="O1632">_xlfn.IFS(Table1[[#This Row],[lead_time_days]]&lt;=7,"0-7 days",N1632&lt;=14,"8-14 days",N1632&lt;=30,"15-30 days",N1632&lt;=60,"31-60 days",TRUE,"61+ days")</f>
        <v>15-30 days</v>
      </c>
      <c r="P1632" t="s">
        <v>31</v>
      </c>
      <c r="Q1632" t="s">
        <v>32</v>
      </c>
      <c r="R1632">
        <v>0</v>
      </c>
      <c r="S1632" t="str">
        <f>IF(Table1[prior_dna_count]&gt;=1,"Has prior DNA history","No prior DNA history")</f>
        <v>No prior DNA history</v>
      </c>
      <c r="T1632" t="s">
        <v>22</v>
      </c>
      <c r="U1632" t="str">
        <f t="shared" si="25"/>
        <v>0</v>
      </c>
      <c r="V1632" t="str">
        <f>IF(Table1[appointment_status]="Attended","1","0")</f>
        <v>1</v>
      </c>
      <c r="W1632" t="str">
        <f>IF(Table1[appointment_status]="Cancelled","1","0")</f>
        <v>0</v>
      </c>
    </row>
    <row r="1633" spans="1:23">
      <c r="A1633" t="s">
        <v>2698</v>
      </c>
      <c r="B1633" t="s">
        <v>141</v>
      </c>
      <c r="C1633">
        <v>53</v>
      </c>
      <c r="D1633" t="str" cm="1">
        <f t="array" ref="D1633">_xlfn.IFS(Table1[[#This Row],[age]]&lt;=17,"0-17",C1633&lt;=29,"18-29",C1633&lt;=44,"30-44",C1633&lt;=59,"45-59",C1633&lt;=74,"60-74",TRUE,"75+")</f>
        <v>45-59</v>
      </c>
      <c r="E1633" t="s">
        <v>17</v>
      </c>
      <c r="F1633">
        <v>8</v>
      </c>
      <c r="G1633" t="str" cm="1">
        <f t="array" ref="G1633">_xlfn.IFS(_xlfn.SINGLE(Table1[imd_decile])&lt;=3,"Most Deprived",F1633&lt;=7,"Moderately Deprived",F1633&lt;=10,"Least Deprived")</f>
        <v>Least Deprived</v>
      </c>
      <c r="H1633">
        <v>4.2</v>
      </c>
      <c r="I1633" t="s">
        <v>49</v>
      </c>
      <c r="J1633" t="s">
        <v>26</v>
      </c>
      <c r="K1633" s="1">
        <v>45883</v>
      </c>
      <c r="L1633" s="1">
        <v>45893</v>
      </c>
      <c r="M1633" s="1" t="str">
        <f>TEXT(Table1[[#This Row],[appointment_date]],"MM/YYYY")</f>
        <v>08/2025</v>
      </c>
      <c r="N1633">
        <v>10</v>
      </c>
      <c r="O1633" t="str" cm="1">
        <f t="array" ref="O1633">_xlfn.IFS(Table1[[#This Row],[lead_time_days]]&lt;=7,"0-7 days",N1633&lt;=14,"8-14 days",N1633&lt;=30,"15-30 days",N1633&lt;=60,"31-60 days",TRUE,"61+ days")</f>
        <v>8-14 days</v>
      </c>
      <c r="P1633" t="s">
        <v>31</v>
      </c>
      <c r="Q1633" t="s">
        <v>32</v>
      </c>
      <c r="R1633">
        <v>0</v>
      </c>
      <c r="S1633" t="str">
        <f>IF(Table1[prior_dna_count]&gt;=1,"Has prior DNA history","No prior DNA history")</f>
        <v>No prior DNA history</v>
      </c>
      <c r="T1633" t="s">
        <v>22</v>
      </c>
      <c r="U1633" t="str">
        <f t="shared" si="25"/>
        <v>1</v>
      </c>
      <c r="V1633" t="str">
        <f>IF(Table1[appointment_status]="Attended","1","0")</f>
        <v>1</v>
      </c>
      <c r="W1633" t="str">
        <f>IF(Table1[appointment_status]="Cancelled","1","0")</f>
        <v>0</v>
      </c>
    </row>
    <row r="1634" spans="1:23">
      <c r="A1634" t="s">
        <v>2699</v>
      </c>
      <c r="B1634" t="s">
        <v>2650</v>
      </c>
      <c r="C1634">
        <v>84</v>
      </c>
      <c r="D1634" t="str" cm="1">
        <f t="array" ref="D1634">_xlfn.IFS(Table1[[#This Row],[age]]&lt;=17,"0-17",C1634&lt;=29,"18-29",C1634&lt;=44,"30-44",C1634&lt;=59,"45-59",C1634&lt;=74,"60-74",TRUE,"75+")</f>
        <v>75+</v>
      </c>
      <c r="E1634" t="s">
        <v>29</v>
      </c>
      <c r="F1634">
        <v>5</v>
      </c>
      <c r="G1634" t="str" cm="1">
        <f t="array" ref="G1634">_xlfn.IFS(_xlfn.SINGLE(Table1[imd_decile])&lt;=3,"Most Deprived",F1634&lt;=7,"Moderately Deprived",F1634&lt;=10,"Least Deprived")</f>
        <v>Moderately Deprived</v>
      </c>
      <c r="H1634">
        <v>3</v>
      </c>
      <c r="I1634" t="s">
        <v>30</v>
      </c>
      <c r="J1634" t="s">
        <v>19</v>
      </c>
      <c r="K1634" s="1">
        <v>45855</v>
      </c>
      <c r="L1634" s="1">
        <v>45893</v>
      </c>
      <c r="M1634" s="1" t="str">
        <f>TEXT(Table1[[#This Row],[appointment_date]],"MM/YYYY")</f>
        <v>08/2025</v>
      </c>
      <c r="N1634">
        <v>38</v>
      </c>
      <c r="O1634" t="str" cm="1">
        <f t="array" ref="O1634">_xlfn.IFS(Table1[[#This Row],[lead_time_days]]&lt;=7,"0-7 days",N1634&lt;=14,"8-14 days",N1634&lt;=30,"15-30 days",N1634&lt;=60,"31-60 days",TRUE,"61+ days")</f>
        <v>31-60 days</v>
      </c>
      <c r="P1634" t="s">
        <v>31</v>
      </c>
      <c r="Q1634" t="s">
        <v>21</v>
      </c>
      <c r="R1634">
        <v>0</v>
      </c>
      <c r="S1634" t="str">
        <f>IF(Table1[prior_dna_count]&gt;=1,"Has prior DNA history","No prior DNA history")</f>
        <v>No prior DNA history</v>
      </c>
      <c r="T1634" t="s">
        <v>22</v>
      </c>
      <c r="U1634" t="str">
        <f t="shared" si="25"/>
        <v>1</v>
      </c>
      <c r="V1634" t="str">
        <f>IF(Table1[appointment_status]="Attended","1","0")</f>
        <v>1</v>
      </c>
      <c r="W1634" t="str">
        <f>IF(Table1[appointment_status]="Cancelled","1","0")</f>
        <v>0</v>
      </c>
    </row>
    <row r="1635" spans="1:23">
      <c r="A1635" t="s">
        <v>2700</v>
      </c>
      <c r="B1635" t="s">
        <v>752</v>
      </c>
      <c r="C1635">
        <v>68</v>
      </c>
      <c r="D1635" t="str" cm="1">
        <f t="array" ref="D1635">_xlfn.IFS(Table1[[#This Row],[age]]&lt;=17,"0-17",C1635&lt;=29,"18-29",C1635&lt;=44,"30-44",C1635&lt;=59,"45-59",C1635&lt;=74,"60-74",TRUE,"75+")</f>
        <v>60-74</v>
      </c>
      <c r="E1635" t="s">
        <v>17</v>
      </c>
      <c r="F1635">
        <v>5</v>
      </c>
      <c r="G1635" t="str" cm="1">
        <f t="array" ref="G1635">_xlfn.IFS(_xlfn.SINGLE(Table1[imd_decile])&lt;=3,"Most Deprived",F1635&lt;=7,"Moderately Deprived",F1635&lt;=10,"Least Deprived")</f>
        <v>Moderately Deprived</v>
      </c>
      <c r="H1635">
        <v>6.4</v>
      </c>
      <c r="I1635" t="s">
        <v>45</v>
      </c>
      <c r="J1635" t="s">
        <v>19</v>
      </c>
      <c r="K1635" s="1">
        <v>45874</v>
      </c>
      <c r="L1635" s="1">
        <v>45894</v>
      </c>
      <c r="M1635" s="1" t="str">
        <f>TEXT(Table1[[#This Row],[appointment_date]],"MM/YYYY")</f>
        <v>08/2025</v>
      </c>
      <c r="N1635">
        <v>20</v>
      </c>
      <c r="O1635" t="str" cm="1">
        <f t="array" ref="O1635">_xlfn.IFS(Table1[[#This Row],[lead_time_days]]&lt;=7,"0-7 days",N1635&lt;=14,"8-14 days",N1635&lt;=30,"15-30 days",N1635&lt;=60,"31-60 days",TRUE,"61+ days")</f>
        <v>15-30 days</v>
      </c>
      <c r="P1635" t="s">
        <v>35</v>
      </c>
      <c r="Q1635" t="s">
        <v>21</v>
      </c>
      <c r="R1635">
        <v>0</v>
      </c>
      <c r="S1635" t="str">
        <f>IF(Table1[prior_dna_count]&gt;=1,"Has prior DNA history","No prior DNA history")</f>
        <v>No prior DNA history</v>
      </c>
      <c r="T1635" t="s">
        <v>22</v>
      </c>
      <c r="U1635" t="str">
        <f t="shared" si="25"/>
        <v>1</v>
      </c>
      <c r="V1635" t="str">
        <f>IF(Table1[appointment_status]="Attended","1","0")</f>
        <v>1</v>
      </c>
      <c r="W1635" t="str">
        <f>IF(Table1[appointment_status]="Cancelled","1","0")</f>
        <v>0</v>
      </c>
    </row>
    <row r="1636" spans="1:23">
      <c r="A1636" t="s">
        <v>2701</v>
      </c>
      <c r="B1636" t="s">
        <v>2702</v>
      </c>
      <c r="C1636">
        <v>21</v>
      </c>
      <c r="D1636" t="str" cm="1">
        <f t="array" ref="D1636">_xlfn.IFS(Table1[[#This Row],[age]]&lt;=17,"0-17",C1636&lt;=29,"18-29",C1636&lt;=44,"30-44",C1636&lt;=59,"45-59",C1636&lt;=74,"60-74",TRUE,"75+")</f>
        <v>18-29</v>
      </c>
      <c r="E1636" t="s">
        <v>29</v>
      </c>
      <c r="F1636">
        <v>8</v>
      </c>
      <c r="G1636" t="str" cm="1">
        <f t="array" ref="G1636">_xlfn.IFS(_xlfn.SINGLE(Table1[imd_decile])&lt;=3,"Most Deprived",F1636&lt;=7,"Moderately Deprived",F1636&lt;=10,"Least Deprived")</f>
        <v>Least Deprived</v>
      </c>
      <c r="H1636">
        <v>2.7</v>
      </c>
      <c r="I1636" t="s">
        <v>30</v>
      </c>
      <c r="J1636" t="s">
        <v>26</v>
      </c>
      <c r="K1636" s="1">
        <v>45873</v>
      </c>
      <c r="L1636" s="1">
        <v>45894</v>
      </c>
      <c r="M1636" s="1" t="str">
        <f>TEXT(Table1[[#This Row],[appointment_date]],"MM/YYYY")</f>
        <v>08/2025</v>
      </c>
      <c r="N1636">
        <v>21</v>
      </c>
      <c r="O1636" t="str" cm="1">
        <f t="array" ref="O1636">_xlfn.IFS(Table1[[#This Row],[lead_time_days]]&lt;=7,"0-7 days",N1636&lt;=14,"8-14 days",N1636&lt;=30,"15-30 days",N1636&lt;=60,"31-60 days",TRUE,"61+ days")</f>
        <v>15-30 days</v>
      </c>
      <c r="P1636" t="s">
        <v>35</v>
      </c>
      <c r="Q1636" t="s">
        <v>21</v>
      </c>
      <c r="R1636">
        <v>0</v>
      </c>
      <c r="S1636" t="str">
        <f>IF(Table1[prior_dna_count]&gt;=1,"Has prior DNA history","No prior DNA history")</f>
        <v>No prior DNA history</v>
      </c>
      <c r="T1636" t="s">
        <v>39</v>
      </c>
      <c r="U1636" t="str">
        <f t="shared" si="25"/>
        <v>1</v>
      </c>
      <c r="V1636" t="str">
        <f>IF(Table1[appointment_status]="Attended","1","0")</f>
        <v>0</v>
      </c>
      <c r="W1636" t="str">
        <f>IF(Table1[appointment_status]="Cancelled","1","0")</f>
        <v>0</v>
      </c>
    </row>
    <row r="1637" spans="1:23">
      <c r="A1637" t="s">
        <v>2703</v>
      </c>
      <c r="B1637" t="s">
        <v>197</v>
      </c>
      <c r="C1637">
        <v>62</v>
      </c>
      <c r="D1637" t="str" cm="1">
        <f t="array" ref="D1637">_xlfn.IFS(Table1[[#This Row],[age]]&lt;=17,"0-17",C1637&lt;=29,"18-29",C1637&lt;=44,"30-44",C1637&lt;=59,"45-59",C1637&lt;=74,"60-74",TRUE,"75+")</f>
        <v>60-74</v>
      </c>
      <c r="E1637" t="s">
        <v>29</v>
      </c>
      <c r="F1637">
        <v>2</v>
      </c>
      <c r="G1637" t="str" cm="1">
        <f t="array" ref="G1637">_xlfn.IFS(_xlfn.SINGLE(Table1[imd_decile])&lt;=3,"Most Deprived",F1637&lt;=7,"Moderately Deprived",F1637&lt;=10,"Least Deprived")</f>
        <v>Most Deprived</v>
      </c>
      <c r="H1637">
        <v>5.3</v>
      </c>
      <c r="I1637" t="s">
        <v>45</v>
      </c>
      <c r="J1637" t="s">
        <v>19</v>
      </c>
      <c r="K1637" s="1">
        <v>45879</v>
      </c>
      <c r="L1637" s="1">
        <v>45894</v>
      </c>
      <c r="M1637" s="1" t="str">
        <f>TEXT(Table1[[#This Row],[appointment_date]],"MM/YYYY")</f>
        <v>08/2025</v>
      </c>
      <c r="N1637">
        <v>15</v>
      </c>
      <c r="O1637" t="str" cm="1">
        <f t="array" ref="O1637">_xlfn.IFS(Table1[[#This Row],[lead_time_days]]&lt;=7,"0-7 days",N1637&lt;=14,"8-14 days",N1637&lt;=30,"15-30 days",N1637&lt;=60,"31-60 days",TRUE,"61+ days")</f>
        <v>15-30 days</v>
      </c>
      <c r="P1637" t="s">
        <v>35</v>
      </c>
      <c r="Q1637" t="s">
        <v>21</v>
      </c>
      <c r="R1637">
        <v>0</v>
      </c>
      <c r="S1637" t="str">
        <f>IF(Table1[prior_dna_count]&gt;=1,"Has prior DNA history","No prior DNA history")</f>
        <v>No prior DNA history</v>
      </c>
      <c r="T1637" t="s">
        <v>22</v>
      </c>
      <c r="U1637" t="str">
        <f t="shared" si="25"/>
        <v>0</v>
      </c>
      <c r="V1637" t="str">
        <f>IF(Table1[appointment_status]="Attended","1","0")</f>
        <v>1</v>
      </c>
      <c r="W1637" t="str">
        <f>IF(Table1[appointment_status]="Cancelled","1","0")</f>
        <v>0</v>
      </c>
    </row>
    <row r="1638" spans="1:23">
      <c r="A1638" t="s">
        <v>2704</v>
      </c>
      <c r="B1638" t="s">
        <v>1164</v>
      </c>
      <c r="C1638">
        <v>63</v>
      </c>
      <c r="D1638" t="str" cm="1">
        <f t="array" ref="D1638">_xlfn.IFS(Table1[[#This Row],[age]]&lt;=17,"0-17",C1638&lt;=29,"18-29",C1638&lt;=44,"30-44",C1638&lt;=59,"45-59",C1638&lt;=74,"60-74",TRUE,"75+")</f>
        <v>60-74</v>
      </c>
      <c r="E1638" t="s">
        <v>17</v>
      </c>
      <c r="F1638">
        <v>3</v>
      </c>
      <c r="G1638" t="str" cm="1">
        <f t="array" ref="G1638">_xlfn.IFS(_xlfn.SINGLE(Table1[imd_decile])&lt;=3,"Most Deprived",F1638&lt;=7,"Moderately Deprived",F1638&lt;=10,"Least Deprived")</f>
        <v>Most Deprived</v>
      </c>
      <c r="H1638">
        <v>17.7</v>
      </c>
      <c r="I1638" t="s">
        <v>45</v>
      </c>
      <c r="J1638" t="s">
        <v>26</v>
      </c>
      <c r="K1638" s="1">
        <v>45876</v>
      </c>
      <c r="L1638" s="1">
        <v>45894</v>
      </c>
      <c r="M1638" s="1" t="str">
        <f>TEXT(Table1[[#This Row],[appointment_date]],"MM/YYYY")</f>
        <v>08/2025</v>
      </c>
      <c r="N1638">
        <v>18</v>
      </c>
      <c r="O1638" t="str" cm="1">
        <f t="array" ref="O1638">_xlfn.IFS(Table1[[#This Row],[lead_time_days]]&lt;=7,"0-7 days",N1638&lt;=14,"8-14 days",N1638&lt;=30,"15-30 days",N1638&lt;=60,"31-60 days",TRUE,"61+ days")</f>
        <v>15-30 days</v>
      </c>
      <c r="P1638" t="s">
        <v>35</v>
      </c>
      <c r="Q1638" t="s">
        <v>32</v>
      </c>
      <c r="R1638">
        <v>1</v>
      </c>
      <c r="S1638" t="str">
        <f>IF(Table1[prior_dna_count]&gt;=1,"Has prior DNA history","No prior DNA history")</f>
        <v>Has prior DNA history</v>
      </c>
      <c r="T1638" t="s">
        <v>22</v>
      </c>
      <c r="U1638" t="str">
        <f t="shared" si="25"/>
        <v>1</v>
      </c>
      <c r="V1638" t="str">
        <f>IF(Table1[appointment_status]="Attended","1","0")</f>
        <v>1</v>
      </c>
      <c r="W1638" t="str">
        <f>IF(Table1[appointment_status]="Cancelled","1","0")</f>
        <v>0</v>
      </c>
    </row>
    <row r="1639" spans="1:23">
      <c r="A1639" t="s">
        <v>2705</v>
      </c>
      <c r="B1639" t="s">
        <v>2706</v>
      </c>
      <c r="C1639">
        <v>53</v>
      </c>
      <c r="D1639" t="str" cm="1">
        <f t="array" ref="D1639">_xlfn.IFS(Table1[[#This Row],[age]]&lt;=17,"0-17",C1639&lt;=29,"18-29",C1639&lt;=44,"30-44",C1639&lt;=59,"45-59",C1639&lt;=74,"60-74",TRUE,"75+")</f>
        <v>45-59</v>
      </c>
      <c r="E1639" t="s">
        <v>17</v>
      </c>
      <c r="F1639">
        <v>7</v>
      </c>
      <c r="G1639" t="str" cm="1">
        <f t="array" ref="G1639">_xlfn.IFS(_xlfn.SINGLE(Table1[imd_decile])&lt;=3,"Most Deprived",F1639&lt;=7,"Moderately Deprived",F1639&lt;=10,"Least Deprived")</f>
        <v>Moderately Deprived</v>
      </c>
      <c r="H1639">
        <v>19.399999999999999</v>
      </c>
      <c r="I1639" t="s">
        <v>155</v>
      </c>
      <c r="J1639" t="s">
        <v>26</v>
      </c>
      <c r="K1639" s="1">
        <v>45891</v>
      </c>
      <c r="L1639" s="1">
        <v>45894</v>
      </c>
      <c r="M1639" s="1" t="str">
        <f>TEXT(Table1[[#This Row],[appointment_date]],"MM/YYYY")</f>
        <v>08/2025</v>
      </c>
      <c r="N1639">
        <v>3</v>
      </c>
      <c r="O1639" t="str" cm="1">
        <f t="array" ref="O1639">_xlfn.IFS(Table1[[#This Row],[lead_time_days]]&lt;=7,"0-7 days",N1639&lt;=14,"8-14 days",N1639&lt;=30,"15-30 days",N1639&lt;=60,"31-60 days",TRUE,"61+ days")</f>
        <v>0-7 days</v>
      </c>
      <c r="P1639" t="s">
        <v>35</v>
      </c>
      <c r="Q1639" t="s">
        <v>32</v>
      </c>
      <c r="R1639">
        <v>0</v>
      </c>
      <c r="S1639" t="str">
        <f>IF(Table1[prior_dna_count]&gt;=1,"Has prior DNA history","No prior DNA history")</f>
        <v>No prior DNA history</v>
      </c>
      <c r="T1639" t="s">
        <v>22</v>
      </c>
      <c r="U1639" t="str">
        <f t="shared" si="25"/>
        <v>1</v>
      </c>
      <c r="V1639" t="str">
        <f>IF(Table1[appointment_status]="Attended","1","0")</f>
        <v>1</v>
      </c>
      <c r="W1639" t="str">
        <f>IF(Table1[appointment_status]="Cancelled","1","0")</f>
        <v>0</v>
      </c>
    </row>
    <row r="1640" spans="1:23">
      <c r="A1640" t="s">
        <v>2707</v>
      </c>
      <c r="B1640" t="s">
        <v>436</v>
      </c>
      <c r="C1640">
        <v>5</v>
      </c>
      <c r="D1640" t="str" cm="1">
        <f t="array" ref="D1640">_xlfn.IFS(Table1[[#This Row],[age]]&lt;=17,"0-17",C1640&lt;=29,"18-29",C1640&lt;=44,"30-44",C1640&lt;=59,"45-59",C1640&lt;=74,"60-74",TRUE,"75+")</f>
        <v>0-17</v>
      </c>
      <c r="E1640" t="s">
        <v>17</v>
      </c>
      <c r="F1640">
        <v>7</v>
      </c>
      <c r="G1640" t="str" cm="1">
        <f t="array" ref="G1640">_xlfn.IFS(_xlfn.SINGLE(Table1[imd_decile])&lt;=3,"Most Deprived",F1640&lt;=7,"Moderately Deprived",F1640&lt;=10,"Least Deprived")</f>
        <v>Moderately Deprived</v>
      </c>
      <c r="H1640">
        <v>1.9</v>
      </c>
      <c r="I1640" t="s">
        <v>30</v>
      </c>
      <c r="J1640" t="s">
        <v>19</v>
      </c>
      <c r="K1640" s="1">
        <v>45879</v>
      </c>
      <c r="L1640" s="1">
        <v>45895</v>
      </c>
      <c r="M1640" s="1" t="str">
        <f>TEXT(Table1[[#This Row],[appointment_date]],"MM/YYYY")</f>
        <v>08/2025</v>
      </c>
      <c r="N1640">
        <v>16</v>
      </c>
      <c r="O1640" t="str" cm="1">
        <f t="array" ref="O1640">_xlfn.IFS(Table1[[#This Row],[lead_time_days]]&lt;=7,"0-7 days",N1640&lt;=14,"8-14 days",N1640&lt;=30,"15-30 days",N1640&lt;=60,"31-60 days",TRUE,"61+ days")</f>
        <v>15-30 days</v>
      </c>
      <c r="P1640" t="s">
        <v>71</v>
      </c>
      <c r="Q1640" t="s">
        <v>32</v>
      </c>
      <c r="R1640">
        <v>1</v>
      </c>
      <c r="S1640" t="str">
        <f>IF(Table1[prior_dna_count]&gt;=1,"Has prior DNA history","No prior DNA history")</f>
        <v>Has prior DNA history</v>
      </c>
      <c r="T1640" t="s">
        <v>39</v>
      </c>
      <c r="U1640" t="str">
        <f t="shared" si="25"/>
        <v>1</v>
      </c>
      <c r="V1640" t="str">
        <f>IF(Table1[appointment_status]="Attended","1","0")</f>
        <v>0</v>
      </c>
      <c r="W1640" t="str">
        <f>IF(Table1[appointment_status]="Cancelled","1","0")</f>
        <v>0</v>
      </c>
    </row>
    <row r="1641" spans="1:23">
      <c r="A1641" t="s">
        <v>2708</v>
      </c>
      <c r="B1641" t="s">
        <v>2281</v>
      </c>
      <c r="C1641">
        <v>48</v>
      </c>
      <c r="D1641" t="str" cm="1">
        <f t="array" ref="D1641">_xlfn.IFS(Table1[[#This Row],[age]]&lt;=17,"0-17",C1641&lt;=29,"18-29",C1641&lt;=44,"30-44",C1641&lt;=59,"45-59",C1641&lt;=74,"60-74",TRUE,"75+")</f>
        <v>45-59</v>
      </c>
      <c r="E1641" t="s">
        <v>17</v>
      </c>
      <c r="F1641">
        <v>4</v>
      </c>
      <c r="G1641" t="str" cm="1">
        <f t="array" ref="G1641">_xlfn.IFS(_xlfn.SINGLE(Table1[imd_decile])&lt;=3,"Most Deprived",F1641&lt;=7,"Moderately Deprived",F1641&lt;=10,"Least Deprived")</f>
        <v>Moderately Deprived</v>
      </c>
      <c r="H1641">
        <v>6.6</v>
      </c>
      <c r="I1641" t="s">
        <v>25</v>
      </c>
      <c r="J1641" t="s">
        <v>19</v>
      </c>
      <c r="K1641" s="1">
        <v>45866</v>
      </c>
      <c r="L1641" s="1">
        <v>45895</v>
      </c>
      <c r="M1641" s="1" t="str">
        <f>TEXT(Table1[[#This Row],[appointment_date]],"MM/YYYY")</f>
        <v>08/2025</v>
      </c>
      <c r="N1641">
        <v>29</v>
      </c>
      <c r="O1641" t="str" cm="1">
        <f t="array" ref="O1641">_xlfn.IFS(Table1[[#This Row],[lead_time_days]]&lt;=7,"0-7 days",N1641&lt;=14,"8-14 days",N1641&lt;=30,"15-30 days",N1641&lt;=60,"31-60 days",TRUE,"61+ days")</f>
        <v>15-30 days</v>
      </c>
      <c r="P1641" t="s">
        <v>71</v>
      </c>
      <c r="Q1641" t="s">
        <v>21</v>
      </c>
      <c r="R1641">
        <v>0</v>
      </c>
      <c r="S1641" t="str">
        <f>IF(Table1[prior_dna_count]&gt;=1,"Has prior DNA history","No prior DNA history")</f>
        <v>No prior DNA history</v>
      </c>
      <c r="T1641" t="s">
        <v>22</v>
      </c>
      <c r="U1641" t="str">
        <f t="shared" si="25"/>
        <v>0</v>
      </c>
      <c r="V1641" t="str">
        <f>IF(Table1[appointment_status]="Attended","1","0")</f>
        <v>1</v>
      </c>
      <c r="W1641" t="str">
        <f>IF(Table1[appointment_status]="Cancelled","1","0")</f>
        <v>0</v>
      </c>
    </row>
    <row r="1642" spans="1:23">
      <c r="A1642" t="s">
        <v>2709</v>
      </c>
      <c r="B1642" t="s">
        <v>472</v>
      </c>
      <c r="C1642">
        <v>55</v>
      </c>
      <c r="D1642" t="str" cm="1">
        <f t="array" ref="D1642">_xlfn.IFS(Table1[[#This Row],[age]]&lt;=17,"0-17",C1642&lt;=29,"18-29",C1642&lt;=44,"30-44",C1642&lt;=59,"45-59",C1642&lt;=74,"60-74",TRUE,"75+")</f>
        <v>45-59</v>
      </c>
      <c r="E1642" t="s">
        <v>29</v>
      </c>
      <c r="F1642">
        <v>1</v>
      </c>
      <c r="G1642" t="str" cm="1">
        <f t="array" ref="G1642">_xlfn.IFS(_xlfn.SINGLE(Table1[imd_decile])&lt;=3,"Most Deprived",F1642&lt;=7,"Moderately Deprived",F1642&lt;=10,"Least Deprived")</f>
        <v>Most Deprived</v>
      </c>
      <c r="H1642">
        <v>10.7</v>
      </c>
      <c r="I1642" t="s">
        <v>42</v>
      </c>
      <c r="J1642" t="s">
        <v>26</v>
      </c>
      <c r="K1642" s="1">
        <v>45878</v>
      </c>
      <c r="L1642" s="1">
        <v>45895</v>
      </c>
      <c r="M1642" s="1" t="str">
        <f>TEXT(Table1[[#This Row],[appointment_date]],"MM/YYYY")</f>
        <v>08/2025</v>
      </c>
      <c r="N1642">
        <v>17</v>
      </c>
      <c r="O1642" t="str" cm="1">
        <f t="array" ref="O1642">_xlfn.IFS(Table1[[#This Row],[lead_time_days]]&lt;=7,"0-7 days",N1642&lt;=14,"8-14 days",N1642&lt;=30,"15-30 days",N1642&lt;=60,"31-60 days",TRUE,"61+ days")</f>
        <v>15-30 days</v>
      </c>
      <c r="P1642" t="s">
        <v>71</v>
      </c>
      <c r="Q1642" t="s">
        <v>21</v>
      </c>
      <c r="R1642">
        <v>0</v>
      </c>
      <c r="S1642" t="str">
        <f>IF(Table1[prior_dna_count]&gt;=1,"Has prior DNA history","No prior DNA history")</f>
        <v>No prior DNA history</v>
      </c>
      <c r="T1642" t="s">
        <v>22</v>
      </c>
      <c r="U1642" t="str">
        <f t="shared" si="25"/>
        <v>1</v>
      </c>
      <c r="V1642" t="str">
        <f>IF(Table1[appointment_status]="Attended","1","0")</f>
        <v>1</v>
      </c>
      <c r="W1642" t="str">
        <f>IF(Table1[appointment_status]="Cancelled","1","0")</f>
        <v>0</v>
      </c>
    </row>
    <row r="1643" spans="1:23">
      <c r="A1643" t="s">
        <v>2710</v>
      </c>
      <c r="B1643" t="s">
        <v>1313</v>
      </c>
      <c r="C1643">
        <v>59</v>
      </c>
      <c r="D1643" t="str" cm="1">
        <f t="array" ref="D1643">_xlfn.IFS(Table1[[#This Row],[age]]&lt;=17,"0-17",C1643&lt;=29,"18-29",C1643&lt;=44,"30-44",C1643&lt;=59,"45-59",C1643&lt;=74,"60-74",TRUE,"75+")</f>
        <v>45-59</v>
      </c>
      <c r="E1643" t="s">
        <v>29</v>
      </c>
      <c r="F1643">
        <v>6</v>
      </c>
      <c r="G1643" t="str" cm="1">
        <f t="array" ref="G1643">_xlfn.IFS(_xlfn.SINGLE(Table1[imd_decile])&lt;=3,"Most Deprived",F1643&lt;=7,"Moderately Deprived",F1643&lt;=10,"Least Deprived")</f>
        <v>Moderately Deprived</v>
      </c>
      <c r="H1643">
        <v>3.6</v>
      </c>
      <c r="I1643" t="s">
        <v>25</v>
      </c>
      <c r="J1643" t="s">
        <v>19</v>
      </c>
      <c r="K1643" s="1">
        <v>45842</v>
      </c>
      <c r="L1643" s="1">
        <v>45895</v>
      </c>
      <c r="M1643" s="1" t="str">
        <f>TEXT(Table1[[#This Row],[appointment_date]],"MM/YYYY")</f>
        <v>08/2025</v>
      </c>
      <c r="N1643">
        <v>53</v>
      </c>
      <c r="O1643" t="str" cm="1">
        <f t="array" ref="O1643">_xlfn.IFS(Table1[[#This Row],[lead_time_days]]&lt;=7,"0-7 days",N1643&lt;=14,"8-14 days",N1643&lt;=30,"15-30 days",N1643&lt;=60,"31-60 days",TRUE,"61+ days")</f>
        <v>31-60 days</v>
      </c>
      <c r="P1643" t="s">
        <v>71</v>
      </c>
      <c r="Q1643" t="s">
        <v>21</v>
      </c>
      <c r="R1643">
        <v>0</v>
      </c>
      <c r="S1643" t="str">
        <f>IF(Table1[prior_dna_count]&gt;=1,"Has prior DNA history","No prior DNA history")</f>
        <v>No prior DNA history</v>
      </c>
      <c r="T1643" t="s">
        <v>46</v>
      </c>
      <c r="U1643" t="str">
        <f t="shared" si="25"/>
        <v>1</v>
      </c>
      <c r="V1643" t="str">
        <f>IF(Table1[appointment_status]="Attended","1","0")</f>
        <v>0</v>
      </c>
      <c r="W1643" t="str">
        <f>IF(Table1[appointment_status]="Cancelled","1","0")</f>
        <v>1</v>
      </c>
    </row>
    <row r="1644" spans="1:23">
      <c r="A1644" t="s">
        <v>2711</v>
      </c>
      <c r="B1644" t="s">
        <v>1245</v>
      </c>
      <c r="C1644">
        <v>54</v>
      </c>
      <c r="D1644" t="str" cm="1">
        <f t="array" ref="D1644">_xlfn.IFS(Table1[[#This Row],[age]]&lt;=17,"0-17",C1644&lt;=29,"18-29",C1644&lt;=44,"30-44",C1644&lt;=59,"45-59",C1644&lt;=74,"60-74",TRUE,"75+")</f>
        <v>45-59</v>
      </c>
      <c r="E1644" t="s">
        <v>17</v>
      </c>
      <c r="F1644">
        <v>3</v>
      </c>
      <c r="G1644" t="str" cm="1">
        <f t="array" ref="G1644">_xlfn.IFS(_xlfn.SINGLE(Table1[imd_decile])&lt;=3,"Most Deprived",F1644&lt;=7,"Moderately Deprived",F1644&lt;=10,"Least Deprived")</f>
        <v>Most Deprived</v>
      </c>
      <c r="H1644">
        <v>3.2</v>
      </c>
      <c r="I1644" t="s">
        <v>42</v>
      </c>
      <c r="J1644" t="s">
        <v>19</v>
      </c>
      <c r="K1644" s="1">
        <v>45871</v>
      </c>
      <c r="L1644" s="1">
        <v>45895</v>
      </c>
      <c r="M1644" s="1" t="str">
        <f>TEXT(Table1[[#This Row],[appointment_date]],"MM/YYYY")</f>
        <v>08/2025</v>
      </c>
      <c r="N1644">
        <v>24</v>
      </c>
      <c r="O1644" t="str" cm="1">
        <f t="array" ref="O1644">_xlfn.IFS(Table1[[#This Row],[lead_time_days]]&lt;=7,"0-7 days",N1644&lt;=14,"8-14 days",N1644&lt;=30,"15-30 days",N1644&lt;=60,"31-60 days",TRUE,"61+ days")</f>
        <v>15-30 days</v>
      </c>
      <c r="P1644" t="s">
        <v>71</v>
      </c>
      <c r="Q1644" t="s">
        <v>21</v>
      </c>
      <c r="R1644">
        <v>0</v>
      </c>
      <c r="S1644" t="str">
        <f>IF(Table1[prior_dna_count]&gt;=1,"Has prior DNA history","No prior DNA history")</f>
        <v>No prior DNA history</v>
      </c>
      <c r="T1644" t="s">
        <v>22</v>
      </c>
      <c r="U1644" t="str">
        <f t="shared" si="25"/>
        <v>0</v>
      </c>
      <c r="V1644" t="str">
        <f>IF(Table1[appointment_status]="Attended","1","0")</f>
        <v>1</v>
      </c>
      <c r="W1644" t="str">
        <f>IF(Table1[appointment_status]="Cancelled","1","0")</f>
        <v>0</v>
      </c>
    </row>
    <row r="1645" spans="1:23">
      <c r="A1645" t="s">
        <v>2712</v>
      </c>
      <c r="B1645" t="s">
        <v>2713</v>
      </c>
      <c r="C1645">
        <v>62</v>
      </c>
      <c r="D1645" t="str" cm="1">
        <f t="array" ref="D1645">_xlfn.IFS(Table1[[#This Row],[age]]&lt;=17,"0-17",C1645&lt;=29,"18-29",C1645&lt;=44,"30-44",C1645&lt;=59,"45-59",C1645&lt;=74,"60-74",TRUE,"75+")</f>
        <v>60-74</v>
      </c>
      <c r="E1645" t="s">
        <v>17</v>
      </c>
      <c r="F1645">
        <v>10</v>
      </c>
      <c r="G1645" t="str" cm="1">
        <f t="array" ref="G1645">_xlfn.IFS(_xlfn.SINGLE(Table1[imd_decile])&lt;=3,"Most Deprived",F1645&lt;=7,"Moderately Deprived",F1645&lt;=10,"Least Deprived")</f>
        <v>Least Deprived</v>
      </c>
      <c r="H1645">
        <v>32.700000000000003</v>
      </c>
      <c r="I1645" t="s">
        <v>155</v>
      </c>
      <c r="J1645" t="s">
        <v>26</v>
      </c>
      <c r="K1645" s="1">
        <v>45890</v>
      </c>
      <c r="L1645" s="1">
        <v>45895</v>
      </c>
      <c r="M1645" s="1" t="str">
        <f>TEXT(Table1[[#This Row],[appointment_date]],"MM/YYYY")</f>
        <v>08/2025</v>
      </c>
      <c r="N1645">
        <v>5</v>
      </c>
      <c r="O1645" t="str" cm="1">
        <f t="array" ref="O1645">_xlfn.IFS(Table1[[#This Row],[lead_time_days]]&lt;=7,"0-7 days",N1645&lt;=14,"8-14 days",N1645&lt;=30,"15-30 days",N1645&lt;=60,"31-60 days",TRUE,"61+ days")</f>
        <v>0-7 days</v>
      </c>
      <c r="P1645" t="s">
        <v>71</v>
      </c>
      <c r="Q1645" t="s">
        <v>21</v>
      </c>
      <c r="R1645">
        <v>0</v>
      </c>
      <c r="S1645" t="str">
        <f>IF(Table1[prior_dna_count]&gt;=1,"Has prior DNA history","No prior DNA history")</f>
        <v>No prior DNA history</v>
      </c>
      <c r="T1645" t="s">
        <v>22</v>
      </c>
      <c r="U1645" t="str">
        <f t="shared" si="25"/>
        <v>1</v>
      </c>
      <c r="V1645" t="str">
        <f>IF(Table1[appointment_status]="Attended","1","0")</f>
        <v>1</v>
      </c>
      <c r="W1645" t="str">
        <f>IF(Table1[appointment_status]="Cancelled","1","0")</f>
        <v>0</v>
      </c>
    </row>
    <row r="1646" spans="1:23">
      <c r="A1646" t="s">
        <v>2714</v>
      </c>
      <c r="B1646" t="s">
        <v>2715</v>
      </c>
      <c r="C1646">
        <v>34</v>
      </c>
      <c r="D1646" t="str" cm="1">
        <f t="array" ref="D1646">_xlfn.IFS(Table1[[#This Row],[age]]&lt;=17,"0-17",C1646&lt;=29,"18-29",C1646&lt;=44,"30-44",C1646&lt;=59,"45-59",C1646&lt;=74,"60-74",TRUE,"75+")</f>
        <v>30-44</v>
      </c>
      <c r="E1646" t="s">
        <v>17</v>
      </c>
      <c r="F1646">
        <v>1</v>
      </c>
      <c r="G1646" t="str" cm="1">
        <f t="array" ref="G1646">_xlfn.IFS(_xlfn.SINGLE(Table1[imd_decile])&lt;=3,"Most Deprived",F1646&lt;=7,"Moderately Deprived",F1646&lt;=10,"Least Deprived")</f>
        <v>Most Deprived</v>
      </c>
      <c r="H1646">
        <v>10.6</v>
      </c>
      <c r="I1646" t="s">
        <v>91</v>
      </c>
      <c r="J1646" t="s">
        <v>19</v>
      </c>
      <c r="K1646" s="1">
        <v>45848</v>
      </c>
      <c r="L1646" s="1">
        <v>45895</v>
      </c>
      <c r="M1646" s="1" t="str">
        <f>TEXT(Table1[[#This Row],[appointment_date]],"MM/YYYY")</f>
        <v>08/2025</v>
      </c>
      <c r="N1646">
        <v>47</v>
      </c>
      <c r="O1646" t="str" cm="1">
        <f t="array" ref="O1646">_xlfn.IFS(Table1[[#This Row],[lead_time_days]]&lt;=7,"0-7 days",N1646&lt;=14,"8-14 days",N1646&lt;=30,"15-30 days",N1646&lt;=60,"31-60 days",TRUE,"61+ days")</f>
        <v>31-60 days</v>
      </c>
      <c r="P1646" t="s">
        <v>71</v>
      </c>
      <c r="Q1646" t="s">
        <v>21</v>
      </c>
      <c r="R1646">
        <v>0</v>
      </c>
      <c r="S1646" t="str">
        <f>IF(Table1[prior_dna_count]&gt;=1,"Has prior DNA history","No prior DNA history")</f>
        <v>No prior DNA history</v>
      </c>
      <c r="T1646" t="s">
        <v>22</v>
      </c>
      <c r="U1646" t="str">
        <f t="shared" si="25"/>
        <v>1</v>
      </c>
      <c r="V1646" t="str">
        <f>IF(Table1[appointment_status]="Attended","1","0")</f>
        <v>1</v>
      </c>
      <c r="W1646" t="str">
        <f>IF(Table1[appointment_status]="Cancelled","1","0")</f>
        <v>0</v>
      </c>
    </row>
    <row r="1647" spans="1:23">
      <c r="A1647" t="s">
        <v>2716</v>
      </c>
      <c r="B1647" t="s">
        <v>1763</v>
      </c>
      <c r="C1647">
        <v>55</v>
      </c>
      <c r="D1647" t="str" cm="1">
        <f t="array" ref="D1647">_xlfn.IFS(Table1[[#This Row],[age]]&lt;=17,"0-17",C1647&lt;=29,"18-29",C1647&lt;=44,"30-44",C1647&lt;=59,"45-59",C1647&lt;=74,"60-74",TRUE,"75+")</f>
        <v>45-59</v>
      </c>
      <c r="E1647" t="s">
        <v>29</v>
      </c>
      <c r="F1647">
        <v>5</v>
      </c>
      <c r="G1647" t="str" cm="1">
        <f t="array" ref="G1647">_xlfn.IFS(_xlfn.SINGLE(Table1[imd_decile])&lt;=3,"Most Deprived",F1647&lt;=7,"Moderately Deprived",F1647&lt;=10,"Least Deprived")</f>
        <v>Moderately Deprived</v>
      </c>
      <c r="H1647">
        <v>14.3</v>
      </c>
      <c r="I1647" t="s">
        <v>30</v>
      </c>
      <c r="J1647" t="s">
        <v>19</v>
      </c>
      <c r="K1647" s="1">
        <v>45889</v>
      </c>
      <c r="L1647" s="1">
        <v>45895</v>
      </c>
      <c r="M1647" s="1" t="str">
        <f>TEXT(Table1[[#This Row],[appointment_date]],"MM/YYYY")</f>
        <v>08/2025</v>
      </c>
      <c r="N1647">
        <v>6</v>
      </c>
      <c r="O1647" t="str" cm="1">
        <f t="array" ref="O1647">_xlfn.IFS(Table1[[#This Row],[lead_time_days]]&lt;=7,"0-7 days",N1647&lt;=14,"8-14 days",N1647&lt;=30,"15-30 days",N1647&lt;=60,"31-60 days",TRUE,"61+ days")</f>
        <v>0-7 days</v>
      </c>
      <c r="P1647" t="s">
        <v>71</v>
      </c>
      <c r="Q1647" t="s">
        <v>32</v>
      </c>
      <c r="R1647">
        <v>1</v>
      </c>
      <c r="S1647" t="str">
        <f>IF(Table1[prior_dna_count]&gt;=1,"Has prior DNA history","No prior DNA history")</f>
        <v>Has prior DNA history</v>
      </c>
      <c r="T1647" t="s">
        <v>22</v>
      </c>
      <c r="U1647" t="str">
        <f t="shared" si="25"/>
        <v>1</v>
      </c>
      <c r="V1647" t="str">
        <f>IF(Table1[appointment_status]="Attended","1","0")</f>
        <v>1</v>
      </c>
      <c r="W1647" t="str">
        <f>IF(Table1[appointment_status]="Cancelled","1","0")</f>
        <v>0</v>
      </c>
    </row>
    <row r="1648" spans="1:23">
      <c r="A1648" t="s">
        <v>2717</v>
      </c>
      <c r="B1648" t="s">
        <v>1848</v>
      </c>
      <c r="C1648">
        <v>58</v>
      </c>
      <c r="D1648" t="str" cm="1">
        <f t="array" ref="D1648">_xlfn.IFS(Table1[[#This Row],[age]]&lt;=17,"0-17",C1648&lt;=29,"18-29",C1648&lt;=44,"30-44",C1648&lt;=59,"45-59",C1648&lt;=74,"60-74",TRUE,"75+")</f>
        <v>45-59</v>
      </c>
      <c r="E1648" t="s">
        <v>17</v>
      </c>
      <c r="F1648">
        <v>5</v>
      </c>
      <c r="G1648" t="str" cm="1">
        <f t="array" ref="G1648">_xlfn.IFS(_xlfn.SINGLE(Table1[imd_decile])&lt;=3,"Most Deprived",F1648&lt;=7,"Moderately Deprived",F1648&lt;=10,"Least Deprived")</f>
        <v>Moderately Deprived</v>
      </c>
      <c r="H1648">
        <v>2</v>
      </c>
      <c r="I1648" t="s">
        <v>42</v>
      </c>
      <c r="J1648" t="s">
        <v>19</v>
      </c>
      <c r="K1648" s="1">
        <v>45845</v>
      </c>
      <c r="L1648" s="1">
        <v>45895</v>
      </c>
      <c r="M1648" s="1" t="str">
        <f>TEXT(Table1[[#This Row],[appointment_date]],"MM/YYYY")</f>
        <v>08/2025</v>
      </c>
      <c r="N1648">
        <v>50</v>
      </c>
      <c r="O1648" t="str" cm="1">
        <f t="array" ref="O1648">_xlfn.IFS(Table1[[#This Row],[lead_time_days]]&lt;=7,"0-7 days",N1648&lt;=14,"8-14 days",N1648&lt;=30,"15-30 days",N1648&lt;=60,"31-60 days",TRUE,"61+ days")</f>
        <v>31-60 days</v>
      </c>
      <c r="P1648" t="s">
        <v>71</v>
      </c>
      <c r="Q1648" t="s">
        <v>32</v>
      </c>
      <c r="R1648">
        <v>0</v>
      </c>
      <c r="S1648" t="str">
        <f>IF(Table1[prior_dna_count]&gt;=1,"Has prior DNA history","No prior DNA history")</f>
        <v>No prior DNA history</v>
      </c>
      <c r="T1648" t="s">
        <v>22</v>
      </c>
      <c r="U1648" t="str">
        <f t="shared" si="25"/>
        <v>1</v>
      </c>
      <c r="V1648" t="str">
        <f>IF(Table1[appointment_status]="Attended","1","0")</f>
        <v>1</v>
      </c>
      <c r="W1648" t="str">
        <f>IF(Table1[appointment_status]="Cancelled","1","0")</f>
        <v>0</v>
      </c>
    </row>
    <row r="1649" spans="1:23">
      <c r="A1649" t="s">
        <v>2718</v>
      </c>
      <c r="B1649" t="s">
        <v>2719</v>
      </c>
      <c r="C1649">
        <v>30</v>
      </c>
      <c r="D1649" t="str" cm="1">
        <f t="array" ref="D1649">_xlfn.IFS(Table1[[#This Row],[age]]&lt;=17,"0-17",C1649&lt;=29,"18-29",C1649&lt;=44,"30-44",C1649&lt;=59,"45-59",C1649&lt;=74,"60-74",TRUE,"75+")</f>
        <v>30-44</v>
      </c>
      <c r="E1649" t="s">
        <v>29</v>
      </c>
      <c r="F1649">
        <v>2</v>
      </c>
      <c r="G1649" t="str" cm="1">
        <f t="array" ref="G1649">_xlfn.IFS(_xlfn.SINGLE(Table1[imd_decile])&lt;=3,"Most Deprived",F1649&lt;=7,"Moderately Deprived",F1649&lt;=10,"Least Deprived")</f>
        <v>Most Deprived</v>
      </c>
      <c r="H1649">
        <v>26.7</v>
      </c>
      <c r="I1649" t="s">
        <v>30</v>
      </c>
      <c r="J1649" t="s">
        <v>19</v>
      </c>
      <c r="K1649" s="1">
        <v>45871</v>
      </c>
      <c r="L1649" s="1">
        <v>45895</v>
      </c>
      <c r="M1649" s="1" t="str">
        <f>TEXT(Table1[[#This Row],[appointment_date]],"MM/YYYY")</f>
        <v>08/2025</v>
      </c>
      <c r="N1649">
        <v>24</v>
      </c>
      <c r="O1649" t="str" cm="1">
        <f t="array" ref="O1649">_xlfn.IFS(Table1[[#This Row],[lead_time_days]]&lt;=7,"0-7 days",N1649&lt;=14,"8-14 days",N1649&lt;=30,"15-30 days",N1649&lt;=60,"31-60 days",TRUE,"61+ days")</f>
        <v>15-30 days</v>
      </c>
      <c r="P1649" t="s">
        <v>71</v>
      </c>
      <c r="Q1649" t="s">
        <v>32</v>
      </c>
      <c r="R1649">
        <v>1</v>
      </c>
      <c r="S1649" t="str">
        <f>IF(Table1[prior_dna_count]&gt;=1,"Has prior DNA history","No prior DNA history")</f>
        <v>Has prior DNA history</v>
      </c>
      <c r="T1649" t="s">
        <v>22</v>
      </c>
      <c r="U1649" t="str">
        <f t="shared" si="25"/>
        <v>1</v>
      </c>
      <c r="V1649" t="str">
        <f>IF(Table1[appointment_status]="Attended","1","0")</f>
        <v>1</v>
      </c>
      <c r="W1649" t="str">
        <f>IF(Table1[appointment_status]="Cancelled","1","0")</f>
        <v>0</v>
      </c>
    </row>
    <row r="1650" spans="1:23">
      <c r="A1650" t="s">
        <v>2720</v>
      </c>
      <c r="B1650" t="s">
        <v>1664</v>
      </c>
      <c r="C1650">
        <v>32</v>
      </c>
      <c r="D1650" t="str" cm="1">
        <f t="array" ref="D1650">_xlfn.IFS(Table1[[#This Row],[age]]&lt;=17,"0-17",C1650&lt;=29,"18-29",C1650&lt;=44,"30-44",C1650&lt;=59,"45-59",C1650&lt;=74,"60-74",TRUE,"75+")</f>
        <v>30-44</v>
      </c>
      <c r="E1650" t="s">
        <v>29</v>
      </c>
      <c r="F1650">
        <v>10</v>
      </c>
      <c r="G1650" t="str" cm="1">
        <f t="array" ref="G1650">_xlfn.IFS(_xlfn.SINGLE(Table1[imd_decile])&lt;=3,"Most Deprived",F1650&lt;=7,"Moderately Deprived",F1650&lt;=10,"Least Deprived")</f>
        <v>Least Deprived</v>
      </c>
      <c r="H1650">
        <v>4.7</v>
      </c>
      <c r="I1650" t="s">
        <v>58</v>
      </c>
      <c r="J1650" t="s">
        <v>19</v>
      </c>
      <c r="K1650" s="1">
        <v>45866</v>
      </c>
      <c r="L1650" s="1">
        <v>45896</v>
      </c>
      <c r="M1650" s="1" t="str">
        <f>TEXT(Table1[[#This Row],[appointment_date]],"MM/YYYY")</f>
        <v>08/2025</v>
      </c>
      <c r="N1650">
        <v>30</v>
      </c>
      <c r="O1650" t="str" cm="1">
        <f t="array" ref="O1650">_xlfn.IFS(Table1[[#This Row],[lead_time_days]]&lt;=7,"0-7 days",N1650&lt;=14,"8-14 days",N1650&lt;=30,"15-30 days",N1650&lt;=60,"31-60 days",TRUE,"61+ days")</f>
        <v>15-30 days</v>
      </c>
      <c r="P1650" t="s">
        <v>80</v>
      </c>
      <c r="Q1650" t="s">
        <v>21</v>
      </c>
      <c r="R1650">
        <v>0</v>
      </c>
      <c r="S1650" t="str">
        <f>IF(Table1[prior_dna_count]&gt;=1,"Has prior DNA history","No prior DNA history")</f>
        <v>No prior DNA history</v>
      </c>
      <c r="T1650" t="s">
        <v>22</v>
      </c>
      <c r="U1650" t="str">
        <f t="shared" si="25"/>
        <v>1</v>
      </c>
      <c r="V1650" t="str">
        <f>IF(Table1[appointment_status]="Attended","1","0")</f>
        <v>1</v>
      </c>
      <c r="W1650" t="str">
        <f>IF(Table1[appointment_status]="Cancelled","1","0")</f>
        <v>0</v>
      </c>
    </row>
    <row r="1651" spans="1:23">
      <c r="A1651" t="s">
        <v>2721</v>
      </c>
      <c r="B1651" t="s">
        <v>2722</v>
      </c>
      <c r="C1651">
        <v>75</v>
      </c>
      <c r="D1651" t="str" cm="1">
        <f t="array" ref="D1651">_xlfn.IFS(Table1[[#This Row],[age]]&lt;=17,"0-17",C1651&lt;=29,"18-29",C1651&lt;=44,"30-44",C1651&lt;=59,"45-59",C1651&lt;=74,"60-74",TRUE,"75+")</f>
        <v>75+</v>
      </c>
      <c r="E1651" t="s">
        <v>17</v>
      </c>
      <c r="F1651">
        <v>6</v>
      </c>
      <c r="G1651" t="str" cm="1">
        <f t="array" ref="G1651">_xlfn.IFS(_xlfn.SINGLE(Table1[imd_decile])&lt;=3,"Most Deprived",F1651&lt;=7,"Moderately Deprived",F1651&lt;=10,"Least Deprived")</f>
        <v>Moderately Deprived</v>
      </c>
      <c r="H1651">
        <v>10.1</v>
      </c>
      <c r="I1651" t="s">
        <v>25</v>
      </c>
      <c r="J1651" t="s">
        <v>26</v>
      </c>
      <c r="K1651" s="1">
        <v>45884</v>
      </c>
      <c r="L1651" s="1">
        <v>45896</v>
      </c>
      <c r="M1651" s="1" t="str">
        <f>TEXT(Table1[[#This Row],[appointment_date]],"MM/YYYY")</f>
        <v>08/2025</v>
      </c>
      <c r="N1651">
        <v>12</v>
      </c>
      <c r="O1651" t="str" cm="1">
        <f t="array" ref="O1651">_xlfn.IFS(Table1[[#This Row],[lead_time_days]]&lt;=7,"0-7 days",N1651&lt;=14,"8-14 days",N1651&lt;=30,"15-30 days",N1651&lt;=60,"31-60 days",TRUE,"61+ days")</f>
        <v>8-14 days</v>
      </c>
      <c r="P1651" t="s">
        <v>80</v>
      </c>
      <c r="Q1651" t="s">
        <v>32</v>
      </c>
      <c r="R1651">
        <v>0</v>
      </c>
      <c r="S1651" t="str">
        <f>IF(Table1[prior_dna_count]&gt;=1,"Has prior DNA history","No prior DNA history")</f>
        <v>No prior DNA history</v>
      </c>
      <c r="T1651" t="s">
        <v>46</v>
      </c>
      <c r="U1651" t="str">
        <f t="shared" si="25"/>
        <v>1</v>
      </c>
      <c r="V1651" t="str">
        <f>IF(Table1[appointment_status]="Attended","1","0")</f>
        <v>0</v>
      </c>
      <c r="W1651" t="str">
        <f>IF(Table1[appointment_status]="Cancelled","1","0")</f>
        <v>1</v>
      </c>
    </row>
    <row r="1652" spans="1:23">
      <c r="A1652" t="s">
        <v>2723</v>
      </c>
      <c r="B1652" t="s">
        <v>2724</v>
      </c>
      <c r="C1652">
        <v>50</v>
      </c>
      <c r="D1652" t="str" cm="1">
        <f t="array" ref="D1652">_xlfn.IFS(Table1[[#This Row],[age]]&lt;=17,"0-17",C1652&lt;=29,"18-29",C1652&lt;=44,"30-44",C1652&lt;=59,"45-59",C1652&lt;=74,"60-74",TRUE,"75+")</f>
        <v>45-59</v>
      </c>
      <c r="E1652" t="s">
        <v>29</v>
      </c>
      <c r="F1652">
        <v>3</v>
      </c>
      <c r="G1652" t="str" cm="1">
        <f t="array" ref="G1652">_xlfn.IFS(_xlfn.SINGLE(Table1[imd_decile])&lt;=3,"Most Deprived",F1652&lt;=7,"Moderately Deprived",F1652&lt;=10,"Least Deprived")</f>
        <v>Most Deprived</v>
      </c>
      <c r="H1652">
        <v>9.1999999999999993</v>
      </c>
      <c r="I1652" t="s">
        <v>30</v>
      </c>
      <c r="J1652" t="s">
        <v>19</v>
      </c>
      <c r="K1652" s="1">
        <v>45855</v>
      </c>
      <c r="L1652" s="1">
        <v>45896</v>
      </c>
      <c r="M1652" s="1" t="str">
        <f>TEXT(Table1[[#This Row],[appointment_date]],"MM/YYYY")</f>
        <v>08/2025</v>
      </c>
      <c r="N1652">
        <v>41</v>
      </c>
      <c r="O1652" t="str" cm="1">
        <f t="array" ref="O1652">_xlfn.IFS(Table1[[#This Row],[lead_time_days]]&lt;=7,"0-7 days",N1652&lt;=14,"8-14 days",N1652&lt;=30,"15-30 days",N1652&lt;=60,"31-60 days",TRUE,"61+ days")</f>
        <v>31-60 days</v>
      </c>
      <c r="P1652" t="s">
        <v>80</v>
      </c>
      <c r="Q1652" t="s">
        <v>32</v>
      </c>
      <c r="R1652">
        <v>0</v>
      </c>
      <c r="S1652" t="str">
        <f>IF(Table1[prior_dna_count]&gt;=1,"Has prior DNA history","No prior DNA history")</f>
        <v>No prior DNA history</v>
      </c>
      <c r="T1652" t="s">
        <v>22</v>
      </c>
      <c r="U1652" t="str">
        <f t="shared" si="25"/>
        <v>0</v>
      </c>
      <c r="V1652" t="str">
        <f>IF(Table1[appointment_status]="Attended","1","0")</f>
        <v>1</v>
      </c>
      <c r="W1652" t="str">
        <f>IF(Table1[appointment_status]="Cancelled","1","0")</f>
        <v>0</v>
      </c>
    </row>
    <row r="1653" spans="1:23">
      <c r="A1653" t="s">
        <v>2725</v>
      </c>
      <c r="B1653" t="s">
        <v>1519</v>
      </c>
      <c r="C1653">
        <v>44</v>
      </c>
      <c r="D1653" t="str" cm="1">
        <f t="array" ref="D1653">_xlfn.IFS(Table1[[#This Row],[age]]&lt;=17,"0-17",C1653&lt;=29,"18-29",C1653&lt;=44,"30-44",C1653&lt;=59,"45-59",C1653&lt;=74,"60-74",TRUE,"75+")</f>
        <v>30-44</v>
      </c>
      <c r="E1653" t="s">
        <v>17</v>
      </c>
      <c r="F1653">
        <v>10</v>
      </c>
      <c r="G1653" t="str" cm="1">
        <f t="array" ref="G1653">_xlfn.IFS(_xlfn.SINGLE(Table1[imd_decile])&lt;=3,"Most Deprived",F1653&lt;=7,"Moderately Deprived",F1653&lt;=10,"Least Deprived")</f>
        <v>Least Deprived</v>
      </c>
      <c r="H1653">
        <v>2.2000000000000002</v>
      </c>
      <c r="I1653" t="s">
        <v>42</v>
      </c>
      <c r="J1653" t="s">
        <v>19</v>
      </c>
      <c r="K1653" s="1">
        <v>45880</v>
      </c>
      <c r="L1653" s="1">
        <v>45896</v>
      </c>
      <c r="M1653" s="1" t="str">
        <f>TEXT(Table1[[#This Row],[appointment_date]],"MM/YYYY")</f>
        <v>08/2025</v>
      </c>
      <c r="N1653">
        <v>16</v>
      </c>
      <c r="O1653" t="str" cm="1">
        <f t="array" ref="O1653">_xlfn.IFS(Table1[[#This Row],[lead_time_days]]&lt;=7,"0-7 days",N1653&lt;=14,"8-14 days",N1653&lt;=30,"15-30 days",N1653&lt;=60,"31-60 days",TRUE,"61+ days")</f>
        <v>15-30 days</v>
      </c>
      <c r="P1653" t="s">
        <v>80</v>
      </c>
      <c r="Q1653" t="s">
        <v>21</v>
      </c>
      <c r="R1653">
        <v>0</v>
      </c>
      <c r="S1653" t="str">
        <f>IF(Table1[prior_dna_count]&gt;=1,"Has prior DNA history","No prior DNA history")</f>
        <v>No prior DNA history</v>
      </c>
      <c r="T1653" t="s">
        <v>22</v>
      </c>
      <c r="U1653" t="str">
        <f t="shared" si="25"/>
        <v>1</v>
      </c>
      <c r="V1653" t="str">
        <f>IF(Table1[appointment_status]="Attended","1","0")</f>
        <v>1</v>
      </c>
      <c r="W1653" t="str">
        <f>IF(Table1[appointment_status]="Cancelled","1","0")</f>
        <v>0</v>
      </c>
    </row>
    <row r="1654" spans="1:23">
      <c r="A1654" t="s">
        <v>2726</v>
      </c>
      <c r="B1654" t="s">
        <v>2727</v>
      </c>
      <c r="C1654">
        <v>41</v>
      </c>
      <c r="D1654" t="str" cm="1">
        <f t="array" ref="D1654">_xlfn.IFS(Table1[[#This Row],[age]]&lt;=17,"0-17",C1654&lt;=29,"18-29",C1654&lt;=44,"30-44",C1654&lt;=59,"45-59",C1654&lt;=74,"60-74",TRUE,"75+")</f>
        <v>30-44</v>
      </c>
      <c r="E1654" t="s">
        <v>17</v>
      </c>
      <c r="F1654">
        <v>6</v>
      </c>
      <c r="G1654" t="str" cm="1">
        <f t="array" ref="G1654">_xlfn.IFS(_xlfn.SINGLE(Table1[imd_decile])&lt;=3,"Most Deprived",F1654&lt;=7,"Moderately Deprived",F1654&lt;=10,"Least Deprived")</f>
        <v>Moderately Deprived</v>
      </c>
      <c r="H1654">
        <v>1.1000000000000001</v>
      </c>
      <c r="I1654" t="s">
        <v>25</v>
      </c>
      <c r="J1654" t="s">
        <v>26</v>
      </c>
      <c r="K1654" s="1">
        <v>45859</v>
      </c>
      <c r="L1654" s="1">
        <v>45896</v>
      </c>
      <c r="M1654" s="1" t="str">
        <f>TEXT(Table1[[#This Row],[appointment_date]],"MM/YYYY")</f>
        <v>08/2025</v>
      </c>
      <c r="N1654">
        <v>37</v>
      </c>
      <c r="O1654" t="str" cm="1">
        <f t="array" ref="O1654">_xlfn.IFS(Table1[[#This Row],[lead_time_days]]&lt;=7,"0-7 days",N1654&lt;=14,"8-14 days",N1654&lt;=30,"15-30 days",N1654&lt;=60,"31-60 days",TRUE,"61+ days")</f>
        <v>31-60 days</v>
      </c>
      <c r="P1654" t="s">
        <v>80</v>
      </c>
      <c r="Q1654" t="s">
        <v>32</v>
      </c>
      <c r="R1654">
        <v>0</v>
      </c>
      <c r="S1654" t="str">
        <f>IF(Table1[prior_dna_count]&gt;=1,"Has prior DNA history","No prior DNA history")</f>
        <v>No prior DNA history</v>
      </c>
      <c r="T1654" t="s">
        <v>22</v>
      </c>
      <c r="U1654" t="str">
        <f t="shared" si="25"/>
        <v>1</v>
      </c>
      <c r="V1654" t="str">
        <f>IF(Table1[appointment_status]="Attended","1","0")</f>
        <v>1</v>
      </c>
      <c r="W1654" t="str">
        <f>IF(Table1[appointment_status]="Cancelled","1","0")</f>
        <v>0</v>
      </c>
    </row>
    <row r="1655" spans="1:23">
      <c r="A1655" t="s">
        <v>2728</v>
      </c>
      <c r="B1655" t="s">
        <v>333</v>
      </c>
      <c r="C1655">
        <v>41</v>
      </c>
      <c r="D1655" t="str" cm="1">
        <f t="array" ref="D1655">_xlfn.IFS(Table1[[#This Row],[age]]&lt;=17,"0-17",C1655&lt;=29,"18-29",C1655&lt;=44,"30-44",C1655&lt;=59,"45-59",C1655&lt;=74,"60-74",TRUE,"75+")</f>
        <v>30-44</v>
      </c>
      <c r="E1655" t="s">
        <v>29</v>
      </c>
      <c r="F1655">
        <v>2</v>
      </c>
      <c r="G1655" t="str" cm="1">
        <f t="array" ref="G1655">_xlfn.IFS(_xlfn.SINGLE(Table1[imd_decile])&lt;=3,"Most Deprived",F1655&lt;=7,"Moderately Deprived",F1655&lt;=10,"Least Deprived")</f>
        <v>Most Deprived</v>
      </c>
      <c r="H1655">
        <v>8.9</v>
      </c>
      <c r="I1655" t="s">
        <v>45</v>
      </c>
      <c r="J1655" t="s">
        <v>26</v>
      </c>
      <c r="K1655" s="1">
        <v>45895</v>
      </c>
      <c r="L1655" s="1">
        <v>45896</v>
      </c>
      <c r="M1655" s="1" t="str">
        <f>TEXT(Table1[[#This Row],[appointment_date]],"MM/YYYY")</f>
        <v>08/2025</v>
      </c>
      <c r="N1655">
        <v>1</v>
      </c>
      <c r="O1655" t="str" cm="1">
        <f t="array" ref="O1655">_xlfn.IFS(Table1[[#This Row],[lead_time_days]]&lt;=7,"0-7 days",N1655&lt;=14,"8-14 days",N1655&lt;=30,"15-30 days",N1655&lt;=60,"31-60 days",TRUE,"61+ days")</f>
        <v>0-7 days</v>
      </c>
      <c r="P1655" t="s">
        <v>80</v>
      </c>
      <c r="Q1655" t="s">
        <v>32</v>
      </c>
      <c r="R1655">
        <v>1</v>
      </c>
      <c r="S1655" t="str">
        <f>IF(Table1[prior_dna_count]&gt;=1,"Has prior DNA history","No prior DNA history")</f>
        <v>Has prior DNA history</v>
      </c>
      <c r="T1655" t="s">
        <v>22</v>
      </c>
      <c r="U1655" t="str">
        <f t="shared" si="25"/>
        <v>1</v>
      </c>
      <c r="V1655" t="str">
        <f>IF(Table1[appointment_status]="Attended","1","0")</f>
        <v>1</v>
      </c>
      <c r="W1655" t="str">
        <f>IF(Table1[appointment_status]="Cancelled","1","0")</f>
        <v>0</v>
      </c>
    </row>
    <row r="1656" spans="1:23">
      <c r="A1656" t="s">
        <v>2729</v>
      </c>
      <c r="B1656" t="s">
        <v>1062</v>
      </c>
      <c r="C1656">
        <v>40</v>
      </c>
      <c r="D1656" t="str" cm="1">
        <f t="array" ref="D1656">_xlfn.IFS(Table1[[#This Row],[age]]&lt;=17,"0-17",C1656&lt;=29,"18-29",C1656&lt;=44,"30-44",C1656&lt;=59,"45-59",C1656&lt;=74,"60-74",TRUE,"75+")</f>
        <v>30-44</v>
      </c>
      <c r="E1656" t="s">
        <v>29</v>
      </c>
      <c r="F1656">
        <v>8</v>
      </c>
      <c r="G1656" t="str" cm="1">
        <f t="array" ref="G1656">_xlfn.IFS(_xlfn.SINGLE(Table1[imd_decile])&lt;=3,"Most Deprived",F1656&lt;=7,"Moderately Deprived",F1656&lt;=10,"Least Deprived")</f>
        <v>Least Deprived</v>
      </c>
      <c r="H1656">
        <v>6.4</v>
      </c>
      <c r="I1656" t="s">
        <v>38</v>
      </c>
      <c r="J1656" t="s">
        <v>19</v>
      </c>
      <c r="K1656" s="1">
        <v>45874</v>
      </c>
      <c r="L1656" s="1">
        <v>45896</v>
      </c>
      <c r="M1656" s="1" t="str">
        <f>TEXT(Table1[[#This Row],[appointment_date]],"MM/YYYY")</f>
        <v>08/2025</v>
      </c>
      <c r="N1656">
        <v>22</v>
      </c>
      <c r="O1656" t="str" cm="1">
        <f t="array" ref="O1656">_xlfn.IFS(Table1[[#This Row],[lead_time_days]]&lt;=7,"0-7 days",N1656&lt;=14,"8-14 days",N1656&lt;=30,"15-30 days",N1656&lt;=60,"31-60 days",TRUE,"61+ days")</f>
        <v>15-30 days</v>
      </c>
      <c r="P1656" t="s">
        <v>80</v>
      </c>
      <c r="Q1656" t="s">
        <v>21</v>
      </c>
      <c r="R1656">
        <v>0</v>
      </c>
      <c r="S1656" t="str">
        <f>IF(Table1[prior_dna_count]&gt;=1,"Has prior DNA history","No prior DNA history")</f>
        <v>No prior DNA history</v>
      </c>
      <c r="T1656" t="s">
        <v>22</v>
      </c>
      <c r="U1656" t="str">
        <f t="shared" si="25"/>
        <v>1</v>
      </c>
      <c r="V1656" t="str">
        <f>IF(Table1[appointment_status]="Attended","1","0")</f>
        <v>1</v>
      </c>
      <c r="W1656" t="str">
        <f>IF(Table1[appointment_status]="Cancelled","1","0")</f>
        <v>0</v>
      </c>
    </row>
    <row r="1657" spans="1:23">
      <c r="A1657" t="s">
        <v>2730</v>
      </c>
      <c r="B1657" t="s">
        <v>462</v>
      </c>
      <c r="C1657">
        <v>53</v>
      </c>
      <c r="D1657" t="str" cm="1">
        <f t="array" ref="D1657">_xlfn.IFS(Table1[[#This Row],[age]]&lt;=17,"0-17",C1657&lt;=29,"18-29",C1657&lt;=44,"30-44",C1657&lt;=59,"45-59",C1657&lt;=74,"60-74",TRUE,"75+")</f>
        <v>45-59</v>
      </c>
      <c r="E1657" t="s">
        <v>29</v>
      </c>
      <c r="F1657">
        <v>7</v>
      </c>
      <c r="G1657" t="str" cm="1">
        <f t="array" ref="G1657">_xlfn.IFS(_xlfn.SINGLE(Table1[imd_decile])&lt;=3,"Most Deprived",F1657&lt;=7,"Moderately Deprived",F1657&lt;=10,"Least Deprived")</f>
        <v>Moderately Deprived</v>
      </c>
      <c r="H1657">
        <v>0.8</v>
      </c>
      <c r="I1657" t="s">
        <v>155</v>
      </c>
      <c r="J1657" t="s">
        <v>19</v>
      </c>
      <c r="K1657" s="1">
        <v>45845</v>
      </c>
      <c r="L1657" s="1">
        <v>45896</v>
      </c>
      <c r="M1657" s="1" t="str">
        <f>TEXT(Table1[[#This Row],[appointment_date]],"MM/YYYY")</f>
        <v>08/2025</v>
      </c>
      <c r="N1657">
        <v>51</v>
      </c>
      <c r="O1657" t="str" cm="1">
        <f t="array" ref="O1657">_xlfn.IFS(Table1[[#This Row],[lead_time_days]]&lt;=7,"0-7 days",N1657&lt;=14,"8-14 days",N1657&lt;=30,"15-30 days",N1657&lt;=60,"31-60 days",TRUE,"61+ days")</f>
        <v>31-60 days</v>
      </c>
      <c r="P1657" t="s">
        <v>80</v>
      </c>
      <c r="Q1657" t="s">
        <v>32</v>
      </c>
      <c r="R1657">
        <v>0</v>
      </c>
      <c r="S1657" t="str">
        <f>IF(Table1[prior_dna_count]&gt;=1,"Has prior DNA history","No prior DNA history")</f>
        <v>No prior DNA history</v>
      </c>
      <c r="T1657" t="s">
        <v>22</v>
      </c>
      <c r="U1657" t="str">
        <f t="shared" si="25"/>
        <v>1</v>
      </c>
      <c r="V1657" t="str">
        <f>IF(Table1[appointment_status]="Attended","1","0")</f>
        <v>1</v>
      </c>
      <c r="W1657" t="str">
        <f>IF(Table1[appointment_status]="Cancelled","1","0")</f>
        <v>0</v>
      </c>
    </row>
    <row r="1658" spans="1:23">
      <c r="A1658" t="s">
        <v>2731</v>
      </c>
      <c r="B1658" t="s">
        <v>2022</v>
      </c>
      <c r="C1658">
        <v>51</v>
      </c>
      <c r="D1658" t="str" cm="1">
        <f t="array" ref="D1658">_xlfn.IFS(Table1[[#This Row],[age]]&lt;=17,"0-17",C1658&lt;=29,"18-29",C1658&lt;=44,"30-44",C1658&lt;=59,"45-59",C1658&lt;=74,"60-74",TRUE,"75+")</f>
        <v>45-59</v>
      </c>
      <c r="E1658" t="s">
        <v>17</v>
      </c>
      <c r="F1658">
        <v>9</v>
      </c>
      <c r="G1658" t="str" cm="1">
        <f t="array" ref="G1658">_xlfn.IFS(_xlfn.SINGLE(Table1[imd_decile])&lt;=3,"Most Deprived",F1658&lt;=7,"Moderately Deprived",F1658&lt;=10,"Least Deprived")</f>
        <v>Least Deprived</v>
      </c>
      <c r="H1658">
        <v>5.5</v>
      </c>
      <c r="I1658" t="s">
        <v>18</v>
      </c>
      <c r="J1658" t="s">
        <v>26</v>
      </c>
      <c r="K1658" s="1">
        <v>45892</v>
      </c>
      <c r="L1658" s="1">
        <v>45897</v>
      </c>
      <c r="M1658" s="1" t="str">
        <f>TEXT(Table1[[#This Row],[appointment_date]],"MM/YYYY")</f>
        <v>08/2025</v>
      </c>
      <c r="N1658">
        <v>5</v>
      </c>
      <c r="O1658" t="str" cm="1">
        <f t="array" ref="O1658">_xlfn.IFS(Table1[[#This Row],[lead_time_days]]&lt;=7,"0-7 days",N1658&lt;=14,"8-14 days",N1658&lt;=30,"15-30 days",N1658&lt;=60,"31-60 days",TRUE,"61+ days")</f>
        <v>0-7 days</v>
      </c>
      <c r="P1658" t="s">
        <v>20</v>
      </c>
      <c r="Q1658" t="s">
        <v>21</v>
      </c>
      <c r="R1658">
        <v>0</v>
      </c>
      <c r="S1658" t="str">
        <f>IF(Table1[prior_dna_count]&gt;=1,"Has prior DNA history","No prior DNA history")</f>
        <v>No prior DNA history</v>
      </c>
      <c r="T1658" t="s">
        <v>22</v>
      </c>
      <c r="U1658" t="str">
        <f t="shared" si="25"/>
        <v>1</v>
      </c>
      <c r="V1658" t="str">
        <f>IF(Table1[appointment_status]="Attended","1","0")</f>
        <v>1</v>
      </c>
      <c r="W1658" t="str">
        <f>IF(Table1[appointment_status]="Cancelled","1","0")</f>
        <v>0</v>
      </c>
    </row>
    <row r="1659" spans="1:23">
      <c r="A1659" t="s">
        <v>2732</v>
      </c>
      <c r="B1659" t="s">
        <v>438</v>
      </c>
      <c r="C1659">
        <v>34</v>
      </c>
      <c r="D1659" t="str" cm="1">
        <f t="array" ref="D1659">_xlfn.IFS(Table1[[#This Row],[age]]&lt;=17,"0-17",C1659&lt;=29,"18-29",C1659&lt;=44,"30-44",C1659&lt;=59,"45-59",C1659&lt;=74,"60-74",TRUE,"75+")</f>
        <v>30-44</v>
      </c>
      <c r="E1659" t="s">
        <v>17</v>
      </c>
      <c r="F1659">
        <v>8</v>
      </c>
      <c r="G1659" t="str" cm="1">
        <f t="array" ref="G1659">_xlfn.IFS(_xlfn.SINGLE(Table1[imd_decile])&lt;=3,"Most Deprived",F1659&lt;=7,"Moderately Deprived",F1659&lt;=10,"Least Deprived")</f>
        <v>Least Deprived</v>
      </c>
      <c r="H1659">
        <v>6.8</v>
      </c>
      <c r="I1659" t="s">
        <v>155</v>
      </c>
      <c r="J1659" t="s">
        <v>19</v>
      </c>
      <c r="K1659" s="1">
        <v>45860</v>
      </c>
      <c r="L1659" s="1">
        <v>45897</v>
      </c>
      <c r="M1659" s="1" t="str">
        <f>TEXT(Table1[[#This Row],[appointment_date]],"MM/YYYY")</f>
        <v>08/2025</v>
      </c>
      <c r="N1659">
        <v>37</v>
      </c>
      <c r="O1659" t="str" cm="1">
        <f t="array" ref="O1659">_xlfn.IFS(Table1[[#This Row],[lead_time_days]]&lt;=7,"0-7 days",N1659&lt;=14,"8-14 days",N1659&lt;=30,"15-30 days",N1659&lt;=60,"31-60 days",TRUE,"61+ days")</f>
        <v>31-60 days</v>
      </c>
      <c r="P1659" t="s">
        <v>20</v>
      </c>
      <c r="Q1659" t="s">
        <v>21</v>
      </c>
      <c r="R1659">
        <v>0</v>
      </c>
      <c r="S1659" t="str">
        <f>IF(Table1[prior_dna_count]&gt;=1,"Has prior DNA history","No prior DNA history")</f>
        <v>No prior DNA history</v>
      </c>
      <c r="T1659" t="s">
        <v>22</v>
      </c>
      <c r="U1659" t="str">
        <f t="shared" si="25"/>
        <v>1</v>
      </c>
      <c r="V1659" t="str">
        <f>IF(Table1[appointment_status]="Attended","1","0")</f>
        <v>1</v>
      </c>
      <c r="W1659" t="str">
        <f>IF(Table1[appointment_status]="Cancelled","1","0")</f>
        <v>0</v>
      </c>
    </row>
    <row r="1660" spans="1:23">
      <c r="A1660" t="s">
        <v>2733</v>
      </c>
      <c r="B1660" t="s">
        <v>1783</v>
      </c>
      <c r="C1660">
        <v>38</v>
      </c>
      <c r="D1660" t="str" cm="1">
        <f t="array" ref="D1660">_xlfn.IFS(Table1[[#This Row],[age]]&lt;=17,"0-17",C1660&lt;=29,"18-29",C1660&lt;=44,"30-44",C1660&lt;=59,"45-59",C1660&lt;=74,"60-74",TRUE,"75+")</f>
        <v>30-44</v>
      </c>
      <c r="E1660" t="s">
        <v>29</v>
      </c>
      <c r="F1660">
        <v>9</v>
      </c>
      <c r="G1660" t="str" cm="1">
        <f t="array" ref="G1660">_xlfn.IFS(_xlfn.SINGLE(Table1[imd_decile])&lt;=3,"Most Deprived",F1660&lt;=7,"Moderately Deprived",F1660&lt;=10,"Least Deprived")</f>
        <v>Least Deprived</v>
      </c>
      <c r="H1660">
        <v>5.3</v>
      </c>
      <c r="I1660" t="s">
        <v>30</v>
      </c>
      <c r="J1660" t="s">
        <v>26</v>
      </c>
      <c r="K1660" s="1">
        <v>45872</v>
      </c>
      <c r="L1660" s="1">
        <v>45897</v>
      </c>
      <c r="M1660" s="1" t="str">
        <f>TEXT(Table1[[#This Row],[appointment_date]],"MM/YYYY")</f>
        <v>08/2025</v>
      </c>
      <c r="N1660">
        <v>25</v>
      </c>
      <c r="O1660" t="str" cm="1">
        <f t="array" ref="O1660">_xlfn.IFS(Table1[[#This Row],[lead_time_days]]&lt;=7,"0-7 days",N1660&lt;=14,"8-14 days",N1660&lt;=30,"15-30 days",N1660&lt;=60,"31-60 days",TRUE,"61+ days")</f>
        <v>15-30 days</v>
      </c>
      <c r="P1660" t="s">
        <v>20</v>
      </c>
      <c r="Q1660" t="s">
        <v>21</v>
      </c>
      <c r="R1660">
        <v>0</v>
      </c>
      <c r="S1660" t="str">
        <f>IF(Table1[prior_dna_count]&gt;=1,"Has prior DNA history","No prior DNA history")</f>
        <v>No prior DNA history</v>
      </c>
      <c r="T1660" t="s">
        <v>22</v>
      </c>
      <c r="U1660" t="str">
        <f t="shared" si="25"/>
        <v>1</v>
      </c>
      <c r="V1660" t="str">
        <f>IF(Table1[appointment_status]="Attended","1","0")</f>
        <v>1</v>
      </c>
      <c r="W1660" t="str">
        <f>IF(Table1[appointment_status]="Cancelled","1","0")</f>
        <v>0</v>
      </c>
    </row>
    <row r="1661" spans="1:23">
      <c r="A1661" t="s">
        <v>2734</v>
      </c>
      <c r="B1661" t="s">
        <v>263</v>
      </c>
      <c r="C1661">
        <v>93</v>
      </c>
      <c r="D1661" t="str" cm="1">
        <f t="array" ref="D1661">_xlfn.IFS(Table1[[#This Row],[age]]&lt;=17,"0-17",C1661&lt;=29,"18-29",C1661&lt;=44,"30-44",C1661&lt;=59,"45-59",C1661&lt;=74,"60-74",TRUE,"75+")</f>
        <v>75+</v>
      </c>
      <c r="E1661" t="s">
        <v>17</v>
      </c>
      <c r="F1661">
        <v>6</v>
      </c>
      <c r="G1661" t="str" cm="1">
        <f t="array" ref="G1661">_xlfn.IFS(_xlfn.SINGLE(Table1[imd_decile])&lt;=3,"Most Deprived",F1661&lt;=7,"Moderately Deprived",F1661&lt;=10,"Least Deprived")</f>
        <v>Moderately Deprived</v>
      </c>
      <c r="H1661">
        <v>16.7</v>
      </c>
      <c r="I1661" t="s">
        <v>25</v>
      </c>
      <c r="J1661" t="s">
        <v>26</v>
      </c>
      <c r="K1661" s="1">
        <v>45884</v>
      </c>
      <c r="L1661" s="1">
        <v>45897</v>
      </c>
      <c r="M1661" s="1" t="str">
        <f>TEXT(Table1[[#This Row],[appointment_date]],"MM/YYYY")</f>
        <v>08/2025</v>
      </c>
      <c r="N1661">
        <v>13</v>
      </c>
      <c r="O1661" t="str" cm="1">
        <f t="array" ref="O1661">_xlfn.IFS(Table1[[#This Row],[lead_time_days]]&lt;=7,"0-7 days",N1661&lt;=14,"8-14 days",N1661&lt;=30,"15-30 days",N1661&lt;=60,"31-60 days",TRUE,"61+ days")</f>
        <v>8-14 days</v>
      </c>
      <c r="P1661" t="s">
        <v>20</v>
      </c>
      <c r="Q1661" t="s">
        <v>21</v>
      </c>
      <c r="R1661">
        <v>0</v>
      </c>
      <c r="S1661" t="str">
        <f>IF(Table1[prior_dna_count]&gt;=1,"Has prior DNA history","No prior DNA history")</f>
        <v>No prior DNA history</v>
      </c>
      <c r="T1661" t="s">
        <v>22</v>
      </c>
      <c r="U1661" t="str">
        <f t="shared" si="25"/>
        <v>1</v>
      </c>
      <c r="V1661" t="str">
        <f>IF(Table1[appointment_status]="Attended","1","0")</f>
        <v>1</v>
      </c>
      <c r="W1661" t="str">
        <f>IF(Table1[appointment_status]="Cancelled","1","0")</f>
        <v>0</v>
      </c>
    </row>
    <row r="1662" spans="1:23">
      <c r="A1662" t="s">
        <v>2735</v>
      </c>
      <c r="B1662" t="s">
        <v>979</v>
      </c>
      <c r="C1662">
        <v>59</v>
      </c>
      <c r="D1662" t="str" cm="1">
        <f t="array" ref="D1662">_xlfn.IFS(Table1[[#This Row],[age]]&lt;=17,"0-17",C1662&lt;=29,"18-29",C1662&lt;=44,"30-44",C1662&lt;=59,"45-59",C1662&lt;=74,"60-74",TRUE,"75+")</f>
        <v>45-59</v>
      </c>
      <c r="E1662" t="s">
        <v>29</v>
      </c>
      <c r="F1662">
        <v>10</v>
      </c>
      <c r="G1662" t="str" cm="1">
        <f t="array" ref="G1662">_xlfn.IFS(_xlfn.SINGLE(Table1[imd_decile])&lt;=3,"Most Deprived",F1662&lt;=7,"Moderately Deprived",F1662&lt;=10,"Least Deprived")</f>
        <v>Least Deprived</v>
      </c>
      <c r="H1662">
        <v>3.4</v>
      </c>
      <c r="I1662" t="s">
        <v>49</v>
      </c>
      <c r="J1662" t="s">
        <v>19</v>
      </c>
      <c r="K1662" s="1">
        <v>45883</v>
      </c>
      <c r="L1662" s="1">
        <v>45897</v>
      </c>
      <c r="M1662" s="1" t="str">
        <f>TEXT(Table1[[#This Row],[appointment_date]],"MM/YYYY")</f>
        <v>08/2025</v>
      </c>
      <c r="N1662">
        <v>14</v>
      </c>
      <c r="O1662" t="str" cm="1">
        <f t="array" ref="O1662">_xlfn.IFS(Table1[[#This Row],[lead_time_days]]&lt;=7,"0-7 days",N1662&lt;=14,"8-14 days",N1662&lt;=30,"15-30 days",N1662&lt;=60,"31-60 days",TRUE,"61+ days")</f>
        <v>8-14 days</v>
      </c>
      <c r="P1662" t="s">
        <v>20</v>
      </c>
      <c r="Q1662" t="s">
        <v>21</v>
      </c>
      <c r="R1662">
        <v>0</v>
      </c>
      <c r="S1662" t="str">
        <f>IF(Table1[prior_dna_count]&gt;=1,"Has prior DNA history","No prior DNA history")</f>
        <v>No prior DNA history</v>
      </c>
      <c r="T1662" t="s">
        <v>22</v>
      </c>
      <c r="U1662" t="str">
        <f t="shared" si="25"/>
        <v>1</v>
      </c>
      <c r="V1662" t="str">
        <f>IF(Table1[appointment_status]="Attended","1","0")</f>
        <v>1</v>
      </c>
      <c r="W1662" t="str">
        <f>IF(Table1[appointment_status]="Cancelled","1","0")</f>
        <v>0</v>
      </c>
    </row>
    <row r="1663" spans="1:23">
      <c r="A1663" t="s">
        <v>2736</v>
      </c>
      <c r="B1663" t="s">
        <v>2713</v>
      </c>
      <c r="C1663">
        <v>62</v>
      </c>
      <c r="D1663" t="str" cm="1">
        <f t="array" ref="D1663">_xlfn.IFS(Table1[[#This Row],[age]]&lt;=17,"0-17",C1663&lt;=29,"18-29",C1663&lt;=44,"30-44",C1663&lt;=59,"45-59",C1663&lt;=74,"60-74",TRUE,"75+")</f>
        <v>60-74</v>
      </c>
      <c r="E1663" t="s">
        <v>17</v>
      </c>
      <c r="F1663">
        <v>10</v>
      </c>
      <c r="G1663" t="str" cm="1">
        <f t="array" ref="G1663">_xlfn.IFS(_xlfn.SINGLE(Table1[imd_decile])&lt;=3,"Most Deprived",F1663&lt;=7,"Moderately Deprived",F1663&lt;=10,"Least Deprived")</f>
        <v>Least Deprived</v>
      </c>
      <c r="H1663">
        <v>32.700000000000003</v>
      </c>
      <c r="I1663" t="s">
        <v>25</v>
      </c>
      <c r="J1663" t="s">
        <v>19</v>
      </c>
      <c r="K1663" s="1">
        <v>45881</v>
      </c>
      <c r="L1663" s="1">
        <v>45897</v>
      </c>
      <c r="M1663" s="1" t="str">
        <f>TEXT(Table1[[#This Row],[appointment_date]],"MM/YYYY")</f>
        <v>08/2025</v>
      </c>
      <c r="N1663">
        <v>16</v>
      </c>
      <c r="O1663" t="str" cm="1">
        <f t="array" ref="O1663">_xlfn.IFS(Table1[[#This Row],[lead_time_days]]&lt;=7,"0-7 days",N1663&lt;=14,"8-14 days",N1663&lt;=30,"15-30 days",N1663&lt;=60,"31-60 days",TRUE,"61+ days")</f>
        <v>15-30 days</v>
      </c>
      <c r="P1663" t="s">
        <v>20</v>
      </c>
      <c r="Q1663" t="s">
        <v>21</v>
      </c>
      <c r="R1663">
        <v>0</v>
      </c>
      <c r="S1663" t="str">
        <f>IF(Table1[prior_dna_count]&gt;=1,"Has prior DNA history","No prior DNA history")</f>
        <v>No prior DNA history</v>
      </c>
      <c r="T1663" t="s">
        <v>22</v>
      </c>
      <c r="U1663" t="str">
        <f t="shared" si="25"/>
        <v>1</v>
      </c>
      <c r="V1663" t="str">
        <f>IF(Table1[appointment_status]="Attended","1","0")</f>
        <v>1</v>
      </c>
      <c r="W1663" t="str">
        <f>IF(Table1[appointment_status]="Cancelled","1","0")</f>
        <v>0</v>
      </c>
    </row>
    <row r="1664" spans="1:23">
      <c r="A1664" t="s">
        <v>2737</v>
      </c>
      <c r="B1664" t="s">
        <v>813</v>
      </c>
      <c r="C1664">
        <v>1</v>
      </c>
      <c r="D1664" t="str" cm="1">
        <f t="array" ref="D1664">_xlfn.IFS(Table1[[#This Row],[age]]&lt;=17,"0-17",C1664&lt;=29,"18-29",C1664&lt;=44,"30-44",C1664&lt;=59,"45-59",C1664&lt;=74,"60-74",TRUE,"75+")</f>
        <v>0-17</v>
      </c>
      <c r="E1664" t="s">
        <v>29</v>
      </c>
      <c r="F1664">
        <v>9</v>
      </c>
      <c r="G1664" t="str" cm="1">
        <f t="array" ref="G1664">_xlfn.IFS(_xlfn.SINGLE(Table1[imd_decile])&lt;=3,"Most Deprived",F1664&lt;=7,"Moderately Deprived",F1664&lt;=10,"Least Deprived")</f>
        <v>Least Deprived</v>
      </c>
      <c r="H1664">
        <v>5.4</v>
      </c>
      <c r="I1664" t="s">
        <v>45</v>
      </c>
      <c r="J1664" t="s">
        <v>26</v>
      </c>
      <c r="K1664" s="1">
        <v>45874</v>
      </c>
      <c r="L1664" s="1">
        <v>45897</v>
      </c>
      <c r="M1664" s="1" t="str">
        <f>TEXT(Table1[[#This Row],[appointment_date]],"MM/YYYY")</f>
        <v>08/2025</v>
      </c>
      <c r="N1664">
        <v>23</v>
      </c>
      <c r="O1664" t="str" cm="1">
        <f t="array" ref="O1664">_xlfn.IFS(Table1[[#This Row],[lead_time_days]]&lt;=7,"0-7 days",N1664&lt;=14,"8-14 days",N1664&lt;=30,"15-30 days",N1664&lt;=60,"31-60 days",TRUE,"61+ days")</f>
        <v>15-30 days</v>
      </c>
      <c r="P1664" t="s">
        <v>20</v>
      </c>
      <c r="Q1664" t="s">
        <v>21</v>
      </c>
      <c r="R1664">
        <v>0</v>
      </c>
      <c r="S1664" t="str">
        <f>IF(Table1[prior_dna_count]&gt;=1,"Has prior DNA history","No prior DNA history")</f>
        <v>No prior DNA history</v>
      </c>
      <c r="T1664" t="s">
        <v>22</v>
      </c>
      <c r="U1664" t="str">
        <f t="shared" si="25"/>
        <v>1</v>
      </c>
      <c r="V1664" t="str">
        <f>IF(Table1[appointment_status]="Attended","1","0")</f>
        <v>1</v>
      </c>
      <c r="W1664" t="str">
        <f>IF(Table1[appointment_status]="Cancelled","1","0")</f>
        <v>0</v>
      </c>
    </row>
    <row r="1665" spans="1:23">
      <c r="A1665" t="s">
        <v>2738</v>
      </c>
      <c r="B1665" t="s">
        <v>1368</v>
      </c>
      <c r="C1665">
        <v>25</v>
      </c>
      <c r="D1665" t="str" cm="1">
        <f t="array" ref="D1665">_xlfn.IFS(Table1[[#This Row],[age]]&lt;=17,"0-17",C1665&lt;=29,"18-29",C1665&lt;=44,"30-44",C1665&lt;=59,"45-59",C1665&lt;=74,"60-74",TRUE,"75+")</f>
        <v>18-29</v>
      </c>
      <c r="E1665" t="s">
        <v>17</v>
      </c>
      <c r="F1665">
        <v>4</v>
      </c>
      <c r="G1665" t="str" cm="1">
        <f t="array" ref="G1665">_xlfn.IFS(_xlfn.SINGLE(Table1[imd_decile])&lt;=3,"Most Deprived",F1665&lt;=7,"Moderately Deprived",F1665&lt;=10,"Least Deprived")</f>
        <v>Moderately Deprived</v>
      </c>
      <c r="H1665">
        <v>2.8</v>
      </c>
      <c r="I1665" t="s">
        <v>18</v>
      </c>
      <c r="J1665" t="s">
        <v>26</v>
      </c>
      <c r="K1665" s="1">
        <v>45887</v>
      </c>
      <c r="L1665" s="1">
        <v>45898</v>
      </c>
      <c r="M1665" s="1" t="str">
        <f>TEXT(Table1[[#This Row],[appointment_date]],"MM/YYYY")</f>
        <v>08/2025</v>
      </c>
      <c r="N1665">
        <v>11</v>
      </c>
      <c r="O1665" t="str" cm="1">
        <f t="array" ref="O1665">_xlfn.IFS(Table1[[#This Row],[lead_time_days]]&lt;=7,"0-7 days",N1665&lt;=14,"8-14 days",N1665&lt;=30,"15-30 days",N1665&lt;=60,"31-60 days",TRUE,"61+ days")</f>
        <v>8-14 days</v>
      </c>
      <c r="P1665" t="s">
        <v>52</v>
      </c>
      <c r="Q1665" t="s">
        <v>32</v>
      </c>
      <c r="R1665">
        <v>0</v>
      </c>
      <c r="S1665" t="str">
        <f>IF(Table1[prior_dna_count]&gt;=1,"Has prior DNA history","No prior DNA history")</f>
        <v>No prior DNA history</v>
      </c>
      <c r="T1665" t="s">
        <v>39</v>
      </c>
      <c r="U1665" t="str">
        <f t="shared" si="25"/>
        <v>1</v>
      </c>
      <c r="V1665" t="str">
        <f>IF(Table1[appointment_status]="Attended","1","0")</f>
        <v>0</v>
      </c>
      <c r="W1665" t="str">
        <f>IF(Table1[appointment_status]="Cancelled","1","0")</f>
        <v>0</v>
      </c>
    </row>
    <row r="1666" spans="1:23">
      <c r="A1666" t="s">
        <v>2739</v>
      </c>
      <c r="B1666" t="s">
        <v>101</v>
      </c>
      <c r="C1666">
        <v>92</v>
      </c>
      <c r="D1666" t="str" cm="1">
        <f t="array" ref="D1666">_xlfn.IFS(Table1[[#This Row],[age]]&lt;=17,"0-17",C1666&lt;=29,"18-29",C1666&lt;=44,"30-44",C1666&lt;=59,"45-59",C1666&lt;=74,"60-74",TRUE,"75+")</f>
        <v>75+</v>
      </c>
      <c r="E1666" t="s">
        <v>29</v>
      </c>
      <c r="F1666">
        <v>9</v>
      </c>
      <c r="G1666" t="str" cm="1">
        <f t="array" ref="G1666">_xlfn.IFS(_xlfn.SINGLE(Table1[imd_decile])&lt;=3,"Most Deprived",F1666&lt;=7,"Moderately Deprived",F1666&lt;=10,"Least Deprived")</f>
        <v>Least Deprived</v>
      </c>
      <c r="H1666">
        <v>3.9</v>
      </c>
      <c r="I1666" t="s">
        <v>49</v>
      </c>
      <c r="J1666" t="s">
        <v>19</v>
      </c>
      <c r="K1666" s="1">
        <v>45788</v>
      </c>
      <c r="L1666" s="1">
        <v>45898</v>
      </c>
      <c r="M1666" s="1" t="str">
        <f>TEXT(Table1[[#This Row],[appointment_date]],"MM/YYYY")</f>
        <v>08/2025</v>
      </c>
      <c r="N1666">
        <v>110</v>
      </c>
      <c r="O1666" t="str" cm="1">
        <f t="array" ref="O1666">_xlfn.IFS(Table1[[#This Row],[lead_time_days]]&lt;=7,"0-7 days",N1666&lt;=14,"8-14 days",N1666&lt;=30,"15-30 days",N1666&lt;=60,"31-60 days",TRUE,"61+ days")</f>
        <v>61+ days</v>
      </c>
      <c r="P1666" t="s">
        <v>52</v>
      </c>
      <c r="Q1666" t="s">
        <v>21</v>
      </c>
      <c r="R1666">
        <v>0</v>
      </c>
      <c r="S1666" t="str">
        <f>IF(Table1[prior_dna_count]&gt;=1,"Has prior DNA history","No prior DNA history")</f>
        <v>No prior DNA history</v>
      </c>
      <c r="T1666" t="s">
        <v>22</v>
      </c>
      <c r="U1666" t="str">
        <f t="shared" ref="U1666:U1729" si="26">V1665</f>
        <v>0</v>
      </c>
      <c r="V1666" t="str">
        <f>IF(Table1[appointment_status]="Attended","1","0")</f>
        <v>1</v>
      </c>
      <c r="W1666" t="str">
        <f>IF(Table1[appointment_status]="Cancelled","1","0")</f>
        <v>0</v>
      </c>
    </row>
    <row r="1667" spans="1:23">
      <c r="A1667" t="s">
        <v>2740</v>
      </c>
      <c r="B1667" t="s">
        <v>2741</v>
      </c>
      <c r="C1667">
        <v>50</v>
      </c>
      <c r="D1667" t="str" cm="1">
        <f t="array" ref="D1667">_xlfn.IFS(Table1[[#This Row],[age]]&lt;=17,"0-17",C1667&lt;=29,"18-29",C1667&lt;=44,"30-44",C1667&lt;=59,"45-59",C1667&lt;=74,"60-74",TRUE,"75+")</f>
        <v>45-59</v>
      </c>
      <c r="E1667" t="s">
        <v>17</v>
      </c>
      <c r="F1667">
        <v>6</v>
      </c>
      <c r="G1667" t="str" cm="1">
        <f t="array" ref="G1667">_xlfn.IFS(_xlfn.SINGLE(Table1[imd_decile])&lt;=3,"Most Deprived",F1667&lt;=7,"Moderately Deprived",F1667&lt;=10,"Least Deprived")</f>
        <v>Moderately Deprived</v>
      </c>
      <c r="H1667">
        <v>3.2</v>
      </c>
      <c r="I1667" t="s">
        <v>155</v>
      </c>
      <c r="J1667" t="s">
        <v>26</v>
      </c>
      <c r="K1667" s="1">
        <v>45876</v>
      </c>
      <c r="L1667" s="1">
        <v>45898</v>
      </c>
      <c r="M1667" s="1" t="str">
        <f>TEXT(Table1[[#This Row],[appointment_date]],"MM/YYYY")</f>
        <v>08/2025</v>
      </c>
      <c r="N1667">
        <v>22</v>
      </c>
      <c r="O1667" t="str" cm="1">
        <f t="array" ref="O1667">_xlfn.IFS(Table1[[#This Row],[lead_time_days]]&lt;=7,"0-7 days",N1667&lt;=14,"8-14 days",N1667&lt;=30,"15-30 days",N1667&lt;=60,"31-60 days",TRUE,"61+ days")</f>
        <v>15-30 days</v>
      </c>
      <c r="P1667" t="s">
        <v>52</v>
      </c>
      <c r="Q1667" t="s">
        <v>21</v>
      </c>
      <c r="R1667">
        <v>0</v>
      </c>
      <c r="S1667" t="str">
        <f>IF(Table1[prior_dna_count]&gt;=1,"Has prior DNA history","No prior DNA history")</f>
        <v>No prior DNA history</v>
      </c>
      <c r="T1667" t="s">
        <v>22</v>
      </c>
      <c r="U1667" t="str">
        <f t="shared" si="26"/>
        <v>1</v>
      </c>
      <c r="V1667" t="str">
        <f>IF(Table1[appointment_status]="Attended","1","0")</f>
        <v>1</v>
      </c>
      <c r="W1667" t="str">
        <f>IF(Table1[appointment_status]="Cancelled","1","0")</f>
        <v>0</v>
      </c>
    </row>
    <row r="1668" spans="1:23">
      <c r="A1668" t="s">
        <v>2742</v>
      </c>
      <c r="B1668" t="s">
        <v>2203</v>
      </c>
      <c r="C1668">
        <v>66</v>
      </c>
      <c r="D1668" t="str" cm="1">
        <f t="array" ref="D1668">_xlfn.IFS(Table1[[#This Row],[age]]&lt;=17,"0-17",C1668&lt;=29,"18-29",C1668&lt;=44,"30-44",C1668&lt;=59,"45-59",C1668&lt;=74,"60-74",TRUE,"75+")</f>
        <v>60-74</v>
      </c>
      <c r="E1668" t="s">
        <v>29</v>
      </c>
      <c r="F1668">
        <v>8</v>
      </c>
      <c r="G1668" t="str" cm="1">
        <f t="array" ref="G1668">_xlfn.IFS(_xlfn.SINGLE(Table1[imd_decile])&lt;=3,"Most Deprived",F1668&lt;=7,"Moderately Deprived",F1668&lt;=10,"Least Deprived")</f>
        <v>Least Deprived</v>
      </c>
      <c r="H1668">
        <v>5.4</v>
      </c>
      <c r="I1668" t="s">
        <v>45</v>
      </c>
      <c r="J1668" t="s">
        <v>19</v>
      </c>
      <c r="K1668" s="1">
        <v>45865</v>
      </c>
      <c r="L1668" s="1">
        <v>45898</v>
      </c>
      <c r="M1668" s="1" t="str">
        <f>TEXT(Table1[[#This Row],[appointment_date]],"MM/YYYY")</f>
        <v>08/2025</v>
      </c>
      <c r="N1668">
        <v>33</v>
      </c>
      <c r="O1668" t="str" cm="1">
        <f t="array" ref="O1668">_xlfn.IFS(Table1[[#This Row],[lead_time_days]]&lt;=7,"0-7 days",N1668&lt;=14,"8-14 days",N1668&lt;=30,"15-30 days",N1668&lt;=60,"31-60 days",TRUE,"61+ days")</f>
        <v>31-60 days</v>
      </c>
      <c r="P1668" t="s">
        <v>52</v>
      </c>
      <c r="Q1668" t="s">
        <v>32</v>
      </c>
      <c r="R1668">
        <v>0</v>
      </c>
      <c r="S1668" t="str">
        <f>IF(Table1[prior_dna_count]&gt;=1,"Has prior DNA history","No prior DNA history")</f>
        <v>No prior DNA history</v>
      </c>
      <c r="T1668" t="s">
        <v>22</v>
      </c>
      <c r="U1668" t="str">
        <f t="shared" si="26"/>
        <v>1</v>
      </c>
      <c r="V1668" t="str">
        <f>IF(Table1[appointment_status]="Attended","1","0")</f>
        <v>1</v>
      </c>
      <c r="W1668" t="str">
        <f>IF(Table1[appointment_status]="Cancelled","1","0")</f>
        <v>0</v>
      </c>
    </row>
    <row r="1669" spans="1:23">
      <c r="A1669" t="s">
        <v>2743</v>
      </c>
      <c r="B1669" t="s">
        <v>1529</v>
      </c>
      <c r="C1669">
        <v>1</v>
      </c>
      <c r="D1669" t="str" cm="1">
        <f t="array" ref="D1669">_xlfn.IFS(Table1[[#This Row],[age]]&lt;=17,"0-17",C1669&lt;=29,"18-29",C1669&lt;=44,"30-44",C1669&lt;=59,"45-59",C1669&lt;=74,"60-74",TRUE,"75+")</f>
        <v>0-17</v>
      </c>
      <c r="E1669" t="s">
        <v>29</v>
      </c>
      <c r="F1669">
        <v>2</v>
      </c>
      <c r="G1669" t="str" cm="1">
        <f t="array" ref="G1669">_xlfn.IFS(_xlfn.SINGLE(Table1[imd_decile])&lt;=3,"Most Deprived",F1669&lt;=7,"Moderately Deprived",F1669&lt;=10,"Least Deprived")</f>
        <v>Most Deprived</v>
      </c>
      <c r="H1669">
        <v>4.2</v>
      </c>
      <c r="I1669" t="s">
        <v>38</v>
      </c>
      <c r="J1669" t="s">
        <v>26</v>
      </c>
      <c r="K1669" s="1">
        <v>45886</v>
      </c>
      <c r="L1669" s="1">
        <v>45898</v>
      </c>
      <c r="M1669" s="1" t="str">
        <f>TEXT(Table1[[#This Row],[appointment_date]],"MM/YYYY")</f>
        <v>08/2025</v>
      </c>
      <c r="N1669">
        <v>12</v>
      </c>
      <c r="O1669" t="str" cm="1">
        <f t="array" ref="O1669">_xlfn.IFS(Table1[[#This Row],[lead_time_days]]&lt;=7,"0-7 days",N1669&lt;=14,"8-14 days",N1669&lt;=30,"15-30 days",N1669&lt;=60,"31-60 days",TRUE,"61+ days")</f>
        <v>8-14 days</v>
      </c>
      <c r="P1669" t="s">
        <v>52</v>
      </c>
      <c r="Q1669" t="s">
        <v>21</v>
      </c>
      <c r="R1669">
        <v>0</v>
      </c>
      <c r="S1669" t="str">
        <f>IF(Table1[prior_dna_count]&gt;=1,"Has prior DNA history","No prior DNA history")</f>
        <v>No prior DNA history</v>
      </c>
      <c r="T1669" t="s">
        <v>22</v>
      </c>
      <c r="U1669" t="str">
        <f t="shared" si="26"/>
        <v>1</v>
      </c>
      <c r="V1669" t="str">
        <f>IF(Table1[appointment_status]="Attended","1","0")</f>
        <v>1</v>
      </c>
      <c r="W1669" t="str">
        <f>IF(Table1[appointment_status]="Cancelled","1","0")</f>
        <v>0</v>
      </c>
    </row>
    <row r="1670" spans="1:23">
      <c r="A1670" t="s">
        <v>2744</v>
      </c>
      <c r="B1670" t="s">
        <v>1582</v>
      </c>
      <c r="C1670">
        <v>65</v>
      </c>
      <c r="D1670" t="str" cm="1">
        <f t="array" ref="D1670">_xlfn.IFS(Table1[[#This Row],[age]]&lt;=17,"0-17",C1670&lt;=29,"18-29",C1670&lt;=44,"30-44",C1670&lt;=59,"45-59",C1670&lt;=74,"60-74",TRUE,"75+")</f>
        <v>60-74</v>
      </c>
      <c r="E1670" t="s">
        <v>29</v>
      </c>
      <c r="F1670">
        <v>8</v>
      </c>
      <c r="G1670" t="str" cm="1">
        <f t="array" ref="G1670">_xlfn.IFS(_xlfn.SINGLE(Table1[imd_decile])&lt;=3,"Most Deprived",F1670&lt;=7,"Moderately Deprived",F1670&lt;=10,"Least Deprived")</f>
        <v>Least Deprived</v>
      </c>
      <c r="H1670">
        <v>4</v>
      </c>
      <c r="I1670" t="s">
        <v>25</v>
      </c>
      <c r="J1670" t="s">
        <v>19</v>
      </c>
      <c r="K1670" s="1">
        <v>45868</v>
      </c>
      <c r="L1670" s="1">
        <v>45898</v>
      </c>
      <c r="M1670" s="1" t="str">
        <f>TEXT(Table1[[#This Row],[appointment_date]],"MM/YYYY")</f>
        <v>08/2025</v>
      </c>
      <c r="N1670">
        <v>30</v>
      </c>
      <c r="O1670" t="str" cm="1">
        <f t="array" ref="O1670">_xlfn.IFS(Table1[[#This Row],[lead_time_days]]&lt;=7,"0-7 days",N1670&lt;=14,"8-14 days",N1670&lt;=30,"15-30 days",N1670&lt;=60,"31-60 days",TRUE,"61+ days")</f>
        <v>15-30 days</v>
      </c>
      <c r="P1670" t="s">
        <v>52</v>
      </c>
      <c r="Q1670" t="s">
        <v>32</v>
      </c>
      <c r="R1670">
        <v>0</v>
      </c>
      <c r="S1670" t="str">
        <f>IF(Table1[prior_dna_count]&gt;=1,"Has prior DNA history","No prior DNA history")</f>
        <v>No prior DNA history</v>
      </c>
      <c r="T1670" t="s">
        <v>22</v>
      </c>
      <c r="U1670" t="str">
        <f t="shared" si="26"/>
        <v>1</v>
      </c>
      <c r="V1670" t="str">
        <f>IF(Table1[appointment_status]="Attended","1","0")</f>
        <v>1</v>
      </c>
      <c r="W1670" t="str">
        <f>IF(Table1[appointment_status]="Cancelled","1","0")</f>
        <v>0</v>
      </c>
    </row>
    <row r="1671" spans="1:23">
      <c r="A1671" t="s">
        <v>2745</v>
      </c>
      <c r="B1671" t="s">
        <v>540</v>
      </c>
      <c r="C1671">
        <v>41</v>
      </c>
      <c r="D1671" t="str" cm="1">
        <f t="array" ref="D1671">_xlfn.IFS(Table1[[#This Row],[age]]&lt;=17,"0-17",C1671&lt;=29,"18-29",C1671&lt;=44,"30-44",C1671&lt;=59,"45-59",C1671&lt;=74,"60-74",TRUE,"75+")</f>
        <v>30-44</v>
      </c>
      <c r="E1671" t="s">
        <v>17</v>
      </c>
      <c r="F1671">
        <v>7</v>
      </c>
      <c r="G1671" t="str" cm="1">
        <f t="array" ref="G1671">_xlfn.IFS(_xlfn.SINGLE(Table1[imd_decile])&lt;=3,"Most Deprived",F1671&lt;=7,"Moderately Deprived",F1671&lt;=10,"Least Deprived")</f>
        <v>Moderately Deprived</v>
      </c>
      <c r="H1671">
        <v>1.1000000000000001</v>
      </c>
      <c r="I1671" t="s">
        <v>30</v>
      </c>
      <c r="J1671" t="s">
        <v>26</v>
      </c>
      <c r="K1671" s="1">
        <v>45896</v>
      </c>
      <c r="L1671" s="1">
        <v>45898</v>
      </c>
      <c r="M1671" s="1" t="str">
        <f>TEXT(Table1[[#This Row],[appointment_date]],"MM/YYYY")</f>
        <v>08/2025</v>
      </c>
      <c r="N1671">
        <v>2</v>
      </c>
      <c r="O1671" t="str" cm="1">
        <f t="array" ref="O1671">_xlfn.IFS(Table1[[#This Row],[lead_time_days]]&lt;=7,"0-7 days",N1671&lt;=14,"8-14 days",N1671&lt;=30,"15-30 days",N1671&lt;=60,"31-60 days",TRUE,"61+ days")</f>
        <v>0-7 days</v>
      </c>
      <c r="P1671" t="s">
        <v>52</v>
      </c>
      <c r="Q1671" t="s">
        <v>21</v>
      </c>
      <c r="R1671">
        <v>0</v>
      </c>
      <c r="S1671" t="str">
        <f>IF(Table1[prior_dna_count]&gt;=1,"Has prior DNA history","No prior DNA history")</f>
        <v>No prior DNA history</v>
      </c>
      <c r="T1671" t="s">
        <v>22</v>
      </c>
      <c r="U1671" t="str">
        <f t="shared" si="26"/>
        <v>1</v>
      </c>
      <c r="V1671" t="str">
        <f>IF(Table1[appointment_status]="Attended","1","0")</f>
        <v>1</v>
      </c>
      <c r="W1671" t="str">
        <f>IF(Table1[appointment_status]="Cancelled","1","0")</f>
        <v>0</v>
      </c>
    </row>
    <row r="1672" spans="1:23">
      <c r="A1672" t="s">
        <v>2746</v>
      </c>
      <c r="B1672" t="s">
        <v>2747</v>
      </c>
      <c r="C1672">
        <v>43</v>
      </c>
      <c r="D1672" t="str" cm="1">
        <f t="array" ref="D1672">_xlfn.IFS(Table1[[#This Row],[age]]&lt;=17,"0-17",C1672&lt;=29,"18-29",C1672&lt;=44,"30-44",C1672&lt;=59,"45-59",C1672&lt;=74,"60-74",TRUE,"75+")</f>
        <v>30-44</v>
      </c>
      <c r="E1672" t="s">
        <v>29</v>
      </c>
      <c r="F1672">
        <v>2</v>
      </c>
      <c r="G1672" t="str" cm="1">
        <f t="array" ref="G1672">_xlfn.IFS(_xlfn.SINGLE(Table1[imd_decile])&lt;=3,"Most Deprived",F1672&lt;=7,"Moderately Deprived",F1672&lt;=10,"Least Deprived")</f>
        <v>Most Deprived</v>
      </c>
      <c r="H1672">
        <v>12.1</v>
      </c>
      <c r="I1672" t="s">
        <v>45</v>
      </c>
      <c r="J1672" t="s">
        <v>26</v>
      </c>
      <c r="K1672" s="1">
        <v>45878</v>
      </c>
      <c r="L1672" s="1">
        <v>45898</v>
      </c>
      <c r="M1672" s="1" t="str">
        <f>TEXT(Table1[[#This Row],[appointment_date]],"MM/YYYY")</f>
        <v>08/2025</v>
      </c>
      <c r="N1672">
        <v>20</v>
      </c>
      <c r="O1672" t="str" cm="1">
        <f t="array" ref="O1672">_xlfn.IFS(Table1[[#This Row],[lead_time_days]]&lt;=7,"0-7 days",N1672&lt;=14,"8-14 days",N1672&lt;=30,"15-30 days",N1672&lt;=60,"31-60 days",TRUE,"61+ days")</f>
        <v>15-30 days</v>
      </c>
      <c r="P1672" t="s">
        <v>52</v>
      </c>
      <c r="Q1672" t="s">
        <v>21</v>
      </c>
      <c r="R1672">
        <v>0</v>
      </c>
      <c r="S1672" t="str">
        <f>IF(Table1[prior_dna_count]&gt;=1,"Has prior DNA history","No prior DNA history")</f>
        <v>No prior DNA history</v>
      </c>
      <c r="T1672" t="s">
        <v>22</v>
      </c>
      <c r="U1672" t="str">
        <f t="shared" si="26"/>
        <v>1</v>
      </c>
      <c r="V1672" t="str">
        <f>IF(Table1[appointment_status]="Attended","1","0")</f>
        <v>1</v>
      </c>
      <c r="W1672" t="str">
        <f>IF(Table1[appointment_status]="Cancelled","1","0")</f>
        <v>0</v>
      </c>
    </row>
    <row r="1673" spans="1:23">
      <c r="A1673" t="s">
        <v>2748</v>
      </c>
      <c r="B1673" t="s">
        <v>2749</v>
      </c>
      <c r="C1673">
        <v>40</v>
      </c>
      <c r="D1673" t="str" cm="1">
        <f t="array" ref="D1673">_xlfn.IFS(Table1[[#This Row],[age]]&lt;=17,"0-17",C1673&lt;=29,"18-29",C1673&lt;=44,"30-44",C1673&lt;=59,"45-59",C1673&lt;=74,"60-74",TRUE,"75+")</f>
        <v>30-44</v>
      </c>
      <c r="E1673" t="s">
        <v>29</v>
      </c>
      <c r="F1673">
        <v>5</v>
      </c>
      <c r="G1673" t="str" cm="1">
        <f t="array" ref="G1673">_xlfn.IFS(_xlfn.SINGLE(Table1[imd_decile])&lt;=3,"Most Deprived",F1673&lt;=7,"Moderately Deprived",F1673&lt;=10,"Least Deprived")</f>
        <v>Moderately Deprived</v>
      </c>
      <c r="H1673">
        <v>8.1</v>
      </c>
      <c r="I1673" t="s">
        <v>91</v>
      </c>
      <c r="J1673" t="s">
        <v>26</v>
      </c>
      <c r="K1673" s="1">
        <v>45889</v>
      </c>
      <c r="L1673" s="1">
        <v>45898</v>
      </c>
      <c r="M1673" s="1" t="str">
        <f>TEXT(Table1[[#This Row],[appointment_date]],"MM/YYYY")</f>
        <v>08/2025</v>
      </c>
      <c r="N1673">
        <v>9</v>
      </c>
      <c r="O1673" t="str" cm="1">
        <f t="array" ref="O1673">_xlfn.IFS(Table1[[#This Row],[lead_time_days]]&lt;=7,"0-7 days",N1673&lt;=14,"8-14 days",N1673&lt;=30,"15-30 days",N1673&lt;=60,"31-60 days",TRUE,"61+ days")</f>
        <v>8-14 days</v>
      </c>
      <c r="P1673" t="s">
        <v>52</v>
      </c>
      <c r="Q1673" t="s">
        <v>21</v>
      </c>
      <c r="R1673">
        <v>0</v>
      </c>
      <c r="S1673" t="str">
        <f>IF(Table1[prior_dna_count]&gt;=1,"Has prior DNA history","No prior DNA history")</f>
        <v>No prior DNA history</v>
      </c>
      <c r="T1673" t="s">
        <v>22</v>
      </c>
      <c r="U1673" t="str">
        <f t="shared" si="26"/>
        <v>1</v>
      </c>
      <c r="V1673" t="str">
        <f>IF(Table1[appointment_status]="Attended","1","0")</f>
        <v>1</v>
      </c>
      <c r="W1673" t="str">
        <f>IF(Table1[appointment_status]="Cancelled","1","0")</f>
        <v>0</v>
      </c>
    </row>
    <row r="1674" spans="1:23">
      <c r="A1674" t="s">
        <v>2750</v>
      </c>
      <c r="B1674" t="s">
        <v>1519</v>
      </c>
      <c r="C1674">
        <v>44</v>
      </c>
      <c r="D1674" t="str" cm="1">
        <f t="array" ref="D1674">_xlfn.IFS(Table1[[#This Row],[age]]&lt;=17,"0-17",C1674&lt;=29,"18-29",C1674&lt;=44,"30-44",C1674&lt;=59,"45-59",C1674&lt;=74,"60-74",TRUE,"75+")</f>
        <v>30-44</v>
      </c>
      <c r="E1674" t="s">
        <v>17</v>
      </c>
      <c r="F1674">
        <v>10</v>
      </c>
      <c r="G1674" t="str" cm="1">
        <f t="array" ref="G1674">_xlfn.IFS(_xlfn.SINGLE(Table1[imd_decile])&lt;=3,"Most Deprived",F1674&lt;=7,"Moderately Deprived",F1674&lt;=10,"Least Deprived")</f>
        <v>Least Deprived</v>
      </c>
      <c r="H1674">
        <v>2.2000000000000002</v>
      </c>
      <c r="I1674" t="s">
        <v>58</v>
      </c>
      <c r="J1674" t="s">
        <v>19</v>
      </c>
      <c r="K1674" s="1">
        <v>45881</v>
      </c>
      <c r="L1674" s="1">
        <v>45898</v>
      </c>
      <c r="M1674" s="1" t="str">
        <f>TEXT(Table1[[#This Row],[appointment_date]],"MM/YYYY")</f>
        <v>08/2025</v>
      </c>
      <c r="N1674">
        <v>17</v>
      </c>
      <c r="O1674" t="str" cm="1">
        <f t="array" ref="O1674">_xlfn.IFS(Table1[[#This Row],[lead_time_days]]&lt;=7,"0-7 days",N1674&lt;=14,"8-14 days",N1674&lt;=30,"15-30 days",N1674&lt;=60,"31-60 days",TRUE,"61+ days")</f>
        <v>15-30 days</v>
      </c>
      <c r="P1674" t="s">
        <v>52</v>
      </c>
      <c r="Q1674" t="s">
        <v>21</v>
      </c>
      <c r="R1674">
        <v>0</v>
      </c>
      <c r="S1674" t="str">
        <f>IF(Table1[prior_dna_count]&gt;=1,"Has prior DNA history","No prior DNA history")</f>
        <v>No prior DNA history</v>
      </c>
      <c r="T1674" t="s">
        <v>46</v>
      </c>
      <c r="U1674" t="str">
        <f t="shared" si="26"/>
        <v>1</v>
      </c>
      <c r="V1674" t="str">
        <f>IF(Table1[appointment_status]="Attended","1","0")</f>
        <v>0</v>
      </c>
      <c r="W1674" t="str">
        <f>IF(Table1[appointment_status]="Cancelled","1","0")</f>
        <v>1</v>
      </c>
    </row>
    <row r="1675" spans="1:23">
      <c r="A1675" t="s">
        <v>2751</v>
      </c>
      <c r="B1675" t="s">
        <v>576</v>
      </c>
      <c r="C1675">
        <v>28</v>
      </c>
      <c r="D1675" t="str" cm="1">
        <f t="array" ref="D1675">_xlfn.IFS(Table1[[#This Row],[age]]&lt;=17,"0-17",C1675&lt;=29,"18-29",C1675&lt;=44,"30-44",C1675&lt;=59,"45-59",C1675&lt;=74,"60-74",TRUE,"75+")</f>
        <v>18-29</v>
      </c>
      <c r="E1675" t="s">
        <v>29</v>
      </c>
      <c r="F1675">
        <v>6</v>
      </c>
      <c r="G1675" t="str" cm="1">
        <f t="array" ref="G1675">_xlfn.IFS(_xlfn.SINGLE(Table1[imd_decile])&lt;=3,"Most Deprived",F1675&lt;=7,"Moderately Deprived",F1675&lt;=10,"Least Deprived")</f>
        <v>Moderately Deprived</v>
      </c>
      <c r="H1675">
        <v>6.7</v>
      </c>
      <c r="I1675" t="s">
        <v>58</v>
      </c>
      <c r="J1675" t="s">
        <v>19</v>
      </c>
      <c r="K1675" s="1">
        <v>45862</v>
      </c>
      <c r="L1675" s="1">
        <v>45898</v>
      </c>
      <c r="M1675" s="1" t="str">
        <f>TEXT(Table1[[#This Row],[appointment_date]],"MM/YYYY")</f>
        <v>08/2025</v>
      </c>
      <c r="N1675">
        <v>36</v>
      </c>
      <c r="O1675" t="str" cm="1">
        <f t="array" ref="O1675">_xlfn.IFS(Table1[[#This Row],[lead_time_days]]&lt;=7,"0-7 days",N1675&lt;=14,"8-14 days",N1675&lt;=30,"15-30 days",N1675&lt;=60,"31-60 days",TRUE,"61+ days")</f>
        <v>31-60 days</v>
      </c>
      <c r="P1675" t="s">
        <v>52</v>
      </c>
      <c r="Q1675" t="s">
        <v>21</v>
      </c>
      <c r="R1675">
        <v>0</v>
      </c>
      <c r="S1675" t="str">
        <f>IF(Table1[prior_dna_count]&gt;=1,"Has prior DNA history","No prior DNA history")</f>
        <v>No prior DNA history</v>
      </c>
      <c r="T1675" t="s">
        <v>22</v>
      </c>
      <c r="U1675" t="str">
        <f t="shared" si="26"/>
        <v>0</v>
      </c>
      <c r="V1675" t="str">
        <f>IF(Table1[appointment_status]="Attended","1","0")</f>
        <v>1</v>
      </c>
      <c r="W1675" t="str">
        <f>IF(Table1[appointment_status]="Cancelled","1","0")</f>
        <v>0</v>
      </c>
    </row>
    <row r="1676" spans="1:23">
      <c r="A1676" t="s">
        <v>2752</v>
      </c>
      <c r="B1676" t="s">
        <v>1109</v>
      </c>
      <c r="C1676">
        <v>54</v>
      </c>
      <c r="D1676" t="str" cm="1">
        <f t="array" ref="D1676">_xlfn.IFS(Table1[[#This Row],[age]]&lt;=17,"0-17",C1676&lt;=29,"18-29",C1676&lt;=44,"30-44",C1676&lt;=59,"45-59",C1676&lt;=74,"60-74",TRUE,"75+")</f>
        <v>45-59</v>
      </c>
      <c r="E1676" t="s">
        <v>17</v>
      </c>
      <c r="F1676">
        <v>5</v>
      </c>
      <c r="G1676" t="str" cm="1">
        <f t="array" ref="G1676">_xlfn.IFS(_xlfn.SINGLE(Table1[imd_decile])&lt;=3,"Most Deprived",F1676&lt;=7,"Moderately Deprived",F1676&lt;=10,"Least Deprived")</f>
        <v>Moderately Deprived</v>
      </c>
      <c r="H1676">
        <v>22.7</v>
      </c>
      <c r="I1676" t="s">
        <v>42</v>
      </c>
      <c r="J1676" t="s">
        <v>19</v>
      </c>
      <c r="K1676" s="1">
        <v>45894</v>
      </c>
      <c r="L1676" s="1">
        <v>45898</v>
      </c>
      <c r="M1676" s="1" t="str">
        <f>TEXT(Table1[[#This Row],[appointment_date]],"MM/YYYY")</f>
        <v>08/2025</v>
      </c>
      <c r="N1676">
        <v>4</v>
      </c>
      <c r="O1676" t="str" cm="1">
        <f t="array" ref="O1676">_xlfn.IFS(Table1[[#This Row],[lead_time_days]]&lt;=7,"0-7 days",N1676&lt;=14,"8-14 days",N1676&lt;=30,"15-30 days",N1676&lt;=60,"31-60 days",TRUE,"61+ days")</f>
        <v>0-7 days</v>
      </c>
      <c r="P1676" t="s">
        <v>52</v>
      </c>
      <c r="Q1676" t="s">
        <v>21</v>
      </c>
      <c r="R1676">
        <v>0</v>
      </c>
      <c r="S1676" t="str">
        <f>IF(Table1[prior_dna_count]&gt;=1,"Has prior DNA history","No prior DNA history")</f>
        <v>No prior DNA history</v>
      </c>
      <c r="T1676" t="s">
        <v>22</v>
      </c>
      <c r="U1676" t="str">
        <f t="shared" si="26"/>
        <v>1</v>
      </c>
      <c r="V1676" t="str">
        <f>IF(Table1[appointment_status]="Attended","1","0")</f>
        <v>1</v>
      </c>
      <c r="W1676" t="str">
        <f>IF(Table1[appointment_status]="Cancelled","1","0")</f>
        <v>0</v>
      </c>
    </row>
    <row r="1677" spans="1:23">
      <c r="A1677" t="s">
        <v>2753</v>
      </c>
      <c r="B1677" t="s">
        <v>1712</v>
      </c>
      <c r="C1677">
        <v>85</v>
      </c>
      <c r="D1677" t="str" cm="1">
        <f t="array" ref="D1677">_xlfn.IFS(Table1[[#This Row],[age]]&lt;=17,"0-17",C1677&lt;=29,"18-29",C1677&lt;=44,"30-44",C1677&lt;=59,"45-59",C1677&lt;=74,"60-74",TRUE,"75+")</f>
        <v>75+</v>
      </c>
      <c r="E1677" t="s">
        <v>29</v>
      </c>
      <c r="F1677">
        <v>1</v>
      </c>
      <c r="G1677" t="str" cm="1">
        <f t="array" ref="G1677">_xlfn.IFS(_xlfn.SINGLE(Table1[imd_decile])&lt;=3,"Most Deprived",F1677&lt;=7,"Moderately Deprived",F1677&lt;=10,"Least Deprived")</f>
        <v>Most Deprived</v>
      </c>
      <c r="H1677">
        <v>6.1</v>
      </c>
      <c r="I1677" t="s">
        <v>30</v>
      </c>
      <c r="J1677" t="s">
        <v>19</v>
      </c>
      <c r="K1677" s="1">
        <v>45870</v>
      </c>
      <c r="L1677" s="1">
        <v>45899</v>
      </c>
      <c r="M1677" s="1" t="str">
        <f>TEXT(Table1[[#This Row],[appointment_date]],"MM/YYYY")</f>
        <v>08/2025</v>
      </c>
      <c r="N1677">
        <v>29</v>
      </c>
      <c r="O1677" t="str" cm="1">
        <f t="array" ref="O1677">_xlfn.IFS(Table1[[#This Row],[lead_time_days]]&lt;=7,"0-7 days",N1677&lt;=14,"8-14 days",N1677&lt;=30,"15-30 days",N1677&lt;=60,"31-60 days",TRUE,"61+ days")</f>
        <v>15-30 days</v>
      </c>
      <c r="P1677" t="s">
        <v>55</v>
      </c>
      <c r="Q1677" t="s">
        <v>32</v>
      </c>
      <c r="R1677">
        <v>0</v>
      </c>
      <c r="S1677" t="str">
        <f>IF(Table1[prior_dna_count]&gt;=1,"Has prior DNA history","No prior DNA history")</f>
        <v>No prior DNA history</v>
      </c>
      <c r="T1677" t="s">
        <v>22</v>
      </c>
      <c r="U1677" t="str">
        <f t="shared" si="26"/>
        <v>1</v>
      </c>
      <c r="V1677" t="str">
        <f>IF(Table1[appointment_status]="Attended","1","0")</f>
        <v>1</v>
      </c>
      <c r="W1677" t="str">
        <f>IF(Table1[appointment_status]="Cancelled","1","0")</f>
        <v>0</v>
      </c>
    </row>
    <row r="1678" spans="1:23">
      <c r="A1678" t="s">
        <v>2754</v>
      </c>
      <c r="B1678" t="s">
        <v>924</v>
      </c>
      <c r="C1678">
        <v>30</v>
      </c>
      <c r="D1678" t="str" cm="1">
        <f t="array" ref="D1678">_xlfn.IFS(Table1[[#This Row],[age]]&lt;=17,"0-17",C1678&lt;=29,"18-29",C1678&lt;=44,"30-44",C1678&lt;=59,"45-59",C1678&lt;=74,"60-74",TRUE,"75+")</f>
        <v>30-44</v>
      </c>
      <c r="E1678" t="s">
        <v>29</v>
      </c>
      <c r="F1678">
        <v>5</v>
      </c>
      <c r="G1678" t="str" cm="1">
        <f t="array" ref="G1678">_xlfn.IFS(_xlfn.SINGLE(Table1[imd_decile])&lt;=3,"Most Deprived",F1678&lt;=7,"Moderately Deprived",F1678&lt;=10,"Least Deprived")</f>
        <v>Moderately Deprived</v>
      </c>
      <c r="H1678">
        <v>4.9000000000000004</v>
      </c>
      <c r="I1678" t="s">
        <v>45</v>
      </c>
      <c r="J1678" t="s">
        <v>19</v>
      </c>
      <c r="K1678" s="1">
        <v>45853</v>
      </c>
      <c r="L1678" s="1">
        <v>45899</v>
      </c>
      <c r="M1678" s="1" t="str">
        <f>TEXT(Table1[[#This Row],[appointment_date]],"MM/YYYY")</f>
        <v>08/2025</v>
      </c>
      <c r="N1678">
        <v>46</v>
      </c>
      <c r="O1678" t="str" cm="1">
        <f t="array" ref="O1678">_xlfn.IFS(Table1[[#This Row],[lead_time_days]]&lt;=7,"0-7 days",N1678&lt;=14,"8-14 days",N1678&lt;=30,"15-30 days",N1678&lt;=60,"31-60 days",TRUE,"61+ days")</f>
        <v>31-60 days</v>
      </c>
      <c r="P1678" t="s">
        <v>55</v>
      </c>
      <c r="Q1678" t="s">
        <v>21</v>
      </c>
      <c r="R1678">
        <v>0</v>
      </c>
      <c r="S1678" t="str">
        <f>IF(Table1[prior_dna_count]&gt;=1,"Has prior DNA history","No prior DNA history")</f>
        <v>No prior DNA history</v>
      </c>
      <c r="T1678" t="s">
        <v>22</v>
      </c>
      <c r="U1678" t="str">
        <f t="shared" si="26"/>
        <v>1</v>
      </c>
      <c r="V1678" t="str">
        <f>IF(Table1[appointment_status]="Attended","1","0")</f>
        <v>1</v>
      </c>
      <c r="W1678" t="str">
        <f>IF(Table1[appointment_status]="Cancelled","1","0")</f>
        <v>0</v>
      </c>
    </row>
    <row r="1679" spans="1:23">
      <c r="A1679" t="s">
        <v>2755</v>
      </c>
      <c r="B1679" t="s">
        <v>881</v>
      </c>
      <c r="C1679">
        <v>81</v>
      </c>
      <c r="D1679" t="str" cm="1">
        <f t="array" ref="D1679">_xlfn.IFS(Table1[[#This Row],[age]]&lt;=17,"0-17",C1679&lt;=29,"18-29",C1679&lt;=44,"30-44",C1679&lt;=59,"45-59",C1679&lt;=74,"60-74",TRUE,"75+")</f>
        <v>75+</v>
      </c>
      <c r="E1679" t="s">
        <v>17</v>
      </c>
      <c r="F1679">
        <v>1</v>
      </c>
      <c r="G1679" t="str" cm="1">
        <f t="array" ref="G1679">_xlfn.IFS(_xlfn.SINGLE(Table1[imd_decile])&lt;=3,"Most Deprived",F1679&lt;=7,"Moderately Deprived",F1679&lt;=10,"Least Deprived")</f>
        <v>Most Deprived</v>
      </c>
      <c r="H1679">
        <v>26.2</v>
      </c>
      <c r="I1679" t="s">
        <v>42</v>
      </c>
      <c r="J1679" t="s">
        <v>26</v>
      </c>
      <c r="K1679" s="1">
        <v>45883</v>
      </c>
      <c r="L1679" s="1">
        <v>45899</v>
      </c>
      <c r="M1679" s="1" t="str">
        <f>TEXT(Table1[[#This Row],[appointment_date]],"MM/YYYY")</f>
        <v>08/2025</v>
      </c>
      <c r="N1679">
        <v>16</v>
      </c>
      <c r="O1679" t="str" cm="1">
        <f t="array" ref="O1679">_xlfn.IFS(Table1[[#This Row],[lead_time_days]]&lt;=7,"0-7 days",N1679&lt;=14,"8-14 days",N1679&lt;=30,"15-30 days",N1679&lt;=60,"31-60 days",TRUE,"61+ days")</f>
        <v>15-30 days</v>
      </c>
      <c r="P1679" t="s">
        <v>55</v>
      </c>
      <c r="Q1679" t="s">
        <v>21</v>
      </c>
      <c r="R1679">
        <v>0</v>
      </c>
      <c r="S1679" t="str">
        <f>IF(Table1[prior_dna_count]&gt;=1,"Has prior DNA history","No prior DNA history")</f>
        <v>No prior DNA history</v>
      </c>
      <c r="T1679" t="s">
        <v>22</v>
      </c>
      <c r="U1679" t="str">
        <f t="shared" si="26"/>
        <v>1</v>
      </c>
      <c r="V1679" t="str">
        <f>IF(Table1[appointment_status]="Attended","1","0")</f>
        <v>1</v>
      </c>
      <c r="W1679" t="str">
        <f>IF(Table1[appointment_status]="Cancelled","1","0")</f>
        <v>0</v>
      </c>
    </row>
    <row r="1680" spans="1:23">
      <c r="A1680" t="s">
        <v>2756</v>
      </c>
      <c r="B1680" t="s">
        <v>1323</v>
      </c>
      <c r="C1680">
        <v>46</v>
      </c>
      <c r="D1680" t="str" cm="1">
        <f t="array" ref="D1680">_xlfn.IFS(Table1[[#This Row],[age]]&lt;=17,"0-17",C1680&lt;=29,"18-29",C1680&lt;=44,"30-44",C1680&lt;=59,"45-59",C1680&lt;=74,"60-74",TRUE,"75+")</f>
        <v>45-59</v>
      </c>
      <c r="E1680" t="s">
        <v>29</v>
      </c>
      <c r="F1680">
        <v>2</v>
      </c>
      <c r="G1680" t="str" cm="1">
        <f t="array" ref="G1680">_xlfn.IFS(_xlfn.SINGLE(Table1[imd_decile])&lt;=3,"Most Deprived",F1680&lt;=7,"Moderately Deprived",F1680&lt;=10,"Least Deprived")</f>
        <v>Most Deprived</v>
      </c>
      <c r="H1680">
        <v>5.8</v>
      </c>
      <c r="I1680" t="s">
        <v>30</v>
      </c>
      <c r="J1680" t="s">
        <v>26</v>
      </c>
      <c r="K1680" s="1">
        <v>45884</v>
      </c>
      <c r="L1680" s="1">
        <v>45899</v>
      </c>
      <c r="M1680" s="1" t="str">
        <f>TEXT(Table1[[#This Row],[appointment_date]],"MM/YYYY")</f>
        <v>08/2025</v>
      </c>
      <c r="N1680">
        <v>15</v>
      </c>
      <c r="O1680" t="str" cm="1">
        <f t="array" ref="O1680">_xlfn.IFS(Table1[[#This Row],[lead_time_days]]&lt;=7,"0-7 days",N1680&lt;=14,"8-14 days",N1680&lt;=30,"15-30 days",N1680&lt;=60,"31-60 days",TRUE,"61+ days")</f>
        <v>15-30 days</v>
      </c>
      <c r="P1680" t="s">
        <v>55</v>
      </c>
      <c r="Q1680" t="s">
        <v>32</v>
      </c>
      <c r="R1680">
        <v>0</v>
      </c>
      <c r="S1680" t="str">
        <f>IF(Table1[prior_dna_count]&gt;=1,"Has prior DNA history","No prior DNA history")</f>
        <v>No prior DNA history</v>
      </c>
      <c r="T1680" t="s">
        <v>22</v>
      </c>
      <c r="U1680" t="str">
        <f t="shared" si="26"/>
        <v>1</v>
      </c>
      <c r="V1680" t="str">
        <f>IF(Table1[appointment_status]="Attended","1","0")</f>
        <v>1</v>
      </c>
      <c r="W1680" t="str">
        <f>IF(Table1[appointment_status]="Cancelled","1","0")</f>
        <v>0</v>
      </c>
    </row>
    <row r="1681" spans="1:23">
      <c r="A1681" t="s">
        <v>2757</v>
      </c>
      <c r="B1681" t="s">
        <v>2758</v>
      </c>
      <c r="C1681">
        <v>59</v>
      </c>
      <c r="D1681" t="str" cm="1">
        <f t="array" ref="D1681">_xlfn.IFS(Table1[[#This Row],[age]]&lt;=17,"0-17",C1681&lt;=29,"18-29",C1681&lt;=44,"30-44",C1681&lt;=59,"45-59",C1681&lt;=74,"60-74",TRUE,"75+")</f>
        <v>45-59</v>
      </c>
      <c r="E1681" t="s">
        <v>29</v>
      </c>
      <c r="F1681">
        <v>3</v>
      </c>
      <c r="G1681" t="str" cm="1">
        <f t="array" ref="G1681">_xlfn.IFS(_xlfn.SINGLE(Table1[imd_decile])&lt;=3,"Most Deprived",F1681&lt;=7,"Moderately Deprived",F1681&lt;=10,"Least Deprived")</f>
        <v>Most Deprived</v>
      </c>
      <c r="H1681">
        <v>5.8</v>
      </c>
      <c r="I1681" t="s">
        <v>25</v>
      </c>
      <c r="J1681" t="s">
        <v>19</v>
      </c>
      <c r="K1681" s="1">
        <v>45896</v>
      </c>
      <c r="L1681" s="1">
        <v>45899</v>
      </c>
      <c r="M1681" s="1" t="str">
        <f>TEXT(Table1[[#This Row],[appointment_date]],"MM/YYYY")</f>
        <v>08/2025</v>
      </c>
      <c r="N1681">
        <v>3</v>
      </c>
      <c r="O1681" t="str" cm="1">
        <f t="array" ref="O1681">_xlfn.IFS(Table1[[#This Row],[lead_time_days]]&lt;=7,"0-7 days",N1681&lt;=14,"8-14 days",N1681&lt;=30,"15-30 days",N1681&lt;=60,"31-60 days",TRUE,"61+ days")</f>
        <v>0-7 days</v>
      </c>
      <c r="P1681" t="s">
        <v>55</v>
      </c>
      <c r="Q1681" t="s">
        <v>21</v>
      </c>
      <c r="R1681">
        <v>0</v>
      </c>
      <c r="S1681" t="str">
        <f>IF(Table1[prior_dna_count]&gt;=1,"Has prior DNA history","No prior DNA history")</f>
        <v>No prior DNA history</v>
      </c>
      <c r="T1681" t="s">
        <v>22</v>
      </c>
      <c r="U1681" t="str">
        <f t="shared" si="26"/>
        <v>1</v>
      </c>
      <c r="V1681" t="str">
        <f>IF(Table1[appointment_status]="Attended","1","0")</f>
        <v>1</v>
      </c>
      <c r="W1681" t="str">
        <f>IF(Table1[appointment_status]="Cancelled","1","0")</f>
        <v>0</v>
      </c>
    </row>
    <row r="1682" spans="1:23">
      <c r="A1682" t="s">
        <v>2759</v>
      </c>
      <c r="B1682" t="s">
        <v>423</v>
      </c>
      <c r="C1682">
        <v>53</v>
      </c>
      <c r="D1682" t="str" cm="1">
        <f t="array" ref="D1682">_xlfn.IFS(Table1[[#This Row],[age]]&lt;=17,"0-17",C1682&lt;=29,"18-29",C1682&lt;=44,"30-44",C1682&lt;=59,"45-59",C1682&lt;=74,"60-74",TRUE,"75+")</f>
        <v>45-59</v>
      </c>
      <c r="E1682" t="s">
        <v>17</v>
      </c>
      <c r="F1682">
        <v>4</v>
      </c>
      <c r="G1682" t="str" cm="1">
        <f t="array" ref="G1682">_xlfn.IFS(_xlfn.SINGLE(Table1[imd_decile])&lt;=3,"Most Deprived",F1682&lt;=7,"Moderately Deprived",F1682&lt;=10,"Least Deprived")</f>
        <v>Moderately Deprived</v>
      </c>
      <c r="H1682">
        <v>3.8</v>
      </c>
      <c r="I1682" t="s">
        <v>25</v>
      </c>
      <c r="J1682" t="s">
        <v>26</v>
      </c>
      <c r="K1682" s="1">
        <v>45852</v>
      </c>
      <c r="L1682" s="1">
        <v>45900</v>
      </c>
      <c r="M1682" s="1" t="str">
        <f>TEXT(Table1[[#This Row],[appointment_date]],"MM/YYYY")</f>
        <v>08/2025</v>
      </c>
      <c r="N1682">
        <v>48</v>
      </c>
      <c r="O1682" t="str" cm="1">
        <f t="array" ref="O1682">_xlfn.IFS(Table1[[#This Row],[lead_time_days]]&lt;=7,"0-7 days",N1682&lt;=14,"8-14 days",N1682&lt;=30,"15-30 days",N1682&lt;=60,"31-60 days",TRUE,"61+ days")</f>
        <v>31-60 days</v>
      </c>
      <c r="P1682" t="s">
        <v>31</v>
      </c>
      <c r="Q1682" t="s">
        <v>21</v>
      </c>
      <c r="R1682">
        <v>0</v>
      </c>
      <c r="S1682" t="str">
        <f>IF(Table1[prior_dna_count]&gt;=1,"Has prior DNA history","No prior DNA history")</f>
        <v>No prior DNA history</v>
      </c>
      <c r="T1682" t="s">
        <v>22</v>
      </c>
      <c r="U1682" t="str">
        <f t="shared" si="26"/>
        <v>1</v>
      </c>
      <c r="V1682" t="str">
        <f>IF(Table1[appointment_status]="Attended","1","0")</f>
        <v>1</v>
      </c>
      <c r="W1682" t="str">
        <f>IF(Table1[appointment_status]="Cancelled","1","0")</f>
        <v>0</v>
      </c>
    </row>
    <row r="1683" spans="1:23">
      <c r="A1683" t="s">
        <v>2760</v>
      </c>
      <c r="B1683" t="s">
        <v>2630</v>
      </c>
      <c r="C1683">
        <v>29</v>
      </c>
      <c r="D1683" t="str" cm="1">
        <f t="array" ref="D1683">_xlfn.IFS(Table1[[#This Row],[age]]&lt;=17,"0-17",C1683&lt;=29,"18-29",C1683&lt;=44,"30-44",C1683&lt;=59,"45-59",C1683&lt;=74,"60-74",TRUE,"75+")</f>
        <v>18-29</v>
      </c>
      <c r="E1683" t="s">
        <v>29</v>
      </c>
      <c r="F1683">
        <v>9</v>
      </c>
      <c r="G1683" t="str" cm="1">
        <f t="array" ref="G1683">_xlfn.IFS(_xlfn.SINGLE(Table1[imd_decile])&lt;=3,"Most Deprived",F1683&lt;=7,"Moderately Deprived",F1683&lt;=10,"Least Deprived")</f>
        <v>Least Deprived</v>
      </c>
      <c r="H1683">
        <v>8.5</v>
      </c>
      <c r="I1683" t="s">
        <v>45</v>
      </c>
      <c r="J1683" t="s">
        <v>19</v>
      </c>
      <c r="K1683" s="1">
        <v>45875</v>
      </c>
      <c r="L1683" s="1">
        <v>45900</v>
      </c>
      <c r="M1683" s="1" t="str">
        <f>TEXT(Table1[[#This Row],[appointment_date]],"MM/YYYY")</f>
        <v>08/2025</v>
      </c>
      <c r="N1683">
        <v>25</v>
      </c>
      <c r="O1683" t="str" cm="1">
        <f t="array" ref="O1683">_xlfn.IFS(Table1[[#This Row],[lead_time_days]]&lt;=7,"0-7 days",N1683&lt;=14,"8-14 days",N1683&lt;=30,"15-30 days",N1683&lt;=60,"31-60 days",TRUE,"61+ days")</f>
        <v>15-30 days</v>
      </c>
      <c r="P1683" t="s">
        <v>31</v>
      </c>
      <c r="Q1683" t="s">
        <v>21</v>
      </c>
      <c r="R1683">
        <v>0</v>
      </c>
      <c r="S1683" t="str">
        <f>IF(Table1[prior_dna_count]&gt;=1,"Has prior DNA history","No prior DNA history")</f>
        <v>No prior DNA history</v>
      </c>
      <c r="T1683" t="s">
        <v>22</v>
      </c>
      <c r="U1683" t="str">
        <f t="shared" si="26"/>
        <v>1</v>
      </c>
      <c r="V1683" t="str">
        <f>IF(Table1[appointment_status]="Attended","1","0")</f>
        <v>1</v>
      </c>
      <c r="W1683" t="str">
        <f>IF(Table1[appointment_status]="Cancelled","1","0")</f>
        <v>0</v>
      </c>
    </row>
    <row r="1684" spans="1:23">
      <c r="A1684" t="s">
        <v>2761</v>
      </c>
      <c r="B1684" t="s">
        <v>1563</v>
      </c>
      <c r="C1684">
        <v>31</v>
      </c>
      <c r="D1684" t="str" cm="1">
        <f t="array" ref="D1684">_xlfn.IFS(Table1[[#This Row],[age]]&lt;=17,"0-17",C1684&lt;=29,"18-29",C1684&lt;=44,"30-44",C1684&lt;=59,"45-59",C1684&lt;=74,"60-74",TRUE,"75+")</f>
        <v>30-44</v>
      </c>
      <c r="E1684" t="s">
        <v>17</v>
      </c>
      <c r="F1684">
        <v>7</v>
      </c>
      <c r="G1684" t="str" cm="1">
        <f t="array" ref="G1684">_xlfn.IFS(_xlfn.SINGLE(Table1[imd_decile])&lt;=3,"Most Deprived",F1684&lt;=7,"Moderately Deprived",F1684&lt;=10,"Least Deprived")</f>
        <v>Moderately Deprived</v>
      </c>
      <c r="H1684">
        <v>8.8000000000000007</v>
      </c>
      <c r="I1684" t="s">
        <v>42</v>
      </c>
      <c r="J1684" t="s">
        <v>26</v>
      </c>
      <c r="K1684" s="1">
        <v>45888</v>
      </c>
      <c r="L1684" s="1">
        <v>45900</v>
      </c>
      <c r="M1684" s="1" t="str">
        <f>TEXT(Table1[[#This Row],[appointment_date]],"MM/YYYY")</f>
        <v>08/2025</v>
      </c>
      <c r="N1684">
        <v>12</v>
      </c>
      <c r="O1684" t="str" cm="1">
        <f t="array" ref="O1684">_xlfn.IFS(Table1[[#This Row],[lead_time_days]]&lt;=7,"0-7 days",N1684&lt;=14,"8-14 days",N1684&lt;=30,"15-30 days",N1684&lt;=60,"31-60 days",TRUE,"61+ days")</f>
        <v>8-14 days</v>
      </c>
      <c r="P1684" t="s">
        <v>31</v>
      </c>
      <c r="Q1684" t="s">
        <v>21</v>
      </c>
      <c r="R1684">
        <v>0</v>
      </c>
      <c r="S1684" t="str">
        <f>IF(Table1[prior_dna_count]&gt;=1,"Has prior DNA history","No prior DNA history")</f>
        <v>No prior DNA history</v>
      </c>
      <c r="T1684" t="s">
        <v>22</v>
      </c>
      <c r="U1684" t="str">
        <f t="shared" si="26"/>
        <v>1</v>
      </c>
      <c r="V1684" t="str">
        <f>IF(Table1[appointment_status]="Attended","1","0")</f>
        <v>1</v>
      </c>
      <c r="W1684" t="str">
        <f>IF(Table1[appointment_status]="Cancelled","1","0")</f>
        <v>0</v>
      </c>
    </row>
    <row r="1685" spans="1:23">
      <c r="A1685" t="s">
        <v>2762</v>
      </c>
      <c r="B1685" t="s">
        <v>419</v>
      </c>
      <c r="C1685">
        <v>59</v>
      </c>
      <c r="D1685" t="str" cm="1">
        <f t="array" ref="D1685">_xlfn.IFS(Table1[[#This Row],[age]]&lt;=17,"0-17",C1685&lt;=29,"18-29",C1685&lt;=44,"30-44",C1685&lt;=59,"45-59",C1685&lt;=74,"60-74",TRUE,"75+")</f>
        <v>45-59</v>
      </c>
      <c r="E1685" t="s">
        <v>17</v>
      </c>
      <c r="F1685">
        <v>1</v>
      </c>
      <c r="G1685" t="str" cm="1">
        <f t="array" ref="G1685">_xlfn.IFS(_xlfn.SINGLE(Table1[imd_decile])&lt;=3,"Most Deprived",F1685&lt;=7,"Moderately Deprived",F1685&lt;=10,"Least Deprived")</f>
        <v>Most Deprived</v>
      </c>
      <c r="H1685">
        <v>3.7</v>
      </c>
      <c r="I1685" t="s">
        <v>42</v>
      </c>
      <c r="J1685" t="s">
        <v>26</v>
      </c>
      <c r="K1685" s="1">
        <v>45895</v>
      </c>
      <c r="L1685" s="1">
        <v>45900</v>
      </c>
      <c r="M1685" s="1" t="str">
        <f>TEXT(Table1[[#This Row],[appointment_date]],"MM/YYYY")</f>
        <v>08/2025</v>
      </c>
      <c r="N1685">
        <v>5</v>
      </c>
      <c r="O1685" t="str" cm="1">
        <f t="array" ref="O1685">_xlfn.IFS(Table1[[#This Row],[lead_time_days]]&lt;=7,"0-7 days",N1685&lt;=14,"8-14 days",N1685&lt;=30,"15-30 days",N1685&lt;=60,"31-60 days",TRUE,"61+ days")</f>
        <v>0-7 days</v>
      </c>
      <c r="P1685" t="s">
        <v>31</v>
      </c>
      <c r="Q1685" t="s">
        <v>32</v>
      </c>
      <c r="R1685">
        <v>0</v>
      </c>
      <c r="S1685" t="str">
        <f>IF(Table1[prior_dna_count]&gt;=1,"Has prior DNA history","No prior DNA history")</f>
        <v>No prior DNA history</v>
      </c>
      <c r="T1685" t="s">
        <v>22</v>
      </c>
      <c r="U1685" t="str">
        <f t="shared" si="26"/>
        <v>1</v>
      </c>
      <c r="V1685" t="str">
        <f>IF(Table1[appointment_status]="Attended","1","0")</f>
        <v>1</v>
      </c>
      <c r="W1685" t="str">
        <f>IF(Table1[appointment_status]="Cancelled","1","0")</f>
        <v>0</v>
      </c>
    </row>
    <row r="1686" spans="1:23">
      <c r="A1686" t="s">
        <v>2763</v>
      </c>
      <c r="B1686" t="s">
        <v>348</v>
      </c>
      <c r="C1686">
        <v>43</v>
      </c>
      <c r="D1686" t="str" cm="1">
        <f t="array" ref="D1686">_xlfn.IFS(Table1[[#This Row],[age]]&lt;=17,"0-17",C1686&lt;=29,"18-29",C1686&lt;=44,"30-44",C1686&lt;=59,"45-59",C1686&lt;=74,"60-74",TRUE,"75+")</f>
        <v>30-44</v>
      </c>
      <c r="E1686" t="s">
        <v>29</v>
      </c>
      <c r="F1686">
        <v>2</v>
      </c>
      <c r="G1686" t="str" cm="1">
        <f t="array" ref="G1686">_xlfn.IFS(_xlfn.SINGLE(Table1[imd_decile])&lt;=3,"Most Deprived",F1686&lt;=7,"Moderately Deprived",F1686&lt;=10,"Least Deprived")</f>
        <v>Most Deprived</v>
      </c>
      <c r="H1686">
        <v>2.6</v>
      </c>
      <c r="I1686" t="s">
        <v>49</v>
      </c>
      <c r="J1686" t="s">
        <v>19</v>
      </c>
      <c r="K1686" s="1">
        <v>45868</v>
      </c>
      <c r="L1686" s="1">
        <v>45900</v>
      </c>
      <c r="M1686" s="1" t="str">
        <f>TEXT(Table1[[#This Row],[appointment_date]],"MM/YYYY")</f>
        <v>08/2025</v>
      </c>
      <c r="N1686">
        <v>32</v>
      </c>
      <c r="O1686" t="str" cm="1">
        <f t="array" ref="O1686">_xlfn.IFS(Table1[[#This Row],[lead_time_days]]&lt;=7,"0-7 days",N1686&lt;=14,"8-14 days",N1686&lt;=30,"15-30 days",N1686&lt;=60,"31-60 days",TRUE,"61+ days")</f>
        <v>31-60 days</v>
      </c>
      <c r="P1686" t="s">
        <v>31</v>
      </c>
      <c r="Q1686" t="s">
        <v>21</v>
      </c>
      <c r="R1686">
        <v>0</v>
      </c>
      <c r="S1686" t="str">
        <f>IF(Table1[prior_dna_count]&gt;=1,"Has prior DNA history","No prior DNA history")</f>
        <v>No prior DNA history</v>
      </c>
      <c r="T1686" t="s">
        <v>22</v>
      </c>
      <c r="U1686" t="str">
        <f t="shared" si="26"/>
        <v>1</v>
      </c>
      <c r="V1686" t="str">
        <f>IF(Table1[appointment_status]="Attended","1","0")</f>
        <v>1</v>
      </c>
      <c r="W1686" t="str">
        <f>IF(Table1[appointment_status]="Cancelled","1","0")</f>
        <v>0</v>
      </c>
    </row>
    <row r="1687" spans="1:23">
      <c r="A1687" t="s">
        <v>2764</v>
      </c>
      <c r="B1687" t="s">
        <v>851</v>
      </c>
      <c r="C1687">
        <v>51</v>
      </c>
      <c r="D1687" t="str" cm="1">
        <f t="array" ref="D1687">_xlfn.IFS(Table1[[#This Row],[age]]&lt;=17,"0-17",C1687&lt;=29,"18-29",C1687&lt;=44,"30-44",C1687&lt;=59,"45-59",C1687&lt;=74,"60-74",TRUE,"75+")</f>
        <v>45-59</v>
      </c>
      <c r="E1687" t="s">
        <v>29</v>
      </c>
      <c r="F1687">
        <v>4</v>
      </c>
      <c r="G1687" t="str" cm="1">
        <f t="array" ref="G1687">_xlfn.IFS(_xlfn.SINGLE(Table1[imd_decile])&lt;=3,"Most Deprived",F1687&lt;=7,"Moderately Deprived",F1687&lt;=10,"Least Deprived")</f>
        <v>Moderately Deprived</v>
      </c>
      <c r="H1687">
        <v>5.0999999999999996</v>
      </c>
      <c r="I1687" t="s">
        <v>18</v>
      </c>
      <c r="J1687" t="s">
        <v>19</v>
      </c>
      <c r="K1687" s="1">
        <v>45881</v>
      </c>
      <c r="L1687" s="1">
        <v>45901</v>
      </c>
      <c r="M1687" s="1" t="str">
        <f>TEXT(Table1[[#This Row],[appointment_date]],"MM/YYYY")</f>
        <v>09/2025</v>
      </c>
      <c r="N1687">
        <v>20</v>
      </c>
      <c r="O1687" t="str" cm="1">
        <f t="array" ref="O1687">_xlfn.IFS(Table1[[#This Row],[lead_time_days]]&lt;=7,"0-7 days",N1687&lt;=14,"8-14 days",N1687&lt;=30,"15-30 days",N1687&lt;=60,"31-60 days",TRUE,"61+ days")</f>
        <v>15-30 days</v>
      </c>
      <c r="P1687" t="s">
        <v>35</v>
      </c>
      <c r="Q1687" t="s">
        <v>21</v>
      </c>
      <c r="R1687">
        <v>0</v>
      </c>
      <c r="S1687" t="str">
        <f>IF(Table1[prior_dna_count]&gt;=1,"Has prior DNA history","No prior DNA history")</f>
        <v>No prior DNA history</v>
      </c>
      <c r="T1687" t="s">
        <v>22</v>
      </c>
      <c r="U1687" t="str">
        <f t="shared" si="26"/>
        <v>1</v>
      </c>
      <c r="V1687" t="str">
        <f>IF(Table1[appointment_status]="Attended","1","0")</f>
        <v>1</v>
      </c>
      <c r="W1687" t="str">
        <f>IF(Table1[appointment_status]="Cancelled","1","0")</f>
        <v>0</v>
      </c>
    </row>
    <row r="1688" spans="1:23">
      <c r="A1688" t="s">
        <v>2765</v>
      </c>
      <c r="B1688" t="s">
        <v>2766</v>
      </c>
      <c r="C1688">
        <v>57</v>
      </c>
      <c r="D1688" t="str" cm="1">
        <f t="array" ref="D1688">_xlfn.IFS(Table1[[#This Row],[age]]&lt;=17,"0-17",C1688&lt;=29,"18-29",C1688&lt;=44,"30-44",C1688&lt;=59,"45-59",C1688&lt;=74,"60-74",TRUE,"75+")</f>
        <v>45-59</v>
      </c>
      <c r="E1688" t="s">
        <v>29</v>
      </c>
      <c r="F1688">
        <v>6</v>
      </c>
      <c r="G1688" t="str" cm="1">
        <f t="array" ref="G1688">_xlfn.IFS(_xlfn.SINGLE(Table1[imd_decile])&lt;=3,"Most Deprived",F1688&lt;=7,"Moderately Deprived",F1688&lt;=10,"Least Deprived")</f>
        <v>Moderately Deprived</v>
      </c>
      <c r="H1688">
        <v>11.3</v>
      </c>
      <c r="I1688" t="s">
        <v>42</v>
      </c>
      <c r="J1688" t="s">
        <v>19</v>
      </c>
      <c r="K1688" s="1">
        <v>45870</v>
      </c>
      <c r="L1688" s="1">
        <v>45901</v>
      </c>
      <c r="M1688" s="1" t="str">
        <f>TEXT(Table1[[#This Row],[appointment_date]],"MM/YYYY")</f>
        <v>09/2025</v>
      </c>
      <c r="N1688">
        <v>31</v>
      </c>
      <c r="O1688" t="str" cm="1">
        <f t="array" ref="O1688">_xlfn.IFS(Table1[[#This Row],[lead_time_days]]&lt;=7,"0-7 days",N1688&lt;=14,"8-14 days",N1688&lt;=30,"15-30 days",N1688&lt;=60,"31-60 days",TRUE,"61+ days")</f>
        <v>31-60 days</v>
      </c>
      <c r="P1688" t="s">
        <v>35</v>
      </c>
      <c r="Q1688" t="s">
        <v>32</v>
      </c>
      <c r="R1688">
        <v>0</v>
      </c>
      <c r="S1688" t="str">
        <f>IF(Table1[prior_dna_count]&gt;=1,"Has prior DNA history","No prior DNA history")</f>
        <v>No prior DNA history</v>
      </c>
      <c r="T1688" t="s">
        <v>22</v>
      </c>
      <c r="U1688" t="str">
        <f t="shared" si="26"/>
        <v>1</v>
      </c>
      <c r="V1688" t="str">
        <f>IF(Table1[appointment_status]="Attended","1","0")</f>
        <v>1</v>
      </c>
      <c r="W1688" t="str">
        <f>IF(Table1[appointment_status]="Cancelled","1","0")</f>
        <v>0</v>
      </c>
    </row>
    <row r="1689" spans="1:23">
      <c r="A1689" t="s">
        <v>2767</v>
      </c>
      <c r="B1689" t="s">
        <v>2768</v>
      </c>
      <c r="C1689">
        <v>53</v>
      </c>
      <c r="D1689" t="str" cm="1">
        <f t="array" ref="D1689">_xlfn.IFS(Table1[[#This Row],[age]]&lt;=17,"0-17",C1689&lt;=29,"18-29",C1689&lt;=44,"30-44",C1689&lt;=59,"45-59",C1689&lt;=74,"60-74",TRUE,"75+")</f>
        <v>45-59</v>
      </c>
      <c r="E1689" t="s">
        <v>17</v>
      </c>
      <c r="F1689">
        <v>3</v>
      </c>
      <c r="G1689" t="str" cm="1">
        <f t="array" ref="G1689">_xlfn.IFS(_xlfn.SINGLE(Table1[imd_decile])&lt;=3,"Most Deprived",F1689&lt;=7,"Moderately Deprived",F1689&lt;=10,"Least Deprived")</f>
        <v>Most Deprived</v>
      </c>
      <c r="H1689">
        <v>11.6</v>
      </c>
      <c r="I1689" t="s">
        <v>18</v>
      </c>
      <c r="J1689" t="s">
        <v>26</v>
      </c>
      <c r="K1689" s="1">
        <v>45888</v>
      </c>
      <c r="L1689" s="1">
        <v>45901</v>
      </c>
      <c r="M1689" s="1" t="str">
        <f>TEXT(Table1[[#This Row],[appointment_date]],"MM/YYYY")</f>
        <v>09/2025</v>
      </c>
      <c r="N1689">
        <v>13</v>
      </c>
      <c r="O1689" t="str" cm="1">
        <f t="array" ref="O1689">_xlfn.IFS(Table1[[#This Row],[lead_time_days]]&lt;=7,"0-7 days",N1689&lt;=14,"8-14 days",N1689&lt;=30,"15-30 days",N1689&lt;=60,"31-60 days",TRUE,"61+ days")</f>
        <v>8-14 days</v>
      </c>
      <c r="P1689" t="s">
        <v>35</v>
      </c>
      <c r="Q1689" t="s">
        <v>21</v>
      </c>
      <c r="R1689">
        <v>0</v>
      </c>
      <c r="S1689" t="str">
        <f>IF(Table1[prior_dna_count]&gt;=1,"Has prior DNA history","No prior DNA history")</f>
        <v>No prior DNA history</v>
      </c>
      <c r="T1689" t="s">
        <v>22</v>
      </c>
      <c r="U1689" t="str">
        <f t="shared" si="26"/>
        <v>1</v>
      </c>
      <c r="V1689" t="str">
        <f>IF(Table1[appointment_status]="Attended","1","0")</f>
        <v>1</v>
      </c>
      <c r="W1689" t="str">
        <f>IF(Table1[appointment_status]="Cancelled","1","0")</f>
        <v>0</v>
      </c>
    </row>
    <row r="1690" spans="1:23">
      <c r="A1690" t="s">
        <v>2769</v>
      </c>
      <c r="B1690" t="s">
        <v>2192</v>
      </c>
      <c r="C1690">
        <v>60</v>
      </c>
      <c r="D1690" t="str" cm="1">
        <f t="array" ref="D1690">_xlfn.IFS(Table1[[#This Row],[age]]&lt;=17,"0-17",C1690&lt;=29,"18-29",C1690&lt;=44,"30-44",C1690&lt;=59,"45-59",C1690&lt;=74,"60-74",TRUE,"75+")</f>
        <v>60-74</v>
      </c>
      <c r="E1690" t="s">
        <v>29</v>
      </c>
      <c r="F1690">
        <v>7</v>
      </c>
      <c r="G1690" t="str" cm="1">
        <f t="array" ref="G1690">_xlfn.IFS(_xlfn.SINGLE(Table1[imd_decile])&lt;=3,"Most Deprived",F1690&lt;=7,"Moderately Deprived",F1690&lt;=10,"Least Deprived")</f>
        <v>Moderately Deprived</v>
      </c>
      <c r="H1690">
        <v>18.5</v>
      </c>
      <c r="I1690" t="s">
        <v>58</v>
      </c>
      <c r="J1690" t="s">
        <v>19</v>
      </c>
      <c r="K1690" s="1">
        <v>45858</v>
      </c>
      <c r="L1690" s="1">
        <v>45901</v>
      </c>
      <c r="M1690" s="1" t="str">
        <f>TEXT(Table1[[#This Row],[appointment_date]],"MM/YYYY")</f>
        <v>09/2025</v>
      </c>
      <c r="N1690">
        <v>43</v>
      </c>
      <c r="O1690" t="str" cm="1">
        <f t="array" ref="O1690">_xlfn.IFS(Table1[[#This Row],[lead_time_days]]&lt;=7,"0-7 days",N1690&lt;=14,"8-14 days",N1690&lt;=30,"15-30 days",N1690&lt;=60,"31-60 days",TRUE,"61+ days")</f>
        <v>31-60 days</v>
      </c>
      <c r="P1690" t="s">
        <v>35</v>
      </c>
      <c r="Q1690" t="s">
        <v>21</v>
      </c>
      <c r="R1690">
        <v>0</v>
      </c>
      <c r="S1690" t="str">
        <f>IF(Table1[prior_dna_count]&gt;=1,"Has prior DNA history","No prior DNA history")</f>
        <v>No prior DNA history</v>
      </c>
      <c r="T1690" t="s">
        <v>46</v>
      </c>
      <c r="U1690" t="str">
        <f t="shared" si="26"/>
        <v>1</v>
      </c>
      <c r="V1690" t="str">
        <f>IF(Table1[appointment_status]="Attended","1","0")</f>
        <v>0</v>
      </c>
      <c r="W1690" t="str">
        <f>IF(Table1[appointment_status]="Cancelled","1","0")</f>
        <v>1</v>
      </c>
    </row>
    <row r="1691" spans="1:23">
      <c r="A1691" t="s">
        <v>2770</v>
      </c>
      <c r="B1691" t="s">
        <v>2771</v>
      </c>
      <c r="C1691">
        <v>19</v>
      </c>
      <c r="D1691" t="str" cm="1">
        <f t="array" ref="D1691">_xlfn.IFS(Table1[[#This Row],[age]]&lt;=17,"0-17",C1691&lt;=29,"18-29",C1691&lt;=44,"30-44",C1691&lt;=59,"45-59",C1691&lt;=74,"60-74",TRUE,"75+")</f>
        <v>18-29</v>
      </c>
      <c r="E1691" t="s">
        <v>17</v>
      </c>
      <c r="F1691">
        <v>1</v>
      </c>
      <c r="G1691" t="str" cm="1">
        <f t="array" ref="G1691">_xlfn.IFS(_xlfn.SINGLE(Table1[imd_decile])&lt;=3,"Most Deprived",F1691&lt;=7,"Moderately Deprived",F1691&lt;=10,"Least Deprived")</f>
        <v>Most Deprived</v>
      </c>
      <c r="H1691">
        <v>17.5</v>
      </c>
      <c r="I1691" t="s">
        <v>18</v>
      </c>
      <c r="J1691" t="s">
        <v>19</v>
      </c>
      <c r="K1691" s="1">
        <v>45890</v>
      </c>
      <c r="L1691" s="1">
        <v>45901</v>
      </c>
      <c r="M1691" s="1" t="str">
        <f>TEXT(Table1[[#This Row],[appointment_date]],"MM/YYYY")</f>
        <v>09/2025</v>
      </c>
      <c r="N1691">
        <v>11</v>
      </c>
      <c r="O1691" t="str" cm="1">
        <f t="array" ref="O1691">_xlfn.IFS(Table1[[#This Row],[lead_time_days]]&lt;=7,"0-7 days",N1691&lt;=14,"8-14 days",N1691&lt;=30,"15-30 days",N1691&lt;=60,"31-60 days",TRUE,"61+ days")</f>
        <v>8-14 days</v>
      </c>
      <c r="P1691" t="s">
        <v>35</v>
      </c>
      <c r="Q1691" t="s">
        <v>32</v>
      </c>
      <c r="R1691">
        <v>0</v>
      </c>
      <c r="S1691" t="str">
        <f>IF(Table1[prior_dna_count]&gt;=1,"Has prior DNA history","No prior DNA history")</f>
        <v>No prior DNA history</v>
      </c>
      <c r="T1691" t="s">
        <v>22</v>
      </c>
      <c r="U1691" t="str">
        <f t="shared" si="26"/>
        <v>0</v>
      </c>
      <c r="V1691" t="str">
        <f>IF(Table1[appointment_status]="Attended","1","0")</f>
        <v>1</v>
      </c>
      <c r="W1691" t="str">
        <f>IF(Table1[appointment_status]="Cancelled","1","0")</f>
        <v>0</v>
      </c>
    </row>
    <row r="1692" spans="1:23">
      <c r="A1692" t="s">
        <v>2772</v>
      </c>
      <c r="B1692" t="s">
        <v>1075</v>
      </c>
      <c r="C1692">
        <v>63</v>
      </c>
      <c r="D1692" t="str" cm="1">
        <f t="array" ref="D1692">_xlfn.IFS(Table1[[#This Row],[age]]&lt;=17,"0-17",C1692&lt;=29,"18-29",C1692&lt;=44,"30-44",C1692&lt;=59,"45-59",C1692&lt;=74,"60-74",TRUE,"75+")</f>
        <v>60-74</v>
      </c>
      <c r="E1692" t="s">
        <v>29</v>
      </c>
      <c r="F1692">
        <v>6</v>
      </c>
      <c r="G1692" t="str" cm="1">
        <f t="array" ref="G1692">_xlfn.IFS(_xlfn.SINGLE(Table1[imd_decile])&lt;=3,"Most Deprived",F1692&lt;=7,"Moderately Deprived",F1692&lt;=10,"Least Deprived")</f>
        <v>Moderately Deprived</v>
      </c>
      <c r="H1692">
        <v>5.4</v>
      </c>
      <c r="I1692" t="s">
        <v>38</v>
      </c>
      <c r="J1692" t="s">
        <v>19</v>
      </c>
      <c r="K1692" s="1">
        <v>45887</v>
      </c>
      <c r="L1692" s="1">
        <v>45901</v>
      </c>
      <c r="M1692" s="1" t="str">
        <f>TEXT(Table1[[#This Row],[appointment_date]],"MM/YYYY")</f>
        <v>09/2025</v>
      </c>
      <c r="N1692">
        <v>14</v>
      </c>
      <c r="O1692" t="str" cm="1">
        <f t="array" ref="O1692">_xlfn.IFS(Table1[[#This Row],[lead_time_days]]&lt;=7,"0-7 days",N1692&lt;=14,"8-14 days",N1692&lt;=30,"15-30 days",N1692&lt;=60,"31-60 days",TRUE,"61+ days")</f>
        <v>8-14 days</v>
      </c>
      <c r="P1692" t="s">
        <v>35</v>
      </c>
      <c r="Q1692" t="s">
        <v>21</v>
      </c>
      <c r="R1692">
        <v>0</v>
      </c>
      <c r="S1692" t="str">
        <f>IF(Table1[prior_dna_count]&gt;=1,"Has prior DNA history","No prior DNA history")</f>
        <v>No prior DNA history</v>
      </c>
      <c r="T1692" t="s">
        <v>22</v>
      </c>
      <c r="U1692" t="str">
        <f t="shared" si="26"/>
        <v>1</v>
      </c>
      <c r="V1692" t="str">
        <f>IF(Table1[appointment_status]="Attended","1","0")</f>
        <v>1</v>
      </c>
      <c r="W1692" t="str">
        <f>IF(Table1[appointment_status]="Cancelled","1","0")</f>
        <v>0</v>
      </c>
    </row>
    <row r="1693" spans="1:23">
      <c r="A1693" t="s">
        <v>2773</v>
      </c>
      <c r="B1693" t="s">
        <v>2774</v>
      </c>
      <c r="C1693">
        <v>24</v>
      </c>
      <c r="D1693" t="str" cm="1">
        <f t="array" ref="D1693">_xlfn.IFS(Table1[[#This Row],[age]]&lt;=17,"0-17",C1693&lt;=29,"18-29",C1693&lt;=44,"30-44",C1693&lt;=59,"45-59",C1693&lt;=74,"60-74",TRUE,"75+")</f>
        <v>18-29</v>
      </c>
      <c r="E1693" t="s">
        <v>17</v>
      </c>
      <c r="F1693">
        <v>5</v>
      </c>
      <c r="G1693" t="str" cm="1">
        <f t="array" ref="G1693">_xlfn.IFS(_xlfn.SINGLE(Table1[imd_decile])&lt;=3,"Most Deprived",F1693&lt;=7,"Moderately Deprived",F1693&lt;=10,"Least Deprived")</f>
        <v>Moderately Deprived</v>
      </c>
      <c r="H1693">
        <v>6</v>
      </c>
      <c r="I1693" t="s">
        <v>45</v>
      </c>
      <c r="J1693" t="s">
        <v>19</v>
      </c>
      <c r="K1693" s="1">
        <v>45851</v>
      </c>
      <c r="L1693" s="1">
        <v>45901</v>
      </c>
      <c r="M1693" s="1" t="str">
        <f>TEXT(Table1[[#This Row],[appointment_date]],"MM/YYYY")</f>
        <v>09/2025</v>
      </c>
      <c r="N1693">
        <v>50</v>
      </c>
      <c r="O1693" t="str" cm="1">
        <f t="array" ref="O1693">_xlfn.IFS(Table1[[#This Row],[lead_time_days]]&lt;=7,"0-7 days",N1693&lt;=14,"8-14 days",N1693&lt;=30,"15-30 days",N1693&lt;=60,"31-60 days",TRUE,"61+ days")</f>
        <v>31-60 days</v>
      </c>
      <c r="P1693" t="s">
        <v>35</v>
      </c>
      <c r="Q1693" t="s">
        <v>21</v>
      </c>
      <c r="R1693">
        <v>0</v>
      </c>
      <c r="S1693" t="str">
        <f>IF(Table1[prior_dna_count]&gt;=1,"Has prior DNA history","No prior DNA history")</f>
        <v>No prior DNA history</v>
      </c>
      <c r="T1693" t="s">
        <v>22</v>
      </c>
      <c r="U1693" t="str">
        <f t="shared" si="26"/>
        <v>1</v>
      </c>
      <c r="V1693" t="str">
        <f>IF(Table1[appointment_status]="Attended","1","0")</f>
        <v>1</v>
      </c>
      <c r="W1693" t="str">
        <f>IF(Table1[appointment_status]="Cancelled","1","0")</f>
        <v>0</v>
      </c>
    </row>
    <row r="1694" spans="1:23">
      <c r="A1694" t="s">
        <v>2775</v>
      </c>
      <c r="B1694" t="s">
        <v>1188</v>
      </c>
      <c r="C1694">
        <v>45</v>
      </c>
      <c r="D1694" t="str" cm="1">
        <f t="array" ref="D1694">_xlfn.IFS(Table1[[#This Row],[age]]&lt;=17,"0-17",C1694&lt;=29,"18-29",C1694&lt;=44,"30-44",C1694&lt;=59,"45-59",C1694&lt;=74,"60-74",TRUE,"75+")</f>
        <v>45-59</v>
      </c>
      <c r="E1694" t="s">
        <v>17</v>
      </c>
      <c r="F1694">
        <v>3</v>
      </c>
      <c r="G1694" t="str" cm="1">
        <f t="array" ref="G1694">_xlfn.IFS(_xlfn.SINGLE(Table1[imd_decile])&lt;=3,"Most Deprived",F1694&lt;=7,"Moderately Deprived",F1694&lt;=10,"Least Deprived")</f>
        <v>Most Deprived</v>
      </c>
      <c r="H1694">
        <v>12.1</v>
      </c>
      <c r="I1694" t="s">
        <v>25</v>
      </c>
      <c r="J1694" t="s">
        <v>19</v>
      </c>
      <c r="K1694" s="1">
        <v>45801</v>
      </c>
      <c r="L1694" s="1">
        <v>45901</v>
      </c>
      <c r="M1694" s="1" t="str">
        <f>TEXT(Table1[[#This Row],[appointment_date]],"MM/YYYY")</f>
        <v>09/2025</v>
      </c>
      <c r="N1694">
        <v>100</v>
      </c>
      <c r="O1694" t="str" cm="1">
        <f t="array" ref="O1694">_xlfn.IFS(Table1[[#This Row],[lead_time_days]]&lt;=7,"0-7 days",N1694&lt;=14,"8-14 days",N1694&lt;=30,"15-30 days",N1694&lt;=60,"31-60 days",TRUE,"61+ days")</f>
        <v>61+ days</v>
      </c>
      <c r="P1694" t="s">
        <v>35</v>
      </c>
      <c r="Q1694" t="s">
        <v>32</v>
      </c>
      <c r="R1694">
        <v>0</v>
      </c>
      <c r="S1694" t="str">
        <f>IF(Table1[prior_dna_count]&gt;=1,"Has prior DNA history","No prior DNA history")</f>
        <v>No prior DNA history</v>
      </c>
      <c r="T1694" t="s">
        <v>39</v>
      </c>
      <c r="U1694" t="str">
        <f t="shared" si="26"/>
        <v>1</v>
      </c>
      <c r="V1694" t="str">
        <f>IF(Table1[appointment_status]="Attended","1","0")</f>
        <v>0</v>
      </c>
      <c r="W1694" t="str">
        <f>IF(Table1[appointment_status]="Cancelled","1","0")</f>
        <v>0</v>
      </c>
    </row>
    <row r="1695" spans="1:23">
      <c r="A1695" t="s">
        <v>2776</v>
      </c>
      <c r="B1695" t="s">
        <v>861</v>
      </c>
      <c r="C1695">
        <v>87</v>
      </c>
      <c r="D1695" t="str" cm="1">
        <f t="array" ref="D1695">_xlfn.IFS(Table1[[#This Row],[age]]&lt;=17,"0-17",C1695&lt;=29,"18-29",C1695&lt;=44,"30-44",C1695&lt;=59,"45-59",C1695&lt;=74,"60-74",TRUE,"75+")</f>
        <v>75+</v>
      </c>
      <c r="E1695" t="s">
        <v>17</v>
      </c>
      <c r="F1695">
        <v>1</v>
      </c>
      <c r="G1695" t="str" cm="1">
        <f t="array" ref="G1695">_xlfn.IFS(_xlfn.SINGLE(Table1[imd_decile])&lt;=3,"Most Deprived",F1695&lt;=7,"Moderately Deprived",F1695&lt;=10,"Least Deprived")</f>
        <v>Most Deprived</v>
      </c>
      <c r="H1695">
        <v>11.5</v>
      </c>
      <c r="I1695" t="s">
        <v>25</v>
      </c>
      <c r="J1695" t="s">
        <v>19</v>
      </c>
      <c r="K1695" s="1">
        <v>45886</v>
      </c>
      <c r="L1695" s="1">
        <v>45901</v>
      </c>
      <c r="M1695" s="1" t="str">
        <f>TEXT(Table1[[#This Row],[appointment_date]],"MM/YYYY")</f>
        <v>09/2025</v>
      </c>
      <c r="N1695">
        <v>15</v>
      </c>
      <c r="O1695" t="str" cm="1">
        <f t="array" ref="O1695">_xlfn.IFS(Table1[[#This Row],[lead_time_days]]&lt;=7,"0-7 days",N1695&lt;=14,"8-14 days",N1695&lt;=30,"15-30 days",N1695&lt;=60,"31-60 days",TRUE,"61+ days")</f>
        <v>15-30 days</v>
      </c>
      <c r="P1695" t="s">
        <v>35</v>
      </c>
      <c r="Q1695" t="s">
        <v>32</v>
      </c>
      <c r="R1695">
        <v>0</v>
      </c>
      <c r="S1695" t="str">
        <f>IF(Table1[prior_dna_count]&gt;=1,"Has prior DNA history","No prior DNA history")</f>
        <v>No prior DNA history</v>
      </c>
      <c r="T1695" t="s">
        <v>39</v>
      </c>
      <c r="U1695" t="str">
        <f t="shared" si="26"/>
        <v>0</v>
      </c>
      <c r="V1695" t="str">
        <f>IF(Table1[appointment_status]="Attended","1","0")</f>
        <v>0</v>
      </c>
      <c r="W1695" t="str">
        <f>IF(Table1[appointment_status]="Cancelled","1","0")</f>
        <v>0</v>
      </c>
    </row>
    <row r="1696" spans="1:23">
      <c r="A1696" t="s">
        <v>2777</v>
      </c>
      <c r="B1696" t="s">
        <v>367</v>
      </c>
      <c r="C1696">
        <v>4</v>
      </c>
      <c r="D1696" t="str" cm="1">
        <f t="array" ref="D1696">_xlfn.IFS(Table1[[#This Row],[age]]&lt;=17,"0-17",C1696&lt;=29,"18-29",C1696&lt;=44,"30-44",C1696&lt;=59,"45-59",C1696&lt;=74,"60-74",TRUE,"75+")</f>
        <v>0-17</v>
      </c>
      <c r="E1696" t="s">
        <v>29</v>
      </c>
      <c r="F1696">
        <v>3</v>
      </c>
      <c r="G1696" t="str" cm="1">
        <f t="array" ref="G1696">_xlfn.IFS(_xlfn.SINGLE(Table1[imd_decile])&lt;=3,"Most Deprived",F1696&lt;=7,"Moderately Deprived",F1696&lt;=10,"Least Deprived")</f>
        <v>Most Deprived</v>
      </c>
      <c r="H1696">
        <v>5.2</v>
      </c>
      <c r="I1696" t="s">
        <v>30</v>
      </c>
      <c r="J1696" t="s">
        <v>26</v>
      </c>
      <c r="K1696" s="1">
        <v>45868</v>
      </c>
      <c r="L1696" s="1">
        <v>45902</v>
      </c>
      <c r="M1696" s="1" t="str">
        <f>TEXT(Table1[[#This Row],[appointment_date]],"MM/YYYY")</f>
        <v>09/2025</v>
      </c>
      <c r="N1696">
        <v>34</v>
      </c>
      <c r="O1696" t="str" cm="1">
        <f t="array" ref="O1696">_xlfn.IFS(Table1[[#This Row],[lead_time_days]]&lt;=7,"0-7 days",N1696&lt;=14,"8-14 days",N1696&lt;=30,"15-30 days",N1696&lt;=60,"31-60 days",TRUE,"61+ days")</f>
        <v>31-60 days</v>
      </c>
      <c r="P1696" t="s">
        <v>71</v>
      </c>
      <c r="Q1696" t="s">
        <v>21</v>
      </c>
      <c r="R1696">
        <v>1</v>
      </c>
      <c r="S1696" t="str">
        <f>IF(Table1[prior_dna_count]&gt;=1,"Has prior DNA history","No prior DNA history")</f>
        <v>Has prior DNA history</v>
      </c>
      <c r="T1696" t="s">
        <v>22</v>
      </c>
      <c r="U1696" t="str">
        <f t="shared" si="26"/>
        <v>0</v>
      </c>
      <c r="V1696" t="str">
        <f>IF(Table1[appointment_status]="Attended","1","0")</f>
        <v>1</v>
      </c>
      <c r="W1696" t="str">
        <f>IF(Table1[appointment_status]="Cancelled","1","0")</f>
        <v>0</v>
      </c>
    </row>
    <row r="1697" spans="1:23">
      <c r="A1697" t="s">
        <v>2778</v>
      </c>
      <c r="B1697" t="s">
        <v>1567</v>
      </c>
      <c r="C1697">
        <v>19</v>
      </c>
      <c r="D1697" t="str" cm="1">
        <f t="array" ref="D1697">_xlfn.IFS(Table1[[#This Row],[age]]&lt;=17,"0-17",C1697&lt;=29,"18-29",C1697&lt;=44,"30-44",C1697&lt;=59,"45-59",C1697&lt;=74,"60-74",TRUE,"75+")</f>
        <v>18-29</v>
      </c>
      <c r="E1697" t="s">
        <v>17</v>
      </c>
      <c r="F1697">
        <v>6</v>
      </c>
      <c r="G1697" t="str" cm="1">
        <f t="array" ref="G1697">_xlfn.IFS(_xlfn.SINGLE(Table1[imd_decile])&lt;=3,"Most Deprived",F1697&lt;=7,"Moderately Deprived",F1697&lt;=10,"Least Deprived")</f>
        <v>Moderately Deprived</v>
      </c>
      <c r="H1697">
        <v>4.7</v>
      </c>
      <c r="I1697" t="s">
        <v>45</v>
      </c>
      <c r="J1697" t="s">
        <v>26</v>
      </c>
      <c r="K1697" s="1">
        <v>45891</v>
      </c>
      <c r="L1697" s="1">
        <v>45902</v>
      </c>
      <c r="M1697" s="1" t="str">
        <f>TEXT(Table1[[#This Row],[appointment_date]],"MM/YYYY")</f>
        <v>09/2025</v>
      </c>
      <c r="N1697">
        <v>11</v>
      </c>
      <c r="O1697" t="str" cm="1">
        <f t="array" ref="O1697">_xlfn.IFS(Table1[[#This Row],[lead_time_days]]&lt;=7,"0-7 days",N1697&lt;=14,"8-14 days",N1697&lt;=30,"15-30 days",N1697&lt;=60,"31-60 days",TRUE,"61+ days")</f>
        <v>8-14 days</v>
      </c>
      <c r="P1697" t="s">
        <v>71</v>
      </c>
      <c r="Q1697" t="s">
        <v>21</v>
      </c>
      <c r="R1697">
        <v>0</v>
      </c>
      <c r="S1697" t="str">
        <f>IF(Table1[prior_dna_count]&gt;=1,"Has prior DNA history","No prior DNA history")</f>
        <v>No prior DNA history</v>
      </c>
      <c r="T1697" t="s">
        <v>22</v>
      </c>
      <c r="U1697" t="str">
        <f t="shared" si="26"/>
        <v>1</v>
      </c>
      <c r="V1697" t="str">
        <f>IF(Table1[appointment_status]="Attended","1","0")</f>
        <v>1</v>
      </c>
      <c r="W1697" t="str">
        <f>IF(Table1[appointment_status]="Cancelled","1","0")</f>
        <v>0</v>
      </c>
    </row>
    <row r="1698" spans="1:23">
      <c r="A1698" t="s">
        <v>2779</v>
      </c>
      <c r="B1698" t="s">
        <v>2780</v>
      </c>
      <c r="C1698">
        <v>35</v>
      </c>
      <c r="D1698" t="str" cm="1">
        <f t="array" ref="D1698">_xlfn.IFS(Table1[[#This Row],[age]]&lt;=17,"0-17",C1698&lt;=29,"18-29",C1698&lt;=44,"30-44",C1698&lt;=59,"45-59",C1698&lt;=74,"60-74",TRUE,"75+")</f>
        <v>30-44</v>
      </c>
      <c r="E1698" t="s">
        <v>29</v>
      </c>
      <c r="F1698">
        <v>8</v>
      </c>
      <c r="G1698" t="str" cm="1">
        <f t="array" ref="G1698">_xlfn.IFS(_xlfn.SINGLE(Table1[imd_decile])&lt;=3,"Most Deprived",F1698&lt;=7,"Moderately Deprived",F1698&lt;=10,"Least Deprived")</f>
        <v>Least Deprived</v>
      </c>
      <c r="H1698">
        <v>12.2</v>
      </c>
      <c r="I1698" t="s">
        <v>91</v>
      </c>
      <c r="J1698" t="s">
        <v>19</v>
      </c>
      <c r="K1698" s="1">
        <v>45897</v>
      </c>
      <c r="L1698" s="1">
        <v>45902</v>
      </c>
      <c r="M1698" s="1" t="str">
        <f>TEXT(Table1[[#This Row],[appointment_date]],"MM/YYYY")</f>
        <v>09/2025</v>
      </c>
      <c r="N1698">
        <v>5</v>
      </c>
      <c r="O1698" t="str" cm="1">
        <f t="array" ref="O1698">_xlfn.IFS(Table1[[#This Row],[lead_time_days]]&lt;=7,"0-7 days",N1698&lt;=14,"8-14 days",N1698&lt;=30,"15-30 days",N1698&lt;=60,"31-60 days",TRUE,"61+ days")</f>
        <v>0-7 days</v>
      </c>
      <c r="P1698" t="s">
        <v>71</v>
      </c>
      <c r="Q1698" t="s">
        <v>21</v>
      </c>
      <c r="R1698">
        <v>0</v>
      </c>
      <c r="S1698" t="str">
        <f>IF(Table1[prior_dna_count]&gt;=1,"Has prior DNA history","No prior DNA history")</f>
        <v>No prior DNA history</v>
      </c>
      <c r="T1698" t="s">
        <v>22</v>
      </c>
      <c r="U1698" t="str">
        <f t="shared" si="26"/>
        <v>1</v>
      </c>
      <c r="V1698" t="str">
        <f>IF(Table1[appointment_status]="Attended","1","0")</f>
        <v>1</v>
      </c>
      <c r="W1698" t="str">
        <f>IF(Table1[appointment_status]="Cancelled","1","0")</f>
        <v>0</v>
      </c>
    </row>
    <row r="1699" spans="1:23">
      <c r="A1699" t="s">
        <v>2781</v>
      </c>
      <c r="B1699" t="s">
        <v>2782</v>
      </c>
      <c r="C1699">
        <v>41</v>
      </c>
      <c r="D1699" t="str" cm="1">
        <f t="array" ref="D1699">_xlfn.IFS(Table1[[#This Row],[age]]&lt;=17,"0-17",C1699&lt;=29,"18-29",C1699&lt;=44,"30-44",C1699&lt;=59,"45-59",C1699&lt;=74,"60-74",TRUE,"75+")</f>
        <v>30-44</v>
      </c>
      <c r="E1699" t="s">
        <v>29</v>
      </c>
      <c r="F1699">
        <v>1</v>
      </c>
      <c r="G1699" t="str" cm="1">
        <f t="array" ref="G1699">_xlfn.IFS(_xlfn.SINGLE(Table1[imd_decile])&lt;=3,"Most Deprived",F1699&lt;=7,"Moderately Deprived",F1699&lt;=10,"Least Deprived")</f>
        <v>Most Deprived</v>
      </c>
      <c r="H1699">
        <v>9.8000000000000007</v>
      </c>
      <c r="I1699" t="s">
        <v>18</v>
      </c>
      <c r="J1699" t="s">
        <v>19</v>
      </c>
      <c r="K1699" s="1">
        <v>45896</v>
      </c>
      <c r="L1699" s="1">
        <v>45902</v>
      </c>
      <c r="M1699" s="1" t="str">
        <f>TEXT(Table1[[#This Row],[appointment_date]],"MM/YYYY")</f>
        <v>09/2025</v>
      </c>
      <c r="N1699">
        <v>6</v>
      </c>
      <c r="O1699" t="str" cm="1">
        <f t="array" ref="O1699">_xlfn.IFS(Table1[[#This Row],[lead_time_days]]&lt;=7,"0-7 days",N1699&lt;=14,"8-14 days",N1699&lt;=30,"15-30 days",N1699&lt;=60,"31-60 days",TRUE,"61+ days")</f>
        <v>0-7 days</v>
      </c>
      <c r="P1699" t="s">
        <v>71</v>
      </c>
      <c r="Q1699" t="s">
        <v>32</v>
      </c>
      <c r="R1699">
        <v>0</v>
      </c>
      <c r="S1699" t="str">
        <f>IF(Table1[prior_dna_count]&gt;=1,"Has prior DNA history","No prior DNA history")</f>
        <v>No prior DNA history</v>
      </c>
      <c r="T1699" t="s">
        <v>39</v>
      </c>
      <c r="U1699" t="str">
        <f t="shared" si="26"/>
        <v>1</v>
      </c>
      <c r="V1699" t="str">
        <f>IF(Table1[appointment_status]="Attended","1","0")</f>
        <v>0</v>
      </c>
      <c r="W1699" t="str">
        <f>IF(Table1[appointment_status]="Cancelled","1","0")</f>
        <v>0</v>
      </c>
    </row>
    <row r="1700" spans="1:23">
      <c r="A1700" t="s">
        <v>2783</v>
      </c>
      <c r="B1700" t="s">
        <v>2784</v>
      </c>
      <c r="C1700">
        <v>44</v>
      </c>
      <c r="D1700" t="str" cm="1">
        <f t="array" ref="D1700">_xlfn.IFS(Table1[[#This Row],[age]]&lt;=17,"0-17",C1700&lt;=29,"18-29",C1700&lt;=44,"30-44",C1700&lt;=59,"45-59",C1700&lt;=74,"60-74",TRUE,"75+")</f>
        <v>30-44</v>
      </c>
      <c r="E1700" t="s">
        <v>17</v>
      </c>
      <c r="F1700">
        <v>4</v>
      </c>
      <c r="G1700" t="str" cm="1">
        <f t="array" ref="G1700">_xlfn.IFS(_xlfn.SINGLE(Table1[imd_decile])&lt;=3,"Most Deprived",F1700&lt;=7,"Moderately Deprived",F1700&lt;=10,"Least Deprived")</f>
        <v>Moderately Deprived</v>
      </c>
      <c r="H1700">
        <v>26.2</v>
      </c>
      <c r="I1700" t="s">
        <v>25</v>
      </c>
      <c r="J1700" t="s">
        <v>19</v>
      </c>
      <c r="K1700" s="1">
        <v>45852</v>
      </c>
      <c r="L1700" s="1">
        <v>45902</v>
      </c>
      <c r="M1700" s="1" t="str">
        <f>TEXT(Table1[[#This Row],[appointment_date]],"MM/YYYY")</f>
        <v>09/2025</v>
      </c>
      <c r="N1700">
        <v>50</v>
      </c>
      <c r="O1700" t="str" cm="1">
        <f t="array" ref="O1700">_xlfn.IFS(Table1[[#This Row],[lead_time_days]]&lt;=7,"0-7 days",N1700&lt;=14,"8-14 days",N1700&lt;=30,"15-30 days",N1700&lt;=60,"31-60 days",TRUE,"61+ days")</f>
        <v>31-60 days</v>
      </c>
      <c r="P1700" t="s">
        <v>71</v>
      </c>
      <c r="Q1700" t="s">
        <v>21</v>
      </c>
      <c r="R1700">
        <v>0</v>
      </c>
      <c r="S1700" t="str">
        <f>IF(Table1[prior_dna_count]&gt;=1,"Has prior DNA history","No prior DNA history")</f>
        <v>No prior DNA history</v>
      </c>
      <c r="T1700" t="s">
        <v>22</v>
      </c>
      <c r="U1700" t="str">
        <f t="shared" si="26"/>
        <v>0</v>
      </c>
      <c r="V1700" t="str">
        <f>IF(Table1[appointment_status]="Attended","1","0")</f>
        <v>1</v>
      </c>
      <c r="W1700" t="str">
        <f>IF(Table1[appointment_status]="Cancelled","1","0")</f>
        <v>0</v>
      </c>
    </row>
    <row r="1701" spans="1:23">
      <c r="A1701" t="s">
        <v>2785</v>
      </c>
      <c r="B1701" t="s">
        <v>646</v>
      </c>
      <c r="C1701">
        <v>70</v>
      </c>
      <c r="D1701" t="str" cm="1">
        <f t="array" ref="D1701">_xlfn.IFS(Table1[[#This Row],[age]]&lt;=17,"0-17",C1701&lt;=29,"18-29",C1701&lt;=44,"30-44",C1701&lt;=59,"45-59",C1701&lt;=74,"60-74",TRUE,"75+")</f>
        <v>60-74</v>
      </c>
      <c r="E1701" t="s">
        <v>29</v>
      </c>
      <c r="F1701">
        <v>2</v>
      </c>
      <c r="G1701" t="str" cm="1">
        <f t="array" ref="G1701">_xlfn.IFS(_xlfn.SINGLE(Table1[imd_decile])&lt;=3,"Most Deprived",F1701&lt;=7,"Moderately Deprived",F1701&lt;=10,"Least Deprived")</f>
        <v>Most Deprived</v>
      </c>
      <c r="H1701">
        <v>1.3</v>
      </c>
      <c r="I1701" t="s">
        <v>30</v>
      </c>
      <c r="J1701" t="s">
        <v>19</v>
      </c>
      <c r="K1701" s="1">
        <v>45888</v>
      </c>
      <c r="L1701" s="1">
        <v>45902</v>
      </c>
      <c r="M1701" s="1" t="str">
        <f>TEXT(Table1[[#This Row],[appointment_date]],"MM/YYYY")</f>
        <v>09/2025</v>
      </c>
      <c r="N1701">
        <v>14</v>
      </c>
      <c r="O1701" t="str" cm="1">
        <f t="array" ref="O1701">_xlfn.IFS(Table1[[#This Row],[lead_time_days]]&lt;=7,"0-7 days",N1701&lt;=14,"8-14 days",N1701&lt;=30,"15-30 days",N1701&lt;=60,"31-60 days",TRUE,"61+ days")</f>
        <v>8-14 days</v>
      </c>
      <c r="P1701" t="s">
        <v>71</v>
      </c>
      <c r="Q1701" t="s">
        <v>32</v>
      </c>
      <c r="R1701">
        <v>0</v>
      </c>
      <c r="S1701" t="str">
        <f>IF(Table1[prior_dna_count]&gt;=1,"Has prior DNA history","No prior DNA history")</f>
        <v>No prior DNA history</v>
      </c>
      <c r="T1701" t="s">
        <v>46</v>
      </c>
      <c r="U1701" t="str">
        <f t="shared" si="26"/>
        <v>1</v>
      </c>
      <c r="V1701" t="str">
        <f>IF(Table1[appointment_status]="Attended","1","0")</f>
        <v>0</v>
      </c>
      <c r="W1701" t="str">
        <f>IF(Table1[appointment_status]="Cancelled","1","0")</f>
        <v>1</v>
      </c>
    </row>
    <row r="1702" spans="1:23">
      <c r="A1702" t="s">
        <v>2786</v>
      </c>
      <c r="B1702" t="s">
        <v>2370</v>
      </c>
      <c r="C1702">
        <v>54</v>
      </c>
      <c r="D1702" t="str" cm="1">
        <f t="array" ref="D1702">_xlfn.IFS(Table1[[#This Row],[age]]&lt;=17,"0-17",C1702&lt;=29,"18-29",C1702&lt;=44,"30-44",C1702&lt;=59,"45-59",C1702&lt;=74,"60-74",TRUE,"75+")</f>
        <v>45-59</v>
      </c>
      <c r="E1702" t="s">
        <v>17</v>
      </c>
      <c r="F1702">
        <v>8</v>
      </c>
      <c r="G1702" t="str" cm="1">
        <f t="array" ref="G1702">_xlfn.IFS(_xlfn.SINGLE(Table1[imd_decile])&lt;=3,"Most Deprived",F1702&lt;=7,"Moderately Deprived",F1702&lt;=10,"Least Deprived")</f>
        <v>Least Deprived</v>
      </c>
      <c r="H1702">
        <v>8.6999999999999993</v>
      </c>
      <c r="I1702" t="s">
        <v>45</v>
      </c>
      <c r="J1702" t="s">
        <v>19</v>
      </c>
      <c r="K1702" s="1">
        <v>45870</v>
      </c>
      <c r="L1702" s="1">
        <v>45902</v>
      </c>
      <c r="M1702" s="1" t="str">
        <f>TEXT(Table1[[#This Row],[appointment_date]],"MM/YYYY")</f>
        <v>09/2025</v>
      </c>
      <c r="N1702">
        <v>32</v>
      </c>
      <c r="O1702" t="str" cm="1">
        <f t="array" ref="O1702">_xlfn.IFS(Table1[[#This Row],[lead_time_days]]&lt;=7,"0-7 days",N1702&lt;=14,"8-14 days",N1702&lt;=30,"15-30 days",N1702&lt;=60,"31-60 days",TRUE,"61+ days")</f>
        <v>31-60 days</v>
      </c>
      <c r="P1702" t="s">
        <v>71</v>
      </c>
      <c r="Q1702" t="s">
        <v>21</v>
      </c>
      <c r="R1702">
        <v>0</v>
      </c>
      <c r="S1702" t="str">
        <f>IF(Table1[prior_dna_count]&gt;=1,"Has prior DNA history","No prior DNA history")</f>
        <v>No prior DNA history</v>
      </c>
      <c r="T1702" t="s">
        <v>22</v>
      </c>
      <c r="U1702" t="str">
        <f t="shared" si="26"/>
        <v>0</v>
      </c>
      <c r="V1702" t="str">
        <f>IF(Table1[appointment_status]="Attended","1","0")</f>
        <v>1</v>
      </c>
      <c r="W1702" t="str">
        <f>IF(Table1[appointment_status]="Cancelled","1","0")</f>
        <v>0</v>
      </c>
    </row>
    <row r="1703" spans="1:23">
      <c r="A1703" t="s">
        <v>2787</v>
      </c>
      <c r="B1703" t="s">
        <v>1611</v>
      </c>
      <c r="C1703">
        <v>62</v>
      </c>
      <c r="D1703" t="str" cm="1">
        <f t="array" ref="D1703">_xlfn.IFS(Table1[[#This Row],[age]]&lt;=17,"0-17",C1703&lt;=29,"18-29",C1703&lt;=44,"30-44",C1703&lt;=59,"45-59",C1703&lt;=74,"60-74",TRUE,"75+")</f>
        <v>60-74</v>
      </c>
      <c r="E1703" t="s">
        <v>29</v>
      </c>
      <c r="F1703">
        <v>3</v>
      </c>
      <c r="G1703" t="str" cm="1">
        <f t="array" ref="G1703">_xlfn.IFS(_xlfn.SINGLE(Table1[imd_decile])&lt;=3,"Most Deprived",F1703&lt;=7,"Moderately Deprived",F1703&lt;=10,"Least Deprived")</f>
        <v>Most Deprived</v>
      </c>
      <c r="H1703">
        <v>3.6</v>
      </c>
      <c r="I1703" t="s">
        <v>18</v>
      </c>
      <c r="J1703" t="s">
        <v>26</v>
      </c>
      <c r="K1703" s="1">
        <v>45893</v>
      </c>
      <c r="L1703" s="1">
        <v>45902</v>
      </c>
      <c r="M1703" s="1" t="str">
        <f>TEXT(Table1[[#This Row],[appointment_date]],"MM/YYYY")</f>
        <v>09/2025</v>
      </c>
      <c r="N1703">
        <v>9</v>
      </c>
      <c r="O1703" t="str" cm="1">
        <f t="array" ref="O1703">_xlfn.IFS(Table1[[#This Row],[lead_time_days]]&lt;=7,"0-7 days",N1703&lt;=14,"8-14 days",N1703&lt;=30,"15-30 days",N1703&lt;=60,"31-60 days",TRUE,"61+ days")</f>
        <v>8-14 days</v>
      </c>
      <c r="P1703" t="s">
        <v>71</v>
      </c>
      <c r="Q1703" t="s">
        <v>21</v>
      </c>
      <c r="R1703">
        <v>0</v>
      </c>
      <c r="S1703" t="str">
        <f>IF(Table1[prior_dna_count]&gt;=1,"Has prior DNA history","No prior DNA history")</f>
        <v>No prior DNA history</v>
      </c>
      <c r="T1703" t="s">
        <v>22</v>
      </c>
      <c r="U1703" t="str">
        <f t="shared" si="26"/>
        <v>1</v>
      </c>
      <c r="V1703" t="str">
        <f>IF(Table1[appointment_status]="Attended","1","0")</f>
        <v>1</v>
      </c>
      <c r="W1703" t="str">
        <f>IF(Table1[appointment_status]="Cancelled","1","0")</f>
        <v>0</v>
      </c>
    </row>
    <row r="1704" spans="1:23">
      <c r="A1704" t="s">
        <v>2788</v>
      </c>
      <c r="B1704" t="s">
        <v>361</v>
      </c>
      <c r="C1704">
        <v>69</v>
      </c>
      <c r="D1704" t="str" cm="1">
        <f t="array" ref="D1704">_xlfn.IFS(Table1[[#This Row],[age]]&lt;=17,"0-17",C1704&lt;=29,"18-29",C1704&lt;=44,"30-44",C1704&lt;=59,"45-59",C1704&lt;=74,"60-74",TRUE,"75+")</f>
        <v>60-74</v>
      </c>
      <c r="E1704" t="s">
        <v>17</v>
      </c>
      <c r="F1704">
        <v>4</v>
      </c>
      <c r="G1704" t="str" cm="1">
        <f t="array" ref="G1704">_xlfn.IFS(_xlfn.SINGLE(Table1[imd_decile])&lt;=3,"Most Deprived",F1704&lt;=7,"Moderately Deprived",F1704&lt;=10,"Least Deprived")</f>
        <v>Moderately Deprived</v>
      </c>
      <c r="H1704">
        <v>25.1</v>
      </c>
      <c r="I1704" t="s">
        <v>155</v>
      </c>
      <c r="J1704" t="s">
        <v>26</v>
      </c>
      <c r="K1704" s="1">
        <v>45871</v>
      </c>
      <c r="L1704" s="1">
        <v>45902</v>
      </c>
      <c r="M1704" s="1" t="str">
        <f>TEXT(Table1[[#This Row],[appointment_date]],"MM/YYYY")</f>
        <v>09/2025</v>
      </c>
      <c r="N1704">
        <v>31</v>
      </c>
      <c r="O1704" t="str" cm="1">
        <f t="array" ref="O1704">_xlfn.IFS(Table1[[#This Row],[lead_time_days]]&lt;=7,"0-7 days",N1704&lt;=14,"8-14 days",N1704&lt;=30,"15-30 days",N1704&lt;=60,"31-60 days",TRUE,"61+ days")</f>
        <v>31-60 days</v>
      </c>
      <c r="P1704" t="s">
        <v>71</v>
      </c>
      <c r="Q1704" t="s">
        <v>21</v>
      </c>
      <c r="R1704">
        <v>0</v>
      </c>
      <c r="S1704" t="str">
        <f>IF(Table1[prior_dna_count]&gt;=1,"Has prior DNA history","No prior DNA history")</f>
        <v>No prior DNA history</v>
      </c>
      <c r="T1704" t="s">
        <v>22</v>
      </c>
      <c r="U1704" t="str">
        <f t="shared" si="26"/>
        <v>1</v>
      </c>
      <c r="V1704" t="str">
        <f>IF(Table1[appointment_status]="Attended","1","0")</f>
        <v>1</v>
      </c>
      <c r="W1704" t="str">
        <f>IF(Table1[appointment_status]="Cancelled","1","0")</f>
        <v>0</v>
      </c>
    </row>
    <row r="1705" spans="1:23">
      <c r="A1705" t="s">
        <v>2789</v>
      </c>
      <c r="B1705" t="s">
        <v>1370</v>
      </c>
      <c r="C1705">
        <v>7</v>
      </c>
      <c r="D1705" t="str" cm="1">
        <f t="array" ref="D1705">_xlfn.IFS(Table1[[#This Row],[age]]&lt;=17,"0-17",C1705&lt;=29,"18-29",C1705&lt;=44,"30-44",C1705&lt;=59,"45-59",C1705&lt;=74,"60-74",TRUE,"75+")</f>
        <v>0-17</v>
      </c>
      <c r="E1705" t="s">
        <v>29</v>
      </c>
      <c r="F1705">
        <v>8</v>
      </c>
      <c r="G1705" t="str" cm="1">
        <f t="array" ref="G1705">_xlfn.IFS(_xlfn.SINGLE(Table1[imd_decile])&lt;=3,"Most Deprived",F1705&lt;=7,"Moderately Deprived",F1705&lt;=10,"Least Deprived")</f>
        <v>Least Deprived</v>
      </c>
      <c r="H1705">
        <v>3.5</v>
      </c>
      <c r="I1705" t="s">
        <v>38</v>
      </c>
      <c r="J1705" t="s">
        <v>26</v>
      </c>
      <c r="K1705" s="1">
        <v>45886</v>
      </c>
      <c r="L1705" s="1">
        <v>45902</v>
      </c>
      <c r="M1705" s="1" t="str">
        <f>TEXT(Table1[[#This Row],[appointment_date]],"MM/YYYY")</f>
        <v>09/2025</v>
      </c>
      <c r="N1705">
        <v>16</v>
      </c>
      <c r="O1705" t="str" cm="1">
        <f t="array" ref="O1705">_xlfn.IFS(Table1[[#This Row],[lead_time_days]]&lt;=7,"0-7 days",N1705&lt;=14,"8-14 days",N1705&lt;=30,"15-30 days",N1705&lt;=60,"31-60 days",TRUE,"61+ days")</f>
        <v>15-30 days</v>
      </c>
      <c r="P1705" t="s">
        <v>71</v>
      </c>
      <c r="Q1705" t="s">
        <v>21</v>
      </c>
      <c r="R1705">
        <v>0</v>
      </c>
      <c r="S1705" t="str">
        <f>IF(Table1[prior_dna_count]&gt;=1,"Has prior DNA history","No prior DNA history")</f>
        <v>No prior DNA history</v>
      </c>
      <c r="T1705" t="s">
        <v>22</v>
      </c>
      <c r="U1705" t="str">
        <f t="shared" si="26"/>
        <v>1</v>
      </c>
      <c r="V1705" t="str">
        <f>IF(Table1[appointment_status]="Attended","1","0")</f>
        <v>1</v>
      </c>
      <c r="W1705" t="str">
        <f>IF(Table1[appointment_status]="Cancelled","1","0")</f>
        <v>0</v>
      </c>
    </row>
    <row r="1706" spans="1:23">
      <c r="A1706" t="s">
        <v>2790</v>
      </c>
      <c r="B1706" t="s">
        <v>2791</v>
      </c>
      <c r="C1706">
        <v>59</v>
      </c>
      <c r="D1706" t="str" cm="1">
        <f t="array" ref="D1706">_xlfn.IFS(Table1[[#This Row],[age]]&lt;=17,"0-17",C1706&lt;=29,"18-29",C1706&lt;=44,"30-44",C1706&lt;=59,"45-59",C1706&lt;=74,"60-74",TRUE,"75+")</f>
        <v>45-59</v>
      </c>
      <c r="E1706" t="s">
        <v>29</v>
      </c>
      <c r="F1706">
        <v>3</v>
      </c>
      <c r="G1706" t="str" cm="1">
        <f t="array" ref="G1706">_xlfn.IFS(_xlfn.SINGLE(Table1[imd_decile])&lt;=3,"Most Deprived",F1706&lt;=7,"Moderately Deprived",F1706&lt;=10,"Least Deprived")</f>
        <v>Most Deprived</v>
      </c>
      <c r="H1706">
        <v>7.1</v>
      </c>
      <c r="I1706" t="s">
        <v>25</v>
      </c>
      <c r="J1706" t="s">
        <v>26</v>
      </c>
      <c r="K1706" s="1">
        <v>45898</v>
      </c>
      <c r="L1706" s="1">
        <v>45902</v>
      </c>
      <c r="M1706" s="1" t="str">
        <f>TEXT(Table1[[#This Row],[appointment_date]],"MM/YYYY")</f>
        <v>09/2025</v>
      </c>
      <c r="N1706">
        <v>4</v>
      </c>
      <c r="O1706" t="str" cm="1">
        <f t="array" ref="O1706">_xlfn.IFS(Table1[[#This Row],[lead_time_days]]&lt;=7,"0-7 days",N1706&lt;=14,"8-14 days",N1706&lt;=30,"15-30 days",N1706&lt;=60,"31-60 days",TRUE,"61+ days")</f>
        <v>0-7 days</v>
      </c>
      <c r="P1706" t="s">
        <v>71</v>
      </c>
      <c r="Q1706" t="s">
        <v>21</v>
      </c>
      <c r="R1706">
        <v>0</v>
      </c>
      <c r="S1706" t="str">
        <f>IF(Table1[prior_dna_count]&gt;=1,"Has prior DNA history","No prior DNA history")</f>
        <v>No prior DNA history</v>
      </c>
      <c r="T1706" t="s">
        <v>46</v>
      </c>
      <c r="U1706" t="str">
        <f t="shared" si="26"/>
        <v>1</v>
      </c>
      <c r="V1706" t="str">
        <f>IF(Table1[appointment_status]="Attended","1","0")</f>
        <v>0</v>
      </c>
      <c r="W1706" t="str">
        <f>IF(Table1[appointment_status]="Cancelled","1","0")</f>
        <v>1</v>
      </c>
    </row>
    <row r="1707" spans="1:23">
      <c r="A1707" t="s">
        <v>2792</v>
      </c>
      <c r="B1707" t="s">
        <v>1079</v>
      </c>
      <c r="C1707">
        <v>71</v>
      </c>
      <c r="D1707" t="str" cm="1">
        <f t="array" ref="D1707">_xlfn.IFS(Table1[[#This Row],[age]]&lt;=17,"0-17",C1707&lt;=29,"18-29",C1707&lt;=44,"30-44",C1707&lt;=59,"45-59",C1707&lt;=74,"60-74",TRUE,"75+")</f>
        <v>60-74</v>
      </c>
      <c r="E1707" t="s">
        <v>29</v>
      </c>
      <c r="F1707">
        <v>8</v>
      </c>
      <c r="G1707" t="str" cm="1">
        <f t="array" ref="G1707">_xlfn.IFS(_xlfn.SINGLE(Table1[imd_decile])&lt;=3,"Most Deprived",F1707&lt;=7,"Moderately Deprived",F1707&lt;=10,"Least Deprived")</f>
        <v>Least Deprived</v>
      </c>
      <c r="H1707">
        <v>10.3</v>
      </c>
      <c r="I1707" t="s">
        <v>42</v>
      </c>
      <c r="J1707" t="s">
        <v>19</v>
      </c>
      <c r="K1707" s="1">
        <v>45866</v>
      </c>
      <c r="L1707" s="1">
        <v>45902</v>
      </c>
      <c r="M1707" s="1" t="str">
        <f>TEXT(Table1[[#This Row],[appointment_date]],"MM/YYYY")</f>
        <v>09/2025</v>
      </c>
      <c r="N1707">
        <v>36</v>
      </c>
      <c r="O1707" t="str" cm="1">
        <f t="array" ref="O1707">_xlfn.IFS(Table1[[#This Row],[lead_time_days]]&lt;=7,"0-7 days",N1707&lt;=14,"8-14 days",N1707&lt;=30,"15-30 days",N1707&lt;=60,"31-60 days",TRUE,"61+ days")</f>
        <v>31-60 days</v>
      </c>
      <c r="P1707" t="s">
        <v>71</v>
      </c>
      <c r="Q1707" t="s">
        <v>32</v>
      </c>
      <c r="R1707">
        <v>0</v>
      </c>
      <c r="S1707" t="str">
        <f>IF(Table1[prior_dna_count]&gt;=1,"Has prior DNA history","No prior DNA history")</f>
        <v>No prior DNA history</v>
      </c>
      <c r="T1707" t="s">
        <v>22</v>
      </c>
      <c r="U1707" t="str">
        <f t="shared" si="26"/>
        <v>0</v>
      </c>
      <c r="V1707" t="str">
        <f>IF(Table1[appointment_status]="Attended","1","0")</f>
        <v>1</v>
      </c>
      <c r="W1707" t="str">
        <f>IF(Table1[appointment_status]="Cancelled","1","0")</f>
        <v>0</v>
      </c>
    </row>
    <row r="1708" spans="1:23">
      <c r="A1708" t="s">
        <v>2793</v>
      </c>
      <c r="B1708" t="s">
        <v>292</v>
      </c>
      <c r="C1708">
        <v>56</v>
      </c>
      <c r="D1708" t="str" cm="1">
        <f t="array" ref="D1708">_xlfn.IFS(Table1[[#This Row],[age]]&lt;=17,"0-17",C1708&lt;=29,"18-29",C1708&lt;=44,"30-44",C1708&lt;=59,"45-59",C1708&lt;=74,"60-74",TRUE,"75+")</f>
        <v>45-59</v>
      </c>
      <c r="E1708" t="s">
        <v>29</v>
      </c>
      <c r="F1708">
        <v>1</v>
      </c>
      <c r="G1708" t="str" cm="1">
        <f t="array" ref="G1708">_xlfn.IFS(_xlfn.SINGLE(Table1[imd_decile])&lt;=3,"Most Deprived",F1708&lt;=7,"Moderately Deprived",F1708&lt;=10,"Least Deprived")</f>
        <v>Most Deprived</v>
      </c>
      <c r="H1708">
        <v>17.100000000000001</v>
      </c>
      <c r="I1708" t="s">
        <v>45</v>
      </c>
      <c r="J1708" t="s">
        <v>19</v>
      </c>
      <c r="K1708" s="1">
        <v>45852</v>
      </c>
      <c r="L1708" s="1">
        <v>45902</v>
      </c>
      <c r="M1708" s="1" t="str">
        <f>TEXT(Table1[[#This Row],[appointment_date]],"MM/YYYY")</f>
        <v>09/2025</v>
      </c>
      <c r="N1708">
        <v>50</v>
      </c>
      <c r="O1708" t="str" cm="1">
        <f t="array" ref="O1708">_xlfn.IFS(Table1[[#This Row],[lead_time_days]]&lt;=7,"0-7 days",N1708&lt;=14,"8-14 days",N1708&lt;=30,"15-30 days",N1708&lt;=60,"31-60 days",TRUE,"61+ days")</f>
        <v>31-60 days</v>
      </c>
      <c r="P1708" t="s">
        <v>71</v>
      </c>
      <c r="Q1708" t="s">
        <v>32</v>
      </c>
      <c r="R1708">
        <v>1</v>
      </c>
      <c r="S1708" t="str">
        <f>IF(Table1[prior_dna_count]&gt;=1,"Has prior DNA history","No prior DNA history")</f>
        <v>Has prior DNA history</v>
      </c>
      <c r="T1708" t="s">
        <v>39</v>
      </c>
      <c r="U1708" t="str">
        <f t="shared" si="26"/>
        <v>1</v>
      </c>
      <c r="V1708" t="str">
        <f>IF(Table1[appointment_status]="Attended","1","0")</f>
        <v>0</v>
      </c>
      <c r="W1708" t="str">
        <f>IF(Table1[appointment_status]="Cancelled","1","0")</f>
        <v>0</v>
      </c>
    </row>
    <row r="1709" spans="1:23">
      <c r="A1709" t="s">
        <v>2794</v>
      </c>
      <c r="B1709" t="s">
        <v>2715</v>
      </c>
      <c r="C1709">
        <v>34</v>
      </c>
      <c r="D1709" t="str" cm="1">
        <f t="array" ref="D1709">_xlfn.IFS(Table1[[#This Row],[age]]&lt;=17,"0-17",C1709&lt;=29,"18-29",C1709&lt;=44,"30-44",C1709&lt;=59,"45-59",C1709&lt;=74,"60-74",TRUE,"75+")</f>
        <v>30-44</v>
      </c>
      <c r="E1709" t="s">
        <v>17</v>
      </c>
      <c r="F1709">
        <v>1</v>
      </c>
      <c r="G1709" t="str" cm="1">
        <f t="array" ref="G1709">_xlfn.IFS(_xlfn.SINGLE(Table1[imd_decile])&lt;=3,"Most Deprived",F1709&lt;=7,"Moderately Deprived",F1709&lt;=10,"Least Deprived")</f>
        <v>Most Deprived</v>
      </c>
      <c r="H1709">
        <v>10.6</v>
      </c>
      <c r="I1709" t="s">
        <v>30</v>
      </c>
      <c r="J1709" t="s">
        <v>26</v>
      </c>
      <c r="K1709" s="1">
        <v>45882</v>
      </c>
      <c r="L1709" s="1">
        <v>45902</v>
      </c>
      <c r="M1709" s="1" t="str">
        <f>TEXT(Table1[[#This Row],[appointment_date]],"MM/YYYY")</f>
        <v>09/2025</v>
      </c>
      <c r="N1709">
        <v>20</v>
      </c>
      <c r="O1709" t="str" cm="1">
        <f t="array" ref="O1709">_xlfn.IFS(Table1[[#This Row],[lead_time_days]]&lt;=7,"0-7 days",N1709&lt;=14,"8-14 days",N1709&lt;=30,"15-30 days",N1709&lt;=60,"31-60 days",TRUE,"61+ days")</f>
        <v>15-30 days</v>
      </c>
      <c r="P1709" t="s">
        <v>71</v>
      </c>
      <c r="Q1709" t="s">
        <v>21</v>
      </c>
      <c r="R1709">
        <v>0</v>
      </c>
      <c r="S1709" t="str">
        <f>IF(Table1[prior_dna_count]&gt;=1,"Has prior DNA history","No prior DNA history")</f>
        <v>No prior DNA history</v>
      </c>
      <c r="T1709" t="s">
        <v>22</v>
      </c>
      <c r="U1709" t="str">
        <f t="shared" si="26"/>
        <v>0</v>
      </c>
      <c r="V1709" t="str">
        <f>IF(Table1[appointment_status]="Attended","1","0")</f>
        <v>1</v>
      </c>
      <c r="W1709" t="str">
        <f>IF(Table1[appointment_status]="Cancelled","1","0")</f>
        <v>0</v>
      </c>
    </row>
    <row r="1710" spans="1:23">
      <c r="A1710" t="s">
        <v>2795</v>
      </c>
      <c r="B1710" t="s">
        <v>1299</v>
      </c>
      <c r="C1710">
        <v>12</v>
      </c>
      <c r="D1710" t="str" cm="1">
        <f t="array" ref="D1710">_xlfn.IFS(Table1[[#This Row],[age]]&lt;=17,"0-17",C1710&lt;=29,"18-29",C1710&lt;=44,"30-44",C1710&lt;=59,"45-59",C1710&lt;=74,"60-74",TRUE,"75+")</f>
        <v>0-17</v>
      </c>
      <c r="E1710" t="s">
        <v>17</v>
      </c>
      <c r="F1710">
        <v>6</v>
      </c>
      <c r="G1710" t="str" cm="1">
        <f t="array" ref="G1710">_xlfn.IFS(_xlfn.SINGLE(Table1[imd_decile])&lt;=3,"Most Deprived",F1710&lt;=7,"Moderately Deprived",F1710&lt;=10,"Least Deprived")</f>
        <v>Moderately Deprived</v>
      </c>
      <c r="H1710">
        <v>12.3</v>
      </c>
      <c r="I1710" t="s">
        <v>42</v>
      </c>
      <c r="J1710" t="s">
        <v>26</v>
      </c>
      <c r="K1710" s="1">
        <v>45825</v>
      </c>
      <c r="L1710" s="1">
        <v>45902</v>
      </c>
      <c r="M1710" s="1" t="str">
        <f>TEXT(Table1[[#This Row],[appointment_date]],"MM/YYYY")</f>
        <v>09/2025</v>
      </c>
      <c r="N1710">
        <v>77</v>
      </c>
      <c r="O1710" t="str" cm="1">
        <f t="array" ref="O1710">_xlfn.IFS(Table1[[#This Row],[lead_time_days]]&lt;=7,"0-7 days",N1710&lt;=14,"8-14 days",N1710&lt;=30,"15-30 days",N1710&lt;=60,"31-60 days",TRUE,"61+ days")</f>
        <v>61+ days</v>
      </c>
      <c r="P1710" t="s">
        <v>71</v>
      </c>
      <c r="Q1710" t="s">
        <v>21</v>
      </c>
      <c r="R1710">
        <v>0</v>
      </c>
      <c r="S1710" t="str">
        <f>IF(Table1[prior_dna_count]&gt;=1,"Has prior DNA history","No prior DNA history")</f>
        <v>No prior DNA history</v>
      </c>
      <c r="T1710" t="s">
        <v>39</v>
      </c>
      <c r="U1710" t="str">
        <f t="shared" si="26"/>
        <v>1</v>
      </c>
      <c r="V1710" t="str">
        <f>IF(Table1[appointment_status]="Attended","1","0")</f>
        <v>0</v>
      </c>
      <c r="W1710" t="str">
        <f>IF(Table1[appointment_status]="Cancelled","1","0")</f>
        <v>0</v>
      </c>
    </row>
    <row r="1711" spans="1:23">
      <c r="A1711" t="s">
        <v>2796</v>
      </c>
      <c r="B1711" t="s">
        <v>2797</v>
      </c>
      <c r="C1711">
        <v>65</v>
      </c>
      <c r="D1711" t="str" cm="1">
        <f t="array" ref="D1711">_xlfn.IFS(Table1[[#This Row],[age]]&lt;=17,"0-17",C1711&lt;=29,"18-29",C1711&lt;=44,"30-44",C1711&lt;=59,"45-59",C1711&lt;=74,"60-74",TRUE,"75+")</f>
        <v>60-74</v>
      </c>
      <c r="E1711" t="s">
        <v>17</v>
      </c>
      <c r="F1711">
        <v>5</v>
      </c>
      <c r="G1711" t="str" cm="1">
        <f t="array" ref="G1711">_xlfn.IFS(_xlfn.SINGLE(Table1[imd_decile])&lt;=3,"Most Deprived",F1711&lt;=7,"Moderately Deprived",F1711&lt;=10,"Least Deprived")</f>
        <v>Moderately Deprived</v>
      </c>
      <c r="H1711">
        <v>5.8</v>
      </c>
      <c r="I1711" t="s">
        <v>18</v>
      </c>
      <c r="J1711" t="s">
        <v>26</v>
      </c>
      <c r="K1711" s="1">
        <v>45887</v>
      </c>
      <c r="L1711" s="1">
        <v>45903</v>
      </c>
      <c r="M1711" s="1" t="str">
        <f>TEXT(Table1[[#This Row],[appointment_date]],"MM/YYYY")</f>
        <v>09/2025</v>
      </c>
      <c r="N1711">
        <v>16</v>
      </c>
      <c r="O1711" t="str" cm="1">
        <f t="array" ref="O1711">_xlfn.IFS(Table1[[#This Row],[lead_time_days]]&lt;=7,"0-7 days",N1711&lt;=14,"8-14 days",N1711&lt;=30,"15-30 days",N1711&lt;=60,"31-60 days",TRUE,"61+ days")</f>
        <v>15-30 days</v>
      </c>
      <c r="P1711" t="s">
        <v>80</v>
      </c>
      <c r="Q1711" t="s">
        <v>21</v>
      </c>
      <c r="R1711">
        <v>0</v>
      </c>
      <c r="S1711" t="str">
        <f>IF(Table1[prior_dna_count]&gt;=1,"Has prior DNA history","No prior DNA history")</f>
        <v>No prior DNA history</v>
      </c>
      <c r="T1711" t="s">
        <v>22</v>
      </c>
      <c r="U1711" t="str">
        <f t="shared" si="26"/>
        <v>0</v>
      </c>
      <c r="V1711" t="str">
        <f>IF(Table1[appointment_status]="Attended","1","0")</f>
        <v>1</v>
      </c>
      <c r="W1711" t="str">
        <f>IF(Table1[appointment_status]="Cancelled","1","0")</f>
        <v>0</v>
      </c>
    </row>
    <row r="1712" spans="1:23">
      <c r="A1712" t="s">
        <v>2798</v>
      </c>
      <c r="B1712" t="s">
        <v>1938</v>
      </c>
      <c r="C1712">
        <v>33</v>
      </c>
      <c r="D1712" t="str" cm="1">
        <f t="array" ref="D1712">_xlfn.IFS(Table1[[#This Row],[age]]&lt;=17,"0-17",C1712&lt;=29,"18-29",C1712&lt;=44,"30-44",C1712&lt;=59,"45-59",C1712&lt;=74,"60-74",TRUE,"75+")</f>
        <v>30-44</v>
      </c>
      <c r="E1712" t="s">
        <v>29</v>
      </c>
      <c r="F1712">
        <v>3</v>
      </c>
      <c r="G1712" t="str" cm="1">
        <f t="array" ref="G1712">_xlfn.IFS(_xlfn.SINGLE(Table1[imd_decile])&lt;=3,"Most Deprived",F1712&lt;=7,"Moderately Deprived",F1712&lt;=10,"Least Deprived")</f>
        <v>Most Deprived</v>
      </c>
      <c r="H1712">
        <v>1.7</v>
      </c>
      <c r="I1712" t="s">
        <v>58</v>
      </c>
      <c r="J1712" t="s">
        <v>19</v>
      </c>
      <c r="K1712" s="1">
        <v>45878</v>
      </c>
      <c r="L1712" s="1">
        <v>45903</v>
      </c>
      <c r="M1712" s="1" t="str">
        <f>TEXT(Table1[[#This Row],[appointment_date]],"MM/YYYY")</f>
        <v>09/2025</v>
      </c>
      <c r="N1712">
        <v>25</v>
      </c>
      <c r="O1712" t="str" cm="1">
        <f t="array" ref="O1712">_xlfn.IFS(Table1[[#This Row],[lead_time_days]]&lt;=7,"0-7 days",N1712&lt;=14,"8-14 days",N1712&lt;=30,"15-30 days",N1712&lt;=60,"31-60 days",TRUE,"61+ days")</f>
        <v>15-30 days</v>
      </c>
      <c r="P1712" t="s">
        <v>80</v>
      </c>
      <c r="Q1712" t="s">
        <v>32</v>
      </c>
      <c r="R1712">
        <v>1</v>
      </c>
      <c r="S1712" t="str">
        <f>IF(Table1[prior_dna_count]&gt;=1,"Has prior DNA history","No prior DNA history")</f>
        <v>Has prior DNA history</v>
      </c>
      <c r="T1712" t="s">
        <v>39</v>
      </c>
      <c r="U1712" t="str">
        <f t="shared" si="26"/>
        <v>1</v>
      </c>
      <c r="V1712" t="str">
        <f>IF(Table1[appointment_status]="Attended","1","0")</f>
        <v>0</v>
      </c>
      <c r="W1712" t="str">
        <f>IF(Table1[appointment_status]="Cancelled","1","0")</f>
        <v>0</v>
      </c>
    </row>
    <row r="1713" spans="1:23">
      <c r="A1713" t="s">
        <v>2799</v>
      </c>
      <c r="B1713" t="s">
        <v>562</v>
      </c>
      <c r="C1713">
        <v>22</v>
      </c>
      <c r="D1713" t="str" cm="1">
        <f t="array" ref="D1713">_xlfn.IFS(Table1[[#This Row],[age]]&lt;=17,"0-17",C1713&lt;=29,"18-29",C1713&lt;=44,"30-44",C1713&lt;=59,"45-59",C1713&lt;=74,"60-74",TRUE,"75+")</f>
        <v>18-29</v>
      </c>
      <c r="E1713" t="s">
        <v>17</v>
      </c>
      <c r="F1713">
        <v>9</v>
      </c>
      <c r="G1713" t="str" cm="1">
        <f t="array" ref="G1713">_xlfn.IFS(_xlfn.SINGLE(Table1[imd_decile])&lt;=3,"Most Deprived",F1713&lt;=7,"Moderately Deprived",F1713&lt;=10,"Least Deprived")</f>
        <v>Least Deprived</v>
      </c>
      <c r="H1713">
        <v>4.3</v>
      </c>
      <c r="I1713" t="s">
        <v>45</v>
      </c>
      <c r="J1713" t="s">
        <v>19</v>
      </c>
      <c r="K1713" s="1">
        <v>45875</v>
      </c>
      <c r="L1713" s="1">
        <v>45903</v>
      </c>
      <c r="M1713" s="1" t="str">
        <f>TEXT(Table1[[#This Row],[appointment_date]],"MM/YYYY")</f>
        <v>09/2025</v>
      </c>
      <c r="N1713">
        <v>28</v>
      </c>
      <c r="O1713" t="str" cm="1">
        <f t="array" ref="O1713">_xlfn.IFS(Table1[[#This Row],[lead_time_days]]&lt;=7,"0-7 days",N1713&lt;=14,"8-14 days",N1713&lt;=30,"15-30 days",N1713&lt;=60,"31-60 days",TRUE,"61+ days")</f>
        <v>15-30 days</v>
      </c>
      <c r="P1713" t="s">
        <v>80</v>
      </c>
      <c r="Q1713" t="s">
        <v>21</v>
      </c>
      <c r="R1713">
        <v>0</v>
      </c>
      <c r="S1713" t="str">
        <f>IF(Table1[prior_dna_count]&gt;=1,"Has prior DNA history","No prior DNA history")</f>
        <v>No prior DNA history</v>
      </c>
      <c r="T1713" t="s">
        <v>22</v>
      </c>
      <c r="U1713" t="str">
        <f t="shared" si="26"/>
        <v>0</v>
      </c>
      <c r="V1713" t="str">
        <f>IF(Table1[appointment_status]="Attended","1","0")</f>
        <v>1</v>
      </c>
      <c r="W1713" t="str">
        <f>IF(Table1[appointment_status]="Cancelled","1","0")</f>
        <v>0</v>
      </c>
    </row>
    <row r="1714" spans="1:23">
      <c r="A1714" t="s">
        <v>2800</v>
      </c>
      <c r="B1714" t="s">
        <v>1838</v>
      </c>
      <c r="C1714">
        <v>37</v>
      </c>
      <c r="D1714" t="str" cm="1">
        <f t="array" ref="D1714">_xlfn.IFS(Table1[[#This Row],[age]]&lt;=17,"0-17",C1714&lt;=29,"18-29",C1714&lt;=44,"30-44",C1714&lt;=59,"45-59",C1714&lt;=74,"60-74",TRUE,"75+")</f>
        <v>30-44</v>
      </c>
      <c r="E1714" t="s">
        <v>29</v>
      </c>
      <c r="F1714">
        <v>2</v>
      </c>
      <c r="G1714" t="str" cm="1">
        <f t="array" ref="G1714">_xlfn.IFS(_xlfn.SINGLE(Table1[imd_decile])&lt;=3,"Most Deprived",F1714&lt;=7,"Moderately Deprived",F1714&lt;=10,"Least Deprived")</f>
        <v>Most Deprived</v>
      </c>
      <c r="H1714">
        <v>7.5</v>
      </c>
      <c r="I1714" t="s">
        <v>30</v>
      </c>
      <c r="J1714" t="s">
        <v>26</v>
      </c>
      <c r="K1714" s="1">
        <v>45893</v>
      </c>
      <c r="L1714" s="1">
        <v>45903</v>
      </c>
      <c r="M1714" s="1" t="str">
        <f>TEXT(Table1[[#This Row],[appointment_date]],"MM/YYYY")</f>
        <v>09/2025</v>
      </c>
      <c r="N1714">
        <v>10</v>
      </c>
      <c r="O1714" t="str" cm="1">
        <f t="array" ref="O1714">_xlfn.IFS(Table1[[#This Row],[lead_time_days]]&lt;=7,"0-7 days",N1714&lt;=14,"8-14 days",N1714&lt;=30,"15-30 days",N1714&lt;=60,"31-60 days",TRUE,"61+ days")</f>
        <v>8-14 days</v>
      </c>
      <c r="P1714" t="s">
        <v>80</v>
      </c>
      <c r="Q1714" t="s">
        <v>21</v>
      </c>
      <c r="R1714">
        <v>0</v>
      </c>
      <c r="S1714" t="str">
        <f>IF(Table1[prior_dna_count]&gt;=1,"Has prior DNA history","No prior DNA history")</f>
        <v>No prior DNA history</v>
      </c>
      <c r="T1714" t="s">
        <v>22</v>
      </c>
      <c r="U1714" t="str">
        <f t="shared" si="26"/>
        <v>1</v>
      </c>
      <c r="V1714" t="str">
        <f>IF(Table1[appointment_status]="Attended","1","0")</f>
        <v>1</v>
      </c>
      <c r="W1714" t="str">
        <f>IF(Table1[appointment_status]="Cancelled","1","0")</f>
        <v>0</v>
      </c>
    </row>
    <row r="1715" spans="1:23">
      <c r="A1715" t="s">
        <v>2801</v>
      </c>
      <c r="B1715" t="s">
        <v>90</v>
      </c>
      <c r="C1715">
        <v>51</v>
      </c>
      <c r="D1715" t="str" cm="1">
        <f t="array" ref="D1715">_xlfn.IFS(Table1[[#This Row],[age]]&lt;=17,"0-17",C1715&lt;=29,"18-29",C1715&lt;=44,"30-44",C1715&lt;=59,"45-59",C1715&lt;=74,"60-74",TRUE,"75+")</f>
        <v>45-59</v>
      </c>
      <c r="E1715" t="s">
        <v>17</v>
      </c>
      <c r="F1715">
        <v>4</v>
      </c>
      <c r="G1715" t="str" cm="1">
        <f t="array" ref="G1715">_xlfn.IFS(_xlfn.SINGLE(Table1[imd_decile])&lt;=3,"Most Deprived",F1715&lt;=7,"Moderately Deprived",F1715&lt;=10,"Least Deprived")</f>
        <v>Moderately Deprived</v>
      </c>
      <c r="H1715">
        <v>7.9</v>
      </c>
      <c r="I1715" t="s">
        <v>38</v>
      </c>
      <c r="J1715" t="s">
        <v>19</v>
      </c>
      <c r="K1715" s="1">
        <v>45768</v>
      </c>
      <c r="L1715" s="1">
        <v>45903</v>
      </c>
      <c r="M1715" s="1" t="str">
        <f>TEXT(Table1[[#This Row],[appointment_date]],"MM/YYYY")</f>
        <v>09/2025</v>
      </c>
      <c r="N1715">
        <v>135</v>
      </c>
      <c r="O1715" t="str" cm="1">
        <f t="array" ref="O1715">_xlfn.IFS(Table1[[#This Row],[lead_time_days]]&lt;=7,"0-7 days",N1715&lt;=14,"8-14 days",N1715&lt;=30,"15-30 days",N1715&lt;=60,"31-60 days",TRUE,"61+ days")</f>
        <v>61+ days</v>
      </c>
      <c r="P1715" t="s">
        <v>80</v>
      </c>
      <c r="Q1715" t="s">
        <v>21</v>
      </c>
      <c r="R1715">
        <v>0</v>
      </c>
      <c r="S1715" t="str">
        <f>IF(Table1[prior_dna_count]&gt;=1,"Has prior DNA history","No prior DNA history")</f>
        <v>No prior DNA history</v>
      </c>
      <c r="T1715" t="s">
        <v>22</v>
      </c>
      <c r="U1715" t="str">
        <f t="shared" si="26"/>
        <v>1</v>
      </c>
      <c r="V1715" t="str">
        <f>IF(Table1[appointment_status]="Attended","1","0")</f>
        <v>1</v>
      </c>
      <c r="W1715" t="str">
        <f>IF(Table1[appointment_status]="Cancelled","1","0")</f>
        <v>0</v>
      </c>
    </row>
    <row r="1716" spans="1:23">
      <c r="A1716" t="s">
        <v>2802</v>
      </c>
      <c r="B1716" t="s">
        <v>2803</v>
      </c>
      <c r="C1716">
        <v>63</v>
      </c>
      <c r="D1716" t="str" cm="1">
        <f t="array" ref="D1716">_xlfn.IFS(Table1[[#This Row],[age]]&lt;=17,"0-17",C1716&lt;=29,"18-29",C1716&lt;=44,"30-44",C1716&lt;=59,"45-59",C1716&lt;=74,"60-74",TRUE,"75+")</f>
        <v>60-74</v>
      </c>
      <c r="E1716" t="s">
        <v>29</v>
      </c>
      <c r="F1716">
        <v>3</v>
      </c>
      <c r="G1716" t="str" cm="1">
        <f t="array" ref="G1716">_xlfn.IFS(_xlfn.SINGLE(Table1[imd_decile])&lt;=3,"Most Deprived",F1716&lt;=7,"Moderately Deprived",F1716&lt;=10,"Least Deprived")</f>
        <v>Most Deprived</v>
      </c>
      <c r="H1716">
        <v>1.9</v>
      </c>
      <c r="I1716" t="s">
        <v>49</v>
      </c>
      <c r="J1716" t="s">
        <v>26</v>
      </c>
      <c r="K1716" s="1">
        <v>45897</v>
      </c>
      <c r="L1716" s="1">
        <v>45903</v>
      </c>
      <c r="M1716" s="1" t="str">
        <f>TEXT(Table1[[#This Row],[appointment_date]],"MM/YYYY")</f>
        <v>09/2025</v>
      </c>
      <c r="N1716">
        <v>6</v>
      </c>
      <c r="O1716" t="str" cm="1">
        <f t="array" ref="O1716">_xlfn.IFS(Table1[[#This Row],[lead_time_days]]&lt;=7,"0-7 days",N1716&lt;=14,"8-14 days",N1716&lt;=30,"15-30 days",N1716&lt;=60,"31-60 days",TRUE,"61+ days")</f>
        <v>0-7 days</v>
      </c>
      <c r="P1716" t="s">
        <v>80</v>
      </c>
      <c r="Q1716" t="s">
        <v>21</v>
      </c>
      <c r="R1716">
        <v>0</v>
      </c>
      <c r="S1716" t="str">
        <f>IF(Table1[prior_dna_count]&gt;=1,"Has prior DNA history","No prior DNA history")</f>
        <v>No prior DNA history</v>
      </c>
      <c r="T1716" t="s">
        <v>39</v>
      </c>
      <c r="U1716" t="str">
        <f t="shared" si="26"/>
        <v>1</v>
      </c>
      <c r="V1716" t="str">
        <f>IF(Table1[appointment_status]="Attended","1","0")</f>
        <v>0</v>
      </c>
      <c r="W1716" t="str">
        <f>IF(Table1[appointment_status]="Cancelled","1","0")</f>
        <v>0</v>
      </c>
    </row>
    <row r="1717" spans="1:23">
      <c r="A1717" t="s">
        <v>2804</v>
      </c>
      <c r="B1717" t="s">
        <v>2155</v>
      </c>
      <c r="C1717">
        <v>3</v>
      </c>
      <c r="D1717" t="str" cm="1">
        <f t="array" ref="D1717">_xlfn.IFS(Table1[[#This Row],[age]]&lt;=17,"0-17",C1717&lt;=29,"18-29",C1717&lt;=44,"30-44",C1717&lt;=59,"45-59",C1717&lt;=74,"60-74",TRUE,"75+")</f>
        <v>0-17</v>
      </c>
      <c r="E1717" t="s">
        <v>17</v>
      </c>
      <c r="F1717">
        <v>6</v>
      </c>
      <c r="G1717" t="str" cm="1">
        <f t="array" ref="G1717">_xlfn.IFS(_xlfn.SINGLE(Table1[imd_decile])&lt;=3,"Most Deprived",F1717&lt;=7,"Moderately Deprived",F1717&lt;=10,"Least Deprived")</f>
        <v>Moderately Deprived</v>
      </c>
      <c r="H1717">
        <v>6.6</v>
      </c>
      <c r="I1717" t="s">
        <v>18</v>
      </c>
      <c r="J1717" t="s">
        <v>19</v>
      </c>
      <c r="K1717" s="1">
        <v>45854</v>
      </c>
      <c r="L1717" s="1">
        <v>45903</v>
      </c>
      <c r="M1717" s="1" t="str">
        <f>TEXT(Table1[[#This Row],[appointment_date]],"MM/YYYY")</f>
        <v>09/2025</v>
      </c>
      <c r="N1717">
        <v>49</v>
      </c>
      <c r="O1717" t="str" cm="1">
        <f t="array" ref="O1717">_xlfn.IFS(Table1[[#This Row],[lead_time_days]]&lt;=7,"0-7 days",N1717&lt;=14,"8-14 days",N1717&lt;=30,"15-30 days",N1717&lt;=60,"31-60 days",TRUE,"61+ days")</f>
        <v>31-60 days</v>
      </c>
      <c r="P1717" t="s">
        <v>80</v>
      </c>
      <c r="Q1717" t="s">
        <v>21</v>
      </c>
      <c r="R1717">
        <v>0</v>
      </c>
      <c r="S1717" t="str">
        <f>IF(Table1[prior_dna_count]&gt;=1,"Has prior DNA history","No prior DNA history")</f>
        <v>No prior DNA history</v>
      </c>
      <c r="T1717" t="s">
        <v>22</v>
      </c>
      <c r="U1717" t="str">
        <f t="shared" si="26"/>
        <v>0</v>
      </c>
      <c r="V1717" t="str">
        <f>IF(Table1[appointment_status]="Attended","1","0")</f>
        <v>1</v>
      </c>
      <c r="W1717" t="str">
        <f>IF(Table1[appointment_status]="Cancelled","1","0")</f>
        <v>0</v>
      </c>
    </row>
    <row r="1718" spans="1:23">
      <c r="A1718" t="s">
        <v>2805</v>
      </c>
      <c r="B1718" t="s">
        <v>324</v>
      </c>
      <c r="C1718">
        <v>51</v>
      </c>
      <c r="D1718" t="str" cm="1">
        <f t="array" ref="D1718">_xlfn.IFS(Table1[[#This Row],[age]]&lt;=17,"0-17",C1718&lt;=29,"18-29",C1718&lt;=44,"30-44",C1718&lt;=59,"45-59",C1718&lt;=74,"60-74",TRUE,"75+")</f>
        <v>45-59</v>
      </c>
      <c r="E1718" t="s">
        <v>29</v>
      </c>
      <c r="F1718">
        <v>4</v>
      </c>
      <c r="G1718" t="str" cm="1">
        <f t="array" ref="G1718">_xlfn.IFS(_xlfn.SINGLE(Table1[imd_decile])&lt;=3,"Most Deprived",F1718&lt;=7,"Moderately Deprived",F1718&lt;=10,"Least Deprived")</f>
        <v>Moderately Deprived</v>
      </c>
      <c r="H1718">
        <v>5.9</v>
      </c>
      <c r="I1718" t="s">
        <v>25</v>
      </c>
      <c r="J1718" t="s">
        <v>19</v>
      </c>
      <c r="K1718" s="1">
        <v>45890</v>
      </c>
      <c r="L1718" s="1">
        <v>45903</v>
      </c>
      <c r="M1718" s="1" t="str">
        <f>TEXT(Table1[[#This Row],[appointment_date]],"MM/YYYY")</f>
        <v>09/2025</v>
      </c>
      <c r="N1718">
        <v>13</v>
      </c>
      <c r="O1718" t="str" cm="1">
        <f t="array" ref="O1718">_xlfn.IFS(Table1[[#This Row],[lead_time_days]]&lt;=7,"0-7 days",N1718&lt;=14,"8-14 days",N1718&lt;=30,"15-30 days",N1718&lt;=60,"31-60 days",TRUE,"61+ days")</f>
        <v>8-14 days</v>
      </c>
      <c r="P1718" t="s">
        <v>80</v>
      </c>
      <c r="Q1718" t="s">
        <v>32</v>
      </c>
      <c r="R1718">
        <v>0</v>
      </c>
      <c r="S1718" t="str">
        <f>IF(Table1[prior_dna_count]&gt;=1,"Has prior DNA history","No prior DNA history")</f>
        <v>No prior DNA history</v>
      </c>
      <c r="T1718" t="s">
        <v>22</v>
      </c>
      <c r="U1718" t="str">
        <f t="shared" si="26"/>
        <v>1</v>
      </c>
      <c r="V1718" t="str">
        <f>IF(Table1[appointment_status]="Attended","1","0")</f>
        <v>1</v>
      </c>
      <c r="W1718" t="str">
        <f>IF(Table1[appointment_status]="Cancelled","1","0")</f>
        <v>0</v>
      </c>
    </row>
    <row r="1719" spans="1:23">
      <c r="A1719" t="s">
        <v>2806</v>
      </c>
      <c r="B1719" t="s">
        <v>979</v>
      </c>
      <c r="C1719">
        <v>59</v>
      </c>
      <c r="D1719" t="str" cm="1">
        <f t="array" ref="D1719">_xlfn.IFS(Table1[[#This Row],[age]]&lt;=17,"0-17",C1719&lt;=29,"18-29",C1719&lt;=44,"30-44",C1719&lt;=59,"45-59",C1719&lt;=74,"60-74",TRUE,"75+")</f>
        <v>45-59</v>
      </c>
      <c r="E1719" t="s">
        <v>29</v>
      </c>
      <c r="F1719">
        <v>10</v>
      </c>
      <c r="G1719" t="str" cm="1">
        <f t="array" ref="G1719">_xlfn.IFS(_xlfn.SINGLE(Table1[imd_decile])&lt;=3,"Most Deprived",F1719&lt;=7,"Moderately Deprived",F1719&lt;=10,"Least Deprived")</f>
        <v>Least Deprived</v>
      </c>
      <c r="H1719">
        <v>3.4</v>
      </c>
      <c r="I1719" t="s">
        <v>58</v>
      </c>
      <c r="J1719" t="s">
        <v>19</v>
      </c>
      <c r="K1719" s="1">
        <v>45891</v>
      </c>
      <c r="L1719" s="1">
        <v>45903</v>
      </c>
      <c r="M1719" s="1" t="str">
        <f>TEXT(Table1[[#This Row],[appointment_date]],"MM/YYYY")</f>
        <v>09/2025</v>
      </c>
      <c r="N1719">
        <v>12</v>
      </c>
      <c r="O1719" t="str" cm="1">
        <f t="array" ref="O1719">_xlfn.IFS(Table1[[#This Row],[lead_time_days]]&lt;=7,"0-7 days",N1719&lt;=14,"8-14 days",N1719&lt;=30,"15-30 days",N1719&lt;=60,"31-60 days",TRUE,"61+ days")</f>
        <v>8-14 days</v>
      </c>
      <c r="P1719" t="s">
        <v>80</v>
      </c>
      <c r="Q1719" t="s">
        <v>21</v>
      </c>
      <c r="R1719">
        <v>0</v>
      </c>
      <c r="S1719" t="str">
        <f>IF(Table1[prior_dna_count]&gt;=1,"Has prior DNA history","No prior DNA history")</f>
        <v>No prior DNA history</v>
      </c>
      <c r="T1719" t="s">
        <v>22</v>
      </c>
      <c r="U1719" t="str">
        <f t="shared" si="26"/>
        <v>1</v>
      </c>
      <c r="V1719" t="str">
        <f>IF(Table1[appointment_status]="Attended","1","0")</f>
        <v>1</v>
      </c>
      <c r="W1719" t="str">
        <f>IF(Table1[appointment_status]="Cancelled","1","0")</f>
        <v>0</v>
      </c>
    </row>
    <row r="1720" spans="1:23">
      <c r="A1720" t="s">
        <v>2807</v>
      </c>
      <c r="B1720" t="s">
        <v>123</v>
      </c>
      <c r="C1720">
        <v>55</v>
      </c>
      <c r="D1720" t="str" cm="1">
        <f t="array" ref="D1720">_xlfn.IFS(Table1[[#This Row],[age]]&lt;=17,"0-17",C1720&lt;=29,"18-29",C1720&lt;=44,"30-44",C1720&lt;=59,"45-59",C1720&lt;=74,"60-74",TRUE,"75+")</f>
        <v>45-59</v>
      </c>
      <c r="E1720" t="s">
        <v>17</v>
      </c>
      <c r="F1720">
        <v>2</v>
      </c>
      <c r="G1720" t="str" cm="1">
        <f t="array" ref="G1720">_xlfn.IFS(_xlfn.SINGLE(Table1[imd_decile])&lt;=3,"Most Deprived",F1720&lt;=7,"Moderately Deprived",F1720&lt;=10,"Least Deprived")</f>
        <v>Most Deprived</v>
      </c>
      <c r="H1720">
        <v>4.5999999999999996</v>
      </c>
      <c r="I1720" t="s">
        <v>49</v>
      </c>
      <c r="J1720" t="s">
        <v>26</v>
      </c>
      <c r="K1720" s="1">
        <v>45878</v>
      </c>
      <c r="L1720" s="1">
        <v>45903</v>
      </c>
      <c r="M1720" s="1" t="str">
        <f>TEXT(Table1[[#This Row],[appointment_date]],"MM/YYYY")</f>
        <v>09/2025</v>
      </c>
      <c r="N1720">
        <v>25</v>
      </c>
      <c r="O1720" t="str" cm="1">
        <f t="array" ref="O1720">_xlfn.IFS(Table1[[#This Row],[lead_time_days]]&lt;=7,"0-7 days",N1720&lt;=14,"8-14 days",N1720&lt;=30,"15-30 days",N1720&lt;=60,"31-60 days",TRUE,"61+ days")</f>
        <v>15-30 days</v>
      </c>
      <c r="P1720" t="s">
        <v>80</v>
      </c>
      <c r="Q1720" t="s">
        <v>21</v>
      </c>
      <c r="R1720">
        <v>0</v>
      </c>
      <c r="S1720" t="str">
        <f>IF(Table1[prior_dna_count]&gt;=1,"Has prior DNA history","No prior DNA history")</f>
        <v>No prior DNA history</v>
      </c>
      <c r="T1720" t="s">
        <v>39</v>
      </c>
      <c r="U1720" t="str">
        <f t="shared" si="26"/>
        <v>1</v>
      </c>
      <c r="V1720" t="str">
        <f>IF(Table1[appointment_status]="Attended","1","0")</f>
        <v>0</v>
      </c>
      <c r="W1720" t="str">
        <f>IF(Table1[appointment_status]="Cancelled","1","0")</f>
        <v>0</v>
      </c>
    </row>
    <row r="1721" spans="1:23">
      <c r="A1721" t="s">
        <v>2808</v>
      </c>
      <c r="B1721" t="s">
        <v>1014</v>
      </c>
      <c r="C1721">
        <v>19</v>
      </c>
      <c r="D1721" t="str" cm="1">
        <f t="array" ref="D1721">_xlfn.IFS(Table1[[#This Row],[age]]&lt;=17,"0-17",C1721&lt;=29,"18-29",C1721&lt;=44,"30-44",C1721&lt;=59,"45-59",C1721&lt;=74,"60-74",TRUE,"75+")</f>
        <v>18-29</v>
      </c>
      <c r="E1721" t="s">
        <v>29</v>
      </c>
      <c r="F1721">
        <v>5</v>
      </c>
      <c r="G1721" t="str" cm="1">
        <f t="array" ref="G1721">_xlfn.IFS(_xlfn.SINGLE(Table1[imd_decile])&lt;=3,"Most Deprived",F1721&lt;=7,"Moderately Deprived",F1721&lt;=10,"Least Deprived")</f>
        <v>Moderately Deprived</v>
      </c>
      <c r="H1721">
        <v>20.2</v>
      </c>
      <c r="I1721" t="s">
        <v>42</v>
      </c>
      <c r="J1721" t="s">
        <v>26</v>
      </c>
      <c r="K1721" s="1">
        <v>45883</v>
      </c>
      <c r="L1721" s="1">
        <v>45903</v>
      </c>
      <c r="M1721" s="1" t="str">
        <f>TEXT(Table1[[#This Row],[appointment_date]],"MM/YYYY")</f>
        <v>09/2025</v>
      </c>
      <c r="N1721">
        <v>20</v>
      </c>
      <c r="O1721" t="str" cm="1">
        <f t="array" ref="O1721">_xlfn.IFS(Table1[[#This Row],[lead_time_days]]&lt;=7,"0-7 days",N1721&lt;=14,"8-14 days",N1721&lt;=30,"15-30 days",N1721&lt;=60,"31-60 days",TRUE,"61+ days")</f>
        <v>15-30 days</v>
      </c>
      <c r="P1721" t="s">
        <v>80</v>
      </c>
      <c r="Q1721" t="s">
        <v>21</v>
      </c>
      <c r="R1721">
        <v>0</v>
      </c>
      <c r="S1721" t="str">
        <f>IF(Table1[prior_dna_count]&gt;=1,"Has prior DNA history","No prior DNA history")</f>
        <v>No prior DNA history</v>
      </c>
      <c r="T1721" t="s">
        <v>22</v>
      </c>
      <c r="U1721" t="str">
        <f t="shared" si="26"/>
        <v>0</v>
      </c>
      <c r="V1721" t="str">
        <f>IF(Table1[appointment_status]="Attended","1","0")</f>
        <v>1</v>
      </c>
      <c r="W1721" t="str">
        <f>IF(Table1[appointment_status]="Cancelled","1","0")</f>
        <v>0</v>
      </c>
    </row>
    <row r="1722" spans="1:23">
      <c r="A1722" t="s">
        <v>2809</v>
      </c>
      <c r="B1722" t="s">
        <v>874</v>
      </c>
      <c r="C1722">
        <v>49</v>
      </c>
      <c r="D1722" t="str" cm="1">
        <f t="array" ref="D1722">_xlfn.IFS(Table1[[#This Row],[age]]&lt;=17,"0-17",C1722&lt;=29,"18-29",C1722&lt;=44,"30-44",C1722&lt;=59,"45-59",C1722&lt;=74,"60-74",TRUE,"75+")</f>
        <v>45-59</v>
      </c>
      <c r="E1722" t="s">
        <v>17</v>
      </c>
      <c r="F1722">
        <v>1</v>
      </c>
      <c r="G1722" t="str" cm="1">
        <f t="array" ref="G1722">_xlfn.IFS(_xlfn.SINGLE(Table1[imd_decile])&lt;=3,"Most Deprived",F1722&lt;=7,"Moderately Deprived",F1722&lt;=10,"Least Deprived")</f>
        <v>Most Deprived</v>
      </c>
      <c r="H1722">
        <v>8.3000000000000007</v>
      </c>
      <c r="I1722" t="s">
        <v>42</v>
      </c>
      <c r="J1722" t="s">
        <v>19</v>
      </c>
      <c r="K1722" s="1">
        <v>45871</v>
      </c>
      <c r="L1722" s="1">
        <v>45903</v>
      </c>
      <c r="M1722" s="1" t="str">
        <f>TEXT(Table1[[#This Row],[appointment_date]],"MM/YYYY")</f>
        <v>09/2025</v>
      </c>
      <c r="N1722">
        <v>32</v>
      </c>
      <c r="O1722" t="str" cm="1">
        <f t="array" ref="O1722">_xlfn.IFS(Table1[[#This Row],[lead_time_days]]&lt;=7,"0-7 days",N1722&lt;=14,"8-14 days",N1722&lt;=30,"15-30 days",N1722&lt;=60,"31-60 days",TRUE,"61+ days")</f>
        <v>31-60 days</v>
      </c>
      <c r="P1722" t="s">
        <v>80</v>
      </c>
      <c r="Q1722" t="s">
        <v>32</v>
      </c>
      <c r="R1722">
        <v>0</v>
      </c>
      <c r="S1722" t="str">
        <f>IF(Table1[prior_dna_count]&gt;=1,"Has prior DNA history","No prior DNA history")</f>
        <v>No prior DNA history</v>
      </c>
      <c r="T1722" t="s">
        <v>22</v>
      </c>
      <c r="U1722" t="str">
        <f t="shared" si="26"/>
        <v>1</v>
      </c>
      <c r="V1722" t="str">
        <f>IF(Table1[appointment_status]="Attended","1","0")</f>
        <v>1</v>
      </c>
      <c r="W1722" t="str">
        <f>IF(Table1[appointment_status]="Cancelled","1","0")</f>
        <v>0</v>
      </c>
    </row>
    <row r="1723" spans="1:23">
      <c r="A1723" t="s">
        <v>2810</v>
      </c>
      <c r="B1723" t="s">
        <v>2811</v>
      </c>
      <c r="C1723">
        <v>28</v>
      </c>
      <c r="D1723" t="str" cm="1">
        <f t="array" ref="D1723">_xlfn.IFS(Table1[[#This Row],[age]]&lt;=17,"0-17",C1723&lt;=29,"18-29",C1723&lt;=44,"30-44",C1723&lt;=59,"45-59",C1723&lt;=74,"60-74",TRUE,"75+")</f>
        <v>18-29</v>
      </c>
      <c r="E1723" t="s">
        <v>29</v>
      </c>
      <c r="F1723">
        <v>3</v>
      </c>
      <c r="G1723" t="str" cm="1">
        <f t="array" ref="G1723">_xlfn.IFS(_xlfn.SINGLE(Table1[imd_decile])&lt;=3,"Most Deprived",F1723&lt;=7,"Moderately Deprived",F1723&lt;=10,"Least Deprived")</f>
        <v>Most Deprived</v>
      </c>
      <c r="H1723">
        <v>2.6</v>
      </c>
      <c r="I1723" t="s">
        <v>45</v>
      </c>
      <c r="J1723" t="s">
        <v>19</v>
      </c>
      <c r="K1723" s="1">
        <v>45890</v>
      </c>
      <c r="L1723" s="1">
        <v>45904</v>
      </c>
      <c r="M1723" s="1" t="str">
        <f>TEXT(Table1[[#This Row],[appointment_date]],"MM/YYYY")</f>
        <v>09/2025</v>
      </c>
      <c r="N1723">
        <v>14</v>
      </c>
      <c r="O1723" t="str" cm="1">
        <f t="array" ref="O1723">_xlfn.IFS(Table1[[#This Row],[lead_time_days]]&lt;=7,"0-7 days",N1723&lt;=14,"8-14 days",N1723&lt;=30,"15-30 days",N1723&lt;=60,"31-60 days",TRUE,"61+ days")</f>
        <v>8-14 days</v>
      </c>
      <c r="P1723" t="s">
        <v>20</v>
      </c>
      <c r="Q1723" t="s">
        <v>21</v>
      </c>
      <c r="R1723">
        <v>0</v>
      </c>
      <c r="S1723" t="str">
        <f>IF(Table1[prior_dna_count]&gt;=1,"Has prior DNA history","No prior DNA history")</f>
        <v>No prior DNA history</v>
      </c>
      <c r="T1723" t="s">
        <v>39</v>
      </c>
      <c r="U1723" t="str">
        <f t="shared" si="26"/>
        <v>1</v>
      </c>
      <c r="V1723" t="str">
        <f>IF(Table1[appointment_status]="Attended","1","0")</f>
        <v>0</v>
      </c>
      <c r="W1723" t="str">
        <f>IF(Table1[appointment_status]="Cancelled","1","0")</f>
        <v>0</v>
      </c>
    </row>
    <row r="1724" spans="1:23">
      <c r="A1724" t="s">
        <v>2812</v>
      </c>
      <c r="B1724" t="s">
        <v>2813</v>
      </c>
      <c r="C1724">
        <v>20</v>
      </c>
      <c r="D1724" t="str" cm="1">
        <f t="array" ref="D1724">_xlfn.IFS(Table1[[#This Row],[age]]&lt;=17,"0-17",C1724&lt;=29,"18-29",C1724&lt;=44,"30-44",C1724&lt;=59,"45-59",C1724&lt;=74,"60-74",TRUE,"75+")</f>
        <v>18-29</v>
      </c>
      <c r="E1724" t="s">
        <v>29</v>
      </c>
      <c r="F1724">
        <v>3</v>
      </c>
      <c r="G1724" t="str" cm="1">
        <f t="array" ref="G1724">_xlfn.IFS(_xlfn.SINGLE(Table1[imd_decile])&lt;=3,"Most Deprived",F1724&lt;=7,"Moderately Deprived",F1724&lt;=10,"Least Deprived")</f>
        <v>Most Deprived</v>
      </c>
      <c r="H1724">
        <v>6</v>
      </c>
      <c r="I1724" t="s">
        <v>25</v>
      </c>
      <c r="J1724" t="s">
        <v>19</v>
      </c>
      <c r="K1724" s="1">
        <v>45842</v>
      </c>
      <c r="L1724" s="1">
        <v>45904</v>
      </c>
      <c r="M1724" s="1" t="str">
        <f>TEXT(Table1[[#This Row],[appointment_date]],"MM/YYYY")</f>
        <v>09/2025</v>
      </c>
      <c r="N1724">
        <v>62</v>
      </c>
      <c r="O1724" t="str" cm="1">
        <f t="array" ref="O1724">_xlfn.IFS(Table1[[#This Row],[lead_time_days]]&lt;=7,"0-7 days",N1724&lt;=14,"8-14 days",N1724&lt;=30,"15-30 days",N1724&lt;=60,"31-60 days",TRUE,"61+ days")</f>
        <v>61+ days</v>
      </c>
      <c r="P1724" t="s">
        <v>20</v>
      </c>
      <c r="Q1724" t="s">
        <v>21</v>
      </c>
      <c r="R1724">
        <v>0</v>
      </c>
      <c r="S1724" t="str">
        <f>IF(Table1[prior_dna_count]&gt;=1,"Has prior DNA history","No prior DNA history")</f>
        <v>No prior DNA history</v>
      </c>
      <c r="T1724" t="s">
        <v>22</v>
      </c>
      <c r="U1724" t="str">
        <f t="shared" si="26"/>
        <v>0</v>
      </c>
      <c r="V1724" t="str">
        <f>IF(Table1[appointment_status]="Attended","1","0")</f>
        <v>1</v>
      </c>
      <c r="W1724" t="str">
        <f>IF(Table1[appointment_status]="Cancelled","1","0")</f>
        <v>0</v>
      </c>
    </row>
    <row r="1725" spans="1:23">
      <c r="A1725" t="s">
        <v>2814</v>
      </c>
      <c r="B1725" t="s">
        <v>2815</v>
      </c>
      <c r="C1725">
        <v>45</v>
      </c>
      <c r="D1725" t="str" cm="1">
        <f t="array" ref="D1725">_xlfn.IFS(Table1[[#This Row],[age]]&lt;=17,"0-17",C1725&lt;=29,"18-29",C1725&lt;=44,"30-44",C1725&lt;=59,"45-59",C1725&lt;=74,"60-74",TRUE,"75+")</f>
        <v>45-59</v>
      </c>
      <c r="E1725" t="s">
        <v>29</v>
      </c>
      <c r="F1725">
        <v>7</v>
      </c>
      <c r="G1725" t="str" cm="1">
        <f t="array" ref="G1725">_xlfn.IFS(_xlfn.SINGLE(Table1[imd_decile])&lt;=3,"Most Deprived",F1725&lt;=7,"Moderately Deprived",F1725&lt;=10,"Least Deprived")</f>
        <v>Moderately Deprived</v>
      </c>
      <c r="H1725">
        <v>6.3</v>
      </c>
      <c r="I1725" t="s">
        <v>49</v>
      </c>
      <c r="J1725" t="s">
        <v>19</v>
      </c>
      <c r="K1725" s="1">
        <v>45883</v>
      </c>
      <c r="L1725" s="1">
        <v>45904</v>
      </c>
      <c r="M1725" s="1" t="str">
        <f>TEXT(Table1[[#This Row],[appointment_date]],"MM/YYYY")</f>
        <v>09/2025</v>
      </c>
      <c r="N1725">
        <v>21</v>
      </c>
      <c r="O1725" t="str" cm="1">
        <f t="array" ref="O1725">_xlfn.IFS(Table1[[#This Row],[lead_time_days]]&lt;=7,"0-7 days",N1725&lt;=14,"8-14 days",N1725&lt;=30,"15-30 days",N1725&lt;=60,"31-60 days",TRUE,"61+ days")</f>
        <v>15-30 days</v>
      </c>
      <c r="P1725" t="s">
        <v>20</v>
      </c>
      <c r="Q1725" t="s">
        <v>21</v>
      </c>
      <c r="R1725">
        <v>0</v>
      </c>
      <c r="S1725" t="str">
        <f>IF(Table1[prior_dna_count]&gt;=1,"Has prior DNA history","No prior DNA history")</f>
        <v>No prior DNA history</v>
      </c>
      <c r="T1725" t="s">
        <v>22</v>
      </c>
      <c r="U1725" t="str">
        <f t="shared" si="26"/>
        <v>1</v>
      </c>
      <c r="V1725" t="str">
        <f>IF(Table1[appointment_status]="Attended","1","0")</f>
        <v>1</v>
      </c>
      <c r="W1725" t="str">
        <f>IF(Table1[appointment_status]="Cancelled","1","0")</f>
        <v>0</v>
      </c>
    </row>
    <row r="1726" spans="1:23">
      <c r="A1726" t="s">
        <v>2816</v>
      </c>
      <c r="B1726" t="s">
        <v>2817</v>
      </c>
      <c r="C1726">
        <v>39</v>
      </c>
      <c r="D1726" t="str" cm="1">
        <f t="array" ref="D1726">_xlfn.IFS(Table1[[#This Row],[age]]&lt;=17,"0-17",C1726&lt;=29,"18-29",C1726&lt;=44,"30-44",C1726&lt;=59,"45-59",C1726&lt;=74,"60-74",TRUE,"75+")</f>
        <v>30-44</v>
      </c>
      <c r="E1726" t="s">
        <v>29</v>
      </c>
      <c r="F1726">
        <v>5</v>
      </c>
      <c r="G1726" t="str" cm="1">
        <f t="array" ref="G1726">_xlfn.IFS(_xlfn.SINGLE(Table1[imd_decile])&lt;=3,"Most Deprived",F1726&lt;=7,"Moderately Deprived",F1726&lt;=10,"Least Deprived")</f>
        <v>Moderately Deprived</v>
      </c>
      <c r="H1726">
        <v>10.3</v>
      </c>
      <c r="I1726" t="s">
        <v>49</v>
      </c>
      <c r="J1726" t="s">
        <v>19</v>
      </c>
      <c r="K1726" s="1">
        <v>45888</v>
      </c>
      <c r="L1726" s="1">
        <v>45904</v>
      </c>
      <c r="M1726" s="1" t="str">
        <f>TEXT(Table1[[#This Row],[appointment_date]],"MM/YYYY")</f>
        <v>09/2025</v>
      </c>
      <c r="N1726">
        <v>16</v>
      </c>
      <c r="O1726" t="str" cm="1">
        <f t="array" ref="O1726">_xlfn.IFS(Table1[[#This Row],[lead_time_days]]&lt;=7,"0-7 days",N1726&lt;=14,"8-14 days",N1726&lt;=30,"15-30 days",N1726&lt;=60,"31-60 days",TRUE,"61+ days")</f>
        <v>15-30 days</v>
      </c>
      <c r="P1726" t="s">
        <v>20</v>
      </c>
      <c r="Q1726" t="s">
        <v>21</v>
      </c>
      <c r="R1726">
        <v>0</v>
      </c>
      <c r="S1726" t="str">
        <f>IF(Table1[prior_dna_count]&gt;=1,"Has prior DNA history","No prior DNA history")</f>
        <v>No prior DNA history</v>
      </c>
      <c r="T1726" t="s">
        <v>22</v>
      </c>
      <c r="U1726" t="str">
        <f t="shared" si="26"/>
        <v>1</v>
      </c>
      <c r="V1726" t="str">
        <f>IF(Table1[appointment_status]="Attended","1","0")</f>
        <v>1</v>
      </c>
      <c r="W1726" t="str">
        <f>IF(Table1[appointment_status]="Cancelled","1","0")</f>
        <v>0</v>
      </c>
    </row>
    <row r="1727" spans="1:23">
      <c r="A1727" t="s">
        <v>2818</v>
      </c>
      <c r="B1727" t="s">
        <v>995</v>
      </c>
      <c r="C1727">
        <v>36</v>
      </c>
      <c r="D1727" t="str" cm="1">
        <f t="array" ref="D1727">_xlfn.IFS(Table1[[#This Row],[age]]&lt;=17,"0-17",C1727&lt;=29,"18-29",C1727&lt;=44,"30-44",C1727&lt;=59,"45-59",C1727&lt;=74,"60-74",TRUE,"75+")</f>
        <v>30-44</v>
      </c>
      <c r="E1727" t="s">
        <v>29</v>
      </c>
      <c r="F1727">
        <v>7</v>
      </c>
      <c r="G1727" t="str" cm="1">
        <f t="array" ref="G1727">_xlfn.IFS(_xlfn.SINGLE(Table1[imd_decile])&lt;=3,"Most Deprived",F1727&lt;=7,"Moderately Deprived",F1727&lt;=10,"Least Deprived")</f>
        <v>Moderately Deprived</v>
      </c>
      <c r="H1727">
        <v>1</v>
      </c>
      <c r="I1727" t="s">
        <v>91</v>
      </c>
      <c r="J1727" t="s">
        <v>26</v>
      </c>
      <c r="K1727" s="1">
        <v>45866</v>
      </c>
      <c r="L1727" s="1">
        <v>45904</v>
      </c>
      <c r="M1727" s="1" t="str">
        <f>TEXT(Table1[[#This Row],[appointment_date]],"MM/YYYY")</f>
        <v>09/2025</v>
      </c>
      <c r="N1727">
        <v>38</v>
      </c>
      <c r="O1727" t="str" cm="1">
        <f t="array" ref="O1727">_xlfn.IFS(Table1[[#This Row],[lead_time_days]]&lt;=7,"0-7 days",N1727&lt;=14,"8-14 days",N1727&lt;=30,"15-30 days",N1727&lt;=60,"31-60 days",TRUE,"61+ days")</f>
        <v>31-60 days</v>
      </c>
      <c r="P1727" t="s">
        <v>20</v>
      </c>
      <c r="Q1727" t="s">
        <v>21</v>
      </c>
      <c r="R1727">
        <v>0</v>
      </c>
      <c r="S1727" t="str">
        <f>IF(Table1[prior_dna_count]&gt;=1,"Has prior DNA history","No prior DNA history")</f>
        <v>No prior DNA history</v>
      </c>
      <c r="T1727" t="s">
        <v>46</v>
      </c>
      <c r="U1727" t="str">
        <f t="shared" si="26"/>
        <v>1</v>
      </c>
      <c r="V1727" t="str">
        <f>IF(Table1[appointment_status]="Attended","1","0")</f>
        <v>0</v>
      </c>
      <c r="W1727" t="str">
        <f>IF(Table1[appointment_status]="Cancelled","1","0")</f>
        <v>1</v>
      </c>
    </row>
    <row r="1728" spans="1:23">
      <c r="A1728" t="s">
        <v>2819</v>
      </c>
      <c r="B1728" t="s">
        <v>872</v>
      </c>
      <c r="C1728">
        <v>35</v>
      </c>
      <c r="D1728" t="str" cm="1">
        <f t="array" ref="D1728">_xlfn.IFS(Table1[[#This Row],[age]]&lt;=17,"0-17",C1728&lt;=29,"18-29",C1728&lt;=44,"30-44",C1728&lt;=59,"45-59",C1728&lt;=74,"60-74",TRUE,"75+")</f>
        <v>30-44</v>
      </c>
      <c r="E1728" t="s">
        <v>17</v>
      </c>
      <c r="F1728">
        <v>7</v>
      </c>
      <c r="G1728" t="str" cm="1">
        <f t="array" ref="G1728">_xlfn.IFS(_xlfn.SINGLE(Table1[imd_decile])&lt;=3,"Most Deprived",F1728&lt;=7,"Moderately Deprived",F1728&lt;=10,"Least Deprived")</f>
        <v>Moderately Deprived</v>
      </c>
      <c r="H1728">
        <v>17.5</v>
      </c>
      <c r="I1728" t="s">
        <v>91</v>
      </c>
      <c r="J1728" t="s">
        <v>26</v>
      </c>
      <c r="K1728" s="1">
        <v>45901</v>
      </c>
      <c r="L1728" s="1">
        <v>45904</v>
      </c>
      <c r="M1728" s="1" t="str">
        <f>TEXT(Table1[[#This Row],[appointment_date]],"MM/YYYY")</f>
        <v>09/2025</v>
      </c>
      <c r="N1728">
        <v>3</v>
      </c>
      <c r="O1728" t="str" cm="1">
        <f t="array" ref="O1728">_xlfn.IFS(Table1[[#This Row],[lead_time_days]]&lt;=7,"0-7 days",N1728&lt;=14,"8-14 days",N1728&lt;=30,"15-30 days",N1728&lt;=60,"31-60 days",TRUE,"61+ days")</f>
        <v>0-7 days</v>
      </c>
      <c r="P1728" t="s">
        <v>20</v>
      </c>
      <c r="Q1728" t="s">
        <v>21</v>
      </c>
      <c r="R1728">
        <v>0</v>
      </c>
      <c r="S1728" t="str">
        <f>IF(Table1[prior_dna_count]&gt;=1,"Has prior DNA history","No prior DNA history")</f>
        <v>No prior DNA history</v>
      </c>
      <c r="T1728" t="s">
        <v>22</v>
      </c>
      <c r="U1728" t="str">
        <f t="shared" si="26"/>
        <v>0</v>
      </c>
      <c r="V1728" t="str">
        <f>IF(Table1[appointment_status]="Attended","1","0")</f>
        <v>1</v>
      </c>
      <c r="W1728" t="str">
        <f>IF(Table1[appointment_status]="Cancelled","1","0")</f>
        <v>0</v>
      </c>
    </row>
    <row r="1729" spans="1:23">
      <c r="A1729" t="s">
        <v>2820</v>
      </c>
      <c r="B1729" t="s">
        <v>2630</v>
      </c>
      <c r="C1729">
        <v>29</v>
      </c>
      <c r="D1729" t="str" cm="1">
        <f t="array" ref="D1729">_xlfn.IFS(Table1[[#This Row],[age]]&lt;=17,"0-17",C1729&lt;=29,"18-29",C1729&lt;=44,"30-44",C1729&lt;=59,"45-59",C1729&lt;=74,"60-74",TRUE,"75+")</f>
        <v>18-29</v>
      </c>
      <c r="E1729" t="s">
        <v>29</v>
      </c>
      <c r="F1729">
        <v>9</v>
      </c>
      <c r="G1729" t="str" cm="1">
        <f t="array" ref="G1729">_xlfn.IFS(_xlfn.SINGLE(Table1[imd_decile])&lt;=3,"Most Deprived",F1729&lt;=7,"Moderately Deprived",F1729&lt;=10,"Least Deprived")</f>
        <v>Least Deprived</v>
      </c>
      <c r="H1729">
        <v>8.5</v>
      </c>
      <c r="I1729" t="s">
        <v>25</v>
      </c>
      <c r="J1729" t="s">
        <v>19</v>
      </c>
      <c r="K1729" s="1">
        <v>45884</v>
      </c>
      <c r="L1729" s="1">
        <v>45904</v>
      </c>
      <c r="M1729" s="1" t="str">
        <f>TEXT(Table1[[#This Row],[appointment_date]],"MM/YYYY")</f>
        <v>09/2025</v>
      </c>
      <c r="N1729">
        <v>20</v>
      </c>
      <c r="O1729" t="str" cm="1">
        <f t="array" ref="O1729">_xlfn.IFS(Table1[[#This Row],[lead_time_days]]&lt;=7,"0-7 days",N1729&lt;=14,"8-14 days",N1729&lt;=30,"15-30 days",N1729&lt;=60,"31-60 days",TRUE,"61+ days")</f>
        <v>15-30 days</v>
      </c>
      <c r="P1729" t="s">
        <v>20</v>
      </c>
      <c r="Q1729" t="s">
        <v>21</v>
      </c>
      <c r="R1729">
        <v>0</v>
      </c>
      <c r="S1729" t="str">
        <f>IF(Table1[prior_dna_count]&gt;=1,"Has prior DNA history","No prior DNA history")</f>
        <v>No prior DNA history</v>
      </c>
      <c r="T1729" t="s">
        <v>22</v>
      </c>
      <c r="U1729" t="str">
        <f t="shared" si="26"/>
        <v>1</v>
      </c>
      <c r="V1729" t="str">
        <f>IF(Table1[appointment_status]="Attended","1","0")</f>
        <v>1</v>
      </c>
      <c r="W1729" t="str">
        <f>IF(Table1[appointment_status]="Cancelled","1","0")</f>
        <v>0</v>
      </c>
    </row>
    <row r="1730" spans="1:23">
      <c r="A1730" t="s">
        <v>2821</v>
      </c>
      <c r="B1730" t="s">
        <v>2695</v>
      </c>
      <c r="C1730">
        <v>29</v>
      </c>
      <c r="D1730" t="str" cm="1">
        <f t="array" ref="D1730">_xlfn.IFS(Table1[[#This Row],[age]]&lt;=17,"0-17",C1730&lt;=29,"18-29",C1730&lt;=44,"30-44",C1730&lt;=59,"45-59",C1730&lt;=74,"60-74",TRUE,"75+")</f>
        <v>18-29</v>
      </c>
      <c r="E1730" t="s">
        <v>17</v>
      </c>
      <c r="F1730">
        <v>3</v>
      </c>
      <c r="G1730" t="str" cm="1">
        <f t="array" ref="G1730">_xlfn.IFS(_xlfn.SINGLE(Table1[imd_decile])&lt;=3,"Most Deprived",F1730&lt;=7,"Moderately Deprived",F1730&lt;=10,"Least Deprived")</f>
        <v>Most Deprived</v>
      </c>
      <c r="H1730">
        <v>2.2999999999999998</v>
      </c>
      <c r="I1730" t="s">
        <v>42</v>
      </c>
      <c r="J1730" t="s">
        <v>19</v>
      </c>
      <c r="K1730" s="1">
        <v>45867</v>
      </c>
      <c r="L1730" s="1">
        <v>45904</v>
      </c>
      <c r="M1730" s="1" t="str">
        <f>TEXT(Table1[[#This Row],[appointment_date]],"MM/YYYY")</f>
        <v>09/2025</v>
      </c>
      <c r="N1730">
        <v>37</v>
      </c>
      <c r="O1730" t="str" cm="1">
        <f t="array" ref="O1730">_xlfn.IFS(Table1[[#This Row],[lead_time_days]]&lt;=7,"0-7 days",N1730&lt;=14,"8-14 days",N1730&lt;=30,"15-30 days",N1730&lt;=60,"31-60 days",TRUE,"61+ days")</f>
        <v>31-60 days</v>
      </c>
      <c r="P1730" t="s">
        <v>20</v>
      </c>
      <c r="Q1730" t="s">
        <v>21</v>
      </c>
      <c r="R1730">
        <v>0</v>
      </c>
      <c r="S1730" t="str">
        <f>IF(Table1[prior_dna_count]&gt;=1,"Has prior DNA history","No prior DNA history")</f>
        <v>No prior DNA history</v>
      </c>
      <c r="T1730" t="s">
        <v>39</v>
      </c>
      <c r="U1730" t="str">
        <f t="shared" ref="U1730:U1793" si="27">V1729</f>
        <v>1</v>
      </c>
      <c r="V1730" t="str">
        <f>IF(Table1[appointment_status]="Attended","1","0")</f>
        <v>0</v>
      </c>
      <c r="W1730" t="str">
        <f>IF(Table1[appointment_status]="Cancelled","1","0")</f>
        <v>0</v>
      </c>
    </row>
    <row r="1731" spans="1:23">
      <c r="A1731" t="s">
        <v>2822</v>
      </c>
      <c r="B1731" t="s">
        <v>2823</v>
      </c>
      <c r="C1731">
        <v>60</v>
      </c>
      <c r="D1731" t="str" cm="1">
        <f t="array" ref="D1731">_xlfn.IFS(Table1[[#This Row],[age]]&lt;=17,"0-17",C1731&lt;=29,"18-29",C1731&lt;=44,"30-44",C1731&lt;=59,"45-59",C1731&lt;=74,"60-74",TRUE,"75+")</f>
        <v>60-74</v>
      </c>
      <c r="E1731" t="s">
        <v>29</v>
      </c>
      <c r="F1731">
        <v>10</v>
      </c>
      <c r="G1731" t="str" cm="1">
        <f t="array" ref="G1731">_xlfn.IFS(_xlfn.SINGLE(Table1[imd_decile])&lt;=3,"Most Deprived",F1731&lt;=7,"Moderately Deprived",F1731&lt;=10,"Least Deprived")</f>
        <v>Least Deprived</v>
      </c>
      <c r="H1731">
        <v>5</v>
      </c>
      <c r="I1731" t="s">
        <v>18</v>
      </c>
      <c r="J1731" t="s">
        <v>19</v>
      </c>
      <c r="K1731" s="1">
        <v>45880</v>
      </c>
      <c r="L1731" s="1">
        <v>45904</v>
      </c>
      <c r="M1731" s="1" t="str">
        <f>TEXT(Table1[[#This Row],[appointment_date]],"MM/YYYY")</f>
        <v>09/2025</v>
      </c>
      <c r="N1731">
        <v>24</v>
      </c>
      <c r="O1731" t="str" cm="1">
        <f t="array" ref="O1731">_xlfn.IFS(Table1[[#This Row],[lead_time_days]]&lt;=7,"0-7 days",N1731&lt;=14,"8-14 days",N1731&lt;=30,"15-30 days",N1731&lt;=60,"31-60 days",TRUE,"61+ days")</f>
        <v>15-30 days</v>
      </c>
      <c r="P1731" t="s">
        <v>20</v>
      </c>
      <c r="Q1731" t="s">
        <v>21</v>
      </c>
      <c r="R1731">
        <v>0</v>
      </c>
      <c r="S1731" t="str">
        <f>IF(Table1[prior_dna_count]&gt;=1,"Has prior DNA history","No prior DNA history")</f>
        <v>No prior DNA history</v>
      </c>
      <c r="T1731" t="s">
        <v>22</v>
      </c>
      <c r="U1731" t="str">
        <f t="shared" si="27"/>
        <v>0</v>
      </c>
      <c r="V1731" t="str">
        <f>IF(Table1[appointment_status]="Attended","1","0")</f>
        <v>1</v>
      </c>
      <c r="W1731" t="str">
        <f>IF(Table1[appointment_status]="Cancelled","1","0")</f>
        <v>0</v>
      </c>
    </row>
    <row r="1732" spans="1:23">
      <c r="A1732" t="s">
        <v>2824</v>
      </c>
      <c r="B1732" t="s">
        <v>2825</v>
      </c>
      <c r="C1732">
        <v>40</v>
      </c>
      <c r="D1732" t="str" cm="1">
        <f t="array" ref="D1732">_xlfn.IFS(Table1[[#This Row],[age]]&lt;=17,"0-17",C1732&lt;=29,"18-29",C1732&lt;=44,"30-44",C1732&lt;=59,"45-59",C1732&lt;=74,"60-74",TRUE,"75+")</f>
        <v>30-44</v>
      </c>
      <c r="E1732" t="s">
        <v>17</v>
      </c>
      <c r="F1732">
        <v>10</v>
      </c>
      <c r="G1732" t="str" cm="1">
        <f t="array" ref="G1732">_xlfn.IFS(_xlfn.SINGLE(Table1[imd_decile])&lt;=3,"Most Deprived",F1732&lt;=7,"Moderately Deprived",F1732&lt;=10,"Least Deprived")</f>
        <v>Least Deprived</v>
      </c>
      <c r="H1732">
        <v>1.4</v>
      </c>
      <c r="I1732" t="s">
        <v>58</v>
      </c>
      <c r="J1732" t="s">
        <v>26</v>
      </c>
      <c r="K1732" s="1">
        <v>45884</v>
      </c>
      <c r="L1732" s="1">
        <v>45904</v>
      </c>
      <c r="M1732" s="1" t="str">
        <f>TEXT(Table1[[#This Row],[appointment_date]],"MM/YYYY")</f>
        <v>09/2025</v>
      </c>
      <c r="N1732">
        <v>20</v>
      </c>
      <c r="O1732" t="str" cm="1">
        <f t="array" ref="O1732">_xlfn.IFS(Table1[[#This Row],[lead_time_days]]&lt;=7,"0-7 days",N1732&lt;=14,"8-14 days",N1732&lt;=30,"15-30 days",N1732&lt;=60,"31-60 days",TRUE,"61+ days")</f>
        <v>15-30 days</v>
      </c>
      <c r="P1732" t="s">
        <v>20</v>
      </c>
      <c r="Q1732" t="s">
        <v>21</v>
      </c>
      <c r="R1732">
        <v>0</v>
      </c>
      <c r="S1732" t="str">
        <f>IF(Table1[prior_dna_count]&gt;=1,"Has prior DNA history","No prior DNA history")</f>
        <v>No prior DNA history</v>
      </c>
      <c r="T1732" t="s">
        <v>46</v>
      </c>
      <c r="U1732" t="str">
        <f t="shared" si="27"/>
        <v>1</v>
      </c>
      <c r="V1732" t="str">
        <f>IF(Table1[appointment_status]="Attended","1","0")</f>
        <v>0</v>
      </c>
      <c r="W1732" t="str">
        <f>IF(Table1[appointment_status]="Cancelled","1","0")</f>
        <v>1</v>
      </c>
    </row>
    <row r="1733" spans="1:23">
      <c r="A1733" t="s">
        <v>2826</v>
      </c>
      <c r="B1733" t="s">
        <v>2827</v>
      </c>
      <c r="C1733">
        <v>52</v>
      </c>
      <c r="D1733" t="str" cm="1">
        <f t="array" ref="D1733">_xlfn.IFS(Table1[[#This Row],[age]]&lt;=17,"0-17",C1733&lt;=29,"18-29",C1733&lt;=44,"30-44",C1733&lt;=59,"45-59",C1733&lt;=74,"60-74",TRUE,"75+")</f>
        <v>45-59</v>
      </c>
      <c r="E1733" t="s">
        <v>17</v>
      </c>
      <c r="F1733">
        <v>1</v>
      </c>
      <c r="G1733" t="str" cm="1">
        <f t="array" ref="G1733">_xlfn.IFS(_xlfn.SINGLE(Table1[imd_decile])&lt;=3,"Most Deprived",F1733&lt;=7,"Moderately Deprived",F1733&lt;=10,"Least Deprived")</f>
        <v>Most Deprived</v>
      </c>
      <c r="H1733">
        <v>21.1</v>
      </c>
      <c r="I1733" t="s">
        <v>18</v>
      </c>
      <c r="J1733" t="s">
        <v>19</v>
      </c>
      <c r="K1733" s="1">
        <v>45890</v>
      </c>
      <c r="L1733" s="1">
        <v>45905</v>
      </c>
      <c r="M1733" s="1" t="str">
        <f>TEXT(Table1[[#This Row],[appointment_date]],"MM/YYYY")</f>
        <v>09/2025</v>
      </c>
      <c r="N1733">
        <v>15</v>
      </c>
      <c r="O1733" t="str" cm="1">
        <f t="array" ref="O1733">_xlfn.IFS(Table1[[#This Row],[lead_time_days]]&lt;=7,"0-7 days",N1733&lt;=14,"8-14 days",N1733&lt;=30,"15-30 days",N1733&lt;=60,"31-60 days",TRUE,"61+ days")</f>
        <v>15-30 days</v>
      </c>
      <c r="P1733" t="s">
        <v>52</v>
      </c>
      <c r="Q1733" t="s">
        <v>21</v>
      </c>
      <c r="R1733">
        <v>0</v>
      </c>
      <c r="S1733" t="str">
        <f>IF(Table1[prior_dna_count]&gt;=1,"Has prior DNA history","No prior DNA history")</f>
        <v>No prior DNA history</v>
      </c>
      <c r="T1733" t="s">
        <v>22</v>
      </c>
      <c r="U1733" t="str">
        <f t="shared" si="27"/>
        <v>0</v>
      </c>
      <c r="V1733" t="str">
        <f>IF(Table1[appointment_status]="Attended","1","0")</f>
        <v>1</v>
      </c>
      <c r="W1733" t="str">
        <f>IF(Table1[appointment_status]="Cancelled","1","0")</f>
        <v>0</v>
      </c>
    </row>
    <row r="1734" spans="1:23">
      <c r="A1734" t="s">
        <v>2828</v>
      </c>
      <c r="B1734" t="s">
        <v>2829</v>
      </c>
      <c r="C1734">
        <v>49</v>
      </c>
      <c r="D1734" t="str" cm="1">
        <f t="array" ref="D1734">_xlfn.IFS(Table1[[#This Row],[age]]&lt;=17,"0-17",C1734&lt;=29,"18-29",C1734&lt;=44,"30-44",C1734&lt;=59,"45-59",C1734&lt;=74,"60-74",TRUE,"75+")</f>
        <v>45-59</v>
      </c>
      <c r="E1734" t="s">
        <v>29</v>
      </c>
      <c r="F1734">
        <v>4</v>
      </c>
      <c r="G1734" t="str" cm="1">
        <f t="array" ref="G1734">_xlfn.IFS(_xlfn.SINGLE(Table1[imd_decile])&lt;=3,"Most Deprived",F1734&lt;=7,"Moderately Deprived",F1734&lt;=10,"Least Deprived")</f>
        <v>Moderately Deprived</v>
      </c>
      <c r="H1734">
        <v>4.3</v>
      </c>
      <c r="I1734" t="s">
        <v>49</v>
      </c>
      <c r="J1734" t="s">
        <v>26</v>
      </c>
      <c r="K1734" s="1">
        <v>45865</v>
      </c>
      <c r="L1734" s="1">
        <v>45905</v>
      </c>
      <c r="M1734" s="1" t="str">
        <f>TEXT(Table1[[#This Row],[appointment_date]],"MM/YYYY")</f>
        <v>09/2025</v>
      </c>
      <c r="N1734">
        <v>40</v>
      </c>
      <c r="O1734" t="str" cm="1">
        <f t="array" ref="O1734">_xlfn.IFS(Table1[[#This Row],[lead_time_days]]&lt;=7,"0-7 days",N1734&lt;=14,"8-14 days",N1734&lt;=30,"15-30 days",N1734&lt;=60,"31-60 days",TRUE,"61+ days")</f>
        <v>31-60 days</v>
      </c>
      <c r="P1734" t="s">
        <v>52</v>
      </c>
      <c r="Q1734" t="s">
        <v>32</v>
      </c>
      <c r="R1734">
        <v>0</v>
      </c>
      <c r="S1734" t="str">
        <f>IF(Table1[prior_dna_count]&gt;=1,"Has prior DNA history","No prior DNA history")</f>
        <v>No prior DNA history</v>
      </c>
      <c r="T1734" t="s">
        <v>22</v>
      </c>
      <c r="U1734" t="str">
        <f t="shared" si="27"/>
        <v>1</v>
      </c>
      <c r="V1734" t="str">
        <f>IF(Table1[appointment_status]="Attended","1","0")</f>
        <v>1</v>
      </c>
      <c r="W1734" t="str">
        <f>IF(Table1[appointment_status]="Cancelled","1","0")</f>
        <v>0</v>
      </c>
    </row>
    <row r="1735" spans="1:23">
      <c r="A1735" t="s">
        <v>2830</v>
      </c>
      <c r="B1735" t="s">
        <v>1565</v>
      </c>
      <c r="C1735">
        <v>46</v>
      </c>
      <c r="D1735" t="str" cm="1">
        <f t="array" ref="D1735">_xlfn.IFS(Table1[[#This Row],[age]]&lt;=17,"0-17",C1735&lt;=29,"18-29",C1735&lt;=44,"30-44",C1735&lt;=59,"45-59",C1735&lt;=74,"60-74",TRUE,"75+")</f>
        <v>45-59</v>
      </c>
      <c r="E1735" t="s">
        <v>29</v>
      </c>
      <c r="F1735">
        <v>7</v>
      </c>
      <c r="G1735" t="str" cm="1">
        <f t="array" ref="G1735">_xlfn.IFS(_xlfn.SINGLE(Table1[imd_decile])&lt;=3,"Most Deprived",F1735&lt;=7,"Moderately Deprived",F1735&lt;=10,"Least Deprived")</f>
        <v>Moderately Deprived</v>
      </c>
      <c r="H1735">
        <v>3.9</v>
      </c>
      <c r="I1735" t="s">
        <v>58</v>
      </c>
      <c r="J1735" t="s">
        <v>19</v>
      </c>
      <c r="K1735" s="1">
        <v>45844</v>
      </c>
      <c r="L1735" s="1">
        <v>45905</v>
      </c>
      <c r="M1735" s="1" t="str">
        <f>TEXT(Table1[[#This Row],[appointment_date]],"MM/YYYY")</f>
        <v>09/2025</v>
      </c>
      <c r="N1735">
        <v>61</v>
      </c>
      <c r="O1735" t="str" cm="1">
        <f t="array" ref="O1735">_xlfn.IFS(Table1[[#This Row],[lead_time_days]]&lt;=7,"0-7 days",N1735&lt;=14,"8-14 days",N1735&lt;=30,"15-30 days",N1735&lt;=60,"31-60 days",TRUE,"61+ days")</f>
        <v>61+ days</v>
      </c>
      <c r="P1735" t="s">
        <v>52</v>
      </c>
      <c r="Q1735" t="s">
        <v>21</v>
      </c>
      <c r="R1735">
        <v>0</v>
      </c>
      <c r="S1735" t="str">
        <f>IF(Table1[prior_dna_count]&gt;=1,"Has prior DNA history","No prior DNA history")</f>
        <v>No prior DNA history</v>
      </c>
      <c r="T1735" t="s">
        <v>39</v>
      </c>
      <c r="U1735" t="str">
        <f t="shared" si="27"/>
        <v>1</v>
      </c>
      <c r="V1735" t="str">
        <f>IF(Table1[appointment_status]="Attended","1","0")</f>
        <v>0</v>
      </c>
      <c r="W1735" t="str">
        <f>IF(Table1[appointment_status]="Cancelled","1","0")</f>
        <v>0</v>
      </c>
    </row>
    <row r="1736" spans="1:23">
      <c r="A1736" t="s">
        <v>2831</v>
      </c>
      <c r="B1736" t="s">
        <v>999</v>
      </c>
      <c r="C1736">
        <v>58</v>
      </c>
      <c r="D1736" t="str" cm="1">
        <f t="array" ref="D1736">_xlfn.IFS(Table1[[#This Row],[age]]&lt;=17,"0-17",C1736&lt;=29,"18-29",C1736&lt;=44,"30-44",C1736&lt;=59,"45-59",C1736&lt;=74,"60-74",TRUE,"75+")</f>
        <v>45-59</v>
      </c>
      <c r="E1736" t="s">
        <v>17</v>
      </c>
      <c r="F1736">
        <v>6</v>
      </c>
      <c r="G1736" t="str" cm="1">
        <f t="array" ref="G1736">_xlfn.IFS(_xlfn.SINGLE(Table1[imd_decile])&lt;=3,"Most Deprived",F1736&lt;=7,"Moderately Deprived",F1736&lt;=10,"Least Deprived")</f>
        <v>Moderately Deprived</v>
      </c>
      <c r="H1736">
        <v>9.1999999999999993</v>
      </c>
      <c r="I1736" t="s">
        <v>38</v>
      </c>
      <c r="J1736" t="s">
        <v>26</v>
      </c>
      <c r="K1736" s="1">
        <v>45902</v>
      </c>
      <c r="L1736" s="1">
        <v>45905</v>
      </c>
      <c r="M1736" s="1" t="str">
        <f>TEXT(Table1[[#This Row],[appointment_date]],"MM/YYYY")</f>
        <v>09/2025</v>
      </c>
      <c r="N1736">
        <v>3</v>
      </c>
      <c r="O1736" t="str" cm="1">
        <f t="array" ref="O1736">_xlfn.IFS(Table1[[#This Row],[lead_time_days]]&lt;=7,"0-7 days",N1736&lt;=14,"8-14 days",N1736&lt;=30,"15-30 days",N1736&lt;=60,"31-60 days",TRUE,"61+ days")</f>
        <v>0-7 days</v>
      </c>
      <c r="P1736" t="s">
        <v>52</v>
      </c>
      <c r="Q1736" t="s">
        <v>21</v>
      </c>
      <c r="R1736">
        <v>1</v>
      </c>
      <c r="S1736" t="str">
        <f>IF(Table1[prior_dna_count]&gt;=1,"Has prior DNA history","No prior DNA history")</f>
        <v>Has prior DNA history</v>
      </c>
      <c r="T1736" t="s">
        <v>46</v>
      </c>
      <c r="U1736" t="str">
        <f t="shared" si="27"/>
        <v>0</v>
      </c>
      <c r="V1736" t="str">
        <f>IF(Table1[appointment_status]="Attended","1","0")</f>
        <v>0</v>
      </c>
      <c r="W1736" t="str">
        <f>IF(Table1[appointment_status]="Cancelled","1","0")</f>
        <v>1</v>
      </c>
    </row>
    <row r="1737" spans="1:23">
      <c r="A1737" t="s">
        <v>2832</v>
      </c>
      <c r="B1737" t="s">
        <v>1487</v>
      </c>
      <c r="C1737">
        <v>61</v>
      </c>
      <c r="D1737" t="str" cm="1">
        <f t="array" ref="D1737">_xlfn.IFS(Table1[[#This Row],[age]]&lt;=17,"0-17",C1737&lt;=29,"18-29",C1737&lt;=44,"30-44",C1737&lt;=59,"45-59",C1737&lt;=74,"60-74",TRUE,"75+")</f>
        <v>60-74</v>
      </c>
      <c r="E1737" t="s">
        <v>17</v>
      </c>
      <c r="F1737">
        <v>8</v>
      </c>
      <c r="G1737" t="str" cm="1">
        <f t="array" ref="G1737">_xlfn.IFS(_xlfn.SINGLE(Table1[imd_decile])&lt;=3,"Most Deprived",F1737&lt;=7,"Moderately Deprived",F1737&lt;=10,"Least Deprived")</f>
        <v>Least Deprived</v>
      </c>
      <c r="H1737">
        <v>3.6</v>
      </c>
      <c r="I1737" t="s">
        <v>42</v>
      </c>
      <c r="J1737" t="s">
        <v>19</v>
      </c>
      <c r="K1737" s="1">
        <v>45895</v>
      </c>
      <c r="L1737" s="1">
        <v>45905</v>
      </c>
      <c r="M1737" s="1" t="str">
        <f>TEXT(Table1[[#This Row],[appointment_date]],"MM/YYYY")</f>
        <v>09/2025</v>
      </c>
      <c r="N1737">
        <v>10</v>
      </c>
      <c r="O1737" t="str" cm="1">
        <f t="array" ref="O1737">_xlfn.IFS(Table1[[#This Row],[lead_time_days]]&lt;=7,"0-7 days",N1737&lt;=14,"8-14 days",N1737&lt;=30,"15-30 days",N1737&lt;=60,"31-60 days",TRUE,"61+ days")</f>
        <v>8-14 days</v>
      </c>
      <c r="P1737" t="s">
        <v>52</v>
      </c>
      <c r="Q1737" t="s">
        <v>32</v>
      </c>
      <c r="R1737">
        <v>0</v>
      </c>
      <c r="S1737" t="str">
        <f>IF(Table1[prior_dna_count]&gt;=1,"Has prior DNA history","No prior DNA history")</f>
        <v>No prior DNA history</v>
      </c>
      <c r="T1737" t="s">
        <v>22</v>
      </c>
      <c r="U1737" t="str">
        <f t="shared" si="27"/>
        <v>0</v>
      </c>
      <c r="V1737" t="str">
        <f>IF(Table1[appointment_status]="Attended","1","0")</f>
        <v>1</v>
      </c>
      <c r="W1737" t="str">
        <f>IF(Table1[appointment_status]="Cancelled","1","0")</f>
        <v>0</v>
      </c>
    </row>
    <row r="1738" spans="1:23">
      <c r="A1738" t="s">
        <v>2833</v>
      </c>
      <c r="B1738" t="s">
        <v>1974</v>
      </c>
      <c r="C1738">
        <v>71</v>
      </c>
      <c r="D1738" t="str" cm="1">
        <f t="array" ref="D1738">_xlfn.IFS(Table1[[#This Row],[age]]&lt;=17,"0-17",C1738&lt;=29,"18-29",C1738&lt;=44,"30-44",C1738&lt;=59,"45-59",C1738&lt;=74,"60-74",TRUE,"75+")</f>
        <v>60-74</v>
      </c>
      <c r="E1738" t="s">
        <v>29</v>
      </c>
      <c r="F1738">
        <v>6</v>
      </c>
      <c r="G1738" t="str" cm="1">
        <f t="array" ref="G1738">_xlfn.IFS(_xlfn.SINGLE(Table1[imd_decile])&lt;=3,"Most Deprived",F1738&lt;=7,"Moderately Deprived",F1738&lt;=10,"Least Deprived")</f>
        <v>Moderately Deprived</v>
      </c>
      <c r="H1738">
        <v>5.7</v>
      </c>
      <c r="I1738" t="s">
        <v>25</v>
      </c>
      <c r="J1738" t="s">
        <v>19</v>
      </c>
      <c r="K1738" s="1">
        <v>45873</v>
      </c>
      <c r="L1738" s="1">
        <v>45905</v>
      </c>
      <c r="M1738" s="1" t="str">
        <f>TEXT(Table1[[#This Row],[appointment_date]],"MM/YYYY")</f>
        <v>09/2025</v>
      </c>
      <c r="N1738">
        <v>32</v>
      </c>
      <c r="O1738" t="str" cm="1">
        <f t="array" ref="O1738">_xlfn.IFS(Table1[[#This Row],[lead_time_days]]&lt;=7,"0-7 days",N1738&lt;=14,"8-14 days",N1738&lt;=30,"15-30 days",N1738&lt;=60,"31-60 days",TRUE,"61+ days")</f>
        <v>31-60 days</v>
      </c>
      <c r="P1738" t="s">
        <v>52</v>
      </c>
      <c r="Q1738" t="s">
        <v>21</v>
      </c>
      <c r="R1738">
        <v>0</v>
      </c>
      <c r="S1738" t="str">
        <f>IF(Table1[prior_dna_count]&gt;=1,"Has prior DNA history","No prior DNA history")</f>
        <v>No prior DNA history</v>
      </c>
      <c r="T1738" t="s">
        <v>22</v>
      </c>
      <c r="U1738" t="str">
        <f t="shared" si="27"/>
        <v>1</v>
      </c>
      <c r="V1738" t="str">
        <f>IF(Table1[appointment_status]="Attended","1","0")</f>
        <v>1</v>
      </c>
      <c r="W1738" t="str">
        <f>IF(Table1[appointment_status]="Cancelled","1","0")</f>
        <v>0</v>
      </c>
    </row>
    <row r="1739" spans="1:23">
      <c r="A1739" t="s">
        <v>2834</v>
      </c>
      <c r="B1739" t="s">
        <v>2835</v>
      </c>
      <c r="C1739">
        <v>64</v>
      </c>
      <c r="D1739" t="str" cm="1">
        <f t="array" ref="D1739">_xlfn.IFS(Table1[[#This Row],[age]]&lt;=17,"0-17",C1739&lt;=29,"18-29",C1739&lt;=44,"30-44",C1739&lt;=59,"45-59",C1739&lt;=74,"60-74",TRUE,"75+")</f>
        <v>60-74</v>
      </c>
      <c r="E1739" t="s">
        <v>29</v>
      </c>
      <c r="F1739">
        <v>7</v>
      </c>
      <c r="G1739" t="str" cm="1">
        <f t="array" ref="G1739">_xlfn.IFS(_xlfn.SINGLE(Table1[imd_decile])&lt;=3,"Most Deprived",F1739&lt;=7,"Moderately Deprived",F1739&lt;=10,"Least Deprived")</f>
        <v>Moderately Deprived</v>
      </c>
      <c r="H1739">
        <v>4.5</v>
      </c>
      <c r="I1739" t="s">
        <v>25</v>
      </c>
      <c r="J1739" t="s">
        <v>26</v>
      </c>
      <c r="K1739" s="1">
        <v>45880</v>
      </c>
      <c r="L1739" s="1">
        <v>45905</v>
      </c>
      <c r="M1739" s="1" t="str">
        <f>TEXT(Table1[[#This Row],[appointment_date]],"MM/YYYY")</f>
        <v>09/2025</v>
      </c>
      <c r="N1739">
        <v>25</v>
      </c>
      <c r="O1739" t="str" cm="1">
        <f t="array" ref="O1739">_xlfn.IFS(Table1[[#This Row],[lead_time_days]]&lt;=7,"0-7 days",N1739&lt;=14,"8-14 days",N1739&lt;=30,"15-30 days",N1739&lt;=60,"31-60 days",TRUE,"61+ days")</f>
        <v>15-30 days</v>
      </c>
      <c r="P1739" t="s">
        <v>52</v>
      </c>
      <c r="Q1739" t="s">
        <v>32</v>
      </c>
      <c r="R1739">
        <v>0</v>
      </c>
      <c r="S1739" t="str">
        <f>IF(Table1[prior_dna_count]&gt;=1,"Has prior DNA history","No prior DNA history")</f>
        <v>No prior DNA history</v>
      </c>
      <c r="T1739" t="s">
        <v>39</v>
      </c>
      <c r="U1739" t="str">
        <f t="shared" si="27"/>
        <v>1</v>
      </c>
      <c r="V1739" t="str">
        <f>IF(Table1[appointment_status]="Attended","1","0")</f>
        <v>0</v>
      </c>
      <c r="W1739" t="str">
        <f>IF(Table1[appointment_status]="Cancelled","1","0")</f>
        <v>0</v>
      </c>
    </row>
    <row r="1740" spans="1:23">
      <c r="A1740" t="s">
        <v>2836</v>
      </c>
      <c r="B1740" t="s">
        <v>2327</v>
      </c>
      <c r="C1740">
        <v>23</v>
      </c>
      <c r="D1740" t="str" cm="1">
        <f t="array" ref="D1740">_xlfn.IFS(Table1[[#This Row],[age]]&lt;=17,"0-17",C1740&lt;=29,"18-29",C1740&lt;=44,"30-44",C1740&lt;=59,"45-59",C1740&lt;=74,"60-74",TRUE,"75+")</f>
        <v>18-29</v>
      </c>
      <c r="E1740" t="s">
        <v>17</v>
      </c>
      <c r="F1740">
        <v>10</v>
      </c>
      <c r="G1740" t="str" cm="1">
        <f t="array" ref="G1740">_xlfn.IFS(_xlfn.SINGLE(Table1[imd_decile])&lt;=3,"Most Deprived",F1740&lt;=7,"Moderately Deprived",F1740&lt;=10,"Least Deprived")</f>
        <v>Least Deprived</v>
      </c>
      <c r="H1740">
        <v>3.5</v>
      </c>
      <c r="I1740" t="s">
        <v>25</v>
      </c>
      <c r="J1740" t="s">
        <v>26</v>
      </c>
      <c r="K1740" s="1">
        <v>45889</v>
      </c>
      <c r="L1740" s="1">
        <v>45905</v>
      </c>
      <c r="M1740" s="1" t="str">
        <f>TEXT(Table1[[#This Row],[appointment_date]],"MM/YYYY")</f>
        <v>09/2025</v>
      </c>
      <c r="N1740">
        <v>16</v>
      </c>
      <c r="O1740" t="str" cm="1">
        <f t="array" ref="O1740">_xlfn.IFS(Table1[[#This Row],[lead_time_days]]&lt;=7,"0-7 days",N1740&lt;=14,"8-14 days",N1740&lt;=30,"15-30 days",N1740&lt;=60,"31-60 days",TRUE,"61+ days")</f>
        <v>15-30 days</v>
      </c>
      <c r="P1740" t="s">
        <v>52</v>
      </c>
      <c r="Q1740" t="s">
        <v>21</v>
      </c>
      <c r="R1740">
        <v>0</v>
      </c>
      <c r="S1740" t="str">
        <f>IF(Table1[prior_dna_count]&gt;=1,"Has prior DNA history","No prior DNA history")</f>
        <v>No prior DNA history</v>
      </c>
      <c r="T1740" t="s">
        <v>22</v>
      </c>
      <c r="U1740" t="str">
        <f t="shared" si="27"/>
        <v>0</v>
      </c>
      <c r="V1740" t="str">
        <f>IF(Table1[appointment_status]="Attended","1","0")</f>
        <v>1</v>
      </c>
      <c r="W1740" t="str">
        <f>IF(Table1[appointment_status]="Cancelled","1","0")</f>
        <v>0</v>
      </c>
    </row>
    <row r="1741" spans="1:23">
      <c r="A1741" t="s">
        <v>2837</v>
      </c>
      <c r="B1741" t="s">
        <v>2588</v>
      </c>
      <c r="C1741">
        <v>72</v>
      </c>
      <c r="D1741" t="str" cm="1">
        <f t="array" ref="D1741">_xlfn.IFS(Table1[[#This Row],[age]]&lt;=17,"0-17",C1741&lt;=29,"18-29",C1741&lt;=44,"30-44",C1741&lt;=59,"45-59",C1741&lt;=74,"60-74",TRUE,"75+")</f>
        <v>60-74</v>
      </c>
      <c r="E1741" t="s">
        <v>17</v>
      </c>
      <c r="F1741">
        <v>4</v>
      </c>
      <c r="G1741" t="str" cm="1">
        <f t="array" ref="G1741">_xlfn.IFS(_xlfn.SINGLE(Table1[imd_decile])&lt;=3,"Most Deprived",F1741&lt;=7,"Moderately Deprived",F1741&lt;=10,"Least Deprived")</f>
        <v>Moderately Deprived</v>
      </c>
      <c r="H1741">
        <v>23.2</v>
      </c>
      <c r="I1741" t="s">
        <v>30</v>
      </c>
      <c r="J1741" t="s">
        <v>19</v>
      </c>
      <c r="K1741" s="1">
        <v>45887</v>
      </c>
      <c r="L1741" s="1">
        <v>45905</v>
      </c>
      <c r="M1741" s="1" t="str">
        <f>TEXT(Table1[[#This Row],[appointment_date]],"MM/YYYY")</f>
        <v>09/2025</v>
      </c>
      <c r="N1741">
        <v>18</v>
      </c>
      <c r="O1741" t="str" cm="1">
        <f t="array" ref="O1741">_xlfn.IFS(Table1[[#This Row],[lead_time_days]]&lt;=7,"0-7 days",N1741&lt;=14,"8-14 days",N1741&lt;=30,"15-30 days",N1741&lt;=60,"31-60 days",TRUE,"61+ days")</f>
        <v>15-30 days</v>
      </c>
      <c r="P1741" t="s">
        <v>52</v>
      </c>
      <c r="Q1741" t="s">
        <v>32</v>
      </c>
      <c r="R1741">
        <v>0</v>
      </c>
      <c r="S1741" t="str">
        <f>IF(Table1[prior_dna_count]&gt;=1,"Has prior DNA history","No prior DNA history")</f>
        <v>No prior DNA history</v>
      </c>
      <c r="T1741" t="s">
        <v>22</v>
      </c>
      <c r="U1741" t="str">
        <f t="shared" si="27"/>
        <v>1</v>
      </c>
      <c r="V1741" t="str">
        <f>IF(Table1[appointment_status]="Attended","1","0")</f>
        <v>1</v>
      </c>
      <c r="W1741" t="str">
        <f>IF(Table1[appointment_status]="Cancelled","1","0")</f>
        <v>0</v>
      </c>
    </row>
    <row r="1742" spans="1:23">
      <c r="A1742" t="s">
        <v>2838</v>
      </c>
      <c r="B1742" t="s">
        <v>793</v>
      </c>
      <c r="C1742">
        <v>54</v>
      </c>
      <c r="D1742" t="str" cm="1">
        <f t="array" ref="D1742">_xlfn.IFS(Table1[[#This Row],[age]]&lt;=17,"0-17",C1742&lt;=29,"18-29",C1742&lt;=44,"30-44",C1742&lt;=59,"45-59",C1742&lt;=74,"60-74",TRUE,"75+")</f>
        <v>45-59</v>
      </c>
      <c r="E1742" t="s">
        <v>29</v>
      </c>
      <c r="F1742">
        <v>9</v>
      </c>
      <c r="G1742" t="str" cm="1">
        <f t="array" ref="G1742">_xlfn.IFS(_xlfn.SINGLE(Table1[imd_decile])&lt;=3,"Most Deprived",F1742&lt;=7,"Moderately Deprived",F1742&lt;=10,"Least Deprived")</f>
        <v>Least Deprived</v>
      </c>
      <c r="H1742">
        <v>5.7</v>
      </c>
      <c r="I1742" t="s">
        <v>91</v>
      </c>
      <c r="J1742" t="s">
        <v>19</v>
      </c>
      <c r="K1742" s="1">
        <v>45865</v>
      </c>
      <c r="L1742" s="1">
        <v>45905</v>
      </c>
      <c r="M1742" s="1" t="str">
        <f>TEXT(Table1[[#This Row],[appointment_date]],"MM/YYYY")</f>
        <v>09/2025</v>
      </c>
      <c r="N1742">
        <v>40</v>
      </c>
      <c r="O1742" t="str" cm="1">
        <f t="array" ref="O1742">_xlfn.IFS(Table1[[#This Row],[lead_time_days]]&lt;=7,"0-7 days",N1742&lt;=14,"8-14 days",N1742&lt;=30,"15-30 days",N1742&lt;=60,"31-60 days",TRUE,"61+ days")</f>
        <v>31-60 days</v>
      </c>
      <c r="P1742" t="s">
        <v>52</v>
      </c>
      <c r="Q1742" t="s">
        <v>21</v>
      </c>
      <c r="R1742">
        <v>0</v>
      </c>
      <c r="S1742" t="str">
        <f>IF(Table1[prior_dna_count]&gt;=1,"Has prior DNA history","No prior DNA history")</f>
        <v>No prior DNA history</v>
      </c>
      <c r="T1742" t="s">
        <v>22</v>
      </c>
      <c r="U1742" t="str">
        <f t="shared" si="27"/>
        <v>1</v>
      </c>
      <c r="V1742" t="str">
        <f>IF(Table1[appointment_status]="Attended","1","0")</f>
        <v>1</v>
      </c>
      <c r="W1742" t="str">
        <f>IF(Table1[appointment_status]="Cancelled","1","0")</f>
        <v>0</v>
      </c>
    </row>
    <row r="1743" spans="1:23">
      <c r="A1743" t="s">
        <v>2839</v>
      </c>
      <c r="B1743" t="s">
        <v>1614</v>
      </c>
      <c r="C1743">
        <v>40</v>
      </c>
      <c r="D1743" t="str" cm="1">
        <f t="array" ref="D1743">_xlfn.IFS(Table1[[#This Row],[age]]&lt;=17,"0-17",C1743&lt;=29,"18-29",C1743&lt;=44,"30-44",C1743&lt;=59,"45-59",C1743&lt;=74,"60-74",TRUE,"75+")</f>
        <v>30-44</v>
      </c>
      <c r="E1743" t="s">
        <v>29</v>
      </c>
      <c r="F1743">
        <v>4</v>
      </c>
      <c r="G1743" t="str" cm="1">
        <f t="array" ref="G1743">_xlfn.IFS(_xlfn.SINGLE(Table1[imd_decile])&lt;=3,"Most Deprived",F1743&lt;=7,"Moderately Deprived",F1743&lt;=10,"Least Deprived")</f>
        <v>Moderately Deprived</v>
      </c>
      <c r="H1743">
        <v>5.4</v>
      </c>
      <c r="I1743" t="s">
        <v>49</v>
      </c>
      <c r="J1743" t="s">
        <v>19</v>
      </c>
      <c r="K1743" s="1">
        <v>45867</v>
      </c>
      <c r="L1743" s="1">
        <v>45905</v>
      </c>
      <c r="M1743" s="1" t="str">
        <f>TEXT(Table1[[#This Row],[appointment_date]],"MM/YYYY")</f>
        <v>09/2025</v>
      </c>
      <c r="N1743">
        <v>38</v>
      </c>
      <c r="O1743" t="str" cm="1">
        <f t="array" ref="O1743">_xlfn.IFS(Table1[[#This Row],[lead_time_days]]&lt;=7,"0-7 days",N1743&lt;=14,"8-14 days",N1743&lt;=30,"15-30 days",N1743&lt;=60,"31-60 days",TRUE,"61+ days")</f>
        <v>31-60 days</v>
      </c>
      <c r="P1743" t="s">
        <v>52</v>
      </c>
      <c r="Q1743" t="s">
        <v>21</v>
      </c>
      <c r="R1743">
        <v>0</v>
      </c>
      <c r="S1743" t="str">
        <f>IF(Table1[prior_dna_count]&gt;=1,"Has prior DNA history","No prior DNA history")</f>
        <v>No prior DNA history</v>
      </c>
      <c r="T1743" t="s">
        <v>22</v>
      </c>
      <c r="U1743" t="str">
        <f t="shared" si="27"/>
        <v>1</v>
      </c>
      <c r="V1743" t="str">
        <f>IF(Table1[appointment_status]="Attended","1","0")</f>
        <v>1</v>
      </c>
      <c r="W1743" t="str">
        <f>IF(Table1[appointment_status]="Cancelled","1","0")</f>
        <v>0</v>
      </c>
    </row>
    <row r="1744" spans="1:23">
      <c r="A1744" t="s">
        <v>2840</v>
      </c>
      <c r="B1744" t="s">
        <v>529</v>
      </c>
      <c r="C1744">
        <v>50</v>
      </c>
      <c r="D1744" t="str" cm="1">
        <f t="array" ref="D1744">_xlfn.IFS(Table1[[#This Row],[age]]&lt;=17,"0-17",C1744&lt;=29,"18-29",C1744&lt;=44,"30-44",C1744&lt;=59,"45-59",C1744&lt;=74,"60-74",TRUE,"75+")</f>
        <v>45-59</v>
      </c>
      <c r="E1744" t="s">
        <v>17</v>
      </c>
      <c r="F1744">
        <v>3</v>
      </c>
      <c r="G1744" t="str" cm="1">
        <f t="array" ref="G1744">_xlfn.IFS(_xlfn.SINGLE(Table1[imd_decile])&lt;=3,"Most Deprived",F1744&lt;=7,"Moderately Deprived",F1744&lt;=10,"Least Deprived")</f>
        <v>Most Deprived</v>
      </c>
      <c r="H1744">
        <v>3.6</v>
      </c>
      <c r="I1744" t="s">
        <v>18</v>
      </c>
      <c r="J1744" t="s">
        <v>26</v>
      </c>
      <c r="K1744" s="1">
        <v>45892</v>
      </c>
      <c r="L1744" s="1">
        <v>45905</v>
      </c>
      <c r="M1744" s="1" t="str">
        <f>TEXT(Table1[[#This Row],[appointment_date]],"MM/YYYY")</f>
        <v>09/2025</v>
      </c>
      <c r="N1744">
        <v>13</v>
      </c>
      <c r="O1744" t="str" cm="1">
        <f t="array" ref="O1744">_xlfn.IFS(Table1[[#This Row],[lead_time_days]]&lt;=7,"0-7 days",N1744&lt;=14,"8-14 days",N1744&lt;=30,"15-30 days",N1744&lt;=60,"31-60 days",TRUE,"61+ days")</f>
        <v>8-14 days</v>
      </c>
      <c r="P1744" t="s">
        <v>52</v>
      </c>
      <c r="Q1744" t="s">
        <v>32</v>
      </c>
      <c r="R1744">
        <v>0</v>
      </c>
      <c r="S1744" t="str">
        <f>IF(Table1[prior_dna_count]&gt;=1,"Has prior DNA history","No prior DNA history")</f>
        <v>No prior DNA history</v>
      </c>
      <c r="T1744" t="s">
        <v>22</v>
      </c>
      <c r="U1744" t="str">
        <f t="shared" si="27"/>
        <v>1</v>
      </c>
      <c r="V1744" t="str">
        <f>IF(Table1[appointment_status]="Attended","1","0")</f>
        <v>1</v>
      </c>
      <c r="W1744" t="str">
        <f>IF(Table1[appointment_status]="Cancelled","1","0")</f>
        <v>0</v>
      </c>
    </row>
    <row r="1745" spans="1:23">
      <c r="A1745" t="s">
        <v>2841</v>
      </c>
      <c r="B1745" t="s">
        <v>2797</v>
      </c>
      <c r="C1745">
        <v>65</v>
      </c>
      <c r="D1745" t="str" cm="1">
        <f t="array" ref="D1745">_xlfn.IFS(Table1[[#This Row],[age]]&lt;=17,"0-17",C1745&lt;=29,"18-29",C1745&lt;=44,"30-44",C1745&lt;=59,"45-59",C1745&lt;=74,"60-74",TRUE,"75+")</f>
        <v>60-74</v>
      </c>
      <c r="E1745" t="s">
        <v>17</v>
      </c>
      <c r="F1745">
        <v>5</v>
      </c>
      <c r="G1745" t="str" cm="1">
        <f t="array" ref="G1745">_xlfn.IFS(_xlfn.SINGLE(Table1[imd_decile])&lt;=3,"Most Deprived",F1745&lt;=7,"Moderately Deprived",F1745&lt;=10,"Least Deprived")</f>
        <v>Moderately Deprived</v>
      </c>
      <c r="H1745">
        <v>5.8</v>
      </c>
      <c r="I1745" t="s">
        <v>42</v>
      </c>
      <c r="J1745" t="s">
        <v>26</v>
      </c>
      <c r="K1745" s="1">
        <v>45896</v>
      </c>
      <c r="L1745" s="1">
        <v>45906</v>
      </c>
      <c r="M1745" s="1" t="str">
        <f>TEXT(Table1[[#This Row],[appointment_date]],"MM/YYYY")</f>
        <v>09/2025</v>
      </c>
      <c r="N1745">
        <v>10</v>
      </c>
      <c r="O1745" t="str" cm="1">
        <f t="array" ref="O1745">_xlfn.IFS(Table1[[#This Row],[lead_time_days]]&lt;=7,"0-7 days",N1745&lt;=14,"8-14 days",N1745&lt;=30,"15-30 days",N1745&lt;=60,"31-60 days",TRUE,"61+ days")</f>
        <v>8-14 days</v>
      </c>
      <c r="P1745" t="s">
        <v>55</v>
      </c>
      <c r="Q1745" t="s">
        <v>32</v>
      </c>
      <c r="R1745">
        <v>0</v>
      </c>
      <c r="S1745" t="str">
        <f>IF(Table1[prior_dna_count]&gt;=1,"Has prior DNA history","No prior DNA history")</f>
        <v>No prior DNA history</v>
      </c>
      <c r="T1745" t="s">
        <v>46</v>
      </c>
      <c r="U1745" t="str">
        <f t="shared" si="27"/>
        <v>1</v>
      </c>
      <c r="V1745" t="str">
        <f>IF(Table1[appointment_status]="Attended","1","0")</f>
        <v>0</v>
      </c>
      <c r="W1745" t="str">
        <f>IF(Table1[appointment_status]="Cancelled","1","0")</f>
        <v>1</v>
      </c>
    </row>
    <row r="1746" spans="1:23">
      <c r="A1746" t="s">
        <v>2842</v>
      </c>
      <c r="B1746" t="s">
        <v>549</v>
      </c>
      <c r="C1746">
        <v>50</v>
      </c>
      <c r="D1746" t="str" cm="1">
        <f t="array" ref="D1746">_xlfn.IFS(Table1[[#This Row],[age]]&lt;=17,"0-17",C1746&lt;=29,"18-29",C1746&lt;=44,"30-44",C1746&lt;=59,"45-59",C1746&lt;=74,"60-74",TRUE,"75+")</f>
        <v>45-59</v>
      </c>
      <c r="E1746" t="s">
        <v>29</v>
      </c>
      <c r="F1746">
        <v>8</v>
      </c>
      <c r="G1746" t="str" cm="1">
        <f t="array" ref="G1746">_xlfn.IFS(_xlfn.SINGLE(Table1[imd_decile])&lt;=3,"Most Deprived",F1746&lt;=7,"Moderately Deprived",F1746&lt;=10,"Least Deprived")</f>
        <v>Least Deprived</v>
      </c>
      <c r="H1746">
        <v>6.1</v>
      </c>
      <c r="I1746" t="s">
        <v>18</v>
      </c>
      <c r="J1746" t="s">
        <v>19</v>
      </c>
      <c r="K1746" s="1">
        <v>45834</v>
      </c>
      <c r="L1746" s="1">
        <v>45906</v>
      </c>
      <c r="M1746" s="1" t="str">
        <f>TEXT(Table1[[#This Row],[appointment_date]],"MM/YYYY")</f>
        <v>09/2025</v>
      </c>
      <c r="N1746">
        <v>72</v>
      </c>
      <c r="O1746" t="str" cm="1">
        <f t="array" ref="O1746">_xlfn.IFS(Table1[[#This Row],[lead_time_days]]&lt;=7,"0-7 days",N1746&lt;=14,"8-14 days",N1746&lt;=30,"15-30 days",N1746&lt;=60,"31-60 days",TRUE,"61+ days")</f>
        <v>61+ days</v>
      </c>
      <c r="P1746" t="s">
        <v>55</v>
      </c>
      <c r="Q1746" t="s">
        <v>21</v>
      </c>
      <c r="R1746">
        <v>0</v>
      </c>
      <c r="S1746" t="str">
        <f>IF(Table1[prior_dna_count]&gt;=1,"Has prior DNA history","No prior DNA history")</f>
        <v>No prior DNA history</v>
      </c>
      <c r="T1746" t="s">
        <v>22</v>
      </c>
      <c r="U1746" t="str">
        <f t="shared" si="27"/>
        <v>0</v>
      </c>
      <c r="V1746" t="str">
        <f>IF(Table1[appointment_status]="Attended","1","0")</f>
        <v>1</v>
      </c>
      <c r="W1746" t="str">
        <f>IF(Table1[appointment_status]="Cancelled","1","0")</f>
        <v>0</v>
      </c>
    </row>
    <row r="1747" spans="1:23">
      <c r="A1747" t="s">
        <v>2843</v>
      </c>
      <c r="B1747" t="s">
        <v>895</v>
      </c>
      <c r="C1747">
        <v>37</v>
      </c>
      <c r="D1747" t="str" cm="1">
        <f t="array" ref="D1747">_xlfn.IFS(Table1[[#This Row],[age]]&lt;=17,"0-17",C1747&lt;=29,"18-29",C1747&lt;=44,"30-44",C1747&lt;=59,"45-59",C1747&lt;=74,"60-74",TRUE,"75+")</f>
        <v>30-44</v>
      </c>
      <c r="E1747" t="s">
        <v>29</v>
      </c>
      <c r="F1747">
        <v>3</v>
      </c>
      <c r="G1747" t="str" cm="1">
        <f t="array" ref="G1747">_xlfn.IFS(_xlfn.SINGLE(Table1[imd_decile])&lt;=3,"Most Deprived",F1747&lt;=7,"Moderately Deprived",F1747&lt;=10,"Least Deprived")</f>
        <v>Most Deprived</v>
      </c>
      <c r="H1747">
        <v>2</v>
      </c>
      <c r="I1747" t="s">
        <v>42</v>
      </c>
      <c r="J1747" t="s">
        <v>19</v>
      </c>
      <c r="K1747" s="1">
        <v>45850</v>
      </c>
      <c r="L1747" s="1">
        <v>45906</v>
      </c>
      <c r="M1747" s="1" t="str">
        <f>TEXT(Table1[[#This Row],[appointment_date]],"MM/YYYY")</f>
        <v>09/2025</v>
      </c>
      <c r="N1747">
        <v>56</v>
      </c>
      <c r="O1747" t="str" cm="1">
        <f t="array" ref="O1747">_xlfn.IFS(Table1[[#This Row],[lead_time_days]]&lt;=7,"0-7 days",N1747&lt;=14,"8-14 days",N1747&lt;=30,"15-30 days",N1747&lt;=60,"31-60 days",TRUE,"61+ days")</f>
        <v>31-60 days</v>
      </c>
      <c r="P1747" t="s">
        <v>55</v>
      </c>
      <c r="Q1747" t="s">
        <v>21</v>
      </c>
      <c r="R1747">
        <v>0</v>
      </c>
      <c r="S1747" t="str">
        <f>IF(Table1[prior_dna_count]&gt;=1,"Has prior DNA history","No prior DNA history")</f>
        <v>No prior DNA history</v>
      </c>
      <c r="T1747" t="s">
        <v>22</v>
      </c>
      <c r="U1747" t="str">
        <f t="shared" si="27"/>
        <v>1</v>
      </c>
      <c r="V1747" t="str">
        <f>IF(Table1[appointment_status]="Attended","1","0")</f>
        <v>1</v>
      </c>
      <c r="W1747" t="str">
        <f>IF(Table1[appointment_status]="Cancelled","1","0")</f>
        <v>0</v>
      </c>
    </row>
    <row r="1748" spans="1:23">
      <c r="A1748" t="s">
        <v>2844</v>
      </c>
      <c r="B1748" t="s">
        <v>2845</v>
      </c>
      <c r="C1748">
        <v>77</v>
      </c>
      <c r="D1748" t="str" cm="1">
        <f t="array" ref="D1748">_xlfn.IFS(Table1[[#This Row],[age]]&lt;=17,"0-17",C1748&lt;=29,"18-29",C1748&lt;=44,"30-44",C1748&lt;=59,"45-59",C1748&lt;=74,"60-74",TRUE,"75+")</f>
        <v>75+</v>
      </c>
      <c r="E1748" t="s">
        <v>29</v>
      </c>
      <c r="F1748">
        <v>8</v>
      </c>
      <c r="G1748" t="str" cm="1">
        <f t="array" ref="G1748">_xlfn.IFS(_xlfn.SINGLE(Table1[imd_decile])&lt;=3,"Most Deprived",F1748&lt;=7,"Moderately Deprived",F1748&lt;=10,"Least Deprived")</f>
        <v>Least Deprived</v>
      </c>
      <c r="H1748">
        <v>4.2</v>
      </c>
      <c r="I1748" t="s">
        <v>25</v>
      </c>
      <c r="J1748" t="s">
        <v>26</v>
      </c>
      <c r="K1748" s="1">
        <v>45903</v>
      </c>
      <c r="L1748" s="1">
        <v>45906</v>
      </c>
      <c r="M1748" s="1" t="str">
        <f>TEXT(Table1[[#This Row],[appointment_date]],"MM/YYYY")</f>
        <v>09/2025</v>
      </c>
      <c r="N1748">
        <v>3</v>
      </c>
      <c r="O1748" t="str" cm="1">
        <f t="array" ref="O1748">_xlfn.IFS(Table1[[#This Row],[lead_time_days]]&lt;=7,"0-7 days",N1748&lt;=14,"8-14 days",N1748&lt;=30,"15-30 days",N1748&lt;=60,"31-60 days",TRUE,"61+ days")</f>
        <v>0-7 days</v>
      </c>
      <c r="P1748" t="s">
        <v>55</v>
      </c>
      <c r="Q1748" t="s">
        <v>21</v>
      </c>
      <c r="R1748">
        <v>0</v>
      </c>
      <c r="S1748" t="str">
        <f>IF(Table1[prior_dna_count]&gt;=1,"Has prior DNA history","No prior DNA history")</f>
        <v>No prior DNA history</v>
      </c>
      <c r="T1748" t="s">
        <v>22</v>
      </c>
      <c r="U1748" t="str">
        <f t="shared" si="27"/>
        <v>1</v>
      </c>
      <c r="V1748" t="str">
        <f>IF(Table1[appointment_status]="Attended","1","0")</f>
        <v>1</v>
      </c>
      <c r="W1748" t="str">
        <f>IF(Table1[appointment_status]="Cancelled","1","0")</f>
        <v>0</v>
      </c>
    </row>
    <row r="1749" spans="1:23">
      <c r="A1749" t="s">
        <v>2846</v>
      </c>
      <c r="B1749" t="s">
        <v>1393</v>
      </c>
      <c r="C1749">
        <v>5</v>
      </c>
      <c r="D1749" t="str" cm="1">
        <f t="array" ref="D1749">_xlfn.IFS(Table1[[#This Row],[age]]&lt;=17,"0-17",C1749&lt;=29,"18-29",C1749&lt;=44,"30-44",C1749&lt;=59,"45-59",C1749&lt;=74,"60-74",TRUE,"75+")</f>
        <v>0-17</v>
      </c>
      <c r="E1749" t="s">
        <v>17</v>
      </c>
      <c r="F1749">
        <v>4</v>
      </c>
      <c r="G1749" t="str" cm="1">
        <f t="array" ref="G1749">_xlfn.IFS(_xlfn.SINGLE(Table1[imd_decile])&lt;=3,"Most Deprived",F1749&lt;=7,"Moderately Deprived",F1749&lt;=10,"Least Deprived")</f>
        <v>Moderately Deprived</v>
      </c>
      <c r="H1749">
        <v>0.8</v>
      </c>
      <c r="I1749" t="s">
        <v>49</v>
      </c>
      <c r="J1749" t="s">
        <v>26</v>
      </c>
      <c r="K1749" s="1">
        <v>45905</v>
      </c>
      <c r="L1749" s="1">
        <v>45906</v>
      </c>
      <c r="M1749" s="1" t="str">
        <f>TEXT(Table1[[#This Row],[appointment_date]],"MM/YYYY")</f>
        <v>09/2025</v>
      </c>
      <c r="N1749">
        <v>1</v>
      </c>
      <c r="O1749" t="str" cm="1">
        <f t="array" ref="O1749">_xlfn.IFS(Table1[[#This Row],[lead_time_days]]&lt;=7,"0-7 days",N1749&lt;=14,"8-14 days",N1749&lt;=30,"15-30 days",N1749&lt;=60,"31-60 days",TRUE,"61+ days")</f>
        <v>0-7 days</v>
      </c>
      <c r="P1749" t="s">
        <v>55</v>
      </c>
      <c r="Q1749" t="s">
        <v>21</v>
      </c>
      <c r="R1749">
        <v>0</v>
      </c>
      <c r="S1749" t="str">
        <f>IF(Table1[prior_dna_count]&gt;=1,"Has prior DNA history","No prior DNA history")</f>
        <v>No prior DNA history</v>
      </c>
      <c r="T1749" t="s">
        <v>22</v>
      </c>
      <c r="U1749" t="str">
        <f t="shared" si="27"/>
        <v>1</v>
      </c>
      <c r="V1749" t="str">
        <f>IF(Table1[appointment_status]="Attended","1","0")</f>
        <v>1</v>
      </c>
      <c r="W1749" t="str">
        <f>IF(Table1[appointment_status]="Cancelled","1","0")</f>
        <v>0</v>
      </c>
    </row>
    <row r="1750" spans="1:23">
      <c r="A1750" t="s">
        <v>2847</v>
      </c>
      <c r="B1750" t="s">
        <v>1724</v>
      </c>
      <c r="C1750">
        <v>62</v>
      </c>
      <c r="D1750" t="str" cm="1">
        <f t="array" ref="D1750">_xlfn.IFS(Table1[[#This Row],[age]]&lt;=17,"0-17",C1750&lt;=29,"18-29",C1750&lt;=44,"30-44",C1750&lt;=59,"45-59",C1750&lt;=74,"60-74",TRUE,"75+")</f>
        <v>60-74</v>
      </c>
      <c r="E1750" t="s">
        <v>17</v>
      </c>
      <c r="F1750">
        <v>1</v>
      </c>
      <c r="G1750" t="str" cm="1">
        <f t="array" ref="G1750">_xlfn.IFS(_xlfn.SINGLE(Table1[imd_decile])&lt;=3,"Most Deprived",F1750&lt;=7,"Moderately Deprived",F1750&lt;=10,"Least Deprived")</f>
        <v>Most Deprived</v>
      </c>
      <c r="H1750">
        <v>6.9</v>
      </c>
      <c r="I1750" t="s">
        <v>25</v>
      </c>
      <c r="J1750" t="s">
        <v>19</v>
      </c>
      <c r="K1750" s="1">
        <v>45894</v>
      </c>
      <c r="L1750" s="1">
        <v>45906</v>
      </c>
      <c r="M1750" s="1" t="str">
        <f>TEXT(Table1[[#This Row],[appointment_date]],"MM/YYYY")</f>
        <v>09/2025</v>
      </c>
      <c r="N1750">
        <v>12</v>
      </c>
      <c r="O1750" t="str" cm="1">
        <f t="array" ref="O1750">_xlfn.IFS(Table1[[#This Row],[lead_time_days]]&lt;=7,"0-7 days",N1750&lt;=14,"8-14 days",N1750&lt;=30,"15-30 days",N1750&lt;=60,"31-60 days",TRUE,"61+ days")</f>
        <v>8-14 days</v>
      </c>
      <c r="P1750" t="s">
        <v>55</v>
      </c>
      <c r="Q1750" t="s">
        <v>21</v>
      </c>
      <c r="R1750">
        <v>0</v>
      </c>
      <c r="S1750" t="str">
        <f>IF(Table1[prior_dna_count]&gt;=1,"Has prior DNA history","No prior DNA history")</f>
        <v>No prior DNA history</v>
      </c>
      <c r="T1750" t="s">
        <v>22</v>
      </c>
      <c r="U1750" t="str">
        <f t="shared" si="27"/>
        <v>1</v>
      </c>
      <c r="V1750" t="str">
        <f>IF(Table1[appointment_status]="Attended","1","0")</f>
        <v>1</v>
      </c>
      <c r="W1750" t="str">
        <f>IF(Table1[appointment_status]="Cancelled","1","0")</f>
        <v>0</v>
      </c>
    </row>
    <row r="1751" spans="1:23">
      <c r="A1751" t="s">
        <v>2848</v>
      </c>
      <c r="B1751" t="s">
        <v>2545</v>
      </c>
      <c r="C1751">
        <v>86</v>
      </c>
      <c r="D1751" t="str" cm="1">
        <f t="array" ref="D1751">_xlfn.IFS(Table1[[#This Row],[age]]&lt;=17,"0-17",C1751&lt;=29,"18-29",C1751&lt;=44,"30-44",C1751&lt;=59,"45-59",C1751&lt;=74,"60-74",TRUE,"75+")</f>
        <v>75+</v>
      </c>
      <c r="E1751" t="s">
        <v>17</v>
      </c>
      <c r="F1751">
        <v>3</v>
      </c>
      <c r="G1751" t="str" cm="1">
        <f t="array" ref="G1751">_xlfn.IFS(_xlfn.SINGLE(Table1[imd_decile])&lt;=3,"Most Deprived",F1751&lt;=7,"Moderately Deprived",F1751&lt;=10,"Least Deprived")</f>
        <v>Most Deprived</v>
      </c>
      <c r="H1751">
        <v>0.8</v>
      </c>
      <c r="I1751" t="s">
        <v>49</v>
      </c>
      <c r="J1751" t="s">
        <v>19</v>
      </c>
      <c r="K1751" s="1">
        <v>45862</v>
      </c>
      <c r="L1751" s="1">
        <v>45906</v>
      </c>
      <c r="M1751" s="1" t="str">
        <f>TEXT(Table1[[#This Row],[appointment_date]],"MM/YYYY")</f>
        <v>09/2025</v>
      </c>
      <c r="N1751">
        <v>44</v>
      </c>
      <c r="O1751" t="str" cm="1">
        <f t="array" ref="O1751">_xlfn.IFS(Table1[[#This Row],[lead_time_days]]&lt;=7,"0-7 days",N1751&lt;=14,"8-14 days",N1751&lt;=30,"15-30 days",N1751&lt;=60,"31-60 days",TRUE,"61+ days")</f>
        <v>31-60 days</v>
      </c>
      <c r="P1751" t="s">
        <v>55</v>
      </c>
      <c r="Q1751" t="s">
        <v>21</v>
      </c>
      <c r="R1751">
        <v>0</v>
      </c>
      <c r="S1751" t="str">
        <f>IF(Table1[prior_dna_count]&gt;=1,"Has prior DNA history","No prior DNA history")</f>
        <v>No prior DNA history</v>
      </c>
      <c r="T1751" t="s">
        <v>22</v>
      </c>
      <c r="U1751" t="str">
        <f t="shared" si="27"/>
        <v>1</v>
      </c>
      <c r="V1751" t="str">
        <f>IF(Table1[appointment_status]="Attended","1","0")</f>
        <v>1</v>
      </c>
      <c r="W1751" t="str">
        <f>IF(Table1[appointment_status]="Cancelled","1","0")</f>
        <v>0</v>
      </c>
    </row>
    <row r="1752" spans="1:23">
      <c r="A1752" t="s">
        <v>2849</v>
      </c>
      <c r="B1752" t="s">
        <v>2850</v>
      </c>
      <c r="C1752">
        <v>15</v>
      </c>
      <c r="D1752" t="str" cm="1">
        <f t="array" ref="D1752">_xlfn.IFS(Table1[[#This Row],[age]]&lt;=17,"0-17",C1752&lt;=29,"18-29",C1752&lt;=44,"30-44",C1752&lt;=59,"45-59",C1752&lt;=74,"60-74",TRUE,"75+")</f>
        <v>0-17</v>
      </c>
      <c r="E1752" t="s">
        <v>17</v>
      </c>
      <c r="F1752">
        <v>2</v>
      </c>
      <c r="G1752" t="str" cm="1">
        <f t="array" ref="G1752">_xlfn.IFS(_xlfn.SINGLE(Table1[imd_decile])&lt;=3,"Most Deprived",F1752&lt;=7,"Moderately Deprived",F1752&lt;=10,"Least Deprived")</f>
        <v>Most Deprived</v>
      </c>
      <c r="H1752">
        <v>3.3</v>
      </c>
      <c r="I1752" t="s">
        <v>42</v>
      </c>
      <c r="J1752" t="s">
        <v>19</v>
      </c>
      <c r="K1752" s="1">
        <v>45854</v>
      </c>
      <c r="L1752" s="1">
        <v>45906</v>
      </c>
      <c r="M1752" s="1" t="str">
        <f>TEXT(Table1[[#This Row],[appointment_date]],"MM/YYYY")</f>
        <v>09/2025</v>
      </c>
      <c r="N1752">
        <v>52</v>
      </c>
      <c r="O1752" t="str" cm="1">
        <f t="array" ref="O1752">_xlfn.IFS(Table1[[#This Row],[lead_time_days]]&lt;=7,"0-7 days",N1752&lt;=14,"8-14 days",N1752&lt;=30,"15-30 days",N1752&lt;=60,"31-60 days",TRUE,"61+ days")</f>
        <v>31-60 days</v>
      </c>
      <c r="P1752" t="s">
        <v>55</v>
      </c>
      <c r="Q1752" t="s">
        <v>21</v>
      </c>
      <c r="R1752">
        <v>0</v>
      </c>
      <c r="S1752" t="str">
        <f>IF(Table1[prior_dna_count]&gt;=1,"Has prior DNA history","No prior DNA history")</f>
        <v>No prior DNA history</v>
      </c>
      <c r="T1752" t="s">
        <v>22</v>
      </c>
      <c r="U1752" t="str">
        <f t="shared" si="27"/>
        <v>1</v>
      </c>
      <c r="V1752" t="str">
        <f>IF(Table1[appointment_status]="Attended","1","0")</f>
        <v>1</v>
      </c>
      <c r="W1752" t="str">
        <f>IF(Table1[appointment_status]="Cancelled","1","0")</f>
        <v>0</v>
      </c>
    </row>
    <row r="1753" spans="1:23">
      <c r="A1753" t="s">
        <v>2851</v>
      </c>
      <c r="B1753" t="s">
        <v>891</v>
      </c>
      <c r="C1753">
        <v>33</v>
      </c>
      <c r="D1753" t="str" cm="1">
        <f t="array" ref="D1753">_xlfn.IFS(Table1[[#This Row],[age]]&lt;=17,"0-17",C1753&lt;=29,"18-29",C1753&lt;=44,"30-44",C1753&lt;=59,"45-59",C1753&lt;=74,"60-74",TRUE,"75+")</f>
        <v>30-44</v>
      </c>
      <c r="E1753" t="s">
        <v>17</v>
      </c>
      <c r="F1753">
        <v>9</v>
      </c>
      <c r="G1753" t="str" cm="1">
        <f t="array" ref="G1753">_xlfn.IFS(_xlfn.SINGLE(Table1[imd_decile])&lt;=3,"Most Deprived",F1753&lt;=7,"Moderately Deprived",F1753&lt;=10,"Least Deprived")</f>
        <v>Least Deprived</v>
      </c>
      <c r="H1753">
        <v>2.6</v>
      </c>
      <c r="I1753" t="s">
        <v>91</v>
      </c>
      <c r="J1753" t="s">
        <v>19</v>
      </c>
      <c r="K1753" s="1">
        <v>45884</v>
      </c>
      <c r="L1753" s="1">
        <v>45906</v>
      </c>
      <c r="M1753" s="1" t="str">
        <f>TEXT(Table1[[#This Row],[appointment_date]],"MM/YYYY")</f>
        <v>09/2025</v>
      </c>
      <c r="N1753">
        <v>22</v>
      </c>
      <c r="O1753" t="str" cm="1">
        <f t="array" ref="O1753">_xlfn.IFS(Table1[[#This Row],[lead_time_days]]&lt;=7,"0-7 days",N1753&lt;=14,"8-14 days",N1753&lt;=30,"15-30 days",N1753&lt;=60,"31-60 days",TRUE,"61+ days")</f>
        <v>15-30 days</v>
      </c>
      <c r="P1753" t="s">
        <v>55</v>
      </c>
      <c r="Q1753" t="s">
        <v>21</v>
      </c>
      <c r="R1753">
        <v>0</v>
      </c>
      <c r="S1753" t="str">
        <f>IF(Table1[prior_dna_count]&gt;=1,"Has prior DNA history","No prior DNA history")</f>
        <v>No prior DNA history</v>
      </c>
      <c r="T1753" t="s">
        <v>22</v>
      </c>
      <c r="U1753" t="str">
        <f t="shared" si="27"/>
        <v>1</v>
      </c>
      <c r="V1753" t="str">
        <f>IF(Table1[appointment_status]="Attended","1","0")</f>
        <v>1</v>
      </c>
      <c r="W1753" t="str">
        <f>IF(Table1[appointment_status]="Cancelled","1","0")</f>
        <v>0</v>
      </c>
    </row>
    <row r="1754" spans="1:23">
      <c r="A1754" t="s">
        <v>2852</v>
      </c>
      <c r="B1754" t="s">
        <v>2853</v>
      </c>
      <c r="C1754">
        <v>28</v>
      </c>
      <c r="D1754" t="str" cm="1">
        <f t="array" ref="D1754">_xlfn.IFS(Table1[[#This Row],[age]]&lt;=17,"0-17",C1754&lt;=29,"18-29",C1754&lt;=44,"30-44",C1754&lt;=59,"45-59",C1754&lt;=74,"60-74",TRUE,"75+")</f>
        <v>18-29</v>
      </c>
      <c r="E1754" t="s">
        <v>17</v>
      </c>
      <c r="F1754">
        <v>9</v>
      </c>
      <c r="G1754" t="str" cm="1">
        <f t="array" ref="G1754">_xlfn.IFS(_xlfn.SINGLE(Table1[imd_decile])&lt;=3,"Most Deprived",F1754&lt;=7,"Moderately Deprived",F1754&lt;=10,"Least Deprived")</f>
        <v>Least Deprived</v>
      </c>
      <c r="H1754">
        <v>8.6</v>
      </c>
      <c r="I1754" t="s">
        <v>45</v>
      </c>
      <c r="J1754" t="s">
        <v>19</v>
      </c>
      <c r="K1754" s="1">
        <v>45784</v>
      </c>
      <c r="L1754" s="1">
        <v>45906</v>
      </c>
      <c r="M1754" s="1" t="str">
        <f>TEXT(Table1[[#This Row],[appointment_date]],"MM/YYYY")</f>
        <v>09/2025</v>
      </c>
      <c r="N1754">
        <v>122</v>
      </c>
      <c r="O1754" t="str" cm="1">
        <f t="array" ref="O1754">_xlfn.IFS(Table1[[#This Row],[lead_time_days]]&lt;=7,"0-7 days",N1754&lt;=14,"8-14 days",N1754&lt;=30,"15-30 days",N1754&lt;=60,"31-60 days",TRUE,"61+ days")</f>
        <v>61+ days</v>
      </c>
      <c r="P1754" t="s">
        <v>55</v>
      </c>
      <c r="Q1754" t="s">
        <v>21</v>
      </c>
      <c r="R1754">
        <v>0</v>
      </c>
      <c r="S1754" t="str">
        <f>IF(Table1[prior_dna_count]&gt;=1,"Has prior DNA history","No prior DNA history")</f>
        <v>No prior DNA history</v>
      </c>
      <c r="T1754" t="s">
        <v>22</v>
      </c>
      <c r="U1754" t="str">
        <f t="shared" si="27"/>
        <v>1</v>
      </c>
      <c r="V1754" t="str">
        <f>IF(Table1[appointment_status]="Attended","1","0")</f>
        <v>1</v>
      </c>
      <c r="W1754" t="str">
        <f>IF(Table1[appointment_status]="Cancelled","1","0")</f>
        <v>0</v>
      </c>
    </row>
    <row r="1755" spans="1:23">
      <c r="A1755" t="s">
        <v>2854</v>
      </c>
      <c r="B1755" t="s">
        <v>231</v>
      </c>
      <c r="C1755">
        <v>58</v>
      </c>
      <c r="D1755" t="str" cm="1">
        <f t="array" ref="D1755">_xlfn.IFS(Table1[[#This Row],[age]]&lt;=17,"0-17",C1755&lt;=29,"18-29",C1755&lt;=44,"30-44",C1755&lt;=59,"45-59",C1755&lt;=74,"60-74",TRUE,"75+")</f>
        <v>45-59</v>
      </c>
      <c r="E1755" t="s">
        <v>17</v>
      </c>
      <c r="F1755">
        <v>8</v>
      </c>
      <c r="G1755" t="str" cm="1">
        <f t="array" ref="G1755">_xlfn.IFS(_xlfn.SINGLE(Table1[imd_decile])&lt;=3,"Most Deprived",F1755&lt;=7,"Moderately Deprived",F1755&lt;=10,"Least Deprived")</f>
        <v>Least Deprived</v>
      </c>
      <c r="H1755">
        <v>12.5</v>
      </c>
      <c r="I1755" t="s">
        <v>58</v>
      </c>
      <c r="J1755" t="s">
        <v>19</v>
      </c>
      <c r="K1755" s="1">
        <v>45875</v>
      </c>
      <c r="L1755" s="1">
        <v>45907</v>
      </c>
      <c r="M1755" s="1" t="str">
        <f>TEXT(Table1[[#This Row],[appointment_date]],"MM/YYYY")</f>
        <v>09/2025</v>
      </c>
      <c r="N1755">
        <v>32</v>
      </c>
      <c r="O1755" t="str" cm="1">
        <f t="array" ref="O1755">_xlfn.IFS(Table1[[#This Row],[lead_time_days]]&lt;=7,"0-7 days",N1755&lt;=14,"8-14 days",N1755&lt;=30,"15-30 days",N1755&lt;=60,"31-60 days",TRUE,"61+ days")</f>
        <v>31-60 days</v>
      </c>
      <c r="P1755" t="s">
        <v>31</v>
      </c>
      <c r="Q1755" t="s">
        <v>21</v>
      </c>
      <c r="R1755">
        <v>0</v>
      </c>
      <c r="S1755" t="str">
        <f>IF(Table1[prior_dna_count]&gt;=1,"Has prior DNA history","No prior DNA history")</f>
        <v>No prior DNA history</v>
      </c>
      <c r="T1755" t="s">
        <v>22</v>
      </c>
      <c r="U1755" t="str">
        <f t="shared" si="27"/>
        <v>1</v>
      </c>
      <c r="V1755" t="str">
        <f>IF(Table1[appointment_status]="Attended","1","0")</f>
        <v>1</v>
      </c>
      <c r="W1755" t="str">
        <f>IF(Table1[appointment_status]="Cancelled","1","0")</f>
        <v>0</v>
      </c>
    </row>
    <row r="1756" spans="1:23">
      <c r="A1756" t="s">
        <v>2855</v>
      </c>
      <c r="B1756" t="s">
        <v>187</v>
      </c>
      <c r="C1756">
        <v>57</v>
      </c>
      <c r="D1756" t="str" cm="1">
        <f t="array" ref="D1756">_xlfn.IFS(Table1[[#This Row],[age]]&lt;=17,"0-17",C1756&lt;=29,"18-29",C1756&lt;=44,"30-44",C1756&lt;=59,"45-59",C1756&lt;=74,"60-74",TRUE,"75+")</f>
        <v>45-59</v>
      </c>
      <c r="E1756" t="s">
        <v>29</v>
      </c>
      <c r="F1756">
        <v>1</v>
      </c>
      <c r="G1756" t="str" cm="1">
        <f t="array" ref="G1756">_xlfn.IFS(_xlfn.SINGLE(Table1[imd_decile])&lt;=3,"Most Deprived",F1756&lt;=7,"Moderately Deprived",F1756&lt;=10,"Least Deprived")</f>
        <v>Most Deprived</v>
      </c>
      <c r="H1756">
        <v>5.0999999999999996</v>
      </c>
      <c r="I1756" t="s">
        <v>25</v>
      </c>
      <c r="J1756" t="s">
        <v>19</v>
      </c>
      <c r="K1756" s="1">
        <v>45895</v>
      </c>
      <c r="L1756" s="1">
        <v>45907</v>
      </c>
      <c r="M1756" s="1" t="str">
        <f>TEXT(Table1[[#This Row],[appointment_date]],"MM/YYYY")</f>
        <v>09/2025</v>
      </c>
      <c r="N1756">
        <v>12</v>
      </c>
      <c r="O1756" t="str" cm="1">
        <f t="array" ref="O1756">_xlfn.IFS(Table1[[#This Row],[lead_time_days]]&lt;=7,"0-7 days",N1756&lt;=14,"8-14 days",N1756&lt;=30,"15-30 days",N1756&lt;=60,"31-60 days",TRUE,"61+ days")</f>
        <v>8-14 days</v>
      </c>
      <c r="P1756" t="s">
        <v>31</v>
      </c>
      <c r="Q1756" t="s">
        <v>21</v>
      </c>
      <c r="R1756">
        <v>1</v>
      </c>
      <c r="S1756" t="str">
        <f>IF(Table1[prior_dna_count]&gt;=1,"Has prior DNA history","No prior DNA history")</f>
        <v>Has prior DNA history</v>
      </c>
      <c r="T1756" t="s">
        <v>22</v>
      </c>
      <c r="U1756" t="str">
        <f t="shared" si="27"/>
        <v>1</v>
      </c>
      <c r="V1756" t="str">
        <f>IF(Table1[appointment_status]="Attended","1","0")</f>
        <v>1</v>
      </c>
      <c r="W1756" t="str">
        <f>IF(Table1[appointment_status]="Cancelled","1","0")</f>
        <v>0</v>
      </c>
    </row>
    <row r="1757" spans="1:23">
      <c r="A1757" t="s">
        <v>2856</v>
      </c>
      <c r="B1757" t="s">
        <v>2857</v>
      </c>
      <c r="C1757">
        <v>65</v>
      </c>
      <c r="D1757" t="str" cm="1">
        <f t="array" ref="D1757">_xlfn.IFS(Table1[[#This Row],[age]]&lt;=17,"0-17",C1757&lt;=29,"18-29",C1757&lt;=44,"30-44",C1757&lt;=59,"45-59",C1757&lt;=74,"60-74",TRUE,"75+")</f>
        <v>60-74</v>
      </c>
      <c r="E1757" t="s">
        <v>17</v>
      </c>
      <c r="F1757">
        <v>9</v>
      </c>
      <c r="G1757" t="str" cm="1">
        <f t="array" ref="G1757">_xlfn.IFS(_xlfn.SINGLE(Table1[imd_decile])&lt;=3,"Most Deprived",F1757&lt;=7,"Moderately Deprived",F1757&lt;=10,"Least Deprived")</f>
        <v>Least Deprived</v>
      </c>
      <c r="H1757">
        <v>2.8</v>
      </c>
      <c r="I1757" t="s">
        <v>49</v>
      </c>
      <c r="J1757" t="s">
        <v>19</v>
      </c>
      <c r="K1757" s="1">
        <v>45883</v>
      </c>
      <c r="L1757" s="1">
        <v>45907</v>
      </c>
      <c r="M1757" s="1" t="str">
        <f>TEXT(Table1[[#This Row],[appointment_date]],"MM/YYYY")</f>
        <v>09/2025</v>
      </c>
      <c r="N1757">
        <v>24</v>
      </c>
      <c r="O1757" t="str" cm="1">
        <f t="array" ref="O1757">_xlfn.IFS(Table1[[#This Row],[lead_time_days]]&lt;=7,"0-7 days",N1757&lt;=14,"8-14 days",N1757&lt;=30,"15-30 days",N1757&lt;=60,"31-60 days",TRUE,"61+ days")</f>
        <v>15-30 days</v>
      </c>
      <c r="P1757" t="s">
        <v>31</v>
      </c>
      <c r="Q1757" t="s">
        <v>21</v>
      </c>
      <c r="R1757">
        <v>0</v>
      </c>
      <c r="S1757" t="str">
        <f>IF(Table1[prior_dna_count]&gt;=1,"Has prior DNA history","No prior DNA history")</f>
        <v>No prior DNA history</v>
      </c>
      <c r="T1757" t="s">
        <v>46</v>
      </c>
      <c r="U1757" t="str">
        <f t="shared" si="27"/>
        <v>1</v>
      </c>
      <c r="V1757" t="str">
        <f>IF(Table1[appointment_status]="Attended","1","0")</f>
        <v>0</v>
      </c>
      <c r="W1757" t="str">
        <f>IF(Table1[appointment_status]="Cancelled","1","0")</f>
        <v>1</v>
      </c>
    </row>
    <row r="1758" spans="1:23">
      <c r="A1758" t="s">
        <v>2858</v>
      </c>
      <c r="B1758" t="s">
        <v>1249</v>
      </c>
      <c r="C1758">
        <v>52</v>
      </c>
      <c r="D1758" t="str" cm="1">
        <f t="array" ref="D1758">_xlfn.IFS(Table1[[#This Row],[age]]&lt;=17,"0-17",C1758&lt;=29,"18-29",C1758&lt;=44,"30-44",C1758&lt;=59,"45-59",C1758&lt;=74,"60-74",TRUE,"75+")</f>
        <v>45-59</v>
      </c>
      <c r="E1758" t="s">
        <v>29</v>
      </c>
      <c r="F1758">
        <v>10</v>
      </c>
      <c r="G1758" t="str" cm="1">
        <f t="array" ref="G1758">_xlfn.IFS(_xlfn.SINGLE(Table1[imd_decile])&lt;=3,"Most Deprived",F1758&lt;=7,"Moderately Deprived",F1758&lt;=10,"Least Deprived")</f>
        <v>Least Deprived</v>
      </c>
      <c r="H1758">
        <v>7.7</v>
      </c>
      <c r="I1758" t="s">
        <v>42</v>
      </c>
      <c r="J1758" t="s">
        <v>19</v>
      </c>
      <c r="K1758" s="1">
        <v>45880</v>
      </c>
      <c r="L1758" s="1">
        <v>45907</v>
      </c>
      <c r="M1758" s="1" t="str">
        <f>TEXT(Table1[[#This Row],[appointment_date]],"MM/YYYY")</f>
        <v>09/2025</v>
      </c>
      <c r="N1758">
        <v>27</v>
      </c>
      <c r="O1758" t="str" cm="1">
        <f t="array" ref="O1758">_xlfn.IFS(Table1[[#This Row],[lead_time_days]]&lt;=7,"0-7 days",N1758&lt;=14,"8-14 days",N1758&lt;=30,"15-30 days",N1758&lt;=60,"31-60 days",TRUE,"61+ days")</f>
        <v>15-30 days</v>
      </c>
      <c r="P1758" t="s">
        <v>31</v>
      </c>
      <c r="Q1758" t="s">
        <v>21</v>
      </c>
      <c r="R1758">
        <v>0</v>
      </c>
      <c r="S1758" t="str">
        <f>IF(Table1[prior_dna_count]&gt;=1,"Has prior DNA history","No prior DNA history")</f>
        <v>No prior DNA history</v>
      </c>
      <c r="T1758" t="s">
        <v>22</v>
      </c>
      <c r="U1758" t="str">
        <f t="shared" si="27"/>
        <v>0</v>
      </c>
      <c r="V1758" t="str">
        <f>IF(Table1[appointment_status]="Attended","1","0")</f>
        <v>1</v>
      </c>
      <c r="W1758" t="str">
        <f>IF(Table1[appointment_status]="Cancelled","1","0")</f>
        <v>0</v>
      </c>
    </row>
    <row r="1759" spans="1:23">
      <c r="A1759" t="s">
        <v>2859</v>
      </c>
      <c r="B1759" t="s">
        <v>1649</v>
      </c>
      <c r="C1759">
        <v>47</v>
      </c>
      <c r="D1759" t="str" cm="1">
        <f t="array" ref="D1759">_xlfn.IFS(Table1[[#This Row],[age]]&lt;=17,"0-17",C1759&lt;=29,"18-29",C1759&lt;=44,"30-44",C1759&lt;=59,"45-59",C1759&lt;=74,"60-74",TRUE,"75+")</f>
        <v>45-59</v>
      </c>
      <c r="E1759" t="s">
        <v>29</v>
      </c>
      <c r="F1759">
        <v>6</v>
      </c>
      <c r="G1759" t="str" cm="1">
        <f t="array" ref="G1759">_xlfn.IFS(_xlfn.SINGLE(Table1[imd_decile])&lt;=3,"Most Deprived",F1759&lt;=7,"Moderately Deprived",F1759&lt;=10,"Least Deprived")</f>
        <v>Moderately Deprived</v>
      </c>
      <c r="H1759">
        <v>13</v>
      </c>
      <c r="I1759" t="s">
        <v>155</v>
      </c>
      <c r="J1759" t="s">
        <v>19</v>
      </c>
      <c r="K1759" s="1">
        <v>45886</v>
      </c>
      <c r="L1759" s="1">
        <v>45907</v>
      </c>
      <c r="M1759" s="1" t="str">
        <f>TEXT(Table1[[#This Row],[appointment_date]],"MM/YYYY")</f>
        <v>09/2025</v>
      </c>
      <c r="N1759">
        <v>21</v>
      </c>
      <c r="O1759" t="str" cm="1">
        <f t="array" ref="O1759">_xlfn.IFS(Table1[[#This Row],[lead_time_days]]&lt;=7,"0-7 days",N1759&lt;=14,"8-14 days",N1759&lt;=30,"15-30 days",N1759&lt;=60,"31-60 days",TRUE,"61+ days")</f>
        <v>15-30 days</v>
      </c>
      <c r="P1759" t="s">
        <v>31</v>
      </c>
      <c r="Q1759" t="s">
        <v>21</v>
      </c>
      <c r="R1759">
        <v>0</v>
      </c>
      <c r="S1759" t="str">
        <f>IF(Table1[prior_dna_count]&gt;=1,"Has prior DNA history","No prior DNA history")</f>
        <v>No prior DNA history</v>
      </c>
      <c r="T1759" t="s">
        <v>22</v>
      </c>
      <c r="U1759" t="str">
        <f t="shared" si="27"/>
        <v>1</v>
      </c>
      <c r="V1759" t="str">
        <f>IF(Table1[appointment_status]="Attended","1","0")</f>
        <v>1</v>
      </c>
      <c r="W1759" t="str">
        <f>IF(Table1[appointment_status]="Cancelled","1","0")</f>
        <v>0</v>
      </c>
    </row>
    <row r="1760" spans="1:23">
      <c r="A1760" t="s">
        <v>2860</v>
      </c>
      <c r="B1760" t="s">
        <v>197</v>
      </c>
      <c r="C1760">
        <v>62</v>
      </c>
      <c r="D1760" t="str" cm="1">
        <f t="array" ref="D1760">_xlfn.IFS(Table1[[#This Row],[age]]&lt;=17,"0-17",C1760&lt;=29,"18-29",C1760&lt;=44,"30-44",C1760&lt;=59,"45-59",C1760&lt;=74,"60-74",TRUE,"75+")</f>
        <v>60-74</v>
      </c>
      <c r="E1760" t="s">
        <v>29</v>
      </c>
      <c r="F1760">
        <v>2</v>
      </c>
      <c r="G1760" t="str" cm="1">
        <f t="array" ref="G1760">_xlfn.IFS(_xlfn.SINGLE(Table1[imd_decile])&lt;=3,"Most Deprived",F1760&lt;=7,"Moderately Deprived",F1760&lt;=10,"Least Deprived")</f>
        <v>Most Deprived</v>
      </c>
      <c r="H1760">
        <v>5.3</v>
      </c>
      <c r="I1760" t="s">
        <v>155</v>
      </c>
      <c r="J1760" t="s">
        <v>19</v>
      </c>
      <c r="K1760" s="1">
        <v>45851</v>
      </c>
      <c r="L1760" s="1">
        <v>45907</v>
      </c>
      <c r="M1760" s="1" t="str">
        <f>TEXT(Table1[[#This Row],[appointment_date]],"MM/YYYY")</f>
        <v>09/2025</v>
      </c>
      <c r="N1760">
        <v>56</v>
      </c>
      <c r="O1760" t="str" cm="1">
        <f t="array" ref="O1760">_xlfn.IFS(Table1[[#This Row],[lead_time_days]]&lt;=7,"0-7 days",N1760&lt;=14,"8-14 days",N1760&lt;=30,"15-30 days",N1760&lt;=60,"31-60 days",TRUE,"61+ days")</f>
        <v>31-60 days</v>
      </c>
      <c r="P1760" t="s">
        <v>31</v>
      </c>
      <c r="Q1760" t="s">
        <v>21</v>
      </c>
      <c r="R1760">
        <v>0</v>
      </c>
      <c r="S1760" t="str">
        <f>IF(Table1[prior_dna_count]&gt;=1,"Has prior DNA history","No prior DNA history")</f>
        <v>No prior DNA history</v>
      </c>
      <c r="T1760" t="s">
        <v>22</v>
      </c>
      <c r="U1760" t="str">
        <f t="shared" si="27"/>
        <v>1</v>
      </c>
      <c r="V1760" t="str">
        <f>IF(Table1[appointment_status]="Attended","1","0")</f>
        <v>1</v>
      </c>
      <c r="W1760" t="str">
        <f>IF(Table1[appointment_status]="Cancelled","1","0")</f>
        <v>0</v>
      </c>
    </row>
    <row r="1761" spans="1:23">
      <c r="A1761" t="s">
        <v>2861</v>
      </c>
      <c r="B1761" t="s">
        <v>1425</v>
      </c>
      <c r="C1761">
        <v>49</v>
      </c>
      <c r="D1761" t="str" cm="1">
        <f t="array" ref="D1761">_xlfn.IFS(Table1[[#This Row],[age]]&lt;=17,"0-17",C1761&lt;=29,"18-29",C1761&lt;=44,"30-44",C1761&lt;=59,"45-59",C1761&lt;=74,"60-74",TRUE,"75+")</f>
        <v>45-59</v>
      </c>
      <c r="E1761" t="s">
        <v>17</v>
      </c>
      <c r="F1761">
        <v>1</v>
      </c>
      <c r="G1761" t="str" cm="1">
        <f t="array" ref="G1761">_xlfn.IFS(_xlfn.SINGLE(Table1[imd_decile])&lt;=3,"Most Deprived",F1761&lt;=7,"Moderately Deprived",F1761&lt;=10,"Least Deprived")</f>
        <v>Most Deprived</v>
      </c>
      <c r="H1761">
        <v>16.5</v>
      </c>
      <c r="I1761" t="s">
        <v>25</v>
      </c>
      <c r="J1761" t="s">
        <v>26</v>
      </c>
      <c r="K1761" s="1">
        <v>45892</v>
      </c>
      <c r="L1761" s="1">
        <v>45907</v>
      </c>
      <c r="M1761" s="1" t="str">
        <f>TEXT(Table1[[#This Row],[appointment_date]],"MM/YYYY")</f>
        <v>09/2025</v>
      </c>
      <c r="N1761">
        <v>15</v>
      </c>
      <c r="O1761" t="str" cm="1">
        <f t="array" ref="O1761">_xlfn.IFS(Table1[[#This Row],[lead_time_days]]&lt;=7,"0-7 days",N1761&lt;=14,"8-14 days",N1761&lt;=30,"15-30 days",N1761&lt;=60,"31-60 days",TRUE,"61+ days")</f>
        <v>15-30 days</v>
      </c>
      <c r="P1761" t="s">
        <v>31</v>
      </c>
      <c r="Q1761" t="s">
        <v>21</v>
      </c>
      <c r="R1761">
        <v>0</v>
      </c>
      <c r="S1761" t="str">
        <f>IF(Table1[prior_dna_count]&gt;=1,"Has prior DNA history","No prior DNA history")</f>
        <v>No prior DNA history</v>
      </c>
      <c r="T1761" t="s">
        <v>39</v>
      </c>
      <c r="U1761" t="str">
        <f t="shared" si="27"/>
        <v>1</v>
      </c>
      <c r="V1761" t="str">
        <f>IF(Table1[appointment_status]="Attended","1","0")</f>
        <v>0</v>
      </c>
      <c r="W1761" t="str">
        <f>IF(Table1[appointment_status]="Cancelled","1","0")</f>
        <v>0</v>
      </c>
    </row>
    <row r="1762" spans="1:23">
      <c r="A1762" t="s">
        <v>2862</v>
      </c>
      <c r="B1762" t="s">
        <v>2133</v>
      </c>
      <c r="C1762">
        <v>87</v>
      </c>
      <c r="D1762" t="str" cm="1">
        <f t="array" ref="D1762">_xlfn.IFS(Table1[[#This Row],[age]]&lt;=17,"0-17",C1762&lt;=29,"18-29",C1762&lt;=44,"30-44",C1762&lt;=59,"45-59",C1762&lt;=74,"60-74",TRUE,"75+")</f>
        <v>75+</v>
      </c>
      <c r="E1762" t="s">
        <v>29</v>
      </c>
      <c r="F1762">
        <v>1</v>
      </c>
      <c r="G1762" t="str" cm="1">
        <f t="array" ref="G1762">_xlfn.IFS(_xlfn.SINGLE(Table1[imd_decile])&lt;=3,"Most Deprived",F1762&lt;=7,"Moderately Deprived",F1762&lt;=10,"Least Deprived")</f>
        <v>Most Deprived</v>
      </c>
      <c r="H1762">
        <v>2.6</v>
      </c>
      <c r="I1762" t="s">
        <v>45</v>
      </c>
      <c r="J1762" t="s">
        <v>26</v>
      </c>
      <c r="K1762" s="1">
        <v>45881</v>
      </c>
      <c r="L1762" s="1">
        <v>45907</v>
      </c>
      <c r="M1762" s="1" t="str">
        <f>TEXT(Table1[[#This Row],[appointment_date]],"MM/YYYY")</f>
        <v>09/2025</v>
      </c>
      <c r="N1762">
        <v>26</v>
      </c>
      <c r="O1762" t="str" cm="1">
        <f t="array" ref="O1762">_xlfn.IFS(Table1[[#This Row],[lead_time_days]]&lt;=7,"0-7 days",N1762&lt;=14,"8-14 days",N1762&lt;=30,"15-30 days",N1762&lt;=60,"31-60 days",TRUE,"61+ days")</f>
        <v>15-30 days</v>
      </c>
      <c r="P1762" t="s">
        <v>31</v>
      </c>
      <c r="Q1762" t="s">
        <v>21</v>
      </c>
      <c r="R1762">
        <v>1</v>
      </c>
      <c r="S1762" t="str">
        <f>IF(Table1[prior_dna_count]&gt;=1,"Has prior DNA history","No prior DNA history")</f>
        <v>Has prior DNA history</v>
      </c>
      <c r="T1762" t="s">
        <v>22</v>
      </c>
      <c r="U1762" t="str">
        <f t="shared" si="27"/>
        <v>0</v>
      </c>
      <c r="V1762" t="str">
        <f>IF(Table1[appointment_status]="Attended","1","0")</f>
        <v>1</v>
      </c>
      <c r="W1762" t="str">
        <f>IF(Table1[appointment_status]="Cancelled","1","0")</f>
        <v>0</v>
      </c>
    </row>
    <row r="1763" spans="1:23">
      <c r="A1763" t="s">
        <v>2863</v>
      </c>
      <c r="B1763" t="s">
        <v>2864</v>
      </c>
      <c r="C1763">
        <v>51</v>
      </c>
      <c r="D1763" t="str" cm="1">
        <f t="array" ref="D1763">_xlfn.IFS(Table1[[#This Row],[age]]&lt;=17,"0-17",C1763&lt;=29,"18-29",C1763&lt;=44,"30-44",C1763&lt;=59,"45-59",C1763&lt;=74,"60-74",TRUE,"75+")</f>
        <v>45-59</v>
      </c>
      <c r="E1763" t="s">
        <v>29</v>
      </c>
      <c r="F1763">
        <v>3</v>
      </c>
      <c r="G1763" t="str" cm="1">
        <f t="array" ref="G1763">_xlfn.IFS(_xlfn.SINGLE(Table1[imd_decile])&lt;=3,"Most Deprived",F1763&lt;=7,"Moderately Deprived",F1763&lt;=10,"Least Deprived")</f>
        <v>Most Deprived</v>
      </c>
      <c r="H1763">
        <v>9</v>
      </c>
      <c r="I1763" t="s">
        <v>45</v>
      </c>
      <c r="J1763" t="s">
        <v>26</v>
      </c>
      <c r="K1763" s="1">
        <v>45905</v>
      </c>
      <c r="L1763" s="1">
        <v>45907</v>
      </c>
      <c r="M1763" s="1" t="str">
        <f>TEXT(Table1[[#This Row],[appointment_date]],"MM/YYYY")</f>
        <v>09/2025</v>
      </c>
      <c r="N1763">
        <v>2</v>
      </c>
      <c r="O1763" t="str" cm="1">
        <f t="array" ref="O1763">_xlfn.IFS(Table1[[#This Row],[lead_time_days]]&lt;=7,"0-7 days",N1763&lt;=14,"8-14 days",N1763&lt;=30,"15-30 days",N1763&lt;=60,"31-60 days",TRUE,"61+ days")</f>
        <v>0-7 days</v>
      </c>
      <c r="P1763" t="s">
        <v>31</v>
      </c>
      <c r="Q1763" t="s">
        <v>21</v>
      </c>
      <c r="R1763">
        <v>0</v>
      </c>
      <c r="S1763" t="str">
        <f>IF(Table1[prior_dna_count]&gt;=1,"Has prior DNA history","No prior DNA history")</f>
        <v>No prior DNA history</v>
      </c>
      <c r="T1763" t="s">
        <v>22</v>
      </c>
      <c r="U1763" t="str">
        <f t="shared" si="27"/>
        <v>1</v>
      </c>
      <c r="V1763" t="str">
        <f>IF(Table1[appointment_status]="Attended","1","0")</f>
        <v>1</v>
      </c>
      <c r="W1763" t="str">
        <f>IF(Table1[appointment_status]="Cancelled","1","0")</f>
        <v>0</v>
      </c>
    </row>
    <row r="1764" spans="1:23">
      <c r="A1764" t="s">
        <v>2865</v>
      </c>
      <c r="B1764" t="s">
        <v>2866</v>
      </c>
      <c r="C1764">
        <v>75</v>
      </c>
      <c r="D1764" t="str" cm="1">
        <f t="array" ref="D1764">_xlfn.IFS(Table1[[#This Row],[age]]&lt;=17,"0-17",C1764&lt;=29,"18-29",C1764&lt;=44,"30-44",C1764&lt;=59,"45-59",C1764&lt;=74,"60-74",TRUE,"75+")</f>
        <v>75+</v>
      </c>
      <c r="E1764" t="s">
        <v>29</v>
      </c>
      <c r="F1764">
        <v>6</v>
      </c>
      <c r="G1764" t="str" cm="1">
        <f t="array" ref="G1764">_xlfn.IFS(_xlfn.SINGLE(Table1[imd_decile])&lt;=3,"Most Deprived",F1764&lt;=7,"Moderately Deprived",F1764&lt;=10,"Least Deprived")</f>
        <v>Moderately Deprived</v>
      </c>
      <c r="H1764">
        <v>8.8000000000000007</v>
      </c>
      <c r="I1764" t="s">
        <v>18</v>
      </c>
      <c r="J1764" t="s">
        <v>26</v>
      </c>
      <c r="K1764" s="1">
        <v>45889</v>
      </c>
      <c r="L1764" s="1">
        <v>45907</v>
      </c>
      <c r="M1764" s="1" t="str">
        <f>TEXT(Table1[[#This Row],[appointment_date]],"MM/YYYY")</f>
        <v>09/2025</v>
      </c>
      <c r="N1764">
        <v>18</v>
      </c>
      <c r="O1764" t="str" cm="1">
        <f t="array" ref="O1764">_xlfn.IFS(Table1[[#This Row],[lead_time_days]]&lt;=7,"0-7 days",N1764&lt;=14,"8-14 days",N1764&lt;=30,"15-30 days",N1764&lt;=60,"31-60 days",TRUE,"61+ days")</f>
        <v>15-30 days</v>
      </c>
      <c r="P1764" t="s">
        <v>31</v>
      </c>
      <c r="Q1764" t="s">
        <v>21</v>
      </c>
      <c r="R1764">
        <v>0</v>
      </c>
      <c r="S1764" t="str">
        <f>IF(Table1[prior_dna_count]&gt;=1,"Has prior DNA history","No prior DNA history")</f>
        <v>No prior DNA history</v>
      </c>
      <c r="T1764" t="s">
        <v>22</v>
      </c>
      <c r="U1764" t="str">
        <f t="shared" si="27"/>
        <v>1</v>
      </c>
      <c r="V1764" t="str">
        <f>IF(Table1[appointment_status]="Attended","1","0")</f>
        <v>1</v>
      </c>
      <c r="W1764" t="str">
        <f>IF(Table1[appointment_status]="Cancelled","1","0")</f>
        <v>0</v>
      </c>
    </row>
    <row r="1765" spans="1:23">
      <c r="A1765" t="s">
        <v>2867</v>
      </c>
      <c r="B1765" t="s">
        <v>2490</v>
      </c>
      <c r="C1765">
        <v>13</v>
      </c>
      <c r="D1765" t="str" cm="1">
        <f t="array" ref="D1765">_xlfn.IFS(Table1[[#This Row],[age]]&lt;=17,"0-17",C1765&lt;=29,"18-29",C1765&lt;=44,"30-44",C1765&lt;=59,"45-59",C1765&lt;=74,"60-74",TRUE,"75+")</f>
        <v>0-17</v>
      </c>
      <c r="E1765" t="s">
        <v>17</v>
      </c>
      <c r="F1765">
        <v>8</v>
      </c>
      <c r="G1765" t="str" cm="1">
        <f t="array" ref="G1765">_xlfn.IFS(_xlfn.SINGLE(Table1[imd_decile])&lt;=3,"Most Deprived",F1765&lt;=7,"Moderately Deprived",F1765&lt;=10,"Least Deprived")</f>
        <v>Least Deprived</v>
      </c>
      <c r="H1765">
        <v>14.9</v>
      </c>
      <c r="I1765" t="s">
        <v>18</v>
      </c>
      <c r="J1765" t="s">
        <v>26</v>
      </c>
      <c r="K1765" s="1">
        <v>45875</v>
      </c>
      <c r="L1765" s="1">
        <v>45907</v>
      </c>
      <c r="M1765" s="1" t="str">
        <f>TEXT(Table1[[#This Row],[appointment_date]],"MM/YYYY")</f>
        <v>09/2025</v>
      </c>
      <c r="N1765">
        <v>32</v>
      </c>
      <c r="O1765" t="str" cm="1">
        <f t="array" ref="O1765">_xlfn.IFS(Table1[[#This Row],[lead_time_days]]&lt;=7,"0-7 days",N1765&lt;=14,"8-14 days",N1765&lt;=30,"15-30 days",N1765&lt;=60,"31-60 days",TRUE,"61+ days")</f>
        <v>31-60 days</v>
      </c>
      <c r="P1765" t="s">
        <v>31</v>
      </c>
      <c r="Q1765" t="s">
        <v>21</v>
      </c>
      <c r="R1765">
        <v>0</v>
      </c>
      <c r="S1765" t="str">
        <f>IF(Table1[prior_dna_count]&gt;=1,"Has prior DNA history","No prior DNA history")</f>
        <v>No prior DNA history</v>
      </c>
      <c r="T1765" t="s">
        <v>22</v>
      </c>
      <c r="U1765" t="str">
        <f t="shared" si="27"/>
        <v>1</v>
      </c>
      <c r="V1765" t="str">
        <f>IF(Table1[appointment_status]="Attended","1","0")</f>
        <v>1</v>
      </c>
      <c r="W1765" t="str">
        <f>IF(Table1[appointment_status]="Cancelled","1","0")</f>
        <v>0</v>
      </c>
    </row>
    <row r="1766" spans="1:23">
      <c r="A1766" t="s">
        <v>2868</v>
      </c>
      <c r="B1766" t="s">
        <v>861</v>
      </c>
      <c r="C1766">
        <v>87</v>
      </c>
      <c r="D1766" t="str" cm="1">
        <f t="array" ref="D1766">_xlfn.IFS(Table1[[#This Row],[age]]&lt;=17,"0-17",C1766&lt;=29,"18-29",C1766&lt;=44,"30-44",C1766&lt;=59,"45-59",C1766&lt;=74,"60-74",TRUE,"75+")</f>
        <v>75+</v>
      </c>
      <c r="E1766" t="s">
        <v>17</v>
      </c>
      <c r="F1766">
        <v>1</v>
      </c>
      <c r="G1766" t="str" cm="1">
        <f t="array" ref="G1766">_xlfn.IFS(_xlfn.SINGLE(Table1[imd_decile])&lt;=3,"Most Deprived",F1766&lt;=7,"Moderately Deprived",F1766&lt;=10,"Least Deprived")</f>
        <v>Most Deprived</v>
      </c>
      <c r="H1766">
        <v>11.5</v>
      </c>
      <c r="I1766" t="s">
        <v>58</v>
      </c>
      <c r="J1766" t="s">
        <v>19</v>
      </c>
      <c r="K1766" s="1">
        <v>45872</v>
      </c>
      <c r="L1766" s="1">
        <v>45907</v>
      </c>
      <c r="M1766" s="1" t="str">
        <f>TEXT(Table1[[#This Row],[appointment_date]],"MM/YYYY")</f>
        <v>09/2025</v>
      </c>
      <c r="N1766">
        <v>35</v>
      </c>
      <c r="O1766" t="str" cm="1">
        <f t="array" ref="O1766">_xlfn.IFS(Table1[[#This Row],[lead_time_days]]&lt;=7,"0-7 days",N1766&lt;=14,"8-14 days",N1766&lt;=30,"15-30 days",N1766&lt;=60,"31-60 days",TRUE,"61+ days")</f>
        <v>31-60 days</v>
      </c>
      <c r="P1766" t="s">
        <v>31</v>
      </c>
      <c r="Q1766" t="s">
        <v>32</v>
      </c>
      <c r="R1766">
        <v>0</v>
      </c>
      <c r="S1766" t="str">
        <f>IF(Table1[prior_dna_count]&gt;=1,"Has prior DNA history","No prior DNA history")</f>
        <v>No prior DNA history</v>
      </c>
      <c r="T1766" t="s">
        <v>22</v>
      </c>
      <c r="U1766" t="str">
        <f t="shared" si="27"/>
        <v>1</v>
      </c>
      <c r="V1766" t="str">
        <f>IF(Table1[appointment_status]="Attended","1","0")</f>
        <v>1</v>
      </c>
      <c r="W1766" t="str">
        <f>IF(Table1[appointment_status]="Cancelled","1","0")</f>
        <v>0</v>
      </c>
    </row>
    <row r="1767" spans="1:23">
      <c r="A1767" t="s">
        <v>2869</v>
      </c>
      <c r="B1767" t="s">
        <v>1207</v>
      </c>
      <c r="C1767">
        <v>43</v>
      </c>
      <c r="D1767" t="str" cm="1">
        <f t="array" ref="D1767">_xlfn.IFS(Table1[[#This Row],[age]]&lt;=17,"0-17",C1767&lt;=29,"18-29",C1767&lt;=44,"30-44",C1767&lt;=59,"45-59",C1767&lt;=74,"60-74",TRUE,"75+")</f>
        <v>30-44</v>
      </c>
      <c r="E1767" t="s">
        <v>17</v>
      </c>
      <c r="F1767">
        <v>3</v>
      </c>
      <c r="G1767" t="str" cm="1">
        <f t="array" ref="G1767">_xlfn.IFS(_xlfn.SINGLE(Table1[imd_decile])&lt;=3,"Most Deprived",F1767&lt;=7,"Moderately Deprived",F1767&lt;=10,"Least Deprived")</f>
        <v>Most Deprived</v>
      </c>
      <c r="H1767">
        <v>9.6</v>
      </c>
      <c r="I1767" t="s">
        <v>30</v>
      </c>
      <c r="J1767" t="s">
        <v>19</v>
      </c>
      <c r="K1767" s="1">
        <v>45884</v>
      </c>
      <c r="L1767" s="1">
        <v>45907</v>
      </c>
      <c r="M1767" s="1" t="str">
        <f>TEXT(Table1[[#This Row],[appointment_date]],"MM/YYYY")</f>
        <v>09/2025</v>
      </c>
      <c r="N1767">
        <v>23</v>
      </c>
      <c r="O1767" t="str" cm="1">
        <f t="array" ref="O1767">_xlfn.IFS(Table1[[#This Row],[lead_time_days]]&lt;=7,"0-7 days",N1767&lt;=14,"8-14 days",N1767&lt;=30,"15-30 days",N1767&lt;=60,"31-60 days",TRUE,"61+ days")</f>
        <v>15-30 days</v>
      </c>
      <c r="P1767" t="s">
        <v>31</v>
      </c>
      <c r="Q1767" t="s">
        <v>21</v>
      </c>
      <c r="R1767">
        <v>0</v>
      </c>
      <c r="S1767" t="str">
        <f>IF(Table1[prior_dna_count]&gt;=1,"Has prior DNA history","No prior DNA history")</f>
        <v>No prior DNA history</v>
      </c>
      <c r="T1767" t="s">
        <v>22</v>
      </c>
      <c r="U1767" t="str">
        <f t="shared" si="27"/>
        <v>1</v>
      </c>
      <c r="V1767" t="str">
        <f>IF(Table1[appointment_status]="Attended","1","0")</f>
        <v>1</v>
      </c>
      <c r="W1767" t="str">
        <f>IF(Table1[appointment_status]="Cancelled","1","0")</f>
        <v>0</v>
      </c>
    </row>
    <row r="1768" spans="1:23">
      <c r="A1768" t="s">
        <v>2870</v>
      </c>
      <c r="B1768" t="s">
        <v>300</v>
      </c>
      <c r="C1768">
        <v>26</v>
      </c>
      <c r="D1768" t="str" cm="1">
        <f t="array" ref="D1768">_xlfn.IFS(Table1[[#This Row],[age]]&lt;=17,"0-17",C1768&lt;=29,"18-29",C1768&lt;=44,"30-44",C1768&lt;=59,"45-59",C1768&lt;=74,"60-74",TRUE,"75+")</f>
        <v>18-29</v>
      </c>
      <c r="E1768" t="s">
        <v>17</v>
      </c>
      <c r="F1768">
        <v>3</v>
      </c>
      <c r="G1768" t="str" cm="1">
        <f t="array" ref="G1768">_xlfn.IFS(_xlfn.SINGLE(Table1[imd_decile])&lt;=3,"Most Deprived",F1768&lt;=7,"Moderately Deprived",F1768&lt;=10,"Least Deprived")</f>
        <v>Most Deprived</v>
      </c>
      <c r="H1768">
        <v>11.1</v>
      </c>
      <c r="I1768" t="s">
        <v>58</v>
      </c>
      <c r="J1768" t="s">
        <v>19</v>
      </c>
      <c r="K1768" s="1">
        <v>45892</v>
      </c>
      <c r="L1768" s="1">
        <v>45907</v>
      </c>
      <c r="M1768" s="1" t="str">
        <f>TEXT(Table1[[#This Row],[appointment_date]],"MM/YYYY")</f>
        <v>09/2025</v>
      </c>
      <c r="N1768">
        <v>15</v>
      </c>
      <c r="O1768" t="str" cm="1">
        <f t="array" ref="O1768">_xlfn.IFS(Table1[[#This Row],[lead_time_days]]&lt;=7,"0-7 days",N1768&lt;=14,"8-14 days",N1768&lt;=30,"15-30 days",N1768&lt;=60,"31-60 days",TRUE,"61+ days")</f>
        <v>15-30 days</v>
      </c>
      <c r="P1768" t="s">
        <v>31</v>
      </c>
      <c r="Q1768" t="s">
        <v>21</v>
      </c>
      <c r="R1768">
        <v>0</v>
      </c>
      <c r="S1768" t="str">
        <f>IF(Table1[prior_dna_count]&gt;=1,"Has prior DNA history","No prior DNA history")</f>
        <v>No prior DNA history</v>
      </c>
      <c r="T1768" t="s">
        <v>22</v>
      </c>
      <c r="U1768" t="str">
        <f t="shared" si="27"/>
        <v>1</v>
      </c>
      <c r="V1768" t="str">
        <f>IF(Table1[appointment_status]="Attended","1","0")</f>
        <v>1</v>
      </c>
      <c r="W1768" t="str">
        <f>IF(Table1[appointment_status]="Cancelled","1","0")</f>
        <v>0</v>
      </c>
    </row>
    <row r="1769" spans="1:23">
      <c r="A1769" t="s">
        <v>2871</v>
      </c>
      <c r="B1769" t="s">
        <v>294</v>
      </c>
      <c r="C1769">
        <v>83</v>
      </c>
      <c r="D1769" t="str" cm="1">
        <f t="array" ref="D1769">_xlfn.IFS(Table1[[#This Row],[age]]&lt;=17,"0-17",C1769&lt;=29,"18-29",C1769&lt;=44,"30-44",C1769&lt;=59,"45-59",C1769&lt;=74,"60-74",TRUE,"75+")</f>
        <v>75+</v>
      </c>
      <c r="E1769" t="s">
        <v>17</v>
      </c>
      <c r="F1769">
        <v>4</v>
      </c>
      <c r="G1769" t="str" cm="1">
        <f t="array" ref="G1769">_xlfn.IFS(_xlfn.SINGLE(Table1[imd_decile])&lt;=3,"Most Deprived",F1769&lt;=7,"Moderately Deprived",F1769&lt;=10,"Least Deprived")</f>
        <v>Moderately Deprived</v>
      </c>
      <c r="H1769">
        <v>7</v>
      </c>
      <c r="I1769" t="s">
        <v>58</v>
      </c>
      <c r="J1769" t="s">
        <v>19</v>
      </c>
      <c r="K1769" s="1">
        <v>45792</v>
      </c>
      <c r="L1769" s="1">
        <v>45907</v>
      </c>
      <c r="M1769" s="1" t="str">
        <f>TEXT(Table1[[#This Row],[appointment_date]],"MM/YYYY")</f>
        <v>09/2025</v>
      </c>
      <c r="N1769">
        <v>115</v>
      </c>
      <c r="O1769" t="str" cm="1">
        <f t="array" ref="O1769">_xlfn.IFS(Table1[[#This Row],[lead_time_days]]&lt;=7,"0-7 days",N1769&lt;=14,"8-14 days",N1769&lt;=30,"15-30 days",N1769&lt;=60,"31-60 days",TRUE,"61+ days")</f>
        <v>61+ days</v>
      </c>
      <c r="P1769" t="s">
        <v>31</v>
      </c>
      <c r="Q1769" t="s">
        <v>32</v>
      </c>
      <c r="R1769">
        <v>0</v>
      </c>
      <c r="S1769" t="str">
        <f>IF(Table1[prior_dna_count]&gt;=1,"Has prior DNA history","No prior DNA history")</f>
        <v>No prior DNA history</v>
      </c>
      <c r="T1769" t="s">
        <v>22</v>
      </c>
      <c r="U1769" t="str">
        <f t="shared" si="27"/>
        <v>1</v>
      </c>
      <c r="V1769" t="str">
        <f>IF(Table1[appointment_status]="Attended","1","0")</f>
        <v>1</v>
      </c>
      <c r="W1769" t="str">
        <f>IF(Table1[appointment_status]="Cancelled","1","0")</f>
        <v>0</v>
      </c>
    </row>
    <row r="1770" spans="1:23">
      <c r="A1770" t="s">
        <v>2872</v>
      </c>
      <c r="B1770" t="s">
        <v>286</v>
      </c>
      <c r="C1770">
        <v>46</v>
      </c>
      <c r="D1770" t="str" cm="1">
        <f t="array" ref="D1770">_xlfn.IFS(Table1[[#This Row],[age]]&lt;=17,"0-17",C1770&lt;=29,"18-29",C1770&lt;=44,"30-44",C1770&lt;=59,"45-59",C1770&lt;=74,"60-74",TRUE,"75+")</f>
        <v>45-59</v>
      </c>
      <c r="E1770" t="s">
        <v>17</v>
      </c>
      <c r="F1770">
        <v>7</v>
      </c>
      <c r="G1770" t="str" cm="1">
        <f t="array" ref="G1770">_xlfn.IFS(_xlfn.SINGLE(Table1[imd_decile])&lt;=3,"Most Deprived",F1770&lt;=7,"Moderately Deprived",F1770&lt;=10,"Least Deprived")</f>
        <v>Moderately Deprived</v>
      </c>
      <c r="H1770">
        <v>10.4</v>
      </c>
      <c r="I1770" t="s">
        <v>42</v>
      </c>
      <c r="J1770" t="s">
        <v>26</v>
      </c>
      <c r="K1770" s="1">
        <v>45889</v>
      </c>
      <c r="L1770" s="1">
        <v>45908</v>
      </c>
      <c r="M1770" s="1" t="str">
        <f>TEXT(Table1[[#This Row],[appointment_date]],"MM/YYYY")</f>
        <v>09/2025</v>
      </c>
      <c r="N1770">
        <v>19</v>
      </c>
      <c r="O1770" t="str" cm="1">
        <f t="array" ref="O1770">_xlfn.IFS(Table1[[#This Row],[lead_time_days]]&lt;=7,"0-7 days",N1770&lt;=14,"8-14 days",N1770&lt;=30,"15-30 days",N1770&lt;=60,"31-60 days",TRUE,"61+ days")</f>
        <v>15-30 days</v>
      </c>
      <c r="P1770" t="s">
        <v>35</v>
      </c>
      <c r="Q1770" t="s">
        <v>21</v>
      </c>
      <c r="R1770">
        <v>0</v>
      </c>
      <c r="S1770" t="str">
        <f>IF(Table1[prior_dna_count]&gt;=1,"Has prior DNA history","No prior DNA history")</f>
        <v>No prior DNA history</v>
      </c>
      <c r="T1770" t="s">
        <v>22</v>
      </c>
      <c r="U1770" t="str">
        <f t="shared" si="27"/>
        <v>1</v>
      </c>
      <c r="V1770" t="str">
        <f>IF(Table1[appointment_status]="Attended","1","0")</f>
        <v>1</v>
      </c>
      <c r="W1770" t="str">
        <f>IF(Table1[appointment_status]="Cancelled","1","0")</f>
        <v>0</v>
      </c>
    </row>
    <row r="1771" spans="1:23">
      <c r="A1771" t="s">
        <v>2873</v>
      </c>
      <c r="B1771" t="s">
        <v>1965</v>
      </c>
      <c r="C1771">
        <v>26</v>
      </c>
      <c r="D1771" t="str" cm="1">
        <f t="array" ref="D1771">_xlfn.IFS(Table1[[#This Row],[age]]&lt;=17,"0-17",C1771&lt;=29,"18-29",C1771&lt;=44,"30-44",C1771&lt;=59,"45-59",C1771&lt;=74,"60-74",TRUE,"75+")</f>
        <v>18-29</v>
      </c>
      <c r="E1771" t="s">
        <v>17</v>
      </c>
      <c r="F1771">
        <v>9</v>
      </c>
      <c r="G1771" t="str" cm="1">
        <f t="array" ref="G1771">_xlfn.IFS(_xlfn.SINGLE(Table1[imd_decile])&lt;=3,"Most Deprived",F1771&lt;=7,"Moderately Deprived",F1771&lt;=10,"Least Deprived")</f>
        <v>Least Deprived</v>
      </c>
      <c r="H1771">
        <v>4.5999999999999996</v>
      </c>
      <c r="I1771" t="s">
        <v>91</v>
      </c>
      <c r="J1771" t="s">
        <v>19</v>
      </c>
      <c r="K1771" s="1">
        <v>45844</v>
      </c>
      <c r="L1771" s="1">
        <v>45908</v>
      </c>
      <c r="M1771" s="1" t="str">
        <f>TEXT(Table1[[#This Row],[appointment_date]],"MM/YYYY")</f>
        <v>09/2025</v>
      </c>
      <c r="N1771">
        <v>64</v>
      </c>
      <c r="O1771" t="str" cm="1">
        <f t="array" ref="O1771">_xlfn.IFS(Table1[[#This Row],[lead_time_days]]&lt;=7,"0-7 days",N1771&lt;=14,"8-14 days",N1771&lt;=30,"15-30 days",N1771&lt;=60,"31-60 days",TRUE,"61+ days")</f>
        <v>61+ days</v>
      </c>
      <c r="P1771" t="s">
        <v>35</v>
      </c>
      <c r="Q1771" t="s">
        <v>21</v>
      </c>
      <c r="R1771">
        <v>0</v>
      </c>
      <c r="S1771" t="str">
        <f>IF(Table1[prior_dna_count]&gt;=1,"Has prior DNA history","No prior DNA history")</f>
        <v>No prior DNA history</v>
      </c>
      <c r="T1771" t="s">
        <v>22</v>
      </c>
      <c r="U1771" t="str">
        <f t="shared" si="27"/>
        <v>1</v>
      </c>
      <c r="V1771" t="str">
        <f>IF(Table1[appointment_status]="Attended","1","0")</f>
        <v>1</v>
      </c>
      <c r="W1771" t="str">
        <f>IF(Table1[appointment_status]="Cancelled","1","0")</f>
        <v>0</v>
      </c>
    </row>
    <row r="1772" spans="1:23">
      <c r="A1772" t="s">
        <v>2874</v>
      </c>
      <c r="B1772" t="s">
        <v>607</v>
      </c>
      <c r="C1772">
        <v>58</v>
      </c>
      <c r="D1772" t="str" cm="1">
        <f t="array" ref="D1772">_xlfn.IFS(Table1[[#This Row],[age]]&lt;=17,"0-17",C1772&lt;=29,"18-29",C1772&lt;=44,"30-44",C1772&lt;=59,"45-59",C1772&lt;=74,"60-74",TRUE,"75+")</f>
        <v>45-59</v>
      </c>
      <c r="E1772" t="s">
        <v>29</v>
      </c>
      <c r="F1772">
        <v>1</v>
      </c>
      <c r="G1772" t="str" cm="1">
        <f t="array" ref="G1772">_xlfn.IFS(_xlfn.SINGLE(Table1[imd_decile])&lt;=3,"Most Deprived",F1772&lt;=7,"Moderately Deprived",F1772&lt;=10,"Least Deprived")</f>
        <v>Most Deprived</v>
      </c>
      <c r="H1772">
        <v>17.399999999999999</v>
      </c>
      <c r="I1772" t="s">
        <v>155</v>
      </c>
      <c r="J1772" t="s">
        <v>26</v>
      </c>
      <c r="K1772" s="1">
        <v>45900</v>
      </c>
      <c r="L1772" s="1">
        <v>45908</v>
      </c>
      <c r="M1772" s="1" t="str">
        <f>TEXT(Table1[[#This Row],[appointment_date]],"MM/YYYY")</f>
        <v>09/2025</v>
      </c>
      <c r="N1772">
        <v>8</v>
      </c>
      <c r="O1772" t="str" cm="1">
        <f t="array" ref="O1772">_xlfn.IFS(Table1[[#This Row],[lead_time_days]]&lt;=7,"0-7 days",N1772&lt;=14,"8-14 days",N1772&lt;=30,"15-30 days",N1772&lt;=60,"31-60 days",TRUE,"61+ days")</f>
        <v>8-14 days</v>
      </c>
      <c r="P1772" t="s">
        <v>35</v>
      </c>
      <c r="Q1772" t="s">
        <v>21</v>
      </c>
      <c r="R1772">
        <v>0</v>
      </c>
      <c r="S1772" t="str">
        <f>IF(Table1[prior_dna_count]&gt;=1,"Has prior DNA history","No prior DNA history")</f>
        <v>No prior DNA history</v>
      </c>
      <c r="T1772" t="s">
        <v>22</v>
      </c>
      <c r="U1772" t="str">
        <f t="shared" si="27"/>
        <v>1</v>
      </c>
      <c r="V1772" t="str">
        <f>IF(Table1[appointment_status]="Attended","1","0")</f>
        <v>1</v>
      </c>
      <c r="W1772" t="str">
        <f>IF(Table1[appointment_status]="Cancelled","1","0")</f>
        <v>0</v>
      </c>
    </row>
    <row r="1773" spans="1:23">
      <c r="A1773" t="s">
        <v>2875</v>
      </c>
      <c r="B1773" t="s">
        <v>2066</v>
      </c>
      <c r="C1773">
        <v>17</v>
      </c>
      <c r="D1773" t="str" cm="1">
        <f t="array" ref="D1773">_xlfn.IFS(Table1[[#This Row],[age]]&lt;=17,"0-17",C1773&lt;=29,"18-29",C1773&lt;=44,"30-44",C1773&lt;=59,"45-59",C1773&lt;=74,"60-74",TRUE,"75+")</f>
        <v>0-17</v>
      </c>
      <c r="E1773" t="s">
        <v>17</v>
      </c>
      <c r="F1773">
        <v>8</v>
      </c>
      <c r="G1773" t="str" cm="1">
        <f t="array" ref="G1773">_xlfn.IFS(_xlfn.SINGLE(Table1[imd_decile])&lt;=3,"Most Deprived",F1773&lt;=7,"Moderately Deprived",F1773&lt;=10,"Least Deprived")</f>
        <v>Least Deprived</v>
      </c>
      <c r="H1773">
        <v>3.3</v>
      </c>
      <c r="I1773" t="s">
        <v>38</v>
      </c>
      <c r="J1773" t="s">
        <v>19</v>
      </c>
      <c r="K1773" s="1">
        <v>45892</v>
      </c>
      <c r="L1773" s="1">
        <v>45908</v>
      </c>
      <c r="M1773" s="1" t="str">
        <f>TEXT(Table1[[#This Row],[appointment_date]],"MM/YYYY")</f>
        <v>09/2025</v>
      </c>
      <c r="N1773">
        <v>16</v>
      </c>
      <c r="O1773" t="str" cm="1">
        <f t="array" ref="O1773">_xlfn.IFS(Table1[[#This Row],[lead_time_days]]&lt;=7,"0-7 days",N1773&lt;=14,"8-14 days",N1773&lt;=30,"15-30 days",N1773&lt;=60,"31-60 days",TRUE,"61+ days")</f>
        <v>15-30 days</v>
      </c>
      <c r="P1773" t="s">
        <v>35</v>
      </c>
      <c r="Q1773" t="s">
        <v>21</v>
      </c>
      <c r="R1773">
        <v>0</v>
      </c>
      <c r="S1773" t="str">
        <f>IF(Table1[prior_dna_count]&gt;=1,"Has prior DNA history","No prior DNA history")</f>
        <v>No prior DNA history</v>
      </c>
      <c r="T1773" t="s">
        <v>22</v>
      </c>
      <c r="U1773" t="str">
        <f t="shared" si="27"/>
        <v>1</v>
      </c>
      <c r="V1773" t="str">
        <f>IF(Table1[appointment_status]="Attended","1","0")</f>
        <v>1</v>
      </c>
      <c r="W1773" t="str">
        <f>IF(Table1[appointment_status]="Cancelled","1","0")</f>
        <v>0</v>
      </c>
    </row>
    <row r="1774" spans="1:23">
      <c r="A1774" t="s">
        <v>2876</v>
      </c>
      <c r="B1774" t="s">
        <v>2877</v>
      </c>
      <c r="C1774">
        <v>21</v>
      </c>
      <c r="D1774" t="str" cm="1">
        <f t="array" ref="D1774">_xlfn.IFS(Table1[[#This Row],[age]]&lt;=17,"0-17",C1774&lt;=29,"18-29",C1774&lt;=44,"30-44",C1774&lt;=59,"45-59",C1774&lt;=74,"60-74",TRUE,"75+")</f>
        <v>18-29</v>
      </c>
      <c r="E1774" t="s">
        <v>29</v>
      </c>
      <c r="F1774">
        <v>5</v>
      </c>
      <c r="G1774" t="str" cm="1">
        <f t="array" ref="G1774">_xlfn.IFS(_xlfn.SINGLE(Table1[imd_decile])&lt;=3,"Most Deprived",F1774&lt;=7,"Moderately Deprived",F1774&lt;=10,"Least Deprived")</f>
        <v>Moderately Deprived</v>
      </c>
      <c r="H1774">
        <v>5.4</v>
      </c>
      <c r="I1774" t="s">
        <v>25</v>
      </c>
      <c r="J1774" t="s">
        <v>19</v>
      </c>
      <c r="K1774" s="1">
        <v>45895</v>
      </c>
      <c r="L1774" s="1">
        <v>45908</v>
      </c>
      <c r="M1774" s="1" t="str">
        <f>TEXT(Table1[[#This Row],[appointment_date]],"MM/YYYY")</f>
        <v>09/2025</v>
      </c>
      <c r="N1774">
        <v>13</v>
      </c>
      <c r="O1774" t="str" cm="1">
        <f t="array" ref="O1774">_xlfn.IFS(Table1[[#This Row],[lead_time_days]]&lt;=7,"0-7 days",N1774&lt;=14,"8-14 days",N1774&lt;=30,"15-30 days",N1774&lt;=60,"31-60 days",TRUE,"61+ days")</f>
        <v>8-14 days</v>
      </c>
      <c r="P1774" t="s">
        <v>35</v>
      </c>
      <c r="Q1774" t="s">
        <v>21</v>
      </c>
      <c r="R1774">
        <v>0</v>
      </c>
      <c r="S1774" t="str">
        <f>IF(Table1[prior_dna_count]&gt;=1,"Has prior DNA history","No prior DNA history")</f>
        <v>No prior DNA history</v>
      </c>
      <c r="T1774" t="s">
        <v>22</v>
      </c>
      <c r="U1774" t="str">
        <f t="shared" si="27"/>
        <v>1</v>
      </c>
      <c r="V1774" t="str">
        <f>IF(Table1[appointment_status]="Attended","1","0")</f>
        <v>1</v>
      </c>
      <c r="W1774" t="str">
        <f>IF(Table1[appointment_status]="Cancelled","1","0")</f>
        <v>0</v>
      </c>
    </row>
    <row r="1775" spans="1:23">
      <c r="A1775" t="s">
        <v>2878</v>
      </c>
      <c r="B1775" t="s">
        <v>999</v>
      </c>
      <c r="C1775">
        <v>58</v>
      </c>
      <c r="D1775" t="str" cm="1">
        <f t="array" ref="D1775">_xlfn.IFS(Table1[[#This Row],[age]]&lt;=17,"0-17",C1775&lt;=29,"18-29",C1775&lt;=44,"30-44",C1775&lt;=59,"45-59",C1775&lt;=74,"60-74",TRUE,"75+")</f>
        <v>45-59</v>
      </c>
      <c r="E1775" t="s">
        <v>17</v>
      </c>
      <c r="F1775">
        <v>6</v>
      </c>
      <c r="G1775" t="str" cm="1">
        <f t="array" ref="G1775">_xlfn.IFS(_xlfn.SINGLE(Table1[imd_decile])&lt;=3,"Most Deprived",F1775&lt;=7,"Moderately Deprived",F1775&lt;=10,"Least Deprived")</f>
        <v>Moderately Deprived</v>
      </c>
      <c r="H1775">
        <v>9.1999999999999993</v>
      </c>
      <c r="I1775" t="s">
        <v>45</v>
      </c>
      <c r="J1775" t="s">
        <v>19</v>
      </c>
      <c r="K1775" s="1">
        <v>45887</v>
      </c>
      <c r="L1775" s="1">
        <v>45908</v>
      </c>
      <c r="M1775" s="1" t="str">
        <f>TEXT(Table1[[#This Row],[appointment_date]],"MM/YYYY")</f>
        <v>09/2025</v>
      </c>
      <c r="N1775">
        <v>21</v>
      </c>
      <c r="O1775" t="str" cm="1">
        <f t="array" ref="O1775">_xlfn.IFS(Table1[[#This Row],[lead_time_days]]&lt;=7,"0-7 days",N1775&lt;=14,"8-14 days",N1775&lt;=30,"15-30 days",N1775&lt;=60,"31-60 days",TRUE,"61+ days")</f>
        <v>15-30 days</v>
      </c>
      <c r="P1775" t="s">
        <v>35</v>
      </c>
      <c r="Q1775" t="s">
        <v>21</v>
      </c>
      <c r="R1775">
        <v>0</v>
      </c>
      <c r="S1775" t="str">
        <f>IF(Table1[prior_dna_count]&gt;=1,"Has prior DNA history","No prior DNA history")</f>
        <v>No prior DNA history</v>
      </c>
      <c r="T1775" t="s">
        <v>22</v>
      </c>
      <c r="U1775" t="str">
        <f t="shared" si="27"/>
        <v>1</v>
      </c>
      <c r="V1775" t="str">
        <f>IF(Table1[appointment_status]="Attended","1","0")</f>
        <v>1</v>
      </c>
      <c r="W1775" t="str">
        <f>IF(Table1[appointment_status]="Cancelled","1","0")</f>
        <v>0</v>
      </c>
    </row>
    <row r="1776" spans="1:23">
      <c r="A1776" t="s">
        <v>2879</v>
      </c>
      <c r="B1776" t="s">
        <v>1691</v>
      </c>
      <c r="C1776">
        <v>73</v>
      </c>
      <c r="D1776" t="str" cm="1">
        <f t="array" ref="D1776">_xlfn.IFS(Table1[[#This Row],[age]]&lt;=17,"0-17",C1776&lt;=29,"18-29",C1776&lt;=44,"30-44",C1776&lt;=59,"45-59",C1776&lt;=74,"60-74",TRUE,"75+")</f>
        <v>60-74</v>
      </c>
      <c r="E1776" t="s">
        <v>17</v>
      </c>
      <c r="F1776">
        <v>3</v>
      </c>
      <c r="G1776" t="str" cm="1">
        <f t="array" ref="G1776">_xlfn.IFS(_xlfn.SINGLE(Table1[imd_decile])&lt;=3,"Most Deprived",F1776&lt;=7,"Moderately Deprived",F1776&lt;=10,"Least Deprived")</f>
        <v>Most Deprived</v>
      </c>
      <c r="H1776">
        <v>7.4</v>
      </c>
      <c r="I1776" t="s">
        <v>49</v>
      </c>
      <c r="J1776" t="s">
        <v>26</v>
      </c>
      <c r="K1776" s="1">
        <v>45868</v>
      </c>
      <c r="L1776" s="1">
        <v>45908</v>
      </c>
      <c r="M1776" s="1" t="str">
        <f>TEXT(Table1[[#This Row],[appointment_date]],"MM/YYYY")</f>
        <v>09/2025</v>
      </c>
      <c r="N1776">
        <v>40</v>
      </c>
      <c r="O1776" t="str" cm="1">
        <f t="array" ref="O1776">_xlfn.IFS(Table1[[#This Row],[lead_time_days]]&lt;=7,"0-7 days",N1776&lt;=14,"8-14 days",N1776&lt;=30,"15-30 days",N1776&lt;=60,"31-60 days",TRUE,"61+ days")</f>
        <v>31-60 days</v>
      </c>
      <c r="P1776" t="s">
        <v>35</v>
      </c>
      <c r="Q1776" t="s">
        <v>32</v>
      </c>
      <c r="R1776">
        <v>0</v>
      </c>
      <c r="S1776" t="str">
        <f>IF(Table1[prior_dna_count]&gt;=1,"Has prior DNA history","No prior DNA history")</f>
        <v>No prior DNA history</v>
      </c>
      <c r="T1776" t="s">
        <v>39</v>
      </c>
      <c r="U1776" t="str">
        <f t="shared" si="27"/>
        <v>1</v>
      </c>
      <c r="V1776" t="str">
        <f>IF(Table1[appointment_status]="Attended","1","0")</f>
        <v>0</v>
      </c>
      <c r="W1776" t="str">
        <f>IF(Table1[appointment_status]="Cancelled","1","0")</f>
        <v>0</v>
      </c>
    </row>
    <row r="1777" spans="1:23">
      <c r="A1777" t="s">
        <v>2880</v>
      </c>
      <c r="B1777" t="s">
        <v>2881</v>
      </c>
      <c r="C1777">
        <v>45</v>
      </c>
      <c r="D1777" t="str" cm="1">
        <f t="array" ref="D1777">_xlfn.IFS(Table1[[#This Row],[age]]&lt;=17,"0-17",C1777&lt;=29,"18-29",C1777&lt;=44,"30-44",C1777&lt;=59,"45-59",C1777&lt;=74,"60-74",TRUE,"75+")</f>
        <v>45-59</v>
      </c>
      <c r="E1777" t="s">
        <v>17</v>
      </c>
      <c r="F1777">
        <v>1</v>
      </c>
      <c r="G1777" t="str" cm="1">
        <f t="array" ref="G1777">_xlfn.IFS(_xlfn.SINGLE(Table1[imd_decile])&lt;=3,"Most Deprived",F1777&lt;=7,"Moderately Deprived",F1777&lt;=10,"Least Deprived")</f>
        <v>Most Deprived</v>
      </c>
      <c r="H1777">
        <v>2.5</v>
      </c>
      <c r="I1777" t="s">
        <v>42</v>
      </c>
      <c r="J1777" t="s">
        <v>19</v>
      </c>
      <c r="K1777" s="1">
        <v>45883</v>
      </c>
      <c r="L1777" s="1">
        <v>45908</v>
      </c>
      <c r="M1777" s="1" t="str">
        <f>TEXT(Table1[[#This Row],[appointment_date]],"MM/YYYY")</f>
        <v>09/2025</v>
      </c>
      <c r="N1777">
        <v>25</v>
      </c>
      <c r="O1777" t="str" cm="1">
        <f t="array" ref="O1777">_xlfn.IFS(Table1[[#This Row],[lead_time_days]]&lt;=7,"0-7 days",N1777&lt;=14,"8-14 days",N1777&lt;=30,"15-30 days",N1777&lt;=60,"31-60 days",TRUE,"61+ days")</f>
        <v>15-30 days</v>
      </c>
      <c r="P1777" t="s">
        <v>35</v>
      </c>
      <c r="Q1777" t="s">
        <v>32</v>
      </c>
      <c r="R1777">
        <v>0</v>
      </c>
      <c r="S1777" t="str">
        <f>IF(Table1[prior_dna_count]&gt;=1,"Has prior DNA history","No prior DNA history")</f>
        <v>No prior DNA history</v>
      </c>
      <c r="T1777" t="s">
        <v>39</v>
      </c>
      <c r="U1777" t="str">
        <f t="shared" si="27"/>
        <v>0</v>
      </c>
      <c r="V1777" t="str">
        <f>IF(Table1[appointment_status]="Attended","1","0")</f>
        <v>0</v>
      </c>
      <c r="W1777" t="str">
        <f>IF(Table1[appointment_status]="Cancelled","1","0")</f>
        <v>0</v>
      </c>
    </row>
    <row r="1778" spans="1:23">
      <c r="A1778" t="s">
        <v>2882</v>
      </c>
      <c r="B1778" t="s">
        <v>1585</v>
      </c>
      <c r="C1778">
        <v>23</v>
      </c>
      <c r="D1778" t="str" cm="1">
        <f t="array" ref="D1778">_xlfn.IFS(Table1[[#This Row],[age]]&lt;=17,"0-17",C1778&lt;=29,"18-29",C1778&lt;=44,"30-44",C1778&lt;=59,"45-59",C1778&lt;=74,"60-74",TRUE,"75+")</f>
        <v>18-29</v>
      </c>
      <c r="E1778" t="s">
        <v>17</v>
      </c>
      <c r="F1778">
        <v>8</v>
      </c>
      <c r="G1778" t="str" cm="1">
        <f t="array" ref="G1778">_xlfn.IFS(_xlfn.SINGLE(Table1[imd_decile])&lt;=3,"Most Deprived",F1778&lt;=7,"Moderately Deprived",F1778&lt;=10,"Least Deprived")</f>
        <v>Least Deprived</v>
      </c>
      <c r="H1778">
        <v>6</v>
      </c>
      <c r="I1778" t="s">
        <v>42</v>
      </c>
      <c r="J1778" t="s">
        <v>19</v>
      </c>
      <c r="K1778" s="1">
        <v>45859</v>
      </c>
      <c r="L1778" s="1">
        <v>45908</v>
      </c>
      <c r="M1778" s="1" t="str">
        <f>TEXT(Table1[[#This Row],[appointment_date]],"MM/YYYY")</f>
        <v>09/2025</v>
      </c>
      <c r="N1778">
        <v>49</v>
      </c>
      <c r="O1778" t="str" cm="1">
        <f t="array" ref="O1778">_xlfn.IFS(Table1[[#This Row],[lead_time_days]]&lt;=7,"0-7 days",N1778&lt;=14,"8-14 days",N1778&lt;=30,"15-30 days",N1778&lt;=60,"31-60 days",TRUE,"61+ days")</f>
        <v>31-60 days</v>
      </c>
      <c r="P1778" t="s">
        <v>35</v>
      </c>
      <c r="Q1778" t="s">
        <v>32</v>
      </c>
      <c r="R1778">
        <v>1</v>
      </c>
      <c r="S1778" t="str">
        <f>IF(Table1[prior_dna_count]&gt;=1,"Has prior DNA history","No prior DNA history")</f>
        <v>Has prior DNA history</v>
      </c>
      <c r="T1778" t="s">
        <v>39</v>
      </c>
      <c r="U1778" t="str">
        <f t="shared" si="27"/>
        <v>0</v>
      </c>
      <c r="V1778" t="str">
        <f>IF(Table1[appointment_status]="Attended","1","0")</f>
        <v>0</v>
      </c>
      <c r="W1778" t="str">
        <f>IF(Table1[appointment_status]="Cancelled","1","0")</f>
        <v>0</v>
      </c>
    </row>
    <row r="1779" spans="1:23">
      <c r="A1779" t="s">
        <v>2883</v>
      </c>
      <c r="B1779" t="s">
        <v>2884</v>
      </c>
      <c r="C1779">
        <v>75</v>
      </c>
      <c r="D1779" t="str" cm="1">
        <f t="array" ref="D1779">_xlfn.IFS(Table1[[#This Row],[age]]&lt;=17,"0-17",C1779&lt;=29,"18-29",C1779&lt;=44,"30-44",C1779&lt;=59,"45-59",C1779&lt;=74,"60-74",TRUE,"75+")</f>
        <v>75+</v>
      </c>
      <c r="E1779" t="s">
        <v>17</v>
      </c>
      <c r="F1779">
        <v>9</v>
      </c>
      <c r="G1779" t="str" cm="1">
        <f t="array" ref="G1779">_xlfn.IFS(_xlfn.SINGLE(Table1[imd_decile])&lt;=3,"Most Deprived",F1779&lt;=7,"Moderately Deprived",F1779&lt;=10,"Least Deprived")</f>
        <v>Least Deprived</v>
      </c>
      <c r="H1779">
        <v>4.7</v>
      </c>
      <c r="I1779" t="s">
        <v>42</v>
      </c>
      <c r="J1779" t="s">
        <v>26</v>
      </c>
      <c r="K1779" s="1">
        <v>45895</v>
      </c>
      <c r="L1779" s="1">
        <v>45909</v>
      </c>
      <c r="M1779" s="1" t="str">
        <f>TEXT(Table1[[#This Row],[appointment_date]],"MM/YYYY")</f>
        <v>09/2025</v>
      </c>
      <c r="N1779">
        <v>14</v>
      </c>
      <c r="O1779" t="str" cm="1">
        <f t="array" ref="O1779">_xlfn.IFS(Table1[[#This Row],[lead_time_days]]&lt;=7,"0-7 days",N1779&lt;=14,"8-14 days",N1779&lt;=30,"15-30 days",N1779&lt;=60,"31-60 days",TRUE,"61+ days")</f>
        <v>8-14 days</v>
      </c>
      <c r="P1779" t="s">
        <v>71</v>
      </c>
      <c r="Q1779" t="s">
        <v>21</v>
      </c>
      <c r="R1779">
        <v>0</v>
      </c>
      <c r="S1779" t="str">
        <f>IF(Table1[prior_dna_count]&gt;=1,"Has prior DNA history","No prior DNA history")</f>
        <v>No prior DNA history</v>
      </c>
      <c r="T1779" t="s">
        <v>22</v>
      </c>
      <c r="U1779" t="str">
        <f t="shared" si="27"/>
        <v>0</v>
      </c>
      <c r="V1779" t="str">
        <f>IF(Table1[appointment_status]="Attended","1","0")</f>
        <v>1</v>
      </c>
      <c r="W1779" t="str">
        <f>IF(Table1[appointment_status]="Cancelled","1","0")</f>
        <v>0</v>
      </c>
    </row>
    <row r="1780" spans="1:23">
      <c r="A1780" t="s">
        <v>2885</v>
      </c>
      <c r="B1780" t="s">
        <v>171</v>
      </c>
      <c r="C1780">
        <v>14</v>
      </c>
      <c r="D1780" t="str" cm="1">
        <f t="array" ref="D1780">_xlfn.IFS(Table1[[#This Row],[age]]&lt;=17,"0-17",C1780&lt;=29,"18-29",C1780&lt;=44,"30-44",C1780&lt;=59,"45-59",C1780&lt;=74,"60-74",TRUE,"75+")</f>
        <v>0-17</v>
      </c>
      <c r="E1780" t="s">
        <v>29</v>
      </c>
      <c r="F1780">
        <v>4</v>
      </c>
      <c r="G1780" t="str" cm="1">
        <f t="array" ref="G1780">_xlfn.IFS(_xlfn.SINGLE(Table1[imd_decile])&lt;=3,"Most Deprived",F1780&lt;=7,"Moderately Deprived",F1780&lt;=10,"Least Deprived")</f>
        <v>Moderately Deprived</v>
      </c>
      <c r="H1780">
        <v>6.7</v>
      </c>
      <c r="I1780" t="s">
        <v>45</v>
      </c>
      <c r="J1780" t="s">
        <v>19</v>
      </c>
      <c r="K1780" s="1">
        <v>45849</v>
      </c>
      <c r="L1780" s="1">
        <v>45909</v>
      </c>
      <c r="M1780" s="1" t="str">
        <f>TEXT(Table1[[#This Row],[appointment_date]],"MM/YYYY")</f>
        <v>09/2025</v>
      </c>
      <c r="N1780">
        <v>60</v>
      </c>
      <c r="O1780" t="str" cm="1">
        <f t="array" ref="O1780">_xlfn.IFS(Table1[[#This Row],[lead_time_days]]&lt;=7,"0-7 days",N1780&lt;=14,"8-14 days",N1780&lt;=30,"15-30 days",N1780&lt;=60,"31-60 days",TRUE,"61+ days")</f>
        <v>31-60 days</v>
      </c>
      <c r="P1780" t="s">
        <v>71</v>
      </c>
      <c r="Q1780" t="s">
        <v>32</v>
      </c>
      <c r="R1780">
        <v>0</v>
      </c>
      <c r="S1780" t="str">
        <f>IF(Table1[prior_dna_count]&gt;=1,"Has prior DNA history","No prior DNA history")</f>
        <v>No prior DNA history</v>
      </c>
      <c r="T1780" t="s">
        <v>22</v>
      </c>
      <c r="U1780" t="str">
        <f t="shared" si="27"/>
        <v>1</v>
      </c>
      <c r="V1780" t="str">
        <f>IF(Table1[appointment_status]="Attended","1","0")</f>
        <v>1</v>
      </c>
      <c r="W1780" t="str">
        <f>IF(Table1[appointment_status]="Cancelled","1","0")</f>
        <v>0</v>
      </c>
    </row>
    <row r="1781" spans="1:23">
      <c r="A1781" t="s">
        <v>2886</v>
      </c>
      <c r="B1781" t="s">
        <v>502</v>
      </c>
      <c r="C1781">
        <v>34</v>
      </c>
      <c r="D1781" t="str" cm="1">
        <f t="array" ref="D1781">_xlfn.IFS(Table1[[#This Row],[age]]&lt;=17,"0-17",C1781&lt;=29,"18-29",C1781&lt;=44,"30-44",C1781&lt;=59,"45-59",C1781&lt;=74,"60-74",TRUE,"75+")</f>
        <v>30-44</v>
      </c>
      <c r="E1781" t="s">
        <v>29</v>
      </c>
      <c r="F1781">
        <v>1</v>
      </c>
      <c r="G1781" t="str" cm="1">
        <f t="array" ref="G1781">_xlfn.IFS(_xlfn.SINGLE(Table1[imd_decile])&lt;=3,"Most Deprived",F1781&lt;=7,"Moderately Deprived",F1781&lt;=10,"Least Deprived")</f>
        <v>Most Deprived</v>
      </c>
      <c r="H1781">
        <v>19</v>
      </c>
      <c r="I1781" t="s">
        <v>25</v>
      </c>
      <c r="J1781" t="s">
        <v>19</v>
      </c>
      <c r="K1781" s="1">
        <v>45855</v>
      </c>
      <c r="L1781" s="1">
        <v>45909</v>
      </c>
      <c r="M1781" s="1" t="str">
        <f>TEXT(Table1[[#This Row],[appointment_date]],"MM/YYYY")</f>
        <v>09/2025</v>
      </c>
      <c r="N1781">
        <v>54</v>
      </c>
      <c r="O1781" t="str" cm="1">
        <f t="array" ref="O1781">_xlfn.IFS(Table1[[#This Row],[lead_time_days]]&lt;=7,"0-7 days",N1781&lt;=14,"8-14 days",N1781&lt;=30,"15-30 days",N1781&lt;=60,"31-60 days",TRUE,"61+ days")</f>
        <v>31-60 days</v>
      </c>
      <c r="P1781" t="s">
        <v>71</v>
      </c>
      <c r="Q1781" t="s">
        <v>21</v>
      </c>
      <c r="R1781">
        <v>0</v>
      </c>
      <c r="S1781" t="str">
        <f>IF(Table1[prior_dna_count]&gt;=1,"Has prior DNA history","No prior DNA history")</f>
        <v>No prior DNA history</v>
      </c>
      <c r="T1781" t="s">
        <v>22</v>
      </c>
      <c r="U1781" t="str">
        <f t="shared" si="27"/>
        <v>1</v>
      </c>
      <c r="V1781" t="str">
        <f>IF(Table1[appointment_status]="Attended","1","0")</f>
        <v>1</v>
      </c>
      <c r="W1781" t="str">
        <f>IF(Table1[appointment_status]="Cancelled","1","0")</f>
        <v>0</v>
      </c>
    </row>
    <row r="1782" spans="1:23">
      <c r="A1782" t="s">
        <v>2887</v>
      </c>
      <c r="B1782" t="s">
        <v>393</v>
      </c>
      <c r="C1782">
        <v>61</v>
      </c>
      <c r="D1782" t="str" cm="1">
        <f t="array" ref="D1782">_xlfn.IFS(Table1[[#This Row],[age]]&lt;=17,"0-17",C1782&lt;=29,"18-29",C1782&lt;=44,"30-44",C1782&lt;=59,"45-59",C1782&lt;=74,"60-74",TRUE,"75+")</f>
        <v>60-74</v>
      </c>
      <c r="E1782" t="s">
        <v>29</v>
      </c>
      <c r="F1782">
        <v>10</v>
      </c>
      <c r="G1782" t="str" cm="1">
        <f t="array" ref="G1782">_xlfn.IFS(_xlfn.SINGLE(Table1[imd_decile])&lt;=3,"Most Deprived",F1782&lt;=7,"Moderately Deprived",F1782&lt;=10,"Least Deprived")</f>
        <v>Least Deprived</v>
      </c>
      <c r="H1782">
        <v>21.1</v>
      </c>
      <c r="I1782" t="s">
        <v>58</v>
      </c>
      <c r="J1782" t="s">
        <v>26</v>
      </c>
      <c r="K1782" s="1">
        <v>45877</v>
      </c>
      <c r="L1782" s="1">
        <v>45909</v>
      </c>
      <c r="M1782" s="1" t="str">
        <f>TEXT(Table1[[#This Row],[appointment_date]],"MM/YYYY")</f>
        <v>09/2025</v>
      </c>
      <c r="N1782">
        <v>32</v>
      </c>
      <c r="O1782" t="str" cm="1">
        <f t="array" ref="O1782">_xlfn.IFS(Table1[[#This Row],[lead_time_days]]&lt;=7,"0-7 days",N1782&lt;=14,"8-14 days",N1782&lt;=30,"15-30 days",N1782&lt;=60,"31-60 days",TRUE,"61+ days")</f>
        <v>31-60 days</v>
      </c>
      <c r="P1782" t="s">
        <v>71</v>
      </c>
      <c r="Q1782" t="s">
        <v>21</v>
      </c>
      <c r="R1782">
        <v>0</v>
      </c>
      <c r="S1782" t="str">
        <f>IF(Table1[prior_dna_count]&gt;=1,"Has prior DNA history","No prior DNA history")</f>
        <v>No prior DNA history</v>
      </c>
      <c r="T1782" t="s">
        <v>46</v>
      </c>
      <c r="U1782" t="str">
        <f t="shared" si="27"/>
        <v>1</v>
      </c>
      <c r="V1782" t="str">
        <f>IF(Table1[appointment_status]="Attended","1","0")</f>
        <v>0</v>
      </c>
      <c r="W1782" t="str">
        <f>IF(Table1[appointment_status]="Cancelled","1","0")</f>
        <v>1</v>
      </c>
    </row>
    <row r="1783" spans="1:23">
      <c r="A1783" t="s">
        <v>2888</v>
      </c>
      <c r="B1783" t="s">
        <v>2173</v>
      </c>
      <c r="C1783">
        <v>54</v>
      </c>
      <c r="D1783" t="str" cm="1">
        <f t="array" ref="D1783">_xlfn.IFS(Table1[[#This Row],[age]]&lt;=17,"0-17",C1783&lt;=29,"18-29",C1783&lt;=44,"30-44",C1783&lt;=59,"45-59",C1783&lt;=74,"60-74",TRUE,"75+")</f>
        <v>45-59</v>
      </c>
      <c r="E1783" t="s">
        <v>17</v>
      </c>
      <c r="F1783">
        <v>5</v>
      </c>
      <c r="G1783" t="str" cm="1">
        <f t="array" ref="G1783">_xlfn.IFS(_xlfn.SINGLE(Table1[imd_decile])&lt;=3,"Most Deprived",F1783&lt;=7,"Moderately Deprived",F1783&lt;=10,"Least Deprived")</f>
        <v>Moderately Deprived</v>
      </c>
      <c r="H1783">
        <v>8.1</v>
      </c>
      <c r="I1783" t="s">
        <v>38</v>
      </c>
      <c r="J1783" t="s">
        <v>19</v>
      </c>
      <c r="K1783" s="1">
        <v>45895</v>
      </c>
      <c r="L1783" s="1">
        <v>45909</v>
      </c>
      <c r="M1783" s="1" t="str">
        <f>TEXT(Table1[[#This Row],[appointment_date]],"MM/YYYY")</f>
        <v>09/2025</v>
      </c>
      <c r="N1783">
        <v>14</v>
      </c>
      <c r="O1783" t="str" cm="1">
        <f t="array" ref="O1783">_xlfn.IFS(Table1[[#This Row],[lead_time_days]]&lt;=7,"0-7 days",N1783&lt;=14,"8-14 days",N1783&lt;=30,"15-30 days",N1783&lt;=60,"31-60 days",TRUE,"61+ days")</f>
        <v>8-14 days</v>
      </c>
      <c r="P1783" t="s">
        <v>71</v>
      </c>
      <c r="Q1783" t="s">
        <v>32</v>
      </c>
      <c r="R1783">
        <v>0</v>
      </c>
      <c r="S1783" t="str">
        <f>IF(Table1[prior_dna_count]&gt;=1,"Has prior DNA history","No prior DNA history")</f>
        <v>No prior DNA history</v>
      </c>
      <c r="T1783" t="s">
        <v>39</v>
      </c>
      <c r="U1783" t="str">
        <f t="shared" si="27"/>
        <v>0</v>
      </c>
      <c r="V1783" t="str">
        <f>IF(Table1[appointment_status]="Attended","1","0")</f>
        <v>0</v>
      </c>
      <c r="W1783" t="str">
        <f>IF(Table1[appointment_status]="Cancelled","1","0")</f>
        <v>0</v>
      </c>
    </row>
    <row r="1784" spans="1:23">
      <c r="A1784" t="s">
        <v>2889</v>
      </c>
      <c r="B1784" t="s">
        <v>2890</v>
      </c>
      <c r="C1784">
        <v>55</v>
      </c>
      <c r="D1784" t="str" cm="1">
        <f t="array" ref="D1784">_xlfn.IFS(Table1[[#This Row],[age]]&lt;=17,"0-17",C1784&lt;=29,"18-29",C1784&lt;=44,"30-44",C1784&lt;=59,"45-59",C1784&lt;=74,"60-74",TRUE,"75+")</f>
        <v>45-59</v>
      </c>
      <c r="E1784" t="s">
        <v>17</v>
      </c>
      <c r="F1784">
        <v>2</v>
      </c>
      <c r="G1784" t="str" cm="1">
        <f t="array" ref="G1784">_xlfn.IFS(_xlfn.SINGLE(Table1[imd_decile])&lt;=3,"Most Deprived",F1784&lt;=7,"Moderately Deprived",F1784&lt;=10,"Least Deprived")</f>
        <v>Most Deprived</v>
      </c>
      <c r="H1784">
        <v>3.7</v>
      </c>
      <c r="I1784" t="s">
        <v>30</v>
      </c>
      <c r="J1784" t="s">
        <v>19</v>
      </c>
      <c r="K1784" s="1">
        <v>45873</v>
      </c>
      <c r="L1784" s="1">
        <v>45909</v>
      </c>
      <c r="M1784" s="1" t="str">
        <f>TEXT(Table1[[#This Row],[appointment_date]],"MM/YYYY")</f>
        <v>09/2025</v>
      </c>
      <c r="N1784">
        <v>36</v>
      </c>
      <c r="O1784" t="str" cm="1">
        <f t="array" ref="O1784">_xlfn.IFS(Table1[[#This Row],[lead_time_days]]&lt;=7,"0-7 days",N1784&lt;=14,"8-14 days",N1784&lt;=30,"15-30 days",N1784&lt;=60,"31-60 days",TRUE,"61+ days")</f>
        <v>31-60 days</v>
      </c>
      <c r="P1784" t="s">
        <v>71</v>
      </c>
      <c r="Q1784" t="s">
        <v>32</v>
      </c>
      <c r="R1784">
        <v>0</v>
      </c>
      <c r="S1784" t="str">
        <f>IF(Table1[prior_dna_count]&gt;=1,"Has prior DNA history","No prior DNA history")</f>
        <v>No prior DNA history</v>
      </c>
      <c r="T1784" t="s">
        <v>46</v>
      </c>
      <c r="U1784" t="str">
        <f t="shared" si="27"/>
        <v>0</v>
      </c>
      <c r="V1784" t="str">
        <f>IF(Table1[appointment_status]="Attended","1","0")</f>
        <v>0</v>
      </c>
      <c r="W1784" t="str">
        <f>IF(Table1[appointment_status]="Cancelled","1","0")</f>
        <v>1</v>
      </c>
    </row>
    <row r="1785" spans="1:23">
      <c r="A1785" t="s">
        <v>2891</v>
      </c>
      <c r="B1785" t="s">
        <v>2892</v>
      </c>
      <c r="C1785">
        <v>51</v>
      </c>
      <c r="D1785" t="str" cm="1">
        <f t="array" ref="D1785">_xlfn.IFS(Table1[[#This Row],[age]]&lt;=17,"0-17",C1785&lt;=29,"18-29",C1785&lt;=44,"30-44",C1785&lt;=59,"45-59",C1785&lt;=74,"60-74",TRUE,"75+")</f>
        <v>45-59</v>
      </c>
      <c r="E1785" t="s">
        <v>17</v>
      </c>
      <c r="F1785">
        <v>4</v>
      </c>
      <c r="G1785" t="str" cm="1">
        <f t="array" ref="G1785">_xlfn.IFS(_xlfn.SINGLE(Table1[imd_decile])&lt;=3,"Most Deprived",F1785&lt;=7,"Moderately Deprived",F1785&lt;=10,"Least Deprived")</f>
        <v>Moderately Deprived</v>
      </c>
      <c r="H1785">
        <v>3.4</v>
      </c>
      <c r="I1785" t="s">
        <v>91</v>
      </c>
      <c r="J1785" t="s">
        <v>19</v>
      </c>
      <c r="K1785" s="1">
        <v>45880</v>
      </c>
      <c r="L1785" s="1">
        <v>45909</v>
      </c>
      <c r="M1785" s="1" t="str">
        <f>TEXT(Table1[[#This Row],[appointment_date]],"MM/YYYY")</f>
        <v>09/2025</v>
      </c>
      <c r="N1785">
        <v>29</v>
      </c>
      <c r="O1785" t="str" cm="1">
        <f t="array" ref="O1785">_xlfn.IFS(Table1[[#This Row],[lead_time_days]]&lt;=7,"0-7 days",N1785&lt;=14,"8-14 days",N1785&lt;=30,"15-30 days",N1785&lt;=60,"31-60 days",TRUE,"61+ days")</f>
        <v>15-30 days</v>
      </c>
      <c r="P1785" t="s">
        <v>71</v>
      </c>
      <c r="Q1785" t="s">
        <v>21</v>
      </c>
      <c r="R1785">
        <v>0</v>
      </c>
      <c r="S1785" t="str">
        <f>IF(Table1[prior_dna_count]&gt;=1,"Has prior DNA history","No prior DNA history")</f>
        <v>No prior DNA history</v>
      </c>
      <c r="T1785" t="s">
        <v>39</v>
      </c>
      <c r="U1785" t="str">
        <f t="shared" si="27"/>
        <v>0</v>
      </c>
      <c r="V1785" t="str">
        <f>IF(Table1[appointment_status]="Attended","1","0")</f>
        <v>0</v>
      </c>
      <c r="W1785" t="str">
        <f>IF(Table1[appointment_status]="Cancelled","1","0")</f>
        <v>0</v>
      </c>
    </row>
    <row r="1786" spans="1:23">
      <c r="A1786" t="s">
        <v>2893</v>
      </c>
      <c r="B1786" t="s">
        <v>163</v>
      </c>
      <c r="C1786">
        <v>44</v>
      </c>
      <c r="D1786" t="str" cm="1">
        <f t="array" ref="D1786">_xlfn.IFS(Table1[[#This Row],[age]]&lt;=17,"0-17",C1786&lt;=29,"18-29",C1786&lt;=44,"30-44",C1786&lt;=59,"45-59",C1786&lt;=74,"60-74",TRUE,"75+")</f>
        <v>30-44</v>
      </c>
      <c r="E1786" t="s">
        <v>29</v>
      </c>
      <c r="F1786">
        <v>8</v>
      </c>
      <c r="G1786" t="str" cm="1">
        <f t="array" ref="G1786">_xlfn.IFS(_xlfn.SINGLE(Table1[imd_decile])&lt;=3,"Most Deprived",F1786&lt;=7,"Moderately Deprived",F1786&lt;=10,"Least Deprived")</f>
        <v>Least Deprived</v>
      </c>
      <c r="H1786">
        <v>7.4</v>
      </c>
      <c r="I1786" t="s">
        <v>18</v>
      </c>
      <c r="J1786" t="s">
        <v>19</v>
      </c>
      <c r="K1786" s="1">
        <v>45885</v>
      </c>
      <c r="L1786" s="1">
        <v>45909</v>
      </c>
      <c r="M1786" s="1" t="str">
        <f>TEXT(Table1[[#This Row],[appointment_date]],"MM/YYYY")</f>
        <v>09/2025</v>
      </c>
      <c r="N1786">
        <v>24</v>
      </c>
      <c r="O1786" t="str" cm="1">
        <f t="array" ref="O1786">_xlfn.IFS(Table1[[#This Row],[lead_time_days]]&lt;=7,"0-7 days",N1786&lt;=14,"8-14 days",N1786&lt;=30,"15-30 days",N1786&lt;=60,"31-60 days",TRUE,"61+ days")</f>
        <v>15-30 days</v>
      </c>
      <c r="P1786" t="s">
        <v>71</v>
      </c>
      <c r="Q1786" t="s">
        <v>32</v>
      </c>
      <c r="R1786">
        <v>0</v>
      </c>
      <c r="S1786" t="str">
        <f>IF(Table1[prior_dna_count]&gt;=1,"Has prior DNA history","No prior DNA history")</f>
        <v>No prior DNA history</v>
      </c>
      <c r="T1786" t="s">
        <v>22</v>
      </c>
      <c r="U1786" t="str">
        <f t="shared" si="27"/>
        <v>0</v>
      </c>
      <c r="V1786" t="str">
        <f>IF(Table1[appointment_status]="Attended","1","0")</f>
        <v>1</v>
      </c>
      <c r="W1786" t="str">
        <f>IF(Table1[appointment_status]="Cancelled","1","0")</f>
        <v>0</v>
      </c>
    </row>
    <row r="1787" spans="1:23">
      <c r="A1787" t="s">
        <v>2894</v>
      </c>
      <c r="B1787" t="s">
        <v>2857</v>
      </c>
      <c r="C1787">
        <v>65</v>
      </c>
      <c r="D1787" t="str" cm="1">
        <f t="array" ref="D1787">_xlfn.IFS(Table1[[#This Row],[age]]&lt;=17,"0-17",C1787&lt;=29,"18-29",C1787&lt;=44,"30-44",C1787&lt;=59,"45-59",C1787&lt;=74,"60-74",TRUE,"75+")</f>
        <v>60-74</v>
      </c>
      <c r="E1787" t="s">
        <v>17</v>
      </c>
      <c r="F1787">
        <v>9</v>
      </c>
      <c r="G1787" t="str" cm="1">
        <f t="array" ref="G1787">_xlfn.IFS(_xlfn.SINGLE(Table1[imd_decile])&lt;=3,"Most Deprived",F1787&lt;=7,"Moderately Deprived",F1787&lt;=10,"Least Deprived")</f>
        <v>Least Deprived</v>
      </c>
      <c r="H1787">
        <v>2.8</v>
      </c>
      <c r="I1787" t="s">
        <v>18</v>
      </c>
      <c r="J1787" t="s">
        <v>19</v>
      </c>
      <c r="K1787" s="1">
        <v>45812</v>
      </c>
      <c r="L1787" s="1">
        <v>45909</v>
      </c>
      <c r="M1787" s="1" t="str">
        <f>TEXT(Table1[[#This Row],[appointment_date]],"MM/YYYY")</f>
        <v>09/2025</v>
      </c>
      <c r="N1787">
        <v>97</v>
      </c>
      <c r="O1787" t="str" cm="1">
        <f t="array" ref="O1787">_xlfn.IFS(Table1[[#This Row],[lead_time_days]]&lt;=7,"0-7 days",N1787&lt;=14,"8-14 days",N1787&lt;=30,"15-30 days",N1787&lt;=60,"31-60 days",TRUE,"61+ days")</f>
        <v>61+ days</v>
      </c>
      <c r="P1787" t="s">
        <v>71</v>
      </c>
      <c r="Q1787" t="s">
        <v>21</v>
      </c>
      <c r="R1787">
        <v>0</v>
      </c>
      <c r="S1787" t="str">
        <f>IF(Table1[prior_dna_count]&gt;=1,"Has prior DNA history","No prior DNA history")</f>
        <v>No prior DNA history</v>
      </c>
      <c r="T1787" t="s">
        <v>22</v>
      </c>
      <c r="U1787" t="str">
        <f t="shared" si="27"/>
        <v>1</v>
      </c>
      <c r="V1787" t="str">
        <f>IF(Table1[appointment_status]="Attended","1","0")</f>
        <v>1</v>
      </c>
      <c r="W1787" t="str">
        <f>IF(Table1[appointment_status]="Cancelled","1","0")</f>
        <v>0</v>
      </c>
    </row>
    <row r="1788" spans="1:23">
      <c r="A1788" t="s">
        <v>2895</v>
      </c>
      <c r="B1788" t="s">
        <v>2081</v>
      </c>
      <c r="C1788">
        <v>64</v>
      </c>
      <c r="D1788" t="str" cm="1">
        <f t="array" ref="D1788">_xlfn.IFS(Table1[[#This Row],[age]]&lt;=17,"0-17",C1788&lt;=29,"18-29",C1788&lt;=44,"30-44",C1788&lt;=59,"45-59",C1788&lt;=74,"60-74",TRUE,"75+")</f>
        <v>60-74</v>
      </c>
      <c r="E1788" t="s">
        <v>29</v>
      </c>
      <c r="F1788">
        <v>6</v>
      </c>
      <c r="G1788" t="str" cm="1">
        <f t="array" ref="G1788">_xlfn.IFS(_xlfn.SINGLE(Table1[imd_decile])&lt;=3,"Most Deprived",F1788&lt;=7,"Moderately Deprived",F1788&lt;=10,"Least Deprived")</f>
        <v>Moderately Deprived</v>
      </c>
      <c r="H1788">
        <v>7.1</v>
      </c>
      <c r="I1788" t="s">
        <v>58</v>
      </c>
      <c r="J1788" t="s">
        <v>26</v>
      </c>
      <c r="K1788" s="1">
        <v>45895</v>
      </c>
      <c r="L1788" s="1">
        <v>45909</v>
      </c>
      <c r="M1788" s="1" t="str">
        <f>TEXT(Table1[[#This Row],[appointment_date]],"MM/YYYY")</f>
        <v>09/2025</v>
      </c>
      <c r="N1788">
        <v>14</v>
      </c>
      <c r="O1788" t="str" cm="1">
        <f t="array" ref="O1788">_xlfn.IFS(Table1[[#This Row],[lead_time_days]]&lt;=7,"0-7 days",N1788&lt;=14,"8-14 days",N1788&lt;=30,"15-30 days",N1788&lt;=60,"31-60 days",TRUE,"61+ days")</f>
        <v>8-14 days</v>
      </c>
      <c r="P1788" t="s">
        <v>71</v>
      </c>
      <c r="Q1788" t="s">
        <v>21</v>
      </c>
      <c r="R1788">
        <v>0</v>
      </c>
      <c r="S1788" t="str">
        <f>IF(Table1[prior_dna_count]&gt;=1,"Has prior DNA history","No prior DNA history")</f>
        <v>No prior DNA history</v>
      </c>
      <c r="T1788" t="s">
        <v>22</v>
      </c>
      <c r="U1788" t="str">
        <f t="shared" si="27"/>
        <v>1</v>
      </c>
      <c r="V1788" t="str">
        <f>IF(Table1[appointment_status]="Attended","1","0")</f>
        <v>1</v>
      </c>
      <c r="W1788" t="str">
        <f>IF(Table1[appointment_status]="Cancelled","1","0")</f>
        <v>0</v>
      </c>
    </row>
    <row r="1789" spans="1:23">
      <c r="A1789" t="s">
        <v>2896</v>
      </c>
      <c r="B1789" t="s">
        <v>2897</v>
      </c>
      <c r="C1789">
        <v>53</v>
      </c>
      <c r="D1789" t="str" cm="1">
        <f t="array" ref="D1789">_xlfn.IFS(Table1[[#This Row],[age]]&lt;=17,"0-17",C1789&lt;=29,"18-29",C1789&lt;=44,"30-44",C1789&lt;=59,"45-59",C1789&lt;=74,"60-74",TRUE,"75+")</f>
        <v>45-59</v>
      </c>
      <c r="E1789" t="s">
        <v>29</v>
      </c>
      <c r="F1789">
        <v>10</v>
      </c>
      <c r="G1789" t="str" cm="1">
        <f t="array" ref="G1789">_xlfn.IFS(_xlfn.SINGLE(Table1[imd_decile])&lt;=3,"Most Deprived",F1789&lt;=7,"Moderately Deprived",F1789&lt;=10,"Least Deprived")</f>
        <v>Least Deprived</v>
      </c>
      <c r="H1789">
        <v>2.4</v>
      </c>
      <c r="I1789" t="s">
        <v>58</v>
      </c>
      <c r="J1789" t="s">
        <v>19</v>
      </c>
      <c r="K1789" s="1">
        <v>45833</v>
      </c>
      <c r="L1789" s="1">
        <v>45909</v>
      </c>
      <c r="M1789" s="1" t="str">
        <f>TEXT(Table1[[#This Row],[appointment_date]],"MM/YYYY")</f>
        <v>09/2025</v>
      </c>
      <c r="N1789">
        <v>76</v>
      </c>
      <c r="O1789" t="str" cm="1">
        <f t="array" ref="O1789">_xlfn.IFS(Table1[[#This Row],[lead_time_days]]&lt;=7,"0-7 days",N1789&lt;=14,"8-14 days",N1789&lt;=30,"15-30 days",N1789&lt;=60,"31-60 days",TRUE,"61+ days")</f>
        <v>61+ days</v>
      </c>
      <c r="P1789" t="s">
        <v>71</v>
      </c>
      <c r="Q1789" t="s">
        <v>21</v>
      </c>
      <c r="R1789">
        <v>0</v>
      </c>
      <c r="S1789" t="str">
        <f>IF(Table1[prior_dna_count]&gt;=1,"Has prior DNA history","No prior DNA history")</f>
        <v>No prior DNA history</v>
      </c>
      <c r="T1789" t="s">
        <v>22</v>
      </c>
      <c r="U1789" t="str">
        <f t="shared" si="27"/>
        <v>1</v>
      </c>
      <c r="V1789" t="str">
        <f>IF(Table1[appointment_status]="Attended","1","0")</f>
        <v>1</v>
      </c>
      <c r="W1789" t="str">
        <f>IF(Table1[appointment_status]="Cancelled","1","0")</f>
        <v>0</v>
      </c>
    </row>
    <row r="1790" spans="1:23">
      <c r="A1790" t="s">
        <v>2898</v>
      </c>
      <c r="B1790" t="s">
        <v>1773</v>
      </c>
      <c r="C1790">
        <v>57</v>
      </c>
      <c r="D1790" t="str" cm="1">
        <f t="array" ref="D1790">_xlfn.IFS(Table1[[#This Row],[age]]&lt;=17,"0-17",C1790&lt;=29,"18-29",C1790&lt;=44,"30-44",C1790&lt;=59,"45-59",C1790&lt;=74,"60-74",TRUE,"75+")</f>
        <v>45-59</v>
      </c>
      <c r="E1790" t="s">
        <v>29</v>
      </c>
      <c r="F1790">
        <v>3</v>
      </c>
      <c r="G1790" t="str" cm="1">
        <f t="array" ref="G1790">_xlfn.IFS(_xlfn.SINGLE(Table1[imd_decile])&lt;=3,"Most Deprived",F1790&lt;=7,"Moderately Deprived",F1790&lt;=10,"Least Deprived")</f>
        <v>Most Deprived</v>
      </c>
      <c r="H1790">
        <v>7.9</v>
      </c>
      <c r="I1790" t="s">
        <v>38</v>
      </c>
      <c r="J1790" t="s">
        <v>19</v>
      </c>
      <c r="K1790" s="1">
        <v>45865</v>
      </c>
      <c r="L1790" s="1">
        <v>45909</v>
      </c>
      <c r="M1790" s="1" t="str">
        <f>TEXT(Table1[[#This Row],[appointment_date]],"MM/YYYY")</f>
        <v>09/2025</v>
      </c>
      <c r="N1790">
        <v>44</v>
      </c>
      <c r="O1790" t="str" cm="1">
        <f t="array" ref="O1790">_xlfn.IFS(Table1[[#This Row],[lead_time_days]]&lt;=7,"0-7 days",N1790&lt;=14,"8-14 days",N1790&lt;=30,"15-30 days",N1790&lt;=60,"31-60 days",TRUE,"61+ days")</f>
        <v>31-60 days</v>
      </c>
      <c r="P1790" t="s">
        <v>71</v>
      </c>
      <c r="Q1790" t="s">
        <v>21</v>
      </c>
      <c r="R1790">
        <v>1</v>
      </c>
      <c r="S1790" t="str">
        <f>IF(Table1[prior_dna_count]&gt;=1,"Has prior DNA history","No prior DNA history")</f>
        <v>Has prior DNA history</v>
      </c>
      <c r="T1790" t="s">
        <v>22</v>
      </c>
      <c r="U1790" t="str">
        <f t="shared" si="27"/>
        <v>1</v>
      </c>
      <c r="V1790" t="str">
        <f>IF(Table1[appointment_status]="Attended","1","0")</f>
        <v>1</v>
      </c>
      <c r="W1790" t="str">
        <f>IF(Table1[appointment_status]="Cancelled","1","0")</f>
        <v>0</v>
      </c>
    </row>
    <row r="1791" spans="1:23">
      <c r="A1791" t="s">
        <v>2899</v>
      </c>
      <c r="B1791" t="s">
        <v>2275</v>
      </c>
      <c r="C1791">
        <v>55</v>
      </c>
      <c r="D1791" t="str" cm="1">
        <f t="array" ref="D1791">_xlfn.IFS(Table1[[#This Row],[age]]&lt;=17,"0-17",C1791&lt;=29,"18-29",C1791&lt;=44,"30-44",C1791&lt;=59,"45-59",C1791&lt;=74,"60-74",TRUE,"75+")</f>
        <v>45-59</v>
      </c>
      <c r="E1791" t="s">
        <v>29</v>
      </c>
      <c r="F1791">
        <v>1</v>
      </c>
      <c r="G1791" t="str" cm="1">
        <f t="array" ref="G1791">_xlfn.IFS(_xlfn.SINGLE(Table1[imd_decile])&lt;=3,"Most Deprived",F1791&lt;=7,"Moderately Deprived",F1791&lt;=10,"Least Deprived")</f>
        <v>Most Deprived</v>
      </c>
      <c r="H1791">
        <v>13.7</v>
      </c>
      <c r="I1791" t="s">
        <v>38</v>
      </c>
      <c r="J1791" t="s">
        <v>26</v>
      </c>
      <c r="K1791" s="1">
        <v>45865</v>
      </c>
      <c r="L1791" s="1">
        <v>45909</v>
      </c>
      <c r="M1791" s="1" t="str">
        <f>TEXT(Table1[[#This Row],[appointment_date]],"MM/YYYY")</f>
        <v>09/2025</v>
      </c>
      <c r="N1791">
        <v>44</v>
      </c>
      <c r="O1791" t="str" cm="1">
        <f t="array" ref="O1791">_xlfn.IFS(Table1[[#This Row],[lead_time_days]]&lt;=7,"0-7 days",N1791&lt;=14,"8-14 days",N1791&lt;=30,"15-30 days",N1791&lt;=60,"31-60 days",TRUE,"61+ days")</f>
        <v>31-60 days</v>
      </c>
      <c r="P1791" t="s">
        <v>71</v>
      </c>
      <c r="Q1791" t="s">
        <v>21</v>
      </c>
      <c r="R1791">
        <v>0</v>
      </c>
      <c r="S1791" t="str">
        <f>IF(Table1[prior_dna_count]&gt;=1,"Has prior DNA history","No prior DNA history")</f>
        <v>No prior DNA history</v>
      </c>
      <c r="T1791" t="s">
        <v>22</v>
      </c>
      <c r="U1791" t="str">
        <f t="shared" si="27"/>
        <v>1</v>
      </c>
      <c r="V1791" t="str">
        <f>IF(Table1[appointment_status]="Attended","1","0")</f>
        <v>1</v>
      </c>
      <c r="W1791" t="str">
        <f>IF(Table1[appointment_status]="Cancelled","1","0")</f>
        <v>0</v>
      </c>
    </row>
    <row r="1792" spans="1:23">
      <c r="A1792" t="s">
        <v>2900</v>
      </c>
      <c r="B1792" t="s">
        <v>2901</v>
      </c>
      <c r="C1792">
        <v>26</v>
      </c>
      <c r="D1792" t="str" cm="1">
        <f t="array" ref="D1792">_xlfn.IFS(Table1[[#This Row],[age]]&lt;=17,"0-17",C1792&lt;=29,"18-29",C1792&lt;=44,"30-44",C1792&lt;=59,"45-59",C1792&lt;=74,"60-74",TRUE,"75+")</f>
        <v>18-29</v>
      </c>
      <c r="E1792" t="s">
        <v>17</v>
      </c>
      <c r="F1792">
        <v>4</v>
      </c>
      <c r="G1792" t="str" cm="1">
        <f t="array" ref="G1792">_xlfn.IFS(_xlfn.SINGLE(Table1[imd_decile])&lt;=3,"Most Deprived",F1792&lt;=7,"Moderately Deprived",F1792&lt;=10,"Least Deprived")</f>
        <v>Moderately Deprived</v>
      </c>
      <c r="H1792">
        <v>6.1</v>
      </c>
      <c r="I1792" t="s">
        <v>38</v>
      </c>
      <c r="J1792" t="s">
        <v>19</v>
      </c>
      <c r="K1792" s="1">
        <v>45888</v>
      </c>
      <c r="L1792" s="1">
        <v>45909</v>
      </c>
      <c r="M1792" s="1" t="str">
        <f>TEXT(Table1[[#This Row],[appointment_date]],"MM/YYYY")</f>
        <v>09/2025</v>
      </c>
      <c r="N1792">
        <v>21</v>
      </c>
      <c r="O1792" t="str" cm="1">
        <f t="array" ref="O1792">_xlfn.IFS(Table1[[#This Row],[lead_time_days]]&lt;=7,"0-7 days",N1792&lt;=14,"8-14 days",N1792&lt;=30,"15-30 days",N1792&lt;=60,"31-60 days",TRUE,"61+ days")</f>
        <v>15-30 days</v>
      </c>
      <c r="P1792" t="s">
        <v>71</v>
      </c>
      <c r="Q1792" t="s">
        <v>32</v>
      </c>
      <c r="R1792">
        <v>0</v>
      </c>
      <c r="S1792" t="str">
        <f>IF(Table1[prior_dna_count]&gt;=1,"Has prior DNA history","No prior DNA history")</f>
        <v>No prior DNA history</v>
      </c>
      <c r="T1792" t="s">
        <v>22</v>
      </c>
      <c r="U1792" t="str">
        <f t="shared" si="27"/>
        <v>1</v>
      </c>
      <c r="V1792" t="str">
        <f>IF(Table1[appointment_status]="Attended","1","0")</f>
        <v>1</v>
      </c>
      <c r="W1792" t="str">
        <f>IF(Table1[appointment_status]="Cancelled","1","0")</f>
        <v>0</v>
      </c>
    </row>
    <row r="1793" spans="1:23">
      <c r="A1793" t="s">
        <v>2902</v>
      </c>
      <c r="B1793" t="s">
        <v>2903</v>
      </c>
      <c r="C1793">
        <v>62</v>
      </c>
      <c r="D1793" t="str" cm="1">
        <f t="array" ref="D1793">_xlfn.IFS(Table1[[#This Row],[age]]&lt;=17,"0-17",C1793&lt;=29,"18-29",C1793&lt;=44,"30-44",C1793&lt;=59,"45-59",C1793&lt;=74,"60-74",TRUE,"75+")</f>
        <v>60-74</v>
      </c>
      <c r="E1793" t="s">
        <v>17</v>
      </c>
      <c r="F1793">
        <v>4</v>
      </c>
      <c r="G1793" t="str" cm="1">
        <f t="array" ref="G1793">_xlfn.IFS(_xlfn.SINGLE(Table1[imd_decile])&lt;=3,"Most Deprived",F1793&lt;=7,"Moderately Deprived",F1793&lt;=10,"Least Deprived")</f>
        <v>Moderately Deprived</v>
      </c>
      <c r="H1793">
        <v>2.7</v>
      </c>
      <c r="I1793" t="s">
        <v>18</v>
      </c>
      <c r="J1793" t="s">
        <v>19</v>
      </c>
      <c r="K1793" s="1">
        <v>45873</v>
      </c>
      <c r="L1793" s="1">
        <v>45910</v>
      </c>
      <c r="M1793" s="1" t="str">
        <f>TEXT(Table1[[#This Row],[appointment_date]],"MM/YYYY")</f>
        <v>09/2025</v>
      </c>
      <c r="N1793">
        <v>37</v>
      </c>
      <c r="O1793" t="str" cm="1">
        <f t="array" ref="O1793">_xlfn.IFS(Table1[[#This Row],[lead_time_days]]&lt;=7,"0-7 days",N1793&lt;=14,"8-14 days",N1793&lt;=30,"15-30 days",N1793&lt;=60,"31-60 days",TRUE,"61+ days")</f>
        <v>31-60 days</v>
      </c>
      <c r="P1793" t="s">
        <v>80</v>
      </c>
      <c r="Q1793" t="s">
        <v>32</v>
      </c>
      <c r="R1793">
        <v>0</v>
      </c>
      <c r="S1793" t="str">
        <f>IF(Table1[prior_dna_count]&gt;=1,"Has prior DNA history","No prior DNA history")</f>
        <v>No prior DNA history</v>
      </c>
      <c r="T1793" t="s">
        <v>22</v>
      </c>
      <c r="U1793" t="str">
        <f t="shared" si="27"/>
        <v>1</v>
      </c>
      <c r="V1793" t="str">
        <f>IF(Table1[appointment_status]="Attended","1","0")</f>
        <v>1</v>
      </c>
      <c r="W1793" t="str">
        <f>IF(Table1[appointment_status]="Cancelled","1","0")</f>
        <v>0</v>
      </c>
    </row>
    <row r="1794" spans="1:23">
      <c r="A1794" t="s">
        <v>2904</v>
      </c>
      <c r="B1794" t="s">
        <v>885</v>
      </c>
      <c r="C1794">
        <v>24</v>
      </c>
      <c r="D1794" t="str" cm="1">
        <f t="array" ref="D1794">_xlfn.IFS(Table1[[#This Row],[age]]&lt;=17,"0-17",C1794&lt;=29,"18-29",C1794&lt;=44,"30-44",C1794&lt;=59,"45-59",C1794&lt;=74,"60-74",TRUE,"75+")</f>
        <v>18-29</v>
      </c>
      <c r="E1794" t="s">
        <v>29</v>
      </c>
      <c r="F1794">
        <v>2</v>
      </c>
      <c r="G1794" t="str" cm="1">
        <f t="array" ref="G1794">_xlfn.IFS(_xlfn.SINGLE(Table1[imd_decile])&lt;=3,"Most Deprived",F1794&lt;=7,"Moderately Deprived",F1794&lt;=10,"Least Deprived")</f>
        <v>Most Deprived</v>
      </c>
      <c r="H1794">
        <v>12</v>
      </c>
      <c r="I1794" t="s">
        <v>91</v>
      </c>
      <c r="J1794" t="s">
        <v>19</v>
      </c>
      <c r="K1794" s="1">
        <v>45860</v>
      </c>
      <c r="L1794" s="1">
        <v>45910</v>
      </c>
      <c r="M1794" s="1" t="str">
        <f>TEXT(Table1[[#This Row],[appointment_date]],"MM/YYYY")</f>
        <v>09/2025</v>
      </c>
      <c r="N1794">
        <v>50</v>
      </c>
      <c r="O1794" t="str" cm="1">
        <f t="array" ref="O1794">_xlfn.IFS(Table1[[#This Row],[lead_time_days]]&lt;=7,"0-7 days",N1794&lt;=14,"8-14 days",N1794&lt;=30,"15-30 days",N1794&lt;=60,"31-60 days",TRUE,"61+ days")</f>
        <v>31-60 days</v>
      </c>
      <c r="P1794" t="s">
        <v>80</v>
      </c>
      <c r="Q1794" t="s">
        <v>21</v>
      </c>
      <c r="R1794">
        <v>0</v>
      </c>
      <c r="S1794" t="str">
        <f>IF(Table1[prior_dna_count]&gt;=1,"Has prior DNA history","No prior DNA history")</f>
        <v>No prior DNA history</v>
      </c>
      <c r="T1794" t="s">
        <v>39</v>
      </c>
      <c r="U1794" t="str">
        <f t="shared" ref="U1794:U1857" si="28">V1793</f>
        <v>1</v>
      </c>
      <c r="V1794" t="str">
        <f>IF(Table1[appointment_status]="Attended","1","0")</f>
        <v>0</v>
      </c>
      <c r="W1794" t="str">
        <f>IF(Table1[appointment_status]="Cancelled","1","0")</f>
        <v>0</v>
      </c>
    </row>
    <row r="1795" spans="1:23">
      <c r="A1795" t="s">
        <v>2905</v>
      </c>
      <c r="B1795" t="s">
        <v>1517</v>
      </c>
      <c r="C1795">
        <v>38</v>
      </c>
      <c r="D1795" t="str" cm="1">
        <f t="array" ref="D1795">_xlfn.IFS(Table1[[#This Row],[age]]&lt;=17,"0-17",C1795&lt;=29,"18-29",C1795&lt;=44,"30-44",C1795&lt;=59,"45-59",C1795&lt;=74,"60-74",TRUE,"75+")</f>
        <v>30-44</v>
      </c>
      <c r="E1795" t="s">
        <v>17</v>
      </c>
      <c r="F1795">
        <v>9</v>
      </c>
      <c r="G1795" t="str" cm="1">
        <f t="array" ref="G1795">_xlfn.IFS(_xlfn.SINGLE(Table1[imd_decile])&lt;=3,"Most Deprived",F1795&lt;=7,"Moderately Deprived",F1795&lt;=10,"Least Deprived")</f>
        <v>Least Deprived</v>
      </c>
      <c r="H1795">
        <v>6.6</v>
      </c>
      <c r="I1795" t="s">
        <v>38</v>
      </c>
      <c r="J1795" t="s">
        <v>19</v>
      </c>
      <c r="K1795" s="1">
        <v>45892</v>
      </c>
      <c r="L1795" s="1">
        <v>45910</v>
      </c>
      <c r="M1795" s="1" t="str">
        <f>TEXT(Table1[[#This Row],[appointment_date]],"MM/YYYY")</f>
        <v>09/2025</v>
      </c>
      <c r="N1795">
        <v>18</v>
      </c>
      <c r="O1795" t="str" cm="1">
        <f t="array" ref="O1795">_xlfn.IFS(Table1[[#This Row],[lead_time_days]]&lt;=7,"0-7 days",N1795&lt;=14,"8-14 days",N1795&lt;=30,"15-30 days",N1795&lt;=60,"31-60 days",TRUE,"61+ days")</f>
        <v>15-30 days</v>
      </c>
      <c r="P1795" t="s">
        <v>80</v>
      </c>
      <c r="Q1795" t="s">
        <v>32</v>
      </c>
      <c r="R1795">
        <v>0</v>
      </c>
      <c r="S1795" t="str">
        <f>IF(Table1[prior_dna_count]&gt;=1,"Has prior DNA history","No prior DNA history")</f>
        <v>No prior DNA history</v>
      </c>
      <c r="T1795" t="s">
        <v>22</v>
      </c>
      <c r="U1795" t="str">
        <f t="shared" si="28"/>
        <v>0</v>
      </c>
      <c r="V1795" t="str">
        <f>IF(Table1[appointment_status]="Attended","1","0")</f>
        <v>1</v>
      </c>
      <c r="W1795" t="str">
        <f>IF(Table1[appointment_status]="Cancelled","1","0")</f>
        <v>0</v>
      </c>
    </row>
    <row r="1796" spans="1:23">
      <c r="A1796" t="s">
        <v>2906</v>
      </c>
      <c r="B1796" t="s">
        <v>2907</v>
      </c>
      <c r="C1796">
        <v>35</v>
      </c>
      <c r="D1796" t="str" cm="1">
        <f t="array" ref="D1796">_xlfn.IFS(Table1[[#This Row],[age]]&lt;=17,"0-17",C1796&lt;=29,"18-29",C1796&lt;=44,"30-44",C1796&lt;=59,"45-59",C1796&lt;=74,"60-74",TRUE,"75+")</f>
        <v>30-44</v>
      </c>
      <c r="E1796" t="s">
        <v>17</v>
      </c>
      <c r="F1796">
        <v>6</v>
      </c>
      <c r="G1796" t="str" cm="1">
        <f t="array" ref="G1796">_xlfn.IFS(_xlfn.SINGLE(Table1[imd_decile])&lt;=3,"Most Deprived",F1796&lt;=7,"Moderately Deprived",F1796&lt;=10,"Least Deprived")</f>
        <v>Moderately Deprived</v>
      </c>
      <c r="H1796">
        <v>2.8</v>
      </c>
      <c r="I1796" t="s">
        <v>155</v>
      </c>
      <c r="J1796" t="s">
        <v>26</v>
      </c>
      <c r="K1796" s="1">
        <v>45887</v>
      </c>
      <c r="L1796" s="1">
        <v>45910</v>
      </c>
      <c r="M1796" s="1" t="str">
        <f>TEXT(Table1[[#This Row],[appointment_date]],"MM/YYYY")</f>
        <v>09/2025</v>
      </c>
      <c r="N1796">
        <v>23</v>
      </c>
      <c r="O1796" t="str" cm="1">
        <f t="array" ref="O1796">_xlfn.IFS(Table1[[#This Row],[lead_time_days]]&lt;=7,"0-7 days",N1796&lt;=14,"8-14 days",N1796&lt;=30,"15-30 days",N1796&lt;=60,"31-60 days",TRUE,"61+ days")</f>
        <v>15-30 days</v>
      </c>
      <c r="P1796" t="s">
        <v>80</v>
      </c>
      <c r="Q1796" t="s">
        <v>21</v>
      </c>
      <c r="R1796">
        <v>0</v>
      </c>
      <c r="S1796" t="str">
        <f>IF(Table1[prior_dna_count]&gt;=1,"Has prior DNA history","No prior DNA history")</f>
        <v>No prior DNA history</v>
      </c>
      <c r="T1796" t="s">
        <v>22</v>
      </c>
      <c r="U1796" t="str">
        <f t="shared" si="28"/>
        <v>1</v>
      </c>
      <c r="V1796" t="str">
        <f>IF(Table1[appointment_status]="Attended","1","0")</f>
        <v>1</v>
      </c>
      <c r="W1796" t="str">
        <f>IF(Table1[appointment_status]="Cancelled","1","0")</f>
        <v>0</v>
      </c>
    </row>
    <row r="1797" spans="1:23">
      <c r="A1797" t="s">
        <v>2908</v>
      </c>
      <c r="B1797" t="s">
        <v>791</v>
      </c>
      <c r="C1797">
        <v>14</v>
      </c>
      <c r="D1797" t="str" cm="1">
        <f t="array" ref="D1797">_xlfn.IFS(Table1[[#This Row],[age]]&lt;=17,"0-17",C1797&lt;=29,"18-29",C1797&lt;=44,"30-44",C1797&lt;=59,"45-59",C1797&lt;=74,"60-74",TRUE,"75+")</f>
        <v>0-17</v>
      </c>
      <c r="E1797" t="s">
        <v>17</v>
      </c>
      <c r="F1797">
        <v>3</v>
      </c>
      <c r="G1797" t="str" cm="1">
        <f t="array" ref="G1797">_xlfn.IFS(_xlfn.SINGLE(Table1[imd_decile])&lt;=3,"Most Deprived",F1797&lt;=7,"Moderately Deprived",F1797&lt;=10,"Least Deprived")</f>
        <v>Most Deprived</v>
      </c>
      <c r="H1797">
        <v>11.7</v>
      </c>
      <c r="I1797" t="s">
        <v>49</v>
      </c>
      <c r="J1797" t="s">
        <v>19</v>
      </c>
      <c r="K1797" s="1">
        <v>45893</v>
      </c>
      <c r="L1797" s="1">
        <v>45910</v>
      </c>
      <c r="M1797" s="1" t="str">
        <f>TEXT(Table1[[#This Row],[appointment_date]],"MM/YYYY")</f>
        <v>09/2025</v>
      </c>
      <c r="N1797">
        <v>17</v>
      </c>
      <c r="O1797" t="str" cm="1">
        <f t="array" ref="O1797">_xlfn.IFS(Table1[[#This Row],[lead_time_days]]&lt;=7,"0-7 days",N1797&lt;=14,"8-14 days",N1797&lt;=30,"15-30 days",N1797&lt;=60,"31-60 days",TRUE,"61+ days")</f>
        <v>15-30 days</v>
      </c>
      <c r="P1797" t="s">
        <v>80</v>
      </c>
      <c r="Q1797" t="s">
        <v>32</v>
      </c>
      <c r="R1797">
        <v>0</v>
      </c>
      <c r="S1797" t="str">
        <f>IF(Table1[prior_dna_count]&gt;=1,"Has prior DNA history","No prior DNA history")</f>
        <v>No prior DNA history</v>
      </c>
      <c r="T1797" t="s">
        <v>46</v>
      </c>
      <c r="U1797" t="str">
        <f t="shared" si="28"/>
        <v>1</v>
      </c>
      <c r="V1797" t="str">
        <f>IF(Table1[appointment_status]="Attended","1","0")</f>
        <v>0</v>
      </c>
      <c r="W1797" t="str">
        <f>IF(Table1[appointment_status]="Cancelled","1","0")</f>
        <v>1</v>
      </c>
    </row>
    <row r="1798" spans="1:23">
      <c r="A1798" t="s">
        <v>2909</v>
      </c>
      <c r="B1798" t="s">
        <v>2910</v>
      </c>
      <c r="C1798">
        <v>69</v>
      </c>
      <c r="D1798" t="str" cm="1">
        <f t="array" ref="D1798">_xlfn.IFS(Table1[[#This Row],[age]]&lt;=17,"0-17",C1798&lt;=29,"18-29",C1798&lt;=44,"30-44",C1798&lt;=59,"45-59",C1798&lt;=74,"60-74",TRUE,"75+")</f>
        <v>60-74</v>
      </c>
      <c r="E1798" t="s">
        <v>17</v>
      </c>
      <c r="F1798">
        <v>1</v>
      </c>
      <c r="G1798" t="str" cm="1">
        <f t="array" ref="G1798">_xlfn.IFS(_xlfn.SINGLE(Table1[imd_decile])&lt;=3,"Most Deprived",F1798&lt;=7,"Moderately Deprived",F1798&lt;=10,"Least Deprived")</f>
        <v>Most Deprived</v>
      </c>
      <c r="H1798">
        <v>11.2</v>
      </c>
      <c r="I1798" t="s">
        <v>18</v>
      </c>
      <c r="J1798" t="s">
        <v>26</v>
      </c>
      <c r="K1798" s="1">
        <v>45904</v>
      </c>
      <c r="L1798" s="1">
        <v>45910</v>
      </c>
      <c r="M1798" s="1" t="str">
        <f>TEXT(Table1[[#This Row],[appointment_date]],"MM/YYYY")</f>
        <v>09/2025</v>
      </c>
      <c r="N1798">
        <v>6</v>
      </c>
      <c r="O1798" t="str" cm="1">
        <f t="array" ref="O1798">_xlfn.IFS(Table1[[#This Row],[lead_time_days]]&lt;=7,"0-7 days",N1798&lt;=14,"8-14 days",N1798&lt;=30,"15-30 days",N1798&lt;=60,"31-60 days",TRUE,"61+ days")</f>
        <v>0-7 days</v>
      </c>
      <c r="P1798" t="s">
        <v>80</v>
      </c>
      <c r="Q1798" t="s">
        <v>32</v>
      </c>
      <c r="R1798">
        <v>0</v>
      </c>
      <c r="S1798" t="str">
        <f>IF(Table1[prior_dna_count]&gt;=1,"Has prior DNA history","No prior DNA history")</f>
        <v>No prior DNA history</v>
      </c>
      <c r="T1798" t="s">
        <v>22</v>
      </c>
      <c r="U1798" t="str">
        <f t="shared" si="28"/>
        <v>0</v>
      </c>
      <c r="V1798" t="str">
        <f>IF(Table1[appointment_status]="Attended","1","0")</f>
        <v>1</v>
      </c>
      <c r="W1798" t="str">
        <f>IF(Table1[appointment_status]="Cancelled","1","0")</f>
        <v>0</v>
      </c>
    </row>
    <row r="1799" spans="1:23">
      <c r="A1799" t="s">
        <v>2911</v>
      </c>
      <c r="B1799" t="s">
        <v>1529</v>
      </c>
      <c r="C1799">
        <v>1</v>
      </c>
      <c r="D1799" t="str" cm="1">
        <f t="array" ref="D1799">_xlfn.IFS(Table1[[#This Row],[age]]&lt;=17,"0-17",C1799&lt;=29,"18-29",C1799&lt;=44,"30-44",C1799&lt;=59,"45-59",C1799&lt;=74,"60-74",TRUE,"75+")</f>
        <v>0-17</v>
      </c>
      <c r="E1799" t="s">
        <v>29</v>
      </c>
      <c r="F1799">
        <v>2</v>
      </c>
      <c r="G1799" t="str" cm="1">
        <f t="array" ref="G1799">_xlfn.IFS(_xlfn.SINGLE(Table1[imd_decile])&lt;=3,"Most Deprived",F1799&lt;=7,"Moderately Deprived",F1799&lt;=10,"Least Deprived")</f>
        <v>Most Deprived</v>
      </c>
      <c r="H1799">
        <v>4.2</v>
      </c>
      <c r="I1799" t="s">
        <v>49</v>
      </c>
      <c r="J1799" t="s">
        <v>19</v>
      </c>
      <c r="K1799" s="1">
        <v>45815</v>
      </c>
      <c r="L1799" s="1">
        <v>45910</v>
      </c>
      <c r="M1799" s="1" t="str">
        <f>TEXT(Table1[[#This Row],[appointment_date]],"MM/YYYY")</f>
        <v>09/2025</v>
      </c>
      <c r="N1799">
        <v>95</v>
      </c>
      <c r="O1799" t="str" cm="1">
        <f t="array" ref="O1799">_xlfn.IFS(Table1[[#This Row],[lead_time_days]]&lt;=7,"0-7 days",N1799&lt;=14,"8-14 days",N1799&lt;=30,"15-30 days",N1799&lt;=60,"31-60 days",TRUE,"61+ days")</f>
        <v>61+ days</v>
      </c>
      <c r="P1799" t="s">
        <v>80</v>
      </c>
      <c r="Q1799" t="s">
        <v>21</v>
      </c>
      <c r="R1799">
        <v>0</v>
      </c>
      <c r="S1799" t="str">
        <f>IF(Table1[prior_dna_count]&gt;=1,"Has prior DNA history","No prior DNA history")</f>
        <v>No prior DNA history</v>
      </c>
      <c r="T1799" t="s">
        <v>39</v>
      </c>
      <c r="U1799" t="str">
        <f t="shared" si="28"/>
        <v>1</v>
      </c>
      <c r="V1799" t="str">
        <f>IF(Table1[appointment_status]="Attended","1","0")</f>
        <v>0</v>
      </c>
      <c r="W1799" t="str">
        <f>IF(Table1[appointment_status]="Cancelled","1","0")</f>
        <v>0</v>
      </c>
    </row>
    <row r="1800" spans="1:23">
      <c r="A1800" t="s">
        <v>2912</v>
      </c>
      <c r="B1800" t="s">
        <v>233</v>
      </c>
      <c r="C1800">
        <v>13</v>
      </c>
      <c r="D1800" t="str" cm="1">
        <f t="array" ref="D1800">_xlfn.IFS(Table1[[#This Row],[age]]&lt;=17,"0-17",C1800&lt;=29,"18-29",C1800&lt;=44,"30-44",C1800&lt;=59,"45-59",C1800&lt;=74,"60-74",TRUE,"75+")</f>
        <v>0-17</v>
      </c>
      <c r="E1800" t="s">
        <v>29</v>
      </c>
      <c r="F1800">
        <v>10</v>
      </c>
      <c r="G1800" t="str" cm="1">
        <f t="array" ref="G1800">_xlfn.IFS(_xlfn.SINGLE(Table1[imd_decile])&lt;=3,"Most Deprived",F1800&lt;=7,"Moderately Deprived",F1800&lt;=10,"Least Deprived")</f>
        <v>Least Deprived</v>
      </c>
      <c r="H1800">
        <v>4.7</v>
      </c>
      <c r="I1800" t="s">
        <v>18</v>
      </c>
      <c r="J1800" t="s">
        <v>19</v>
      </c>
      <c r="K1800" s="1">
        <v>45887</v>
      </c>
      <c r="L1800" s="1">
        <v>45910</v>
      </c>
      <c r="M1800" s="1" t="str">
        <f>TEXT(Table1[[#This Row],[appointment_date]],"MM/YYYY")</f>
        <v>09/2025</v>
      </c>
      <c r="N1800">
        <v>23</v>
      </c>
      <c r="O1800" t="str" cm="1">
        <f t="array" ref="O1800">_xlfn.IFS(Table1[[#This Row],[lead_time_days]]&lt;=7,"0-7 days",N1800&lt;=14,"8-14 days",N1800&lt;=30,"15-30 days",N1800&lt;=60,"31-60 days",TRUE,"61+ days")</f>
        <v>15-30 days</v>
      </c>
      <c r="P1800" t="s">
        <v>80</v>
      </c>
      <c r="Q1800" t="s">
        <v>21</v>
      </c>
      <c r="R1800">
        <v>0</v>
      </c>
      <c r="S1800" t="str">
        <f>IF(Table1[prior_dna_count]&gt;=1,"Has prior DNA history","No prior DNA history")</f>
        <v>No prior DNA history</v>
      </c>
      <c r="T1800" t="s">
        <v>22</v>
      </c>
      <c r="U1800" t="str">
        <f t="shared" si="28"/>
        <v>0</v>
      </c>
      <c r="V1800" t="str">
        <f>IF(Table1[appointment_status]="Attended","1","0")</f>
        <v>1</v>
      </c>
      <c r="W1800" t="str">
        <f>IF(Table1[appointment_status]="Cancelled","1","0")</f>
        <v>0</v>
      </c>
    </row>
    <row r="1801" spans="1:23">
      <c r="A1801" t="s">
        <v>2913</v>
      </c>
      <c r="B1801" t="s">
        <v>217</v>
      </c>
      <c r="C1801">
        <v>52</v>
      </c>
      <c r="D1801" t="str" cm="1">
        <f t="array" ref="D1801">_xlfn.IFS(Table1[[#This Row],[age]]&lt;=17,"0-17",C1801&lt;=29,"18-29",C1801&lt;=44,"30-44",C1801&lt;=59,"45-59",C1801&lt;=74,"60-74",TRUE,"75+")</f>
        <v>45-59</v>
      </c>
      <c r="E1801" t="s">
        <v>17</v>
      </c>
      <c r="F1801">
        <v>1</v>
      </c>
      <c r="G1801" t="str" cm="1">
        <f t="array" ref="G1801">_xlfn.IFS(_xlfn.SINGLE(Table1[imd_decile])&lt;=3,"Most Deprived",F1801&lt;=7,"Moderately Deprived",F1801&lt;=10,"Least Deprived")</f>
        <v>Most Deprived</v>
      </c>
      <c r="H1801">
        <v>2.5</v>
      </c>
      <c r="I1801" t="s">
        <v>91</v>
      </c>
      <c r="J1801" t="s">
        <v>19</v>
      </c>
      <c r="K1801" s="1">
        <v>45887</v>
      </c>
      <c r="L1801" s="1">
        <v>45910</v>
      </c>
      <c r="M1801" s="1" t="str">
        <f>TEXT(Table1[[#This Row],[appointment_date]],"MM/YYYY")</f>
        <v>09/2025</v>
      </c>
      <c r="N1801">
        <v>23</v>
      </c>
      <c r="O1801" t="str" cm="1">
        <f t="array" ref="O1801">_xlfn.IFS(Table1[[#This Row],[lead_time_days]]&lt;=7,"0-7 days",N1801&lt;=14,"8-14 days",N1801&lt;=30,"15-30 days",N1801&lt;=60,"31-60 days",TRUE,"61+ days")</f>
        <v>15-30 days</v>
      </c>
      <c r="P1801" t="s">
        <v>80</v>
      </c>
      <c r="Q1801" t="s">
        <v>32</v>
      </c>
      <c r="R1801">
        <v>0</v>
      </c>
      <c r="S1801" t="str">
        <f>IF(Table1[prior_dna_count]&gt;=1,"Has prior DNA history","No prior DNA history")</f>
        <v>No prior DNA history</v>
      </c>
      <c r="T1801" t="s">
        <v>22</v>
      </c>
      <c r="U1801" t="str">
        <f t="shared" si="28"/>
        <v>1</v>
      </c>
      <c r="V1801" t="str">
        <f>IF(Table1[appointment_status]="Attended","1","0")</f>
        <v>1</v>
      </c>
      <c r="W1801" t="str">
        <f>IF(Table1[appointment_status]="Cancelled","1","0")</f>
        <v>0</v>
      </c>
    </row>
    <row r="1802" spans="1:23">
      <c r="A1802" t="s">
        <v>2914</v>
      </c>
      <c r="B1802" t="s">
        <v>2915</v>
      </c>
      <c r="C1802">
        <v>61</v>
      </c>
      <c r="D1802" t="str" cm="1">
        <f t="array" ref="D1802">_xlfn.IFS(Table1[[#This Row],[age]]&lt;=17,"0-17",C1802&lt;=29,"18-29",C1802&lt;=44,"30-44",C1802&lt;=59,"45-59",C1802&lt;=74,"60-74",TRUE,"75+")</f>
        <v>60-74</v>
      </c>
      <c r="E1802" t="s">
        <v>29</v>
      </c>
      <c r="F1802">
        <v>10</v>
      </c>
      <c r="G1802" t="str" cm="1">
        <f t="array" ref="G1802">_xlfn.IFS(_xlfn.SINGLE(Table1[imd_decile])&lt;=3,"Most Deprived",F1802&lt;=7,"Moderately Deprived",F1802&lt;=10,"Least Deprived")</f>
        <v>Least Deprived</v>
      </c>
      <c r="H1802">
        <v>10.1</v>
      </c>
      <c r="I1802" t="s">
        <v>58</v>
      </c>
      <c r="J1802" t="s">
        <v>19</v>
      </c>
      <c r="K1802" s="1">
        <v>45887</v>
      </c>
      <c r="L1802" s="1">
        <v>45910</v>
      </c>
      <c r="M1802" s="1" t="str">
        <f>TEXT(Table1[[#This Row],[appointment_date]],"MM/YYYY")</f>
        <v>09/2025</v>
      </c>
      <c r="N1802">
        <v>23</v>
      </c>
      <c r="O1802" t="str" cm="1">
        <f t="array" ref="O1802">_xlfn.IFS(Table1[[#This Row],[lead_time_days]]&lt;=7,"0-7 days",N1802&lt;=14,"8-14 days",N1802&lt;=30,"15-30 days",N1802&lt;=60,"31-60 days",TRUE,"61+ days")</f>
        <v>15-30 days</v>
      </c>
      <c r="P1802" t="s">
        <v>80</v>
      </c>
      <c r="Q1802" t="s">
        <v>21</v>
      </c>
      <c r="R1802">
        <v>0</v>
      </c>
      <c r="S1802" t="str">
        <f>IF(Table1[prior_dna_count]&gt;=1,"Has prior DNA history","No prior DNA history")</f>
        <v>No prior DNA history</v>
      </c>
      <c r="T1802" t="s">
        <v>22</v>
      </c>
      <c r="U1802" t="str">
        <f t="shared" si="28"/>
        <v>1</v>
      </c>
      <c r="V1802" t="str">
        <f>IF(Table1[appointment_status]="Attended","1","0")</f>
        <v>1</v>
      </c>
      <c r="W1802" t="str">
        <f>IF(Table1[appointment_status]="Cancelled","1","0")</f>
        <v>0</v>
      </c>
    </row>
    <row r="1803" spans="1:23">
      <c r="A1803" t="s">
        <v>2916</v>
      </c>
      <c r="B1803" t="s">
        <v>2917</v>
      </c>
      <c r="C1803">
        <v>44</v>
      </c>
      <c r="D1803" t="str" cm="1">
        <f t="array" ref="D1803">_xlfn.IFS(Table1[[#This Row],[age]]&lt;=17,"0-17",C1803&lt;=29,"18-29",C1803&lt;=44,"30-44",C1803&lt;=59,"45-59",C1803&lt;=74,"60-74",TRUE,"75+")</f>
        <v>30-44</v>
      </c>
      <c r="E1803" t="s">
        <v>29</v>
      </c>
      <c r="F1803">
        <v>4</v>
      </c>
      <c r="G1803" t="str" cm="1">
        <f t="array" ref="G1803">_xlfn.IFS(_xlfn.SINGLE(Table1[imd_decile])&lt;=3,"Most Deprived",F1803&lt;=7,"Moderately Deprived",F1803&lt;=10,"Least Deprived")</f>
        <v>Moderately Deprived</v>
      </c>
      <c r="H1803">
        <v>2.9</v>
      </c>
      <c r="I1803" t="s">
        <v>42</v>
      </c>
      <c r="J1803" t="s">
        <v>19</v>
      </c>
      <c r="K1803" s="1">
        <v>45865</v>
      </c>
      <c r="L1803" s="1">
        <v>45910</v>
      </c>
      <c r="M1803" s="1" t="str">
        <f>TEXT(Table1[[#This Row],[appointment_date]],"MM/YYYY")</f>
        <v>09/2025</v>
      </c>
      <c r="N1803">
        <v>45</v>
      </c>
      <c r="O1803" t="str" cm="1">
        <f t="array" ref="O1803">_xlfn.IFS(Table1[[#This Row],[lead_time_days]]&lt;=7,"0-7 days",N1803&lt;=14,"8-14 days",N1803&lt;=30,"15-30 days",N1803&lt;=60,"31-60 days",TRUE,"61+ days")</f>
        <v>31-60 days</v>
      </c>
      <c r="P1803" t="s">
        <v>80</v>
      </c>
      <c r="Q1803" t="s">
        <v>21</v>
      </c>
      <c r="R1803">
        <v>0</v>
      </c>
      <c r="S1803" t="str">
        <f>IF(Table1[prior_dna_count]&gt;=1,"Has prior DNA history","No prior DNA history")</f>
        <v>No prior DNA history</v>
      </c>
      <c r="T1803" t="s">
        <v>22</v>
      </c>
      <c r="U1803" t="str">
        <f t="shared" si="28"/>
        <v>1</v>
      </c>
      <c r="V1803" t="str">
        <f>IF(Table1[appointment_status]="Attended","1","0")</f>
        <v>1</v>
      </c>
      <c r="W1803" t="str">
        <f>IF(Table1[appointment_status]="Cancelled","1","0")</f>
        <v>0</v>
      </c>
    </row>
    <row r="1804" spans="1:23">
      <c r="A1804" t="s">
        <v>2918</v>
      </c>
      <c r="B1804" t="s">
        <v>2577</v>
      </c>
      <c r="C1804">
        <v>65</v>
      </c>
      <c r="D1804" t="str" cm="1">
        <f t="array" ref="D1804">_xlfn.IFS(Table1[[#This Row],[age]]&lt;=17,"0-17",C1804&lt;=29,"18-29",C1804&lt;=44,"30-44",C1804&lt;=59,"45-59",C1804&lt;=74,"60-74",TRUE,"75+")</f>
        <v>60-74</v>
      </c>
      <c r="E1804" t="s">
        <v>29</v>
      </c>
      <c r="F1804">
        <v>8</v>
      </c>
      <c r="G1804" t="str" cm="1">
        <f t="array" ref="G1804">_xlfn.IFS(_xlfn.SINGLE(Table1[imd_decile])&lt;=3,"Most Deprived",F1804&lt;=7,"Moderately Deprived",F1804&lt;=10,"Least Deprived")</f>
        <v>Least Deprived</v>
      </c>
      <c r="H1804">
        <v>1.7</v>
      </c>
      <c r="I1804" t="s">
        <v>42</v>
      </c>
      <c r="J1804" t="s">
        <v>26</v>
      </c>
      <c r="K1804" s="1">
        <v>45891</v>
      </c>
      <c r="L1804" s="1">
        <v>45910</v>
      </c>
      <c r="M1804" s="1" t="str">
        <f>TEXT(Table1[[#This Row],[appointment_date]],"MM/YYYY")</f>
        <v>09/2025</v>
      </c>
      <c r="N1804">
        <v>19</v>
      </c>
      <c r="O1804" t="str" cm="1">
        <f t="array" ref="O1804">_xlfn.IFS(Table1[[#This Row],[lead_time_days]]&lt;=7,"0-7 days",N1804&lt;=14,"8-14 days",N1804&lt;=30,"15-30 days",N1804&lt;=60,"31-60 days",TRUE,"61+ days")</f>
        <v>15-30 days</v>
      </c>
      <c r="P1804" t="s">
        <v>80</v>
      </c>
      <c r="Q1804" t="s">
        <v>32</v>
      </c>
      <c r="R1804">
        <v>0</v>
      </c>
      <c r="S1804" t="str">
        <f>IF(Table1[prior_dna_count]&gt;=1,"Has prior DNA history","No prior DNA history")</f>
        <v>No prior DNA history</v>
      </c>
      <c r="T1804" t="s">
        <v>22</v>
      </c>
      <c r="U1804" t="str">
        <f t="shared" si="28"/>
        <v>1</v>
      </c>
      <c r="V1804" t="str">
        <f>IF(Table1[appointment_status]="Attended","1","0")</f>
        <v>1</v>
      </c>
      <c r="W1804" t="str">
        <f>IF(Table1[appointment_status]="Cancelled","1","0")</f>
        <v>0</v>
      </c>
    </row>
    <row r="1805" spans="1:23">
      <c r="A1805" t="s">
        <v>2919</v>
      </c>
      <c r="B1805" t="s">
        <v>2920</v>
      </c>
      <c r="C1805">
        <v>48</v>
      </c>
      <c r="D1805" t="str" cm="1">
        <f t="array" ref="D1805">_xlfn.IFS(Table1[[#This Row],[age]]&lt;=17,"0-17",C1805&lt;=29,"18-29",C1805&lt;=44,"30-44",C1805&lt;=59,"45-59",C1805&lt;=74,"60-74",TRUE,"75+")</f>
        <v>45-59</v>
      </c>
      <c r="E1805" t="s">
        <v>29</v>
      </c>
      <c r="F1805">
        <v>6</v>
      </c>
      <c r="G1805" t="str" cm="1">
        <f t="array" ref="G1805">_xlfn.IFS(_xlfn.SINGLE(Table1[imd_decile])&lt;=3,"Most Deprived",F1805&lt;=7,"Moderately Deprived",F1805&lt;=10,"Least Deprived")</f>
        <v>Moderately Deprived</v>
      </c>
      <c r="H1805">
        <v>1.5</v>
      </c>
      <c r="I1805" t="s">
        <v>58</v>
      </c>
      <c r="J1805" t="s">
        <v>19</v>
      </c>
      <c r="K1805" s="1">
        <v>45874</v>
      </c>
      <c r="L1805" s="1">
        <v>45910</v>
      </c>
      <c r="M1805" s="1" t="str">
        <f>TEXT(Table1[[#This Row],[appointment_date]],"MM/YYYY")</f>
        <v>09/2025</v>
      </c>
      <c r="N1805">
        <v>36</v>
      </c>
      <c r="O1805" t="str" cm="1">
        <f t="array" ref="O1805">_xlfn.IFS(Table1[[#This Row],[lead_time_days]]&lt;=7,"0-7 days",N1805&lt;=14,"8-14 days",N1805&lt;=30,"15-30 days",N1805&lt;=60,"31-60 days",TRUE,"61+ days")</f>
        <v>31-60 days</v>
      </c>
      <c r="P1805" t="s">
        <v>80</v>
      </c>
      <c r="Q1805" t="s">
        <v>32</v>
      </c>
      <c r="R1805">
        <v>0</v>
      </c>
      <c r="S1805" t="str">
        <f>IF(Table1[prior_dna_count]&gt;=1,"Has prior DNA history","No prior DNA history")</f>
        <v>No prior DNA history</v>
      </c>
      <c r="T1805" t="s">
        <v>46</v>
      </c>
      <c r="U1805" t="str">
        <f t="shared" si="28"/>
        <v>1</v>
      </c>
      <c r="V1805" t="str">
        <f>IF(Table1[appointment_status]="Attended","1","0")</f>
        <v>0</v>
      </c>
      <c r="W1805" t="str">
        <f>IF(Table1[appointment_status]="Cancelled","1","0")</f>
        <v>1</v>
      </c>
    </row>
    <row r="1806" spans="1:23">
      <c r="A1806" t="s">
        <v>2921</v>
      </c>
      <c r="B1806" t="s">
        <v>247</v>
      </c>
      <c r="C1806">
        <v>23</v>
      </c>
      <c r="D1806" t="str" cm="1">
        <f t="array" ref="D1806">_xlfn.IFS(Table1[[#This Row],[age]]&lt;=17,"0-17",C1806&lt;=29,"18-29",C1806&lt;=44,"30-44",C1806&lt;=59,"45-59",C1806&lt;=74,"60-74",TRUE,"75+")</f>
        <v>18-29</v>
      </c>
      <c r="E1806" t="s">
        <v>29</v>
      </c>
      <c r="F1806">
        <v>10</v>
      </c>
      <c r="G1806" t="str" cm="1">
        <f t="array" ref="G1806">_xlfn.IFS(_xlfn.SINGLE(Table1[imd_decile])&lt;=3,"Most Deprived",F1806&lt;=7,"Moderately Deprived",F1806&lt;=10,"Least Deprived")</f>
        <v>Least Deprived</v>
      </c>
      <c r="H1806">
        <v>3</v>
      </c>
      <c r="I1806" t="s">
        <v>45</v>
      </c>
      <c r="J1806" t="s">
        <v>19</v>
      </c>
      <c r="K1806" s="1">
        <v>45889</v>
      </c>
      <c r="L1806" s="1">
        <v>45910</v>
      </c>
      <c r="M1806" s="1" t="str">
        <f>TEXT(Table1[[#This Row],[appointment_date]],"MM/YYYY")</f>
        <v>09/2025</v>
      </c>
      <c r="N1806">
        <v>21</v>
      </c>
      <c r="O1806" t="str" cm="1">
        <f t="array" ref="O1806">_xlfn.IFS(Table1[[#This Row],[lead_time_days]]&lt;=7,"0-7 days",N1806&lt;=14,"8-14 days",N1806&lt;=30,"15-30 days",N1806&lt;=60,"31-60 days",TRUE,"61+ days")</f>
        <v>15-30 days</v>
      </c>
      <c r="P1806" t="s">
        <v>80</v>
      </c>
      <c r="Q1806" t="s">
        <v>21</v>
      </c>
      <c r="R1806">
        <v>0</v>
      </c>
      <c r="S1806" t="str">
        <f>IF(Table1[prior_dna_count]&gt;=1,"Has prior DNA history","No prior DNA history")</f>
        <v>No prior DNA history</v>
      </c>
      <c r="T1806" t="s">
        <v>22</v>
      </c>
      <c r="U1806" t="str">
        <f t="shared" si="28"/>
        <v>0</v>
      </c>
      <c r="V1806" t="str">
        <f>IF(Table1[appointment_status]="Attended","1","0")</f>
        <v>1</v>
      </c>
      <c r="W1806" t="str">
        <f>IF(Table1[appointment_status]="Cancelled","1","0")</f>
        <v>0</v>
      </c>
    </row>
    <row r="1807" spans="1:23">
      <c r="A1807" t="s">
        <v>2922</v>
      </c>
      <c r="B1807" t="s">
        <v>2766</v>
      </c>
      <c r="C1807">
        <v>57</v>
      </c>
      <c r="D1807" t="str" cm="1">
        <f t="array" ref="D1807">_xlfn.IFS(Table1[[#This Row],[age]]&lt;=17,"0-17",C1807&lt;=29,"18-29",C1807&lt;=44,"30-44",C1807&lt;=59,"45-59",C1807&lt;=74,"60-74",TRUE,"75+")</f>
        <v>45-59</v>
      </c>
      <c r="E1807" t="s">
        <v>29</v>
      </c>
      <c r="F1807">
        <v>6</v>
      </c>
      <c r="G1807" t="str" cm="1">
        <f t="array" ref="G1807">_xlfn.IFS(_xlfn.SINGLE(Table1[imd_decile])&lt;=3,"Most Deprived",F1807&lt;=7,"Moderately Deprived",F1807&lt;=10,"Least Deprived")</f>
        <v>Moderately Deprived</v>
      </c>
      <c r="H1807">
        <v>11.3</v>
      </c>
      <c r="I1807" t="s">
        <v>25</v>
      </c>
      <c r="J1807" t="s">
        <v>19</v>
      </c>
      <c r="K1807" s="1">
        <v>45822</v>
      </c>
      <c r="L1807" s="1">
        <v>45910</v>
      </c>
      <c r="M1807" s="1" t="str">
        <f>TEXT(Table1[[#This Row],[appointment_date]],"MM/YYYY")</f>
        <v>09/2025</v>
      </c>
      <c r="N1807">
        <v>88</v>
      </c>
      <c r="O1807" t="str" cm="1">
        <f t="array" ref="O1807">_xlfn.IFS(Table1[[#This Row],[lead_time_days]]&lt;=7,"0-7 days",N1807&lt;=14,"8-14 days",N1807&lt;=30,"15-30 days",N1807&lt;=60,"31-60 days",TRUE,"61+ days")</f>
        <v>61+ days</v>
      </c>
      <c r="P1807" t="s">
        <v>80</v>
      </c>
      <c r="Q1807" t="s">
        <v>21</v>
      </c>
      <c r="R1807">
        <v>0</v>
      </c>
      <c r="S1807" t="str">
        <f>IF(Table1[prior_dna_count]&gt;=1,"Has prior DNA history","No prior DNA history")</f>
        <v>No prior DNA history</v>
      </c>
      <c r="T1807" t="s">
        <v>22</v>
      </c>
      <c r="U1807" t="str">
        <f t="shared" si="28"/>
        <v>1</v>
      </c>
      <c r="V1807" t="str">
        <f>IF(Table1[appointment_status]="Attended","1","0")</f>
        <v>1</v>
      </c>
      <c r="W1807" t="str">
        <f>IF(Table1[appointment_status]="Cancelled","1","0")</f>
        <v>0</v>
      </c>
    </row>
    <row r="1808" spans="1:23">
      <c r="A1808" t="s">
        <v>2923</v>
      </c>
      <c r="B1808" t="s">
        <v>2168</v>
      </c>
      <c r="C1808">
        <v>68</v>
      </c>
      <c r="D1808" t="str" cm="1">
        <f t="array" ref="D1808">_xlfn.IFS(Table1[[#This Row],[age]]&lt;=17,"0-17",C1808&lt;=29,"18-29",C1808&lt;=44,"30-44",C1808&lt;=59,"45-59",C1808&lt;=74,"60-74",TRUE,"75+")</f>
        <v>60-74</v>
      </c>
      <c r="E1808" t="s">
        <v>29</v>
      </c>
      <c r="F1808">
        <v>9</v>
      </c>
      <c r="G1808" t="str" cm="1">
        <f t="array" ref="G1808">_xlfn.IFS(_xlfn.SINGLE(Table1[imd_decile])&lt;=3,"Most Deprived",F1808&lt;=7,"Moderately Deprived",F1808&lt;=10,"Least Deprived")</f>
        <v>Least Deprived</v>
      </c>
      <c r="H1808">
        <v>5.9</v>
      </c>
      <c r="I1808" t="s">
        <v>25</v>
      </c>
      <c r="J1808" t="s">
        <v>26</v>
      </c>
      <c r="K1808" s="1">
        <v>45899</v>
      </c>
      <c r="L1808" s="1">
        <v>45910</v>
      </c>
      <c r="M1808" s="1" t="str">
        <f>TEXT(Table1[[#This Row],[appointment_date]],"MM/YYYY")</f>
        <v>09/2025</v>
      </c>
      <c r="N1808">
        <v>11</v>
      </c>
      <c r="O1808" t="str" cm="1">
        <f t="array" ref="O1808">_xlfn.IFS(Table1[[#This Row],[lead_time_days]]&lt;=7,"0-7 days",N1808&lt;=14,"8-14 days",N1808&lt;=30,"15-30 days",N1808&lt;=60,"31-60 days",TRUE,"61+ days")</f>
        <v>8-14 days</v>
      </c>
      <c r="P1808" t="s">
        <v>80</v>
      </c>
      <c r="Q1808" t="s">
        <v>21</v>
      </c>
      <c r="R1808">
        <v>0</v>
      </c>
      <c r="S1808" t="str">
        <f>IF(Table1[prior_dna_count]&gt;=1,"Has prior DNA history","No prior DNA history")</f>
        <v>No prior DNA history</v>
      </c>
      <c r="T1808" t="s">
        <v>22</v>
      </c>
      <c r="U1808" t="str">
        <f t="shared" si="28"/>
        <v>1</v>
      </c>
      <c r="V1808" t="str">
        <f>IF(Table1[appointment_status]="Attended","1","0")</f>
        <v>1</v>
      </c>
      <c r="W1808" t="str">
        <f>IF(Table1[appointment_status]="Cancelled","1","0")</f>
        <v>0</v>
      </c>
    </row>
    <row r="1809" spans="1:23">
      <c r="A1809" t="s">
        <v>2924</v>
      </c>
      <c r="B1809" t="s">
        <v>446</v>
      </c>
      <c r="C1809">
        <v>52</v>
      </c>
      <c r="D1809" t="str" cm="1">
        <f t="array" ref="D1809">_xlfn.IFS(Table1[[#This Row],[age]]&lt;=17,"0-17",C1809&lt;=29,"18-29",C1809&lt;=44,"30-44",C1809&lt;=59,"45-59",C1809&lt;=74,"60-74",TRUE,"75+")</f>
        <v>45-59</v>
      </c>
      <c r="E1809" t="s">
        <v>17</v>
      </c>
      <c r="F1809">
        <v>3</v>
      </c>
      <c r="G1809" t="str" cm="1">
        <f t="array" ref="G1809">_xlfn.IFS(_xlfn.SINGLE(Table1[imd_decile])&lt;=3,"Most Deprived",F1809&lt;=7,"Moderately Deprived",F1809&lt;=10,"Least Deprived")</f>
        <v>Most Deprived</v>
      </c>
      <c r="H1809">
        <v>6.8</v>
      </c>
      <c r="I1809" t="s">
        <v>25</v>
      </c>
      <c r="J1809" t="s">
        <v>19</v>
      </c>
      <c r="K1809" s="1">
        <v>45881</v>
      </c>
      <c r="L1809" s="1">
        <v>45911</v>
      </c>
      <c r="M1809" s="1" t="str">
        <f>TEXT(Table1[[#This Row],[appointment_date]],"MM/YYYY")</f>
        <v>09/2025</v>
      </c>
      <c r="N1809">
        <v>30</v>
      </c>
      <c r="O1809" t="str" cm="1">
        <f t="array" ref="O1809">_xlfn.IFS(Table1[[#This Row],[lead_time_days]]&lt;=7,"0-7 days",N1809&lt;=14,"8-14 days",N1809&lt;=30,"15-30 days",N1809&lt;=60,"31-60 days",TRUE,"61+ days")</f>
        <v>15-30 days</v>
      </c>
      <c r="P1809" t="s">
        <v>20</v>
      </c>
      <c r="Q1809" t="s">
        <v>32</v>
      </c>
      <c r="R1809">
        <v>0</v>
      </c>
      <c r="S1809" t="str">
        <f>IF(Table1[prior_dna_count]&gt;=1,"Has prior DNA history","No prior DNA history")</f>
        <v>No prior DNA history</v>
      </c>
      <c r="T1809" t="s">
        <v>22</v>
      </c>
      <c r="U1809" t="str">
        <f t="shared" si="28"/>
        <v>1</v>
      </c>
      <c r="V1809" t="str">
        <f>IF(Table1[appointment_status]="Attended","1","0")</f>
        <v>1</v>
      </c>
      <c r="W1809" t="str">
        <f>IF(Table1[appointment_status]="Cancelled","1","0")</f>
        <v>0</v>
      </c>
    </row>
    <row r="1810" spans="1:23">
      <c r="A1810" t="s">
        <v>2925</v>
      </c>
      <c r="B1810" t="s">
        <v>54</v>
      </c>
      <c r="C1810">
        <v>79</v>
      </c>
      <c r="D1810" t="str" cm="1">
        <f t="array" ref="D1810">_xlfn.IFS(Table1[[#This Row],[age]]&lt;=17,"0-17",C1810&lt;=29,"18-29",C1810&lt;=44,"30-44",C1810&lt;=59,"45-59",C1810&lt;=74,"60-74",TRUE,"75+")</f>
        <v>75+</v>
      </c>
      <c r="E1810" t="s">
        <v>29</v>
      </c>
      <c r="F1810">
        <v>9</v>
      </c>
      <c r="G1810" t="str" cm="1">
        <f t="array" ref="G1810">_xlfn.IFS(_xlfn.SINGLE(Table1[imd_decile])&lt;=3,"Most Deprived",F1810&lt;=7,"Moderately Deprived",F1810&lt;=10,"Least Deprived")</f>
        <v>Least Deprived</v>
      </c>
      <c r="H1810">
        <v>6.5</v>
      </c>
      <c r="I1810" t="s">
        <v>38</v>
      </c>
      <c r="J1810" t="s">
        <v>19</v>
      </c>
      <c r="K1810" s="1">
        <v>45874</v>
      </c>
      <c r="L1810" s="1">
        <v>45911</v>
      </c>
      <c r="M1810" s="1" t="str">
        <f>TEXT(Table1[[#This Row],[appointment_date]],"MM/YYYY")</f>
        <v>09/2025</v>
      </c>
      <c r="N1810">
        <v>37</v>
      </c>
      <c r="O1810" t="str" cm="1">
        <f t="array" ref="O1810">_xlfn.IFS(Table1[[#This Row],[lead_time_days]]&lt;=7,"0-7 days",N1810&lt;=14,"8-14 days",N1810&lt;=30,"15-30 days",N1810&lt;=60,"31-60 days",TRUE,"61+ days")</f>
        <v>31-60 days</v>
      </c>
      <c r="P1810" t="s">
        <v>20</v>
      </c>
      <c r="Q1810" t="s">
        <v>32</v>
      </c>
      <c r="R1810">
        <v>0</v>
      </c>
      <c r="S1810" t="str">
        <f>IF(Table1[prior_dna_count]&gt;=1,"Has prior DNA history","No prior DNA history")</f>
        <v>No prior DNA history</v>
      </c>
      <c r="T1810" t="s">
        <v>39</v>
      </c>
      <c r="U1810" t="str">
        <f t="shared" si="28"/>
        <v>1</v>
      </c>
      <c r="V1810" t="str">
        <f>IF(Table1[appointment_status]="Attended","1","0")</f>
        <v>0</v>
      </c>
      <c r="W1810" t="str">
        <f>IF(Table1[appointment_status]="Cancelled","1","0")</f>
        <v>0</v>
      </c>
    </row>
    <row r="1811" spans="1:23">
      <c r="A1811" t="s">
        <v>2926</v>
      </c>
      <c r="B1811" t="s">
        <v>2927</v>
      </c>
      <c r="C1811">
        <v>38</v>
      </c>
      <c r="D1811" t="str" cm="1">
        <f t="array" ref="D1811">_xlfn.IFS(Table1[[#This Row],[age]]&lt;=17,"0-17",C1811&lt;=29,"18-29",C1811&lt;=44,"30-44",C1811&lt;=59,"45-59",C1811&lt;=74,"60-74",TRUE,"75+")</f>
        <v>30-44</v>
      </c>
      <c r="E1811" t="s">
        <v>29</v>
      </c>
      <c r="F1811">
        <v>8</v>
      </c>
      <c r="G1811" t="str" cm="1">
        <f t="array" ref="G1811">_xlfn.IFS(_xlfn.SINGLE(Table1[imd_decile])&lt;=3,"Most Deprived",F1811&lt;=7,"Moderately Deprived",F1811&lt;=10,"Least Deprived")</f>
        <v>Least Deprived</v>
      </c>
      <c r="H1811">
        <v>6</v>
      </c>
      <c r="I1811" t="s">
        <v>58</v>
      </c>
      <c r="J1811" t="s">
        <v>26</v>
      </c>
      <c r="K1811" s="1">
        <v>45904</v>
      </c>
      <c r="L1811" s="1">
        <v>45911</v>
      </c>
      <c r="M1811" s="1" t="str">
        <f>TEXT(Table1[[#This Row],[appointment_date]],"MM/YYYY")</f>
        <v>09/2025</v>
      </c>
      <c r="N1811">
        <v>7</v>
      </c>
      <c r="O1811" t="str" cm="1">
        <f t="array" ref="O1811">_xlfn.IFS(Table1[[#This Row],[lead_time_days]]&lt;=7,"0-7 days",N1811&lt;=14,"8-14 days",N1811&lt;=30,"15-30 days",N1811&lt;=60,"31-60 days",TRUE,"61+ days")</f>
        <v>0-7 days</v>
      </c>
      <c r="P1811" t="s">
        <v>20</v>
      </c>
      <c r="Q1811" t="s">
        <v>21</v>
      </c>
      <c r="R1811">
        <v>0</v>
      </c>
      <c r="S1811" t="str">
        <f>IF(Table1[prior_dna_count]&gt;=1,"Has prior DNA history","No prior DNA history")</f>
        <v>No prior DNA history</v>
      </c>
      <c r="T1811" t="s">
        <v>22</v>
      </c>
      <c r="U1811" t="str">
        <f t="shared" si="28"/>
        <v>0</v>
      </c>
      <c r="V1811" t="str">
        <f>IF(Table1[appointment_status]="Attended","1","0")</f>
        <v>1</v>
      </c>
      <c r="W1811" t="str">
        <f>IF(Table1[appointment_status]="Cancelled","1","0")</f>
        <v>0</v>
      </c>
    </row>
    <row r="1812" spans="1:23">
      <c r="A1812" t="s">
        <v>2928</v>
      </c>
      <c r="B1812" t="s">
        <v>438</v>
      </c>
      <c r="C1812">
        <v>34</v>
      </c>
      <c r="D1812" t="str" cm="1">
        <f t="array" ref="D1812">_xlfn.IFS(Table1[[#This Row],[age]]&lt;=17,"0-17",C1812&lt;=29,"18-29",C1812&lt;=44,"30-44",C1812&lt;=59,"45-59",C1812&lt;=74,"60-74",TRUE,"75+")</f>
        <v>30-44</v>
      </c>
      <c r="E1812" t="s">
        <v>17</v>
      </c>
      <c r="F1812">
        <v>8</v>
      </c>
      <c r="G1812" t="str" cm="1">
        <f t="array" ref="G1812">_xlfn.IFS(_xlfn.SINGLE(Table1[imd_decile])&lt;=3,"Most Deprived",F1812&lt;=7,"Moderately Deprived",F1812&lt;=10,"Least Deprived")</f>
        <v>Least Deprived</v>
      </c>
      <c r="H1812">
        <v>6.8</v>
      </c>
      <c r="I1812" t="s">
        <v>42</v>
      </c>
      <c r="J1812" t="s">
        <v>19</v>
      </c>
      <c r="K1812" s="1">
        <v>45891</v>
      </c>
      <c r="L1812" s="1">
        <v>45911</v>
      </c>
      <c r="M1812" s="1" t="str">
        <f>TEXT(Table1[[#This Row],[appointment_date]],"MM/YYYY")</f>
        <v>09/2025</v>
      </c>
      <c r="N1812">
        <v>20</v>
      </c>
      <c r="O1812" t="str" cm="1">
        <f t="array" ref="O1812">_xlfn.IFS(Table1[[#This Row],[lead_time_days]]&lt;=7,"0-7 days",N1812&lt;=14,"8-14 days",N1812&lt;=30,"15-30 days",N1812&lt;=60,"31-60 days",TRUE,"61+ days")</f>
        <v>15-30 days</v>
      </c>
      <c r="P1812" t="s">
        <v>20</v>
      </c>
      <c r="Q1812" t="s">
        <v>21</v>
      </c>
      <c r="R1812">
        <v>0</v>
      </c>
      <c r="S1812" t="str">
        <f>IF(Table1[prior_dna_count]&gt;=1,"Has prior DNA history","No prior DNA history")</f>
        <v>No prior DNA history</v>
      </c>
      <c r="T1812" t="s">
        <v>22</v>
      </c>
      <c r="U1812" t="str">
        <f t="shared" si="28"/>
        <v>1</v>
      </c>
      <c r="V1812" t="str">
        <f>IF(Table1[appointment_status]="Attended","1","0")</f>
        <v>1</v>
      </c>
      <c r="W1812" t="str">
        <f>IF(Table1[appointment_status]="Cancelled","1","0")</f>
        <v>0</v>
      </c>
    </row>
    <row r="1813" spans="1:23">
      <c r="A1813" t="s">
        <v>2929</v>
      </c>
      <c r="B1813" t="s">
        <v>2930</v>
      </c>
      <c r="C1813">
        <v>41</v>
      </c>
      <c r="D1813" t="str" cm="1">
        <f t="array" ref="D1813">_xlfn.IFS(Table1[[#This Row],[age]]&lt;=17,"0-17",C1813&lt;=29,"18-29",C1813&lt;=44,"30-44",C1813&lt;=59,"45-59",C1813&lt;=74,"60-74",TRUE,"75+")</f>
        <v>30-44</v>
      </c>
      <c r="E1813" t="s">
        <v>29</v>
      </c>
      <c r="F1813">
        <v>3</v>
      </c>
      <c r="G1813" t="str" cm="1">
        <f t="array" ref="G1813">_xlfn.IFS(_xlfn.SINGLE(Table1[imd_decile])&lt;=3,"Most Deprived",F1813&lt;=7,"Moderately Deprived",F1813&lt;=10,"Least Deprived")</f>
        <v>Most Deprived</v>
      </c>
      <c r="H1813">
        <v>16</v>
      </c>
      <c r="I1813" t="s">
        <v>155</v>
      </c>
      <c r="J1813" t="s">
        <v>26</v>
      </c>
      <c r="K1813" s="1">
        <v>45897</v>
      </c>
      <c r="L1813" s="1">
        <v>45911</v>
      </c>
      <c r="M1813" s="1" t="str">
        <f>TEXT(Table1[[#This Row],[appointment_date]],"MM/YYYY")</f>
        <v>09/2025</v>
      </c>
      <c r="N1813">
        <v>14</v>
      </c>
      <c r="O1813" t="str" cm="1">
        <f t="array" ref="O1813">_xlfn.IFS(Table1[[#This Row],[lead_time_days]]&lt;=7,"0-7 days",N1813&lt;=14,"8-14 days",N1813&lt;=30,"15-30 days",N1813&lt;=60,"31-60 days",TRUE,"61+ days")</f>
        <v>8-14 days</v>
      </c>
      <c r="P1813" t="s">
        <v>20</v>
      </c>
      <c r="Q1813" t="s">
        <v>21</v>
      </c>
      <c r="R1813">
        <v>0</v>
      </c>
      <c r="S1813" t="str">
        <f>IF(Table1[prior_dna_count]&gt;=1,"Has prior DNA history","No prior DNA history")</f>
        <v>No prior DNA history</v>
      </c>
      <c r="T1813" t="s">
        <v>22</v>
      </c>
      <c r="U1813" t="str">
        <f t="shared" si="28"/>
        <v>1</v>
      </c>
      <c r="V1813" t="str">
        <f>IF(Table1[appointment_status]="Attended","1","0")</f>
        <v>1</v>
      </c>
      <c r="W1813" t="str">
        <f>IF(Table1[appointment_status]="Cancelled","1","0")</f>
        <v>0</v>
      </c>
    </row>
    <row r="1814" spans="1:23">
      <c r="A1814" t="s">
        <v>2931</v>
      </c>
      <c r="B1814" t="s">
        <v>432</v>
      </c>
      <c r="C1814">
        <v>42</v>
      </c>
      <c r="D1814" t="str" cm="1">
        <f t="array" ref="D1814">_xlfn.IFS(Table1[[#This Row],[age]]&lt;=17,"0-17",C1814&lt;=29,"18-29",C1814&lt;=44,"30-44",C1814&lt;=59,"45-59",C1814&lt;=74,"60-74",TRUE,"75+")</f>
        <v>30-44</v>
      </c>
      <c r="E1814" t="s">
        <v>29</v>
      </c>
      <c r="F1814">
        <v>4</v>
      </c>
      <c r="G1814" t="str" cm="1">
        <f t="array" ref="G1814">_xlfn.IFS(_xlfn.SINGLE(Table1[imd_decile])&lt;=3,"Most Deprived",F1814&lt;=7,"Moderately Deprived",F1814&lt;=10,"Least Deprived")</f>
        <v>Moderately Deprived</v>
      </c>
      <c r="H1814">
        <v>7.9</v>
      </c>
      <c r="I1814" t="s">
        <v>42</v>
      </c>
      <c r="J1814" t="s">
        <v>19</v>
      </c>
      <c r="K1814" s="1">
        <v>45876</v>
      </c>
      <c r="L1814" s="1">
        <v>45912</v>
      </c>
      <c r="M1814" s="1" t="str">
        <f>TEXT(Table1[[#This Row],[appointment_date]],"MM/YYYY")</f>
        <v>09/2025</v>
      </c>
      <c r="N1814">
        <v>36</v>
      </c>
      <c r="O1814" t="str" cm="1">
        <f t="array" ref="O1814">_xlfn.IFS(Table1[[#This Row],[lead_time_days]]&lt;=7,"0-7 days",N1814&lt;=14,"8-14 days",N1814&lt;=30,"15-30 days",N1814&lt;=60,"31-60 days",TRUE,"61+ days")</f>
        <v>31-60 days</v>
      </c>
      <c r="P1814" t="s">
        <v>52</v>
      </c>
      <c r="Q1814" t="s">
        <v>21</v>
      </c>
      <c r="R1814">
        <v>0</v>
      </c>
      <c r="S1814" t="str">
        <f>IF(Table1[prior_dna_count]&gt;=1,"Has prior DNA history","No prior DNA history")</f>
        <v>No prior DNA history</v>
      </c>
      <c r="T1814" t="s">
        <v>22</v>
      </c>
      <c r="U1814" t="str">
        <f t="shared" si="28"/>
        <v>1</v>
      </c>
      <c r="V1814" t="str">
        <f>IF(Table1[appointment_status]="Attended","1","0")</f>
        <v>1</v>
      </c>
      <c r="W1814" t="str">
        <f>IF(Table1[appointment_status]="Cancelled","1","0")</f>
        <v>0</v>
      </c>
    </row>
    <row r="1815" spans="1:23">
      <c r="A1815" t="s">
        <v>2932</v>
      </c>
      <c r="B1815" t="s">
        <v>2933</v>
      </c>
      <c r="C1815">
        <v>22</v>
      </c>
      <c r="D1815" t="str" cm="1">
        <f t="array" ref="D1815">_xlfn.IFS(Table1[[#This Row],[age]]&lt;=17,"0-17",C1815&lt;=29,"18-29",C1815&lt;=44,"30-44",C1815&lt;=59,"45-59",C1815&lt;=74,"60-74",TRUE,"75+")</f>
        <v>18-29</v>
      </c>
      <c r="E1815" t="s">
        <v>29</v>
      </c>
      <c r="F1815">
        <v>5</v>
      </c>
      <c r="G1815" t="str" cm="1">
        <f t="array" ref="G1815">_xlfn.IFS(_xlfn.SINGLE(Table1[imd_decile])&lt;=3,"Most Deprived",F1815&lt;=7,"Moderately Deprived",F1815&lt;=10,"Least Deprived")</f>
        <v>Moderately Deprived</v>
      </c>
      <c r="H1815">
        <v>2.9</v>
      </c>
      <c r="I1815" t="s">
        <v>42</v>
      </c>
      <c r="J1815" t="s">
        <v>19</v>
      </c>
      <c r="K1815" s="1">
        <v>45870</v>
      </c>
      <c r="L1815" s="1">
        <v>45912</v>
      </c>
      <c r="M1815" s="1" t="str">
        <f>TEXT(Table1[[#This Row],[appointment_date]],"MM/YYYY")</f>
        <v>09/2025</v>
      </c>
      <c r="N1815">
        <v>42</v>
      </c>
      <c r="O1815" t="str" cm="1">
        <f t="array" ref="O1815">_xlfn.IFS(Table1[[#This Row],[lead_time_days]]&lt;=7,"0-7 days",N1815&lt;=14,"8-14 days",N1815&lt;=30,"15-30 days",N1815&lt;=60,"31-60 days",TRUE,"61+ days")</f>
        <v>31-60 days</v>
      </c>
      <c r="P1815" t="s">
        <v>52</v>
      </c>
      <c r="Q1815" t="s">
        <v>32</v>
      </c>
      <c r="R1815">
        <v>0</v>
      </c>
      <c r="S1815" t="str">
        <f>IF(Table1[prior_dna_count]&gt;=1,"Has prior DNA history","No prior DNA history")</f>
        <v>No prior DNA history</v>
      </c>
      <c r="T1815" t="s">
        <v>39</v>
      </c>
      <c r="U1815" t="str">
        <f t="shared" si="28"/>
        <v>1</v>
      </c>
      <c r="V1815" t="str">
        <f>IF(Table1[appointment_status]="Attended","1","0")</f>
        <v>0</v>
      </c>
      <c r="W1815" t="str">
        <f>IF(Table1[appointment_status]="Cancelled","1","0")</f>
        <v>0</v>
      </c>
    </row>
    <row r="1816" spans="1:23">
      <c r="A1816" t="s">
        <v>2934</v>
      </c>
      <c r="B1816" t="s">
        <v>1695</v>
      </c>
      <c r="C1816">
        <v>63</v>
      </c>
      <c r="D1816" t="str" cm="1">
        <f t="array" ref="D1816">_xlfn.IFS(Table1[[#This Row],[age]]&lt;=17,"0-17",C1816&lt;=29,"18-29",C1816&lt;=44,"30-44",C1816&lt;=59,"45-59",C1816&lt;=74,"60-74",TRUE,"75+")</f>
        <v>60-74</v>
      </c>
      <c r="E1816" t="s">
        <v>17</v>
      </c>
      <c r="F1816">
        <v>8</v>
      </c>
      <c r="G1816" t="str" cm="1">
        <f t="array" ref="G1816">_xlfn.IFS(_xlfn.SINGLE(Table1[imd_decile])&lt;=3,"Most Deprived",F1816&lt;=7,"Moderately Deprived",F1816&lt;=10,"Least Deprived")</f>
        <v>Least Deprived</v>
      </c>
      <c r="H1816">
        <v>7</v>
      </c>
      <c r="I1816" t="s">
        <v>155</v>
      </c>
      <c r="J1816" t="s">
        <v>19</v>
      </c>
      <c r="K1816" s="1">
        <v>45885</v>
      </c>
      <c r="L1816" s="1">
        <v>45912</v>
      </c>
      <c r="M1816" s="1" t="str">
        <f>TEXT(Table1[[#This Row],[appointment_date]],"MM/YYYY")</f>
        <v>09/2025</v>
      </c>
      <c r="N1816">
        <v>27</v>
      </c>
      <c r="O1816" t="str" cm="1">
        <f t="array" ref="O1816">_xlfn.IFS(Table1[[#This Row],[lead_time_days]]&lt;=7,"0-7 days",N1816&lt;=14,"8-14 days",N1816&lt;=30,"15-30 days",N1816&lt;=60,"31-60 days",TRUE,"61+ days")</f>
        <v>15-30 days</v>
      </c>
      <c r="P1816" t="s">
        <v>52</v>
      </c>
      <c r="Q1816" t="s">
        <v>21</v>
      </c>
      <c r="R1816">
        <v>0</v>
      </c>
      <c r="S1816" t="str">
        <f>IF(Table1[prior_dna_count]&gt;=1,"Has prior DNA history","No prior DNA history")</f>
        <v>No prior DNA history</v>
      </c>
      <c r="T1816" t="s">
        <v>22</v>
      </c>
      <c r="U1816" t="str">
        <f t="shared" si="28"/>
        <v>0</v>
      </c>
      <c r="V1816" t="str">
        <f>IF(Table1[appointment_status]="Attended","1","0")</f>
        <v>1</v>
      </c>
      <c r="W1816" t="str">
        <f>IF(Table1[appointment_status]="Cancelled","1","0")</f>
        <v>0</v>
      </c>
    </row>
    <row r="1817" spans="1:23">
      <c r="A1817" t="s">
        <v>2935</v>
      </c>
      <c r="B1817" t="s">
        <v>329</v>
      </c>
      <c r="C1817">
        <v>64</v>
      </c>
      <c r="D1817" t="str" cm="1">
        <f t="array" ref="D1817">_xlfn.IFS(Table1[[#This Row],[age]]&lt;=17,"0-17",C1817&lt;=29,"18-29",C1817&lt;=44,"30-44",C1817&lt;=59,"45-59",C1817&lt;=74,"60-74",TRUE,"75+")</f>
        <v>60-74</v>
      </c>
      <c r="E1817" t="s">
        <v>17</v>
      </c>
      <c r="F1817">
        <v>7</v>
      </c>
      <c r="G1817" t="str" cm="1">
        <f t="array" ref="G1817">_xlfn.IFS(_xlfn.SINGLE(Table1[imd_decile])&lt;=3,"Most Deprived",F1817&lt;=7,"Moderately Deprived",F1817&lt;=10,"Least Deprived")</f>
        <v>Moderately Deprived</v>
      </c>
      <c r="H1817">
        <v>8.8000000000000007</v>
      </c>
      <c r="I1817" t="s">
        <v>45</v>
      </c>
      <c r="J1817" t="s">
        <v>19</v>
      </c>
      <c r="K1817" s="1">
        <v>45865</v>
      </c>
      <c r="L1817" s="1">
        <v>45912</v>
      </c>
      <c r="M1817" s="1" t="str">
        <f>TEXT(Table1[[#This Row],[appointment_date]],"MM/YYYY")</f>
        <v>09/2025</v>
      </c>
      <c r="N1817">
        <v>47</v>
      </c>
      <c r="O1817" t="str" cm="1">
        <f t="array" ref="O1817">_xlfn.IFS(Table1[[#This Row],[lead_time_days]]&lt;=7,"0-7 days",N1817&lt;=14,"8-14 days",N1817&lt;=30,"15-30 days",N1817&lt;=60,"31-60 days",TRUE,"61+ days")</f>
        <v>31-60 days</v>
      </c>
      <c r="P1817" t="s">
        <v>52</v>
      </c>
      <c r="Q1817" t="s">
        <v>21</v>
      </c>
      <c r="R1817">
        <v>0</v>
      </c>
      <c r="S1817" t="str">
        <f>IF(Table1[prior_dna_count]&gt;=1,"Has prior DNA history","No prior DNA history")</f>
        <v>No prior DNA history</v>
      </c>
      <c r="T1817" t="s">
        <v>22</v>
      </c>
      <c r="U1817" t="str">
        <f t="shared" si="28"/>
        <v>1</v>
      </c>
      <c r="V1817" t="str">
        <f>IF(Table1[appointment_status]="Attended","1","0")</f>
        <v>1</v>
      </c>
      <c r="W1817" t="str">
        <f>IF(Table1[appointment_status]="Cancelled","1","0")</f>
        <v>0</v>
      </c>
    </row>
    <row r="1818" spans="1:23">
      <c r="A1818" t="s">
        <v>2936</v>
      </c>
      <c r="B1818" t="s">
        <v>387</v>
      </c>
      <c r="C1818">
        <v>12</v>
      </c>
      <c r="D1818" t="str" cm="1">
        <f t="array" ref="D1818">_xlfn.IFS(Table1[[#This Row],[age]]&lt;=17,"0-17",C1818&lt;=29,"18-29",C1818&lt;=44,"30-44",C1818&lt;=59,"45-59",C1818&lt;=74,"60-74",TRUE,"75+")</f>
        <v>0-17</v>
      </c>
      <c r="E1818" t="s">
        <v>29</v>
      </c>
      <c r="F1818">
        <v>3</v>
      </c>
      <c r="G1818" t="str" cm="1">
        <f t="array" ref="G1818">_xlfn.IFS(_xlfn.SINGLE(Table1[imd_decile])&lt;=3,"Most Deprived",F1818&lt;=7,"Moderately Deprived",F1818&lt;=10,"Least Deprived")</f>
        <v>Most Deprived</v>
      </c>
      <c r="H1818">
        <v>12.6</v>
      </c>
      <c r="I1818" t="s">
        <v>30</v>
      </c>
      <c r="J1818" t="s">
        <v>19</v>
      </c>
      <c r="K1818" s="1">
        <v>45884</v>
      </c>
      <c r="L1818" s="1">
        <v>45912</v>
      </c>
      <c r="M1818" s="1" t="str">
        <f>TEXT(Table1[[#This Row],[appointment_date]],"MM/YYYY")</f>
        <v>09/2025</v>
      </c>
      <c r="N1818">
        <v>28</v>
      </c>
      <c r="O1818" t="str" cm="1">
        <f t="array" ref="O1818">_xlfn.IFS(Table1[[#This Row],[lead_time_days]]&lt;=7,"0-7 days",N1818&lt;=14,"8-14 days",N1818&lt;=30,"15-30 days",N1818&lt;=60,"31-60 days",TRUE,"61+ days")</f>
        <v>15-30 days</v>
      </c>
      <c r="P1818" t="s">
        <v>52</v>
      </c>
      <c r="Q1818" t="s">
        <v>21</v>
      </c>
      <c r="R1818">
        <v>2</v>
      </c>
      <c r="S1818" t="str">
        <f>IF(Table1[prior_dna_count]&gt;=1,"Has prior DNA history","No prior DNA history")</f>
        <v>Has prior DNA history</v>
      </c>
      <c r="T1818" t="s">
        <v>22</v>
      </c>
      <c r="U1818" t="str">
        <f t="shared" si="28"/>
        <v>1</v>
      </c>
      <c r="V1818" t="str">
        <f>IF(Table1[appointment_status]="Attended","1","0")</f>
        <v>1</v>
      </c>
      <c r="W1818" t="str">
        <f>IF(Table1[appointment_status]="Cancelled","1","0")</f>
        <v>0</v>
      </c>
    </row>
    <row r="1819" spans="1:23">
      <c r="A1819" t="s">
        <v>2937</v>
      </c>
      <c r="B1819" t="s">
        <v>484</v>
      </c>
      <c r="C1819">
        <v>45</v>
      </c>
      <c r="D1819" t="str" cm="1">
        <f t="array" ref="D1819">_xlfn.IFS(Table1[[#This Row],[age]]&lt;=17,"0-17",C1819&lt;=29,"18-29",C1819&lt;=44,"30-44",C1819&lt;=59,"45-59",C1819&lt;=74,"60-74",TRUE,"75+")</f>
        <v>45-59</v>
      </c>
      <c r="E1819" t="s">
        <v>29</v>
      </c>
      <c r="F1819">
        <v>3</v>
      </c>
      <c r="G1819" t="str" cm="1">
        <f t="array" ref="G1819">_xlfn.IFS(_xlfn.SINGLE(Table1[imd_decile])&lt;=3,"Most Deprived",F1819&lt;=7,"Moderately Deprived",F1819&lt;=10,"Least Deprived")</f>
        <v>Most Deprived</v>
      </c>
      <c r="H1819">
        <v>4.2</v>
      </c>
      <c r="I1819" t="s">
        <v>49</v>
      </c>
      <c r="J1819" t="s">
        <v>19</v>
      </c>
      <c r="K1819" s="1">
        <v>45893</v>
      </c>
      <c r="L1819" s="1">
        <v>45912</v>
      </c>
      <c r="M1819" s="1" t="str">
        <f>TEXT(Table1[[#This Row],[appointment_date]],"MM/YYYY")</f>
        <v>09/2025</v>
      </c>
      <c r="N1819">
        <v>19</v>
      </c>
      <c r="O1819" t="str" cm="1">
        <f t="array" ref="O1819">_xlfn.IFS(Table1[[#This Row],[lead_time_days]]&lt;=7,"0-7 days",N1819&lt;=14,"8-14 days",N1819&lt;=30,"15-30 days",N1819&lt;=60,"31-60 days",TRUE,"61+ days")</f>
        <v>15-30 days</v>
      </c>
      <c r="P1819" t="s">
        <v>52</v>
      </c>
      <c r="Q1819" t="s">
        <v>21</v>
      </c>
      <c r="R1819">
        <v>0</v>
      </c>
      <c r="S1819" t="str">
        <f>IF(Table1[prior_dna_count]&gt;=1,"Has prior DNA history","No prior DNA history")</f>
        <v>No prior DNA history</v>
      </c>
      <c r="T1819" t="s">
        <v>22</v>
      </c>
      <c r="U1819" t="str">
        <f t="shared" si="28"/>
        <v>1</v>
      </c>
      <c r="V1819" t="str">
        <f>IF(Table1[appointment_status]="Attended","1","0")</f>
        <v>1</v>
      </c>
      <c r="W1819" t="str">
        <f>IF(Table1[appointment_status]="Cancelled","1","0")</f>
        <v>0</v>
      </c>
    </row>
    <row r="1820" spans="1:23">
      <c r="A1820" t="s">
        <v>2938</v>
      </c>
      <c r="B1820" t="s">
        <v>1683</v>
      </c>
      <c r="C1820">
        <v>42</v>
      </c>
      <c r="D1820" t="str" cm="1">
        <f t="array" ref="D1820">_xlfn.IFS(Table1[[#This Row],[age]]&lt;=17,"0-17",C1820&lt;=29,"18-29",C1820&lt;=44,"30-44",C1820&lt;=59,"45-59",C1820&lt;=74,"60-74",TRUE,"75+")</f>
        <v>30-44</v>
      </c>
      <c r="E1820" t="s">
        <v>17</v>
      </c>
      <c r="F1820">
        <v>1</v>
      </c>
      <c r="G1820" t="str" cm="1">
        <f t="array" ref="G1820">_xlfn.IFS(_xlfn.SINGLE(Table1[imd_decile])&lt;=3,"Most Deprived",F1820&lt;=7,"Moderately Deprived",F1820&lt;=10,"Least Deprived")</f>
        <v>Most Deprived</v>
      </c>
      <c r="H1820">
        <v>6.1</v>
      </c>
      <c r="I1820" t="s">
        <v>155</v>
      </c>
      <c r="J1820" t="s">
        <v>19</v>
      </c>
      <c r="K1820" s="1">
        <v>45870</v>
      </c>
      <c r="L1820" s="1">
        <v>45912</v>
      </c>
      <c r="M1820" s="1" t="str">
        <f>TEXT(Table1[[#This Row],[appointment_date]],"MM/YYYY")</f>
        <v>09/2025</v>
      </c>
      <c r="N1820">
        <v>42</v>
      </c>
      <c r="O1820" t="str" cm="1">
        <f t="array" ref="O1820">_xlfn.IFS(Table1[[#This Row],[lead_time_days]]&lt;=7,"0-7 days",N1820&lt;=14,"8-14 days",N1820&lt;=30,"15-30 days",N1820&lt;=60,"31-60 days",TRUE,"61+ days")</f>
        <v>31-60 days</v>
      </c>
      <c r="P1820" t="s">
        <v>52</v>
      </c>
      <c r="Q1820" t="s">
        <v>21</v>
      </c>
      <c r="R1820">
        <v>0</v>
      </c>
      <c r="S1820" t="str">
        <f>IF(Table1[prior_dna_count]&gt;=1,"Has prior DNA history","No prior DNA history")</f>
        <v>No prior DNA history</v>
      </c>
      <c r="T1820" t="s">
        <v>39</v>
      </c>
      <c r="U1820" t="str">
        <f t="shared" si="28"/>
        <v>1</v>
      </c>
      <c r="V1820" t="str">
        <f>IF(Table1[appointment_status]="Attended","1","0")</f>
        <v>0</v>
      </c>
      <c r="W1820" t="str">
        <f>IF(Table1[appointment_status]="Cancelled","1","0")</f>
        <v>0</v>
      </c>
    </row>
    <row r="1821" spans="1:23">
      <c r="A1821" t="s">
        <v>2939</v>
      </c>
      <c r="B1821" t="s">
        <v>2940</v>
      </c>
      <c r="C1821">
        <v>70</v>
      </c>
      <c r="D1821" t="str" cm="1">
        <f t="array" ref="D1821">_xlfn.IFS(Table1[[#This Row],[age]]&lt;=17,"0-17",C1821&lt;=29,"18-29",C1821&lt;=44,"30-44",C1821&lt;=59,"45-59",C1821&lt;=74,"60-74",TRUE,"75+")</f>
        <v>60-74</v>
      </c>
      <c r="E1821" t="s">
        <v>29</v>
      </c>
      <c r="F1821">
        <v>3</v>
      </c>
      <c r="G1821" t="str" cm="1">
        <f t="array" ref="G1821">_xlfn.IFS(_xlfn.SINGLE(Table1[imd_decile])&lt;=3,"Most Deprived",F1821&lt;=7,"Moderately Deprived",F1821&lt;=10,"Least Deprived")</f>
        <v>Most Deprived</v>
      </c>
      <c r="H1821">
        <v>0.6</v>
      </c>
      <c r="I1821" t="s">
        <v>58</v>
      </c>
      <c r="J1821" t="s">
        <v>19</v>
      </c>
      <c r="K1821" s="1">
        <v>45879</v>
      </c>
      <c r="L1821" s="1">
        <v>45912</v>
      </c>
      <c r="M1821" s="1" t="str">
        <f>TEXT(Table1[[#This Row],[appointment_date]],"MM/YYYY")</f>
        <v>09/2025</v>
      </c>
      <c r="N1821">
        <v>33</v>
      </c>
      <c r="O1821" t="str" cm="1">
        <f t="array" ref="O1821">_xlfn.IFS(Table1[[#This Row],[lead_time_days]]&lt;=7,"0-7 days",N1821&lt;=14,"8-14 days",N1821&lt;=30,"15-30 days",N1821&lt;=60,"31-60 days",TRUE,"61+ days")</f>
        <v>31-60 days</v>
      </c>
      <c r="P1821" t="s">
        <v>52</v>
      </c>
      <c r="Q1821" t="s">
        <v>32</v>
      </c>
      <c r="R1821">
        <v>0</v>
      </c>
      <c r="S1821" t="str">
        <f>IF(Table1[prior_dna_count]&gt;=1,"Has prior DNA history","No prior DNA history")</f>
        <v>No prior DNA history</v>
      </c>
      <c r="T1821" t="s">
        <v>22</v>
      </c>
      <c r="U1821" t="str">
        <f t="shared" si="28"/>
        <v>0</v>
      </c>
      <c r="V1821" t="str">
        <f>IF(Table1[appointment_status]="Attended","1","0")</f>
        <v>1</v>
      </c>
      <c r="W1821" t="str">
        <f>IF(Table1[appointment_status]="Cancelled","1","0")</f>
        <v>0</v>
      </c>
    </row>
    <row r="1822" spans="1:23">
      <c r="A1822" t="s">
        <v>2941</v>
      </c>
      <c r="B1822" t="s">
        <v>983</v>
      </c>
      <c r="C1822">
        <v>33</v>
      </c>
      <c r="D1822" t="str" cm="1">
        <f t="array" ref="D1822">_xlfn.IFS(Table1[[#This Row],[age]]&lt;=17,"0-17",C1822&lt;=29,"18-29",C1822&lt;=44,"30-44",C1822&lt;=59,"45-59",C1822&lt;=74,"60-74",TRUE,"75+")</f>
        <v>30-44</v>
      </c>
      <c r="E1822" t="s">
        <v>17</v>
      </c>
      <c r="F1822">
        <v>3</v>
      </c>
      <c r="G1822" t="str" cm="1">
        <f t="array" ref="G1822">_xlfn.IFS(_xlfn.SINGLE(Table1[imd_decile])&lt;=3,"Most Deprived",F1822&lt;=7,"Moderately Deprived",F1822&lt;=10,"Least Deprived")</f>
        <v>Most Deprived</v>
      </c>
      <c r="H1822">
        <v>6.9</v>
      </c>
      <c r="I1822" t="s">
        <v>30</v>
      </c>
      <c r="J1822" t="s">
        <v>19</v>
      </c>
      <c r="K1822" s="1">
        <v>45899</v>
      </c>
      <c r="L1822" s="1">
        <v>45912</v>
      </c>
      <c r="M1822" s="1" t="str">
        <f>TEXT(Table1[[#This Row],[appointment_date]],"MM/YYYY")</f>
        <v>09/2025</v>
      </c>
      <c r="N1822">
        <v>13</v>
      </c>
      <c r="O1822" t="str" cm="1">
        <f t="array" ref="O1822">_xlfn.IFS(Table1[[#This Row],[lead_time_days]]&lt;=7,"0-7 days",N1822&lt;=14,"8-14 days",N1822&lt;=30,"15-30 days",N1822&lt;=60,"31-60 days",TRUE,"61+ days")</f>
        <v>8-14 days</v>
      </c>
      <c r="P1822" t="s">
        <v>52</v>
      </c>
      <c r="Q1822" t="s">
        <v>21</v>
      </c>
      <c r="R1822">
        <v>0</v>
      </c>
      <c r="S1822" t="str">
        <f>IF(Table1[prior_dna_count]&gt;=1,"Has prior DNA history","No prior DNA history")</f>
        <v>No prior DNA history</v>
      </c>
      <c r="T1822" t="s">
        <v>22</v>
      </c>
      <c r="U1822" t="str">
        <f t="shared" si="28"/>
        <v>1</v>
      </c>
      <c r="V1822" t="str">
        <f>IF(Table1[appointment_status]="Attended","1","0")</f>
        <v>1</v>
      </c>
      <c r="W1822" t="str">
        <f>IF(Table1[appointment_status]="Cancelled","1","0")</f>
        <v>0</v>
      </c>
    </row>
    <row r="1823" spans="1:23">
      <c r="A1823" t="s">
        <v>2942</v>
      </c>
      <c r="B1823" t="s">
        <v>2248</v>
      </c>
      <c r="C1823">
        <v>14</v>
      </c>
      <c r="D1823" t="str" cm="1">
        <f t="array" ref="D1823">_xlfn.IFS(Table1[[#This Row],[age]]&lt;=17,"0-17",C1823&lt;=29,"18-29",C1823&lt;=44,"30-44",C1823&lt;=59,"45-59",C1823&lt;=74,"60-74",TRUE,"75+")</f>
        <v>0-17</v>
      </c>
      <c r="E1823" t="s">
        <v>17</v>
      </c>
      <c r="F1823">
        <v>5</v>
      </c>
      <c r="G1823" t="str" cm="1">
        <f t="array" ref="G1823">_xlfn.IFS(_xlfn.SINGLE(Table1[imd_decile])&lt;=3,"Most Deprived",F1823&lt;=7,"Moderately Deprived",F1823&lt;=10,"Least Deprived")</f>
        <v>Moderately Deprived</v>
      </c>
      <c r="H1823">
        <v>10</v>
      </c>
      <c r="I1823" t="s">
        <v>155</v>
      </c>
      <c r="J1823" t="s">
        <v>19</v>
      </c>
      <c r="K1823" s="1">
        <v>45893</v>
      </c>
      <c r="L1823" s="1">
        <v>45912</v>
      </c>
      <c r="M1823" s="1" t="str">
        <f>TEXT(Table1[[#This Row],[appointment_date]],"MM/YYYY")</f>
        <v>09/2025</v>
      </c>
      <c r="N1823">
        <v>19</v>
      </c>
      <c r="O1823" t="str" cm="1">
        <f t="array" ref="O1823">_xlfn.IFS(Table1[[#This Row],[lead_time_days]]&lt;=7,"0-7 days",N1823&lt;=14,"8-14 days",N1823&lt;=30,"15-30 days",N1823&lt;=60,"31-60 days",TRUE,"61+ days")</f>
        <v>15-30 days</v>
      </c>
      <c r="P1823" t="s">
        <v>52</v>
      </c>
      <c r="Q1823" t="s">
        <v>21</v>
      </c>
      <c r="R1823">
        <v>0</v>
      </c>
      <c r="S1823" t="str">
        <f>IF(Table1[prior_dna_count]&gt;=1,"Has prior DNA history","No prior DNA history")</f>
        <v>No prior DNA history</v>
      </c>
      <c r="T1823" t="s">
        <v>46</v>
      </c>
      <c r="U1823" t="str">
        <f t="shared" si="28"/>
        <v>1</v>
      </c>
      <c r="V1823" t="str">
        <f>IF(Table1[appointment_status]="Attended","1","0")</f>
        <v>0</v>
      </c>
      <c r="W1823" t="str">
        <f>IF(Table1[appointment_status]="Cancelled","1","0")</f>
        <v>1</v>
      </c>
    </row>
    <row r="1824" spans="1:23">
      <c r="A1824" t="s">
        <v>2943</v>
      </c>
      <c r="B1824" t="s">
        <v>1462</v>
      </c>
      <c r="C1824">
        <v>41</v>
      </c>
      <c r="D1824" t="str" cm="1">
        <f t="array" ref="D1824">_xlfn.IFS(Table1[[#This Row],[age]]&lt;=17,"0-17",C1824&lt;=29,"18-29",C1824&lt;=44,"30-44",C1824&lt;=59,"45-59",C1824&lt;=74,"60-74",TRUE,"75+")</f>
        <v>30-44</v>
      </c>
      <c r="E1824" t="s">
        <v>17</v>
      </c>
      <c r="F1824">
        <v>6</v>
      </c>
      <c r="G1824" t="str" cm="1">
        <f t="array" ref="G1824">_xlfn.IFS(_xlfn.SINGLE(Table1[imd_decile])&lt;=3,"Most Deprived",F1824&lt;=7,"Moderately Deprived",F1824&lt;=10,"Least Deprived")</f>
        <v>Moderately Deprived</v>
      </c>
      <c r="H1824">
        <v>7.3</v>
      </c>
      <c r="I1824" t="s">
        <v>58</v>
      </c>
      <c r="J1824" t="s">
        <v>19</v>
      </c>
      <c r="K1824" s="1">
        <v>45908</v>
      </c>
      <c r="L1824" s="1">
        <v>45913</v>
      </c>
      <c r="M1824" s="1" t="str">
        <f>TEXT(Table1[[#This Row],[appointment_date]],"MM/YYYY")</f>
        <v>09/2025</v>
      </c>
      <c r="N1824">
        <v>5</v>
      </c>
      <c r="O1824" t="str" cm="1">
        <f t="array" ref="O1824">_xlfn.IFS(Table1[[#This Row],[lead_time_days]]&lt;=7,"0-7 days",N1824&lt;=14,"8-14 days",N1824&lt;=30,"15-30 days",N1824&lt;=60,"31-60 days",TRUE,"61+ days")</f>
        <v>0-7 days</v>
      </c>
      <c r="P1824" t="s">
        <v>55</v>
      </c>
      <c r="Q1824" t="s">
        <v>21</v>
      </c>
      <c r="R1824">
        <v>0</v>
      </c>
      <c r="S1824" t="str">
        <f>IF(Table1[prior_dna_count]&gt;=1,"Has prior DNA history","No prior DNA history")</f>
        <v>No prior DNA history</v>
      </c>
      <c r="T1824" t="s">
        <v>22</v>
      </c>
      <c r="U1824" t="str">
        <f t="shared" si="28"/>
        <v>0</v>
      </c>
      <c r="V1824" t="str">
        <f>IF(Table1[appointment_status]="Attended","1","0")</f>
        <v>1</v>
      </c>
      <c r="W1824" t="str">
        <f>IF(Table1[appointment_status]="Cancelled","1","0")</f>
        <v>0</v>
      </c>
    </row>
    <row r="1825" spans="1:23">
      <c r="A1825" t="s">
        <v>2944</v>
      </c>
      <c r="B1825" t="s">
        <v>770</v>
      </c>
      <c r="C1825">
        <v>37</v>
      </c>
      <c r="D1825" t="str" cm="1">
        <f t="array" ref="D1825">_xlfn.IFS(Table1[[#This Row],[age]]&lt;=17,"0-17",C1825&lt;=29,"18-29",C1825&lt;=44,"30-44",C1825&lt;=59,"45-59",C1825&lt;=74,"60-74",TRUE,"75+")</f>
        <v>30-44</v>
      </c>
      <c r="E1825" t="s">
        <v>29</v>
      </c>
      <c r="F1825">
        <v>5</v>
      </c>
      <c r="G1825" t="str" cm="1">
        <f t="array" ref="G1825">_xlfn.IFS(_xlfn.SINGLE(Table1[imd_decile])&lt;=3,"Most Deprived",F1825&lt;=7,"Moderately Deprived",F1825&lt;=10,"Least Deprived")</f>
        <v>Moderately Deprived</v>
      </c>
      <c r="H1825">
        <v>14.4</v>
      </c>
      <c r="I1825" t="s">
        <v>155</v>
      </c>
      <c r="J1825" t="s">
        <v>26</v>
      </c>
      <c r="K1825" s="1">
        <v>45910</v>
      </c>
      <c r="L1825" s="1">
        <v>45913</v>
      </c>
      <c r="M1825" s="1" t="str">
        <f>TEXT(Table1[[#This Row],[appointment_date]],"MM/YYYY")</f>
        <v>09/2025</v>
      </c>
      <c r="N1825">
        <v>3</v>
      </c>
      <c r="O1825" t="str" cm="1">
        <f t="array" ref="O1825">_xlfn.IFS(Table1[[#This Row],[lead_time_days]]&lt;=7,"0-7 days",N1825&lt;=14,"8-14 days",N1825&lt;=30,"15-30 days",N1825&lt;=60,"31-60 days",TRUE,"61+ days")</f>
        <v>0-7 days</v>
      </c>
      <c r="P1825" t="s">
        <v>55</v>
      </c>
      <c r="Q1825" t="s">
        <v>32</v>
      </c>
      <c r="R1825">
        <v>0</v>
      </c>
      <c r="S1825" t="str">
        <f>IF(Table1[prior_dna_count]&gt;=1,"Has prior DNA history","No prior DNA history")</f>
        <v>No prior DNA history</v>
      </c>
      <c r="T1825" t="s">
        <v>39</v>
      </c>
      <c r="U1825" t="str">
        <f t="shared" si="28"/>
        <v>1</v>
      </c>
      <c r="V1825" t="str">
        <f>IF(Table1[appointment_status]="Attended","1","0")</f>
        <v>0</v>
      </c>
      <c r="W1825" t="str">
        <f>IF(Table1[appointment_status]="Cancelled","1","0")</f>
        <v>0</v>
      </c>
    </row>
    <row r="1826" spans="1:23">
      <c r="A1826" t="s">
        <v>2945</v>
      </c>
      <c r="B1826" t="s">
        <v>969</v>
      </c>
      <c r="C1826">
        <v>54</v>
      </c>
      <c r="D1826" t="str" cm="1">
        <f t="array" ref="D1826">_xlfn.IFS(Table1[[#This Row],[age]]&lt;=17,"0-17",C1826&lt;=29,"18-29",C1826&lt;=44,"30-44",C1826&lt;=59,"45-59",C1826&lt;=74,"60-74",TRUE,"75+")</f>
        <v>45-59</v>
      </c>
      <c r="E1826" t="s">
        <v>17</v>
      </c>
      <c r="F1826">
        <v>5</v>
      </c>
      <c r="G1826" t="str" cm="1">
        <f t="array" ref="G1826">_xlfn.IFS(_xlfn.SINGLE(Table1[imd_decile])&lt;=3,"Most Deprived",F1826&lt;=7,"Moderately Deprived",F1826&lt;=10,"Least Deprived")</f>
        <v>Moderately Deprived</v>
      </c>
      <c r="H1826">
        <v>7.9</v>
      </c>
      <c r="I1826" t="s">
        <v>91</v>
      </c>
      <c r="J1826" t="s">
        <v>19</v>
      </c>
      <c r="K1826" s="1">
        <v>45869</v>
      </c>
      <c r="L1826" s="1">
        <v>45913</v>
      </c>
      <c r="M1826" s="1" t="str">
        <f>TEXT(Table1[[#This Row],[appointment_date]],"MM/YYYY")</f>
        <v>09/2025</v>
      </c>
      <c r="N1826">
        <v>44</v>
      </c>
      <c r="O1826" t="str" cm="1">
        <f t="array" ref="O1826">_xlfn.IFS(Table1[[#This Row],[lead_time_days]]&lt;=7,"0-7 days",N1826&lt;=14,"8-14 days",N1826&lt;=30,"15-30 days",N1826&lt;=60,"31-60 days",TRUE,"61+ days")</f>
        <v>31-60 days</v>
      </c>
      <c r="P1826" t="s">
        <v>55</v>
      </c>
      <c r="Q1826" t="s">
        <v>21</v>
      </c>
      <c r="R1826">
        <v>0</v>
      </c>
      <c r="S1826" t="str">
        <f>IF(Table1[prior_dna_count]&gt;=1,"Has prior DNA history","No prior DNA history")</f>
        <v>No prior DNA history</v>
      </c>
      <c r="T1826" t="s">
        <v>22</v>
      </c>
      <c r="U1826" t="str">
        <f t="shared" si="28"/>
        <v>0</v>
      </c>
      <c r="V1826" t="str">
        <f>IF(Table1[appointment_status]="Attended","1","0")</f>
        <v>1</v>
      </c>
      <c r="W1826" t="str">
        <f>IF(Table1[appointment_status]="Cancelled","1","0")</f>
        <v>0</v>
      </c>
    </row>
    <row r="1827" spans="1:23">
      <c r="A1827" t="s">
        <v>2946</v>
      </c>
      <c r="B1827" t="s">
        <v>1014</v>
      </c>
      <c r="C1827">
        <v>19</v>
      </c>
      <c r="D1827" t="str" cm="1">
        <f t="array" ref="D1827">_xlfn.IFS(Table1[[#This Row],[age]]&lt;=17,"0-17",C1827&lt;=29,"18-29",C1827&lt;=44,"30-44",C1827&lt;=59,"45-59",C1827&lt;=74,"60-74",TRUE,"75+")</f>
        <v>18-29</v>
      </c>
      <c r="E1827" t="s">
        <v>29</v>
      </c>
      <c r="F1827">
        <v>5</v>
      </c>
      <c r="G1827" t="str" cm="1">
        <f t="array" ref="G1827">_xlfn.IFS(_xlfn.SINGLE(Table1[imd_decile])&lt;=3,"Most Deprived",F1827&lt;=7,"Moderately Deprived",F1827&lt;=10,"Least Deprived")</f>
        <v>Moderately Deprived</v>
      </c>
      <c r="H1827">
        <v>20.2</v>
      </c>
      <c r="I1827" t="s">
        <v>18</v>
      </c>
      <c r="J1827" t="s">
        <v>19</v>
      </c>
      <c r="K1827" s="1">
        <v>45880</v>
      </c>
      <c r="L1827" s="1">
        <v>45913</v>
      </c>
      <c r="M1827" s="1" t="str">
        <f>TEXT(Table1[[#This Row],[appointment_date]],"MM/YYYY")</f>
        <v>09/2025</v>
      </c>
      <c r="N1827">
        <v>33</v>
      </c>
      <c r="O1827" t="str" cm="1">
        <f t="array" ref="O1827">_xlfn.IFS(Table1[[#This Row],[lead_time_days]]&lt;=7,"0-7 days",N1827&lt;=14,"8-14 days",N1827&lt;=30,"15-30 days",N1827&lt;=60,"31-60 days",TRUE,"61+ days")</f>
        <v>31-60 days</v>
      </c>
      <c r="P1827" t="s">
        <v>55</v>
      </c>
      <c r="Q1827" t="s">
        <v>21</v>
      </c>
      <c r="R1827">
        <v>0</v>
      </c>
      <c r="S1827" t="str">
        <f>IF(Table1[prior_dna_count]&gt;=1,"Has prior DNA history","No prior DNA history")</f>
        <v>No prior DNA history</v>
      </c>
      <c r="T1827" t="s">
        <v>22</v>
      </c>
      <c r="U1827" t="str">
        <f t="shared" si="28"/>
        <v>1</v>
      </c>
      <c r="V1827" t="str">
        <f>IF(Table1[appointment_status]="Attended","1","0")</f>
        <v>1</v>
      </c>
      <c r="W1827" t="str">
        <f>IF(Table1[appointment_status]="Cancelled","1","0")</f>
        <v>0</v>
      </c>
    </row>
    <row r="1828" spans="1:23">
      <c r="A1828" t="s">
        <v>2947</v>
      </c>
      <c r="B1828" t="s">
        <v>1900</v>
      </c>
      <c r="C1828">
        <v>51</v>
      </c>
      <c r="D1828" t="str" cm="1">
        <f t="array" ref="D1828">_xlfn.IFS(Table1[[#This Row],[age]]&lt;=17,"0-17",C1828&lt;=29,"18-29",C1828&lt;=44,"30-44",C1828&lt;=59,"45-59",C1828&lt;=74,"60-74",TRUE,"75+")</f>
        <v>45-59</v>
      </c>
      <c r="E1828" t="s">
        <v>17</v>
      </c>
      <c r="F1828">
        <v>4</v>
      </c>
      <c r="G1828" t="str" cm="1">
        <f t="array" ref="G1828">_xlfn.IFS(_xlfn.SINGLE(Table1[imd_decile])&lt;=3,"Most Deprived",F1828&lt;=7,"Moderately Deprived",F1828&lt;=10,"Least Deprived")</f>
        <v>Moderately Deprived</v>
      </c>
      <c r="H1828">
        <v>5.6</v>
      </c>
      <c r="I1828" t="s">
        <v>91</v>
      </c>
      <c r="J1828" t="s">
        <v>26</v>
      </c>
      <c r="K1828" s="1">
        <v>45890</v>
      </c>
      <c r="L1828" s="1">
        <v>45913</v>
      </c>
      <c r="M1828" s="1" t="str">
        <f>TEXT(Table1[[#This Row],[appointment_date]],"MM/YYYY")</f>
        <v>09/2025</v>
      </c>
      <c r="N1828">
        <v>23</v>
      </c>
      <c r="O1828" t="str" cm="1">
        <f t="array" ref="O1828">_xlfn.IFS(Table1[[#This Row],[lead_time_days]]&lt;=7,"0-7 days",N1828&lt;=14,"8-14 days",N1828&lt;=30,"15-30 days",N1828&lt;=60,"31-60 days",TRUE,"61+ days")</f>
        <v>15-30 days</v>
      </c>
      <c r="P1828" t="s">
        <v>55</v>
      </c>
      <c r="Q1828" t="s">
        <v>21</v>
      </c>
      <c r="R1828">
        <v>0</v>
      </c>
      <c r="S1828" t="str">
        <f>IF(Table1[prior_dna_count]&gt;=1,"Has prior DNA history","No prior DNA history")</f>
        <v>No prior DNA history</v>
      </c>
      <c r="T1828" t="s">
        <v>22</v>
      </c>
      <c r="U1828" t="str">
        <f t="shared" si="28"/>
        <v>1</v>
      </c>
      <c r="V1828" t="str">
        <f>IF(Table1[appointment_status]="Attended","1","0")</f>
        <v>1</v>
      </c>
      <c r="W1828" t="str">
        <f>IF(Table1[appointment_status]="Cancelled","1","0")</f>
        <v>0</v>
      </c>
    </row>
    <row r="1829" spans="1:23">
      <c r="A1829" t="s">
        <v>2948</v>
      </c>
      <c r="B1829" t="s">
        <v>2949</v>
      </c>
      <c r="C1829">
        <v>46</v>
      </c>
      <c r="D1829" t="str" cm="1">
        <f t="array" ref="D1829">_xlfn.IFS(Table1[[#This Row],[age]]&lt;=17,"0-17",C1829&lt;=29,"18-29",C1829&lt;=44,"30-44",C1829&lt;=59,"45-59",C1829&lt;=74,"60-74",TRUE,"75+")</f>
        <v>45-59</v>
      </c>
      <c r="E1829" t="s">
        <v>29</v>
      </c>
      <c r="F1829">
        <v>8</v>
      </c>
      <c r="G1829" t="str" cm="1">
        <f t="array" ref="G1829">_xlfn.IFS(_xlfn.SINGLE(Table1[imd_decile])&lt;=3,"Most Deprived",F1829&lt;=7,"Moderately Deprived",F1829&lt;=10,"Least Deprived")</f>
        <v>Least Deprived</v>
      </c>
      <c r="H1829">
        <v>3.8</v>
      </c>
      <c r="I1829" t="s">
        <v>42</v>
      </c>
      <c r="J1829" t="s">
        <v>19</v>
      </c>
      <c r="K1829" s="1">
        <v>45865</v>
      </c>
      <c r="L1829" s="1">
        <v>45913</v>
      </c>
      <c r="M1829" s="1" t="str">
        <f>TEXT(Table1[[#This Row],[appointment_date]],"MM/YYYY")</f>
        <v>09/2025</v>
      </c>
      <c r="N1829">
        <v>48</v>
      </c>
      <c r="O1829" t="str" cm="1">
        <f t="array" ref="O1829">_xlfn.IFS(Table1[[#This Row],[lead_time_days]]&lt;=7,"0-7 days",N1829&lt;=14,"8-14 days",N1829&lt;=30,"15-30 days",N1829&lt;=60,"31-60 days",TRUE,"61+ days")</f>
        <v>31-60 days</v>
      </c>
      <c r="P1829" t="s">
        <v>55</v>
      </c>
      <c r="Q1829" t="s">
        <v>21</v>
      </c>
      <c r="R1829">
        <v>0</v>
      </c>
      <c r="S1829" t="str">
        <f>IF(Table1[prior_dna_count]&gt;=1,"Has prior DNA history","No prior DNA history")</f>
        <v>No prior DNA history</v>
      </c>
      <c r="T1829" t="s">
        <v>39</v>
      </c>
      <c r="U1829" t="str">
        <f t="shared" si="28"/>
        <v>1</v>
      </c>
      <c r="V1829" t="str">
        <f>IF(Table1[appointment_status]="Attended","1","0")</f>
        <v>0</v>
      </c>
      <c r="W1829" t="str">
        <f>IF(Table1[appointment_status]="Cancelled","1","0")</f>
        <v>0</v>
      </c>
    </row>
    <row r="1830" spans="1:23">
      <c r="A1830" t="s">
        <v>2950</v>
      </c>
      <c r="B1830" t="s">
        <v>2372</v>
      </c>
      <c r="C1830">
        <v>45</v>
      </c>
      <c r="D1830" t="str" cm="1">
        <f t="array" ref="D1830">_xlfn.IFS(Table1[[#This Row],[age]]&lt;=17,"0-17",C1830&lt;=29,"18-29",C1830&lt;=44,"30-44",C1830&lt;=59,"45-59",C1830&lt;=74,"60-74",TRUE,"75+")</f>
        <v>45-59</v>
      </c>
      <c r="E1830" t="s">
        <v>17</v>
      </c>
      <c r="F1830">
        <v>4</v>
      </c>
      <c r="G1830" t="str" cm="1">
        <f t="array" ref="G1830">_xlfn.IFS(_xlfn.SINGLE(Table1[imd_decile])&lt;=3,"Most Deprived",F1830&lt;=7,"Moderately Deprived",F1830&lt;=10,"Least Deprived")</f>
        <v>Moderately Deprived</v>
      </c>
      <c r="H1830">
        <v>5.4</v>
      </c>
      <c r="I1830" t="s">
        <v>38</v>
      </c>
      <c r="J1830" t="s">
        <v>19</v>
      </c>
      <c r="K1830" s="1">
        <v>45897</v>
      </c>
      <c r="L1830" s="1">
        <v>45913</v>
      </c>
      <c r="M1830" s="1" t="str">
        <f>TEXT(Table1[[#This Row],[appointment_date]],"MM/YYYY")</f>
        <v>09/2025</v>
      </c>
      <c r="N1830">
        <v>16</v>
      </c>
      <c r="O1830" t="str" cm="1">
        <f t="array" ref="O1830">_xlfn.IFS(Table1[[#This Row],[lead_time_days]]&lt;=7,"0-7 days",N1830&lt;=14,"8-14 days",N1830&lt;=30,"15-30 days",N1830&lt;=60,"31-60 days",TRUE,"61+ days")</f>
        <v>15-30 days</v>
      </c>
      <c r="P1830" t="s">
        <v>55</v>
      </c>
      <c r="Q1830" t="s">
        <v>21</v>
      </c>
      <c r="R1830">
        <v>0</v>
      </c>
      <c r="S1830" t="str">
        <f>IF(Table1[prior_dna_count]&gt;=1,"Has prior DNA history","No prior DNA history")</f>
        <v>No prior DNA history</v>
      </c>
      <c r="T1830" t="s">
        <v>22</v>
      </c>
      <c r="U1830" t="str">
        <f t="shared" si="28"/>
        <v>0</v>
      </c>
      <c r="V1830" t="str">
        <f>IF(Table1[appointment_status]="Attended","1","0")</f>
        <v>1</v>
      </c>
      <c r="W1830" t="str">
        <f>IF(Table1[appointment_status]="Cancelled","1","0")</f>
        <v>0</v>
      </c>
    </row>
    <row r="1831" spans="1:23">
      <c r="A1831" t="s">
        <v>2951</v>
      </c>
      <c r="B1831" t="s">
        <v>838</v>
      </c>
      <c r="C1831">
        <v>39</v>
      </c>
      <c r="D1831" t="str" cm="1">
        <f t="array" ref="D1831">_xlfn.IFS(Table1[[#This Row],[age]]&lt;=17,"0-17",C1831&lt;=29,"18-29",C1831&lt;=44,"30-44",C1831&lt;=59,"45-59",C1831&lt;=74,"60-74",TRUE,"75+")</f>
        <v>30-44</v>
      </c>
      <c r="E1831" t="s">
        <v>17</v>
      </c>
      <c r="F1831">
        <v>2</v>
      </c>
      <c r="G1831" t="str" cm="1">
        <f t="array" ref="G1831">_xlfn.IFS(_xlfn.SINGLE(Table1[imd_decile])&lt;=3,"Most Deprived",F1831&lt;=7,"Moderately Deprived",F1831&lt;=10,"Least Deprived")</f>
        <v>Most Deprived</v>
      </c>
      <c r="H1831">
        <v>3.6</v>
      </c>
      <c r="I1831" t="s">
        <v>25</v>
      </c>
      <c r="J1831" t="s">
        <v>19</v>
      </c>
      <c r="K1831" s="1">
        <v>45893</v>
      </c>
      <c r="L1831" s="1">
        <v>45914</v>
      </c>
      <c r="M1831" s="1" t="str">
        <f>TEXT(Table1[[#This Row],[appointment_date]],"MM/YYYY")</f>
        <v>09/2025</v>
      </c>
      <c r="N1831">
        <v>21</v>
      </c>
      <c r="O1831" t="str" cm="1">
        <f t="array" ref="O1831">_xlfn.IFS(Table1[[#This Row],[lead_time_days]]&lt;=7,"0-7 days",N1831&lt;=14,"8-14 days",N1831&lt;=30,"15-30 days",N1831&lt;=60,"31-60 days",TRUE,"61+ days")</f>
        <v>15-30 days</v>
      </c>
      <c r="P1831" t="s">
        <v>31</v>
      </c>
      <c r="Q1831" t="s">
        <v>21</v>
      </c>
      <c r="R1831">
        <v>0</v>
      </c>
      <c r="S1831" t="str">
        <f>IF(Table1[prior_dna_count]&gt;=1,"Has prior DNA history","No prior DNA history")</f>
        <v>No prior DNA history</v>
      </c>
      <c r="T1831" t="s">
        <v>22</v>
      </c>
      <c r="U1831" t="str">
        <f t="shared" si="28"/>
        <v>1</v>
      </c>
      <c r="V1831" t="str">
        <f>IF(Table1[appointment_status]="Attended","1","0")</f>
        <v>1</v>
      </c>
      <c r="W1831" t="str">
        <f>IF(Table1[appointment_status]="Cancelled","1","0")</f>
        <v>0</v>
      </c>
    </row>
    <row r="1832" spans="1:23">
      <c r="A1832" t="s">
        <v>2952</v>
      </c>
      <c r="B1832" t="s">
        <v>756</v>
      </c>
      <c r="C1832">
        <v>44</v>
      </c>
      <c r="D1832" t="str" cm="1">
        <f t="array" ref="D1832">_xlfn.IFS(Table1[[#This Row],[age]]&lt;=17,"0-17",C1832&lt;=29,"18-29",C1832&lt;=44,"30-44",C1832&lt;=59,"45-59",C1832&lt;=74,"60-74",TRUE,"75+")</f>
        <v>30-44</v>
      </c>
      <c r="E1832" t="s">
        <v>17</v>
      </c>
      <c r="F1832">
        <v>3</v>
      </c>
      <c r="G1832" t="str" cm="1">
        <f t="array" ref="G1832">_xlfn.IFS(_xlfn.SINGLE(Table1[imd_decile])&lt;=3,"Most Deprived",F1832&lt;=7,"Moderately Deprived",F1832&lt;=10,"Least Deprived")</f>
        <v>Most Deprived</v>
      </c>
      <c r="H1832">
        <v>8.6</v>
      </c>
      <c r="I1832" t="s">
        <v>91</v>
      </c>
      <c r="J1832" t="s">
        <v>19</v>
      </c>
      <c r="K1832" s="1">
        <v>45858</v>
      </c>
      <c r="L1832" s="1">
        <v>45914</v>
      </c>
      <c r="M1832" s="1" t="str">
        <f>TEXT(Table1[[#This Row],[appointment_date]],"MM/YYYY")</f>
        <v>09/2025</v>
      </c>
      <c r="N1832">
        <v>56</v>
      </c>
      <c r="O1832" t="str" cm="1">
        <f t="array" ref="O1832">_xlfn.IFS(Table1[[#This Row],[lead_time_days]]&lt;=7,"0-7 days",N1832&lt;=14,"8-14 days",N1832&lt;=30,"15-30 days",N1832&lt;=60,"31-60 days",TRUE,"61+ days")</f>
        <v>31-60 days</v>
      </c>
      <c r="P1832" t="s">
        <v>31</v>
      </c>
      <c r="Q1832" t="s">
        <v>32</v>
      </c>
      <c r="R1832">
        <v>0</v>
      </c>
      <c r="S1832" t="str">
        <f>IF(Table1[prior_dna_count]&gt;=1,"Has prior DNA history","No prior DNA history")</f>
        <v>No prior DNA history</v>
      </c>
      <c r="T1832" t="s">
        <v>22</v>
      </c>
      <c r="U1832" t="str">
        <f t="shared" si="28"/>
        <v>1</v>
      </c>
      <c r="V1832" t="str">
        <f>IF(Table1[appointment_status]="Attended","1","0")</f>
        <v>1</v>
      </c>
      <c r="W1832" t="str">
        <f>IF(Table1[appointment_status]="Cancelled","1","0")</f>
        <v>0</v>
      </c>
    </row>
    <row r="1833" spans="1:23">
      <c r="A1833" t="s">
        <v>2953</v>
      </c>
      <c r="B1833" t="s">
        <v>2954</v>
      </c>
      <c r="C1833">
        <v>54</v>
      </c>
      <c r="D1833" t="str" cm="1">
        <f t="array" ref="D1833">_xlfn.IFS(Table1[[#This Row],[age]]&lt;=17,"0-17",C1833&lt;=29,"18-29",C1833&lt;=44,"30-44",C1833&lt;=59,"45-59",C1833&lt;=74,"60-74",TRUE,"75+")</f>
        <v>45-59</v>
      </c>
      <c r="E1833" t="s">
        <v>29</v>
      </c>
      <c r="F1833">
        <v>6</v>
      </c>
      <c r="G1833" t="str" cm="1">
        <f t="array" ref="G1833">_xlfn.IFS(_xlfn.SINGLE(Table1[imd_decile])&lt;=3,"Most Deprived",F1833&lt;=7,"Moderately Deprived",F1833&lt;=10,"Least Deprived")</f>
        <v>Moderately Deprived</v>
      </c>
      <c r="H1833">
        <v>5.4</v>
      </c>
      <c r="I1833" t="s">
        <v>45</v>
      </c>
      <c r="J1833" t="s">
        <v>19</v>
      </c>
      <c r="K1833" s="1">
        <v>45886</v>
      </c>
      <c r="L1833" s="1">
        <v>45914</v>
      </c>
      <c r="M1833" s="1" t="str">
        <f>TEXT(Table1[[#This Row],[appointment_date]],"MM/YYYY")</f>
        <v>09/2025</v>
      </c>
      <c r="N1833">
        <v>28</v>
      </c>
      <c r="O1833" t="str" cm="1">
        <f t="array" ref="O1833">_xlfn.IFS(Table1[[#This Row],[lead_time_days]]&lt;=7,"0-7 days",N1833&lt;=14,"8-14 days",N1833&lt;=30,"15-30 days",N1833&lt;=60,"31-60 days",TRUE,"61+ days")</f>
        <v>15-30 days</v>
      </c>
      <c r="P1833" t="s">
        <v>31</v>
      </c>
      <c r="Q1833" t="s">
        <v>21</v>
      </c>
      <c r="R1833">
        <v>0</v>
      </c>
      <c r="S1833" t="str">
        <f>IF(Table1[prior_dna_count]&gt;=1,"Has prior DNA history","No prior DNA history")</f>
        <v>No prior DNA history</v>
      </c>
      <c r="T1833" t="s">
        <v>22</v>
      </c>
      <c r="U1833" t="str">
        <f t="shared" si="28"/>
        <v>1</v>
      </c>
      <c r="V1833" t="str">
        <f>IF(Table1[appointment_status]="Attended","1","0")</f>
        <v>1</v>
      </c>
      <c r="W1833" t="str">
        <f>IF(Table1[appointment_status]="Cancelled","1","0")</f>
        <v>0</v>
      </c>
    </row>
    <row r="1834" spans="1:23">
      <c r="A1834" t="s">
        <v>2955</v>
      </c>
      <c r="B1834" t="s">
        <v>2956</v>
      </c>
      <c r="C1834">
        <v>35</v>
      </c>
      <c r="D1834" t="str" cm="1">
        <f t="array" ref="D1834">_xlfn.IFS(Table1[[#This Row],[age]]&lt;=17,"0-17",C1834&lt;=29,"18-29",C1834&lt;=44,"30-44",C1834&lt;=59,"45-59",C1834&lt;=74,"60-74",TRUE,"75+")</f>
        <v>30-44</v>
      </c>
      <c r="E1834" t="s">
        <v>17</v>
      </c>
      <c r="F1834">
        <v>1</v>
      </c>
      <c r="G1834" t="str" cm="1">
        <f t="array" ref="G1834">_xlfn.IFS(_xlfn.SINGLE(Table1[imd_decile])&lt;=3,"Most Deprived",F1834&lt;=7,"Moderately Deprived",F1834&lt;=10,"Least Deprived")</f>
        <v>Most Deprived</v>
      </c>
      <c r="H1834">
        <v>4.0999999999999996</v>
      </c>
      <c r="I1834" t="s">
        <v>25</v>
      </c>
      <c r="J1834" t="s">
        <v>19</v>
      </c>
      <c r="K1834" s="1">
        <v>45893</v>
      </c>
      <c r="L1834" s="1">
        <v>45914</v>
      </c>
      <c r="M1834" s="1" t="str">
        <f>TEXT(Table1[[#This Row],[appointment_date]],"MM/YYYY")</f>
        <v>09/2025</v>
      </c>
      <c r="N1834">
        <v>21</v>
      </c>
      <c r="O1834" t="str" cm="1">
        <f t="array" ref="O1834">_xlfn.IFS(Table1[[#This Row],[lead_time_days]]&lt;=7,"0-7 days",N1834&lt;=14,"8-14 days",N1834&lt;=30,"15-30 days",N1834&lt;=60,"31-60 days",TRUE,"61+ days")</f>
        <v>15-30 days</v>
      </c>
      <c r="P1834" t="s">
        <v>31</v>
      </c>
      <c r="Q1834" t="s">
        <v>32</v>
      </c>
      <c r="R1834">
        <v>0</v>
      </c>
      <c r="S1834" t="str">
        <f>IF(Table1[prior_dna_count]&gt;=1,"Has prior DNA history","No prior DNA history")</f>
        <v>No prior DNA history</v>
      </c>
      <c r="T1834" t="s">
        <v>39</v>
      </c>
      <c r="U1834" t="str">
        <f t="shared" si="28"/>
        <v>1</v>
      </c>
      <c r="V1834" t="str">
        <f>IF(Table1[appointment_status]="Attended","1","0")</f>
        <v>0</v>
      </c>
      <c r="W1834" t="str">
        <f>IF(Table1[appointment_status]="Cancelled","1","0")</f>
        <v>0</v>
      </c>
    </row>
    <row r="1835" spans="1:23">
      <c r="A1835" t="s">
        <v>2957</v>
      </c>
      <c r="B1835" t="s">
        <v>2958</v>
      </c>
      <c r="C1835">
        <v>49</v>
      </c>
      <c r="D1835" t="str" cm="1">
        <f t="array" ref="D1835">_xlfn.IFS(Table1[[#This Row],[age]]&lt;=17,"0-17",C1835&lt;=29,"18-29",C1835&lt;=44,"30-44",C1835&lt;=59,"45-59",C1835&lt;=74,"60-74",TRUE,"75+")</f>
        <v>45-59</v>
      </c>
      <c r="E1835" t="s">
        <v>17</v>
      </c>
      <c r="F1835">
        <v>6</v>
      </c>
      <c r="G1835" t="str" cm="1">
        <f t="array" ref="G1835">_xlfn.IFS(_xlfn.SINGLE(Table1[imd_decile])&lt;=3,"Most Deprived",F1835&lt;=7,"Moderately Deprived",F1835&lt;=10,"Least Deprived")</f>
        <v>Moderately Deprived</v>
      </c>
      <c r="H1835">
        <v>7.7</v>
      </c>
      <c r="I1835" t="s">
        <v>42</v>
      </c>
      <c r="J1835" t="s">
        <v>19</v>
      </c>
      <c r="K1835" s="1">
        <v>45864</v>
      </c>
      <c r="L1835" s="1">
        <v>45914</v>
      </c>
      <c r="M1835" s="1" t="str">
        <f>TEXT(Table1[[#This Row],[appointment_date]],"MM/YYYY")</f>
        <v>09/2025</v>
      </c>
      <c r="N1835">
        <v>50</v>
      </c>
      <c r="O1835" t="str" cm="1">
        <f t="array" ref="O1835">_xlfn.IFS(Table1[[#This Row],[lead_time_days]]&lt;=7,"0-7 days",N1835&lt;=14,"8-14 days",N1835&lt;=30,"15-30 days",N1835&lt;=60,"31-60 days",TRUE,"61+ days")</f>
        <v>31-60 days</v>
      </c>
      <c r="P1835" t="s">
        <v>31</v>
      </c>
      <c r="Q1835" t="s">
        <v>21</v>
      </c>
      <c r="R1835">
        <v>0</v>
      </c>
      <c r="S1835" t="str">
        <f>IF(Table1[prior_dna_count]&gt;=1,"Has prior DNA history","No prior DNA history")</f>
        <v>No prior DNA history</v>
      </c>
      <c r="T1835" t="s">
        <v>22</v>
      </c>
      <c r="U1835" t="str">
        <f t="shared" si="28"/>
        <v>0</v>
      </c>
      <c r="V1835" t="str">
        <f>IF(Table1[appointment_status]="Attended","1","0")</f>
        <v>1</v>
      </c>
      <c r="W1835" t="str">
        <f>IF(Table1[appointment_status]="Cancelled","1","0")</f>
        <v>0</v>
      </c>
    </row>
    <row r="1836" spans="1:23">
      <c r="A1836" t="s">
        <v>2959</v>
      </c>
      <c r="B1836" t="s">
        <v>1223</v>
      </c>
      <c r="C1836">
        <v>38</v>
      </c>
      <c r="D1836" t="str" cm="1">
        <f t="array" ref="D1836">_xlfn.IFS(Table1[[#This Row],[age]]&lt;=17,"0-17",C1836&lt;=29,"18-29",C1836&lt;=44,"30-44",C1836&lt;=59,"45-59",C1836&lt;=74,"60-74",TRUE,"75+")</f>
        <v>30-44</v>
      </c>
      <c r="E1836" t="s">
        <v>17</v>
      </c>
      <c r="F1836">
        <v>5</v>
      </c>
      <c r="G1836" t="str" cm="1">
        <f t="array" ref="G1836">_xlfn.IFS(_xlfn.SINGLE(Table1[imd_decile])&lt;=3,"Most Deprived",F1836&lt;=7,"Moderately Deprived",F1836&lt;=10,"Least Deprived")</f>
        <v>Moderately Deprived</v>
      </c>
      <c r="H1836">
        <v>7.4</v>
      </c>
      <c r="I1836" t="s">
        <v>42</v>
      </c>
      <c r="J1836" t="s">
        <v>19</v>
      </c>
      <c r="K1836" s="1">
        <v>45892</v>
      </c>
      <c r="L1836" s="1">
        <v>45914</v>
      </c>
      <c r="M1836" s="1" t="str">
        <f>TEXT(Table1[[#This Row],[appointment_date]],"MM/YYYY")</f>
        <v>09/2025</v>
      </c>
      <c r="N1836">
        <v>22</v>
      </c>
      <c r="O1836" t="str" cm="1">
        <f t="array" ref="O1836">_xlfn.IFS(Table1[[#This Row],[lead_time_days]]&lt;=7,"0-7 days",N1836&lt;=14,"8-14 days",N1836&lt;=30,"15-30 days",N1836&lt;=60,"31-60 days",TRUE,"61+ days")</f>
        <v>15-30 days</v>
      </c>
      <c r="P1836" t="s">
        <v>31</v>
      </c>
      <c r="Q1836" t="s">
        <v>21</v>
      </c>
      <c r="R1836">
        <v>0</v>
      </c>
      <c r="S1836" t="str">
        <f>IF(Table1[prior_dna_count]&gt;=1,"Has prior DNA history","No prior DNA history")</f>
        <v>No prior DNA history</v>
      </c>
      <c r="T1836" t="s">
        <v>22</v>
      </c>
      <c r="U1836" t="str">
        <f t="shared" si="28"/>
        <v>1</v>
      </c>
      <c r="V1836" t="str">
        <f>IF(Table1[appointment_status]="Attended","1","0")</f>
        <v>1</v>
      </c>
      <c r="W1836" t="str">
        <f>IF(Table1[appointment_status]="Cancelled","1","0")</f>
        <v>0</v>
      </c>
    </row>
    <row r="1837" spans="1:23">
      <c r="A1837" t="s">
        <v>2960</v>
      </c>
      <c r="B1837" t="s">
        <v>1908</v>
      </c>
      <c r="C1837">
        <v>49</v>
      </c>
      <c r="D1837" t="str" cm="1">
        <f t="array" ref="D1837">_xlfn.IFS(Table1[[#This Row],[age]]&lt;=17,"0-17",C1837&lt;=29,"18-29",C1837&lt;=44,"30-44",C1837&lt;=59,"45-59",C1837&lt;=74,"60-74",TRUE,"75+")</f>
        <v>45-59</v>
      </c>
      <c r="E1837" t="s">
        <v>17</v>
      </c>
      <c r="F1837">
        <v>9</v>
      </c>
      <c r="G1837" t="str" cm="1">
        <f t="array" ref="G1837">_xlfn.IFS(_xlfn.SINGLE(Table1[imd_decile])&lt;=3,"Most Deprived",F1837&lt;=7,"Moderately Deprived",F1837&lt;=10,"Least Deprived")</f>
        <v>Least Deprived</v>
      </c>
      <c r="H1837">
        <v>1.8</v>
      </c>
      <c r="I1837" t="s">
        <v>25</v>
      </c>
      <c r="J1837" t="s">
        <v>19</v>
      </c>
      <c r="K1837" s="1">
        <v>45907</v>
      </c>
      <c r="L1837" s="1">
        <v>45914</v>
      </c>
      <c r="M1837" s="1" t="str">
        <f>TEXT(Table1[[#This Row],[appointment_date]],"MM/YYYY")</f>
        <v>09/2025</v>
      </c>
      <c r="N1837">
        <v>7</v>
      </c>
      <c r="O1837" t="str" cm="1">
        <f t="array" ref="O1837">_xlfn.IFS(Table1[[#This Row],[lead_time_days]]&lt;=7,"0-7 days",N1837&lt;=14,"8-14 days",N1837&lt;=30,"15-30 days",N1837&lt;=60,"31-60 days",TRUE,"61+ days")</f>
        <v>0-7 days</v>
      </c>
      <c r="P1837" t="s">
        <v>31</v>
      </c>
      <c r="Q1837" t="s">
        <v>21</v>
      </c>
      <c r="R1837">
        <v>0</v>
      </c>
      <c r="S1837" t="str">
        <f>IF(Table1[prior_dna_count]&gt;=1,"Has prior DNA history","No prior DNA history")</f>
        <v>No prior DNA history</v>
      </c>
      <c r="T1837" t="s">
        <v>22</v>
      </c>
      <c r="U1837" t="str">
        <f t="shared" si="28"/>
        <v>1</v>
      </c>
      <c r="V1837" t="str">
        <f>IF(Table1[appointment_status]="Attended","1","0")</f>
        <v>1</v>
      </c>
      <c r="W1837" t="str">
        <f>IF(Table1[appointment_status]="Cancelled","1","0")</f>
        <v>0</v>
      </c>
    </row>
    <row r="1838" spans="1:23">
      <c r="A1838" t="s">
        <v>2961</v>
      </c>
      <c r="B1838" t="s">
        <v>2962</v>
      </c>
      <c r="C1838">
        <v>41</v>
      </c>
      <c r="D1838" t="str" cm="1">
        <f t="array" ref="D1838">_xlfn.IFS(Table1[[#This Row],[age]]&lt;=17,"0-17",C1838&lt;=29,"18-29",C1838&lt;=44,"30-44",C1838&lt;=59,"45-59",C1838&lt;=74,"60-74",TRUE,"75+")</f>
        <v>30-44</v>
      </c>
      <c r="E1838" t="s">
        <v>29</v>
      </c>
      <c r="F1838">
        <v>8</v>
      </c>
      <c r="G1838" t="str" cm="1">
        <f t="array" ref="G1838">_xlfn.IFS(_xlfn.SINGLE(Table1[imd_decile])&lt;=3,"Most Deprived",F1838&lt;=7,"Moderately Deprived",F1838&lt;=10,"Least Deprived")</f>
        <v>Least Deprived</v>
      </c>
      <c r="H1838">
        <v>2.2999999999999998</v>
      </c>
      <c r="I1838" t="s">
        <v>30</v>
      </c>
      <c r="J1838" t="s">
        <v>26</v>
      </c>
      <c r="K1838" s="1">
        <v>45908</v>
      </c>
      <c r="L1838" s="1">
        <v>45914</v>
      </c>
      <c r="M1838" s="1" t="str">
        <f>TEXT(Table1[[#This Row],[appointment_date]],"MM/YYYY")</f>
        <v>09/2025</v>
      </c>
      <c r="N1838">
        <v>6</v>
      </c>
      <c r="O1838" t="str" cm="1">
        <f t="array" ref="O1838">_xlfn.IFS(Table1[[#This Row],[lead_time_days]]&lt;=7,"0-7 days",N1838&lt;=14,"8-14 days",N1838&lt;=30,"15-30 days",N1838&lt;=60,"31-60 days",TRUE,"61+ days")</f>
        <v>0-7 days</v>
      </c>
      <c r="P1838" t="s">
        <v>31</v>
      </c>
      <c r="Q1838" t="s">
        <v>32</v>
      </c>
      <c r="R1838">
        <v>0</v>
      </c>
      <c r="S1838" t="str">
        <f>IF(Table1[prior_dna_count]&gt;=1,"Has prior DNA history","No prior DNA history")</f>
        <v>No prior DNA history</v>
      </c>
      <c r="T1838" t="s">
        <v>39</v>
      </c>
      <c r="U1838" t="str">
        <f t="shared" si="28"/>
        <v>1</v>
      </c>
      <c r="V1838" t="str">
        <f>IF(Table1[appointment_status]="Attended","1","0")</f>
        <v>0</v>
      </c>
      <c r="W1838" t="str">
        <f>IF(Table1[appointment_status]="Cancelled","1","0")</f>
        <v>0</v>
      </c>
    </row>
    <row r="1839" spans="1:23">
      <c r="A1839" t="s">
        <v>2963</v>
      </c>
      <c r="B1839" t="s">
        <v>84</v>
      </c>
      <c r="C1839">
        <v>44</v>
      </c>
      <c r="D1839" t="str" cm="1">
        <f t="array" ref="D1839">_xlfn.IFS(Table1[[#This Row],[age]]&lt;=17,"0-17",C1839&lt;=29,"18-29",C1839&lt;=44,"30-44",C1839&lt;=59,"45-59",C1839&lt;=74,"60-74",TRUE,"75+")</f>
        <v>30-44</v>
      </c>
      <c r="E1839" t="s">
        <v>29</v>
      </c>
      <c r="F1839">
        <v>4</v>
      </c>
      <c r="G1839" t="str" cm="1">
        <f t="array" ref="G1839">_xlfn.IFS(_xlfn.SINGLE(Table1[imd_decile])&lt;=3,"Most Deprived",F1839&lt;=7,"Moderately Deprived",F1839&lt;=10,"Least Deprived")</f>
        <v>Moderately Deprived</v>
      </c>
      <c r="H1839">
        <v>8.6</v>
      </c>
      <c r="I1839" t="s">
        <v>45</v>
      </c>
      <c r="J1839" t="s">
        <v>19</v>
      </c>
      <c r="K1839" s="1">
        <v>45868</v>
      </c>
      <c r="L1839" s="1">
        <v>45914</v>
      </c>
      <c r="M1839" s="1" t="str">
        <f>TEXT(Table1[[#This Row],[appointment_date]],"MM/YYYY")</f>
        <v>09/2025</v>
      </c>
      <c r="N1839">
        <v>46</v>
      </c>
      <c r="O1839" t="str" cm="1">
        <f t="array" ref="O1839">_xlfn.IFS(Table1[[#This Row],[lead_time_days]]&lt;=7,"0-7 days",N1839&lt;=14,"8-14 days",N1839&lt;=30,"15-30 days",N1839&lt;=60,"31-60 days",TRUE,"61+ days")</f>
        <v>31-60 days</v>
      </c>
      <c r="P1839" t="s">
        <v>31</v>
      </c>
      <c r="Q1839" t="s">
        <v>21</v>
      </c>
      <c r="R1839">
        <v>0</v>
      </c>
      <c r="S1839" t="str">
        <f>IF(Table1[prior_dna_count]&gt;=1,"Has prior DNA history","No prior DNA history")</f>
        <v>No prior DNA history</v>
      </c>
      <c r="T1839" t="s">
        <v>46</v>
      </c>
      <c r="U1839" t="str">
        <f t="shared" si="28"/>
        <v>0</v>
      </c>
      <c r="V1839" t="str">
        <f>IF(Table1[appointment_status]="Attended","1","0")</f>
        <v>0</v>
      </c>
      <c r="W1839" t="str">
        <f>IF(Table1[appointment_status]="Cancelled","1","0")</f>
        <v>1</v>
      </c>
    </row>
    <row r="1840" spans="1:23">
      <c r="A1840" t="s">
        <v>2964</v>
      </c>
      <c r="B1840" t="s">
        <v>1996</v>
      </c>
      <c r="C1840">
        <v>52</v>
      </c>
      <c r="D1840" t="str" cm="1">
        <f t="array" ref="D1840">_xlfn.IFS(Table1[[#This Row],[age]]&lt;=17,"0-17",C1840&lt;=29,"18-29",C1840&lt;=44,"30-44",C1840&lt;=59,"45-59",C1840&lt;=74,"60-74",TRUE,"75+")</f>
        <v>45-59</v>
      </c>
      <c r="E1840" t="s">
        <v>17</v>
      </c>
      <c r="F1840">
        <v>10</v>
      </c>
      <c r="G1840" t="str" cm="1">
        <f t="array" ref="G1840">_xlfn.IFS(_xlfn.SINGLE(Table1[imd_decile])&lt;=3,"Most Deprived",F1840&lt;=7,"Moderately Deprived",F1840&lt;=10,"Least Deprived")</f>
        <v>Least Deprived</v>
      </c>
      <c r="H1840">
        <v>1.4</v>
      </c>
      <c r="I1840" t="s">
        <v>18</v>
      </c>
      <c r="J1840" t="s">
        <v>19</v>
      </c>
      <c r="K1840" s="1">
        <v>45893</v>
      </c>
      <c r="L1840" s="1">
        <v>45915</v>
      </c>
      <c r="M1840" s="1" t="str">
        <f>TEXT(Table1[[#This Row],[appointment_date]],"MM/YYYY")</f>
        <v>09/2025</v>
      </c>
      <c r="N1840">
        <v>22</v>
      </c>
      <c r="O1840" t="str" cm="1">
        <f t="array" ref="O1840">_xlfn.IFS(Table1[[#This Row],[lead_time_days]]&lt;=7,"0-7 days",N1840&lt;=14,"8-14 days",N1840&lt;=30,"15-30 days",N1840&lt;=60,"31-60 days",TRUE,"61+ days")</f>
        <v>15-30 days</v>
      </c>
      <c r="P1840" t="s">
        <v>35</v>
      </c>
      <c r="Q1840" t="s">
        <v>21</v>
      </c>
      <c r="R1840">
        <v>0</v>
      </c>
      <c r="S1840" t="str">
        <f>IF(Table1[prior_dna_count]&gt;=1,"Has prior DNA history","No prior DNA history")</f>
        <v>No prior DNA history</v>
      </c>
      <c r="T1840" t="s">
        <v>22</v>
      </c>
      <c r="U1840" t="str">
        <f t="shared" si="28"/>
        <v>0</v>
      </c>
      <c r="V1840" t="str">
        <f>IF(Table1[appointment_status]="Attended","1","0")</f>
        <v>1</v>
      </c>
      <c r="W1840" t="str">
        <f>IF(Table1[appointment_status]="Cancelled","1","0")</f>
        <v>0</v>
      </c>
    </row>
    <row r="1841" spans="1:23">
      <c r="A1841" t="s">
        <v>2965</v>
      </c>
      <c r="B1841" t="s">
        <v>2063</v>
      </c>
      <c r="C1841">
        <v>36</v>
      </c>
      <c r="D1841" t="str" cm="1">
        <f t="array" ref="D1841">_xlfn.IFS(Table1[[#This Row],[age]]&lt;=17,"0-17",C1841&lt;=29,"18-29",C1841&lt;=44,"30-44",C1841&lt;=59,"45-59",C1841&lt;=74,"60-74",TRUE,"75+")</f>
        <v>30-44</v>
      </c>
      <c r="E1841" t="s">
        <v>29</v>
      </c>
      <c r="F1841">
        <v>3</v>
      </c>
      <c r="G1841" t="str" cm="1">
        <f t="array" ref="G1841">_xlfn.IFS(_xlfn.SINGLE(Table1[imd_decile])&lt;=3,"Most Deprived",F1841&lt;=7,"Moderately Deprived",F1841&lt;=10,"Least Deprived")</f>
        <v>Most Deprived</v>
      </c>
      <c r="H1841">
        <v>3.2</v>
      </c>
      <c r="I1841" t="s">
        <v>25</v>
      </c>
      <c r="J1841" t="s">
        <v>19</v>
      </c>
      <c r="K1841" s="1">
        <v>45904</v>
      </c>
      <c r="L1841" s="1">
        <v>45915</v>
      </c>
      <c r="M1841" s="1" t="str">
        <f>TEXT(Table1[[#This Row],[appointment_date]],"MM/YYYY")</f>
        <v>09/2025</v>
      </c>
      <c r="N1841">
        <v>11</v>
      </c>
      <c r="O1841" t="str" cm="1">
        <f t="array" ref="O1841">_xlfn.IFS(Table1[[#This Row],[lead_time_days]]&lt;=7,"0-7 days",N1841&lt;=14,"8-14 days",N1841&lt;=30,"15-30 days",N1841&lt;=60,"31-60 days",TRUE,"61+ days")</f>
        <v>8-14 days</v>
      </c>
      <c r="P1841" t="s">
        <v>35</v>
      </c>
      <c r="Q1841" t="s">
        <v>32</v>
      </c>
      <c r="R1841">
        <v>1</v>
      </c>
      <c r="S1841" t="str">
        <f>IF(Table1[prior_dna_count]&gt;=1,"Has prior DNA history","No prior DNA history")</f>
        <v>Has prior DNA history</v>
      </c>
      <c r="T1841" t="s">
        <v>22</v>
      </c>
      <c r="U1841" t="str">
        <f t="shared" si="28"/>
        <v>1</v>
      </c>
      <c r="V1841" t="str">
        <f>IF(Table1[appointment_status]="Attended","1","0")</f>
        <v>1</v>
      </c>
      <c r="W1841" t="str">
        <f>IF(Table1[appointment_status]="Cancelled","1","0")</f>
        <v>0</v>
      </c>
    </row>
    <row r="1842" spans="1:23">
      <c r="A1842" t="s">
        <v>2966</v>
      </c>
      <c r="B1842" t="s">
        <v>2967</v>
      </c>
      <c r="C1842">
        <v>56</v>
      </c>
      <c r="D1842" t="str" cm="1">
        <f t="array" ref="D1842">_xlfn.IFS(Table1[[#This Row],[age]]&lt;=17,"0-17",C1842&lt;=29,"18-29",C1842&lt;=44,"30-44",C1842&lt;=59,"45-59",C1842&lt;=74,"60-74",TRUE,"75+")</f>
        <v>45-59</v>
      </c>
      <c r="E1842" t="s">
        <v>17</v>
      </c>
      <c r="F1842">
        <v>9</v>
      </c>
      <c r="G1842" t="str" cm="1">
        <f t="array" ref="G1842">_xlfn.IFS(_xlfn.SINGLE(Table1[imd_decile])&lt;=3,"Most Deprived",F1842&lt;=7,"Moderately Deprived",F1842&lt;=10,"Least Deprived")</f>
        <v>Least Deprived</v>
      </c>
      <c r="H1842">
        <v>4.8</v>
      </c>
      <c r="I1842" t="s">
        <v>42</v>
      </c>
      <c r="J1842" t="s">
        <v>19</v>
      </c>
      <c r="K1842" s="1">
        <v>45880</v>
      </c>
      <c r="L1842" s="1">
        <v>45915</v>
      </c>
      <c r="M1842" s="1" t="str">
        <f>TEXT(Table1[[#This Row],[appointment_date]],"MM/YYYY")</f>
        <v>09/2025</v>
      </c>
      <c r="N1842">
        <v>35</v>
      </c>
      <c r="O1842" t="str" cm="1">
        <f t="array" ref="O1842">_xlfn.IFS(Table1[[#This Row],[lead_time_days]]&lt;=7,"0-7 days",N1842&lt;=14,"8-14 days",N1842&lt;=30,"15-30 days",N1842&lt;=60,"31-60 days",TRUE,"61+ days")</f>
        <v>31-60 days</v>
      </c>
      <c r="P1842" t="s">
        <v>35</v>
      </c>
      <c r="Q1842" t="s">
        <v>32</v>
      </c>
      <c r="R1842">
        <v>0</v>
      </c>
      <c r="S1842" t="str">
        <f>IF(Table1[prior_dna_count]&gt;=1,"Has prior DNA history","No prior DNA history")</f>
        <v>No prior DNA history</v>
      </c>
      <c r="T1842" t="s">
        <v>22</v>
      </c>
      <c r="U1842" t="str">
        <f t="shared" si="28"/>
        <v>1</v>
      </c>
      <c r="V1842" t="str">
        <f>IF(Table1[appointment_status]="Attended","1","0")</f>
        <v>1</v>
      </c>
      <c r="W1842" t="str">
        <f>IF(Table1[appointment_status]="Cancelled","1","0")</f>
        <v>0</v>
      </c>
    </row>
    <row r="1843" spans="1:23">
      <c r="A1843" t="s">
        <v>2968</v>
      </c>
      <c r="B1843" t="s">
        <v>1938</v>
      </c>
      <c r="C1843">
        <v>33</v>
      </c>
      <c r="D1843" t="str" cm="1">
        <f t="array" ref="D1843">_xlfn.IFS(Table1[[#This Row],[age]]&lt;=17,"0-17",C1843&lt;=29,"18-29",C1843&lt;=44,"30-44",C1843&lt;=59,"45-59",C1843&lt;=74,"60-74",TRUE,"75+")</f>
        <v>30-44</v>
      </c>
      <c r="E1843" t="s">
        <v>29</v>
      </c>
      <c r="F1843">
        <v>3</v>
      </c>
      <c r="G1843" t="str" cm="1">
        <f t="array" ref="G1843">_xlfn.IFS(_xlfn.SINGLE(Table1[imd_decile])&lt;=3,"Most Deprived",F1843&lt;=7,"Moderately Deprived",F1843&lt;=10,"Least Deprived")</f>
        <v>Most Deprived</v>
      </c>
      <c r="H1843">
        <v>1.7</v>
      </c>
      <c r="I1843" t="s">
        <v>42</v>
      </c>
      <c r="J1843" t="s">
        <v>19</v>
      </c>
      <c r="K1843" s="1">
        <v>45903</v>
      </c>
      <c r="L1843" s="1">
        <v>45915</v>
      </c>
      <c r="M1843" s="1" t="str">
        <f>TEXT(Table1[[#This Row],[appointment_date]],"MM/YYYY")</f>
        <v>09/2025</v>
      </c>
      <c r="N1843">
        <v>12</v>
      </c>
      <c r="O1843" t="str" cm="1">
        <f t="array" ref="O1843">_xlfn.IFS(Table1[[#This Row],[lead_time_days]]&lt;=7,"0-7 days",N1843&lt;=14,"8-14 days",N1843&lt;=30,"15-30 days",N1843&lt;=60,"31-60 days",TRUE,"61+ days")</f>
        <v>8-14 days</v>
      </c>
      <c r="P1843" t="s">
        <v>35</v>
      </c>
      <c r="Q1843" t="s">
        <v>21</v>
      </c>
      <c r="R1843">
        <v>0</v>
      </c>
      <c r="S1843" t="str">
        <f>IF(Table1[prior_dna_count]&gt;=1,"Has prior DNA history","No prior DNA history")</f>
        <v>No prior DNA history</v>
      </c>
      <c r="T1843" t="s">
        <v>39</v>
      </c>
      <c r="U1843" t="str">
        <f t="shared" si="28"/>
        <v>1</v>
      </c>
      <c r="V1843" t="str">
        <f>IF(Table1[appointment_status]="Attended","1","0")</f>
        <v>0</v>
      </c>
      <c r="W1843" t="str">
        <f>IF(Table1[appointment_status]="Cancelled","1","0")</f>
        <v>0</v>
      </c>
    </row>
    <row r="1844" spans="1:23">
      <c r="A1844" t="s">
        <v>2969</v>
      </c>
      <c r="B1844" t="s">
        <v>195</v>
      </c>
      <c r="C1844">
        <v>7</v>
      </c>
      <c r="D1844" t="str" cm="1">
        <f t="array" ref="D1844">_xlfn.IFS(Table1[[#This Row],[age]]&lt;=17,"0-17",C1844&lt;=29,"18-29",C1844&lt;=44,"30-44",C1844&lt;=59,"45-59",C1844&lt;=74,"60-74",TRUE,"75+")</f>
        <v>0-17</v>
      </c>
      <c r="E1844" t="s">
        <v>29</v>
      </c>
      <c r="F1844">
        <v>10</v>
      </c>
      <c r="G1844" t="str" cm="1">
        <f t="array" ref="G1844">_xlfn.IFS(_xlfn.SINGLE(Table1[imd_decile])&lt;=3,"Most Deprived",F1844&lt;=7,"Moderately Deprived",F1844&lt;=10,"Least Deprived")</f>
        <v>Least Deprived</v>
      </c>
      <c r="H1844">
        <v>7.8</v>
      </c>
      <c r="I1844" t="s">
        <v>91</v>
      </c>
      <c r="J1844" t="s">
        <v>19</v>
      </c>
      <c r="K1844" s="1">
        <v>45881</v>
      </c>
      <c r="L1844" s="1">
        <v>45915</v>
      </c>
      <c r="M1844" s="1" t="str">
        <f>TEXT(Table1[[#This Row],[appointment_date]],"MM/YYYY")</f>
        <v>09/2025</v>
      </c>
      <c r="N1844">
        <v>34</v>
      </c>
      <c r="O1844" t="str" cm="1">
        <f t="array" ref="O1844">_xlfn.IFS(Table1[[#This Row],[lead_time_days]]&lt;=7,"0-7 days",N1844&lt;=14,"8-14 days",N1844&lt;=30,"15-30 days",N1844&lt;=60,"31-60 days",TRUE,"61+ days")</f>
        <v>31-60 days</v>
      </c>
      <c r="P1844" t="s">
        <v>35</v>
      </c>
      <c r="Q1844" t="s">
        <v>21</v>
      </c>
      <c r="R1844">
        <v>1</v>
      </c>
      <c r="S1844" t="str">
        <f>IF(Table1[prior_dna_count]&gt;=1,"Has prior DNA history","No prior DNA history")</f>
        <v>Has prior DNA history</v>
      </c>
      <c r="T1844" t="s">
        <v>22</v>
      </c>
      <c r="U1844" t="str">
        <f t="shared" si="28"/>
        <v>0</v>
      </c>
      <c r="V1844" t="str">
        <f>IF(Table1[appointment_status]="Attended","1","0")</f>
        <v>1</v>
      </c>
      <c r="W1844" t="str">
        <f>IF(Table1[appointment_status]="Cancelled","1","0")</f>
        <v>0</v>
      </c>
    </row>
    <row r="1845" spans="1:23">
      <c r="A1845" t="s">
        <v>2970</v>
      </c>
      <c r="B1845" t="s">
        <v>2081</v>
      </c>
      <c r="C1845">
        <v>64</v>
      </c>
      <c r="D1845" t="str" cm="1">
        <f t="array" ref="D1845">_xlfn.IFS(Table1[[#This Row],[age]]&lt;=17,"0-17",C1845&lt;=29,"18-29",C1845&lt;=44,"30-44",C1845&lt;=59,"45-59",C1845&lt;=74,"60-74",TRUE,"75+")</f>
        <v>60-74</v>
      </c>
      <c r="E1845" t="s">
        <v>29</v>
      </c>
      <c r="F1845">
        <v>6</v>
      </c>
      <c r="G1845" t="str" cm="1">
        <f t="array" ref="G1845">_xlfn.IFS(_xlfn.SINGLE(Table1[imd_decile])&lt;=3,"Most Deprived",F1845&lt;=7,"Moderately Deprived",F1845&lt;=10,"Least Deprived")</f>
        <v>Moderately Deprived</v>
      </c>
      <c r="H1845">
        <v>7.1</v>
      </c>
      <c r="I1845" t="s">
        <v>58</v>
      </c>
      <c r="J1845" t="s">
        <v>19</v>
      </c>
      <c r="K1845" s="1">
        <v>45874</v>
      </c>
      <c r="L1845" s="1">
        <v>45915</v>
      </c>
      <c r="M1845" s="1" t="str">
        <f>TEXT(Table1[[#This Row],[appointment_date]],"MM/YYYY")</f>
        <v>09/2025</v>
      </c>
      <c r="N1845">
        <v>41</v>
      </c>
      <c r="O1845" t="str" cm="1">
        <f t="array" ref="O1845">_xlfn.IFS(Table1[[#This Row],[lead_time_days]]&lt;=7,"0-7 days",N1845&lt;=14,"8-14 days",N1845&lt;=30,"15-30 days",N1845&lt;=60,"31-60 days",TRUE,"61+ days")</f>
        <v>31-60 days</v>
      </c>
      <c r="P1845" t="s">
        <v>35</v>
      </c>
      <c r="Q1845" t="s">
        <v>21</v>
      </c>
      <c r="R1845">
        <v>0</v>
      </c>
      <c r="S1845" t="str">
        <f>IF(Table1[prior_dna_count]&gt;=1,"Has prior DNA history","No prior DNA history")</f>
        <v>No prior DNA history</v>
      </c>
      <c r="T1845" t="s">
        <v>22</v>
      </c>
      <c r="U1845" t="str">
        <f t="shared" si="28"/>
        <v>1</v>
      </c>
      <c r="V1845" t="str">
        <f>IF(Table1[appointment_status]="Attended","1","0")</f>
        <v>1</v>
      </c>
      <c r="W1845" t="str">
        <f>IF(Table1[appointment_status]="Cancelled","1","0")</f>
        <v>0</v>
      </c>
    </row>
    <row r="1846" spans="1:23">
      <c r="A1846" t="s">
        <v>2971</v>
      </c>
      <c r="B1846" t="s">
        <v>2972</v>
      </c>
      <c r="C1846">
        <v>60</v>
      </c>
      <c r="D1846" t="str" cm="1">
        <f t="array" ref="D1846">_xlfn.IFS(Table1[[#This Row],[age]]&lt;=17,"0-17",C1846&lt;=29,"18-29",C1846&lt;=44,"30-44",C1846&lt;=59,"45-59",C1846&lt;=74,"60-74",TRUE,"75+")</f>
        <v>60-74</v>
      </c>
      <c r="E1846" t="s">
        <v>29</v>
      </c>
      <c r="F1846">
        <v>6</v>
      </c>
      <c r="G1846" t="str" cm="1">
        <f t="array" ref="G1846">_xlfn.IFS(_xlfn.SINGLE(Table1[imd_decile])&lt;=3,"Most Deprived",F1846&lt;=7,"Moderately Deprived",F1846&lt;=10,"Least Deprived")</f>
        <v>Moderately Deprived</v>
      </c>
      <c r="H1846">
        <v>1.1000000000000001</v>
      </c>
      <c r="I1846" t="s">
        <v>42</v>
      </c>
      <c r="J1846" t="s">
        <v>19</v>
      </c>
      <c r="K1846" s="1">
        <v>45874</v>
      </c>
      <c r="L1846" s="1">
        <v>45915</v>
      </c>
      <c r="M1846" s="1" t="str">
        <f>TEXT(Table1[[#This Row],[appointment_date]],"MM/YYYY")</f>
        <v>09/2025</v>
      </c>
      <c r="N1846">
        <v>41</v>
      </c>
      <c r="O1846" t="str" cm="1">
        <f t="array" ref="O1846">_xlfn.IFS(Table1[[#This Row],[lead_time_days]]&lt;=7,"0-7 days",N1846&lt;=14,"8-14 days",N1846&lt;=30,"15-30 days",N1846&lt;=60,"31-60 days",TRUE,"61+ days")</f>
        <v>31-60 days</v>
      </c>
      <c r="P1846" t="s">
        <v>35</v>
      </c>
      <c r="Q1846" t="s">
        <v>21</v>
      </c>
      <c r="R1846">
        <v>0</v>
      </c>
      <c r="S1846" t="str">
        <f>IF(Table1[prior_dna_count]&gt;=1,"Has prior DNA history","No prior DNA history")</f>
        <v>No prior DNA history</v>
      </c>
      <c r="T1846" t="s">
        <v>22</v>
      </c>
      <c r="U1846" t="str">
        <f t="shared" si="28"/>
        <v>1</v>
      </c>
      <c r="V1846" t="str">
        <f>IF(Table1[appointment_status]="Attended","1","0")</f>
        <v>1</v>
      </c>
      <c r="W1846" t="str">
        <f>IF(Table1[appointment_status]="Cancelled","1","0")</f>
        <v>0</v>
      </c>
    </row>
    <row r="1847" spans="1:23">
      <c r="A1847" t="s">
        <v>2973</v>
      </c>
      <c r="B1847" t="s">
        <v>848</v>
      </c>
      <c r="C1847">
        <v>31</v>
      </c>
      <c r="D1847" t="str" cm="1">
        <f t="array" ref="D1847">_xlfn.IFS(Table1[[#This Row],[age]]&lt;=17,"0-17",C1847&lt;=29,"18-29",C1847&lt;=44,"30-44",C1847&lt;=59,"45-59",C1847&lt;=74,"60-74",TRUE,"75+")</f>
        <v>30-44</v>
      </c>
      <c r="E1847" t="s">
        <v>29</v>
      </c>
      <c r="F1847">
        <v>6</v>
      </c>
      <c r="G1847" t="str" cm="1">
        <f t="array" ref="G1847">_xlfn.IFS(_xlfn.SINGLE(Table1[imd_decile])&lt;=3,"Most Deprived",F1847&lt;=7,"Moderately Deprived",F1847&lt;=10,"Least Deprived")</f>
        <v>Moderately Deprived</v>
      </c>
      <c r="H1847">
        <v>4.0999999999999996</v>
      </c>
      <c r="I1847" t="s">
        <v>49</v>
      </c>
      <c r="J1847" t="s">
        <v>19</v>
      </c>
      <c r="K1847" s="1">
        <v>45900</v>
      </c>
      <c r="L1847" s="1">
        <v>45916</v>
      </c>
      <c r="M1847" s="1" t="str">
        <f>TEXT(Table1[[#This Row],[appointment_date]],"MM/YYYY")</f>
        <v>09/2025</v>
      </c>
      <c r="N1847">
        <v>16</v>
      </c>
      <c r="O1847" t="str" cm="1">
        <f t="array" ref="O1847">_xlfn.IFS(Table1[[#This Row],[lead_time_days]]&lt;=7,"0-7 days",N1847&lt;=14,"8-14 days",N1847&lt;=30,"15-30 days",N1847&lt;=60,"31-60 days",TRUE,"61+ days")</f>
        <v>15-30 days</v>
      </c>
      <c r="P1847" t="s">
        <v>71</v>
      </c>
      <c r="Q1847" t="s">
        <v>21</v>
      </c>
      <c r="R1847">
        <v>0</v>
      </c>
      <c r="S1847" t="str">
        <f>IF(Table1[prior_dna_count]&gt;=1,"Has prior DNA history","No prior DNA history")</f>
        <v>No prior DNA history</v>
      </c>
      <c r="T1847" t="s">
        <v>22</v>
      </c>
      <c r="U1847" t="str">
        <f t="shared" si="28"/>
        <v>1</v>
      </c>
      <c r="V1847" t="str">
        <f>IF(Table1[appointment_status]="Attended","1","0")</f>
        <v>1</v>
      </c>
      <c r="W1847" t="str">
        <f>IF(Table1[appointment_status]="Cancelled","1","0")</f>
        <v>0</v>
      </c>
    </row>
    <row r="1848" spans="1:23">
      <c r="A1848" t="s">
        <v>2974</v>
      </c>
      <c r="B1848" t="s">
        <v>217</v>
      </c>
      <c r="C1848">
        <v>52</v>
      </c>
      <c r="D1848" t="str" cm="1">
        <f t="array" ref="D1848">_xlfn.IFS(Table1[[#This Row],[age]]&lt;=17,"0-17",C1848&lt;=29,"18-29",C1848&lt;=44,"30-44",C1848&lt;=59,"45-59",C1848&lt;=74,"60-74",TRUE,"75+")</f>
        <v>45-59</v>
      </c>
      <c r="E1848" t="s">
        <v>17</v>
      </c>
      <c r="F1848">
        <v>1</v>
      </c>
      <c r="G1848" t="str" cm="1">
        <f t="array" ref="G1848">_xlfn.IFS(_xlfn.SINGLE(Table1[imd_decile])&lt;=3,"Most Deprived",F1848&lt;=7,"Moderately Deprived",F1848&lt;=10,"Least Deprived")</f>
        <v>Most Deprived</v>
      </c>
      <c r="H1848">
        <v>2.5</v>
      </c>
      <c r="I1848" t="s">
        <v>18</v>
      </c>
      <c r="J1848" t="s">
        <v>19</v>
      </c>
      <c r="K1848" s="1">
        <v>45883</v>
      </c>
      <c r="L1848" s="1">
        <v>45916</v>
      </c>
      <c r="M1848" s="1" t="str">
        <f>TEXT(Table1[[#This Row],[appointment_date]],"MM/YYYY")</f>
        <v>09/2025</v>
      </c>
      <c r="N1848">
        <v>33</v>
      </c>
      <c r="O1848" t="str" cm="1">
        <f t="array" ref="O1848">_xlfn.IFS(Table1[[#This Row],[lead_time_days]]&lt;=7,"0-7 days",N1848&lt;=14,"8-14 days",N1848&lt;=30,"15-30 days",N1848&lt;=60,"31-60 days",TRUE,"61+ days")</f>
        <v>31-60 days</v>
      </c>
      <c r="P1848" t="s">
        <v>71</v>
      </c>
      <c r="Q1848" t="s">
        <v>32</v>
      </c>
      <c r="R1848">
        <v>0</v>
      </c>
      <c r="S1848" t="str">
        <f>IF(Table1[prior_dna_count]&gt;=1,"Has prior DNA history","No prior DNA history")</f>
        <v>No prior DNA history</v>
      </c>
      <c r="T1848" t="s">
        <v>22</v>
      </c>
      <c r="U1848" t="str">
        <f t="shared" si="28"/>
        <v>1</v>
      </c>
      <c r="V1848" t="str">
        <f>IF(Table1[appointment_status]="Attended","1","0")</f>
        <v>1</v>
      </c>
      <c r="W1848" t="str">
        <f>IF(Table1[appointment_status]="Cancelled","1","0")</f>
        <v>0</v>
      </c>
    </row>
    <row r="1849" spans="1:23">
      <c r="A1849" t="s">
        <v>2975</v>
      </c>
      <c r="B1849" t="s">
        <v>2976</v>
      </c>
      <c r="C1849">
        <v>53</v>
      </c>
      <c r="D1849" t="str" cm="1">
        <f t="array" ref="D1849">_xlfn.IFS(Table1[[#This Row],[age]]&lt;=17,"0-17",C1849&lt;=29,"18-29",C1849&lt;=44,"30-44",C1849&lt;=59,"45-59",C1849&lt;=74,"60-74",TRUE,"75+")</f>
        <v>45-59</v>
      </c>
      <c r="E1849" t="s">
        <v>29</v>
      </c>
      <c r="F1849">
        <v>5</v>
      </c>
      <c r="G1849" t="str" cm="1">
        <f t="array" ref="G1849">_xlfn.IFS(_xlfn.SINGLE(Table1[imd_decile])&lt;=3,"Most Deprived",F1849&lt;=7,"Moderately Deprived",F1849&lt;=10,"Least Deprived")</f>
        <v>Moderately Deprived</v>
      </c>
      <c r="H1849">
        <v>15.1</v>
      </c>
      <c r="I1849" t="s">
        <v>42</v>
      </c>
      <c r="J1849" t="s">
        <v>19</v>
      </c>
      <c r="K1849" s="1">
        <v>45898</v>
      </c>
      <c r="L1849" s="1">
        <v>45916</v>
      </c>
      <c r="M1849" s="1" t="str">
        <f>TEXT(Table1[[#This Row],[appointment_date]],"MM/YYYY")</f>
        <v>09/2025</v>
      </c>
      <c r="N1849">
        <v>18</v>
      </c>
      <c r="O1849" t="str" cm="1">
        <f t="array" ref="O1849">_xlfn.IFS(Table1[[#This Row],[lead_time_days]]&lt;=7,"0-7 days",N1849&lt;=14,"8-14 days",N1849&lt;=30,"15-30 days",N1849&lt;=60,"31-60 days",TRUE,"61+ days")</f>
        <v>15-30 days</v>
      </c>
      <c r="P1849" t="s">
        <v>71</v>
      </c>
      <c r="Q1849" t="s">
        <v>21</v>
      </c>
      <c r="R1849">
        <v>0</v>
      </c>
      <c r="S1849" t="str">
        <f>IF(Table1[prior_dna_count]&gt;=1,"Has prior DNA history","No prior DNA history")</f>
        <v>No prior DNA history</v>
      </c>
      <c r="T1849" t="s">
        <v>39</v>
      </c>
      <c r="U1849" t="str">
        <f t="shared" si="28"/>
        <v>1</v>
      </c>
      <c r="V1849" t="str">
        <f>IF(Table1[appointment_status]="Attended","1","0")</f>
        <v>0</v>
      </c>
      <c r="W1849" t="str">
        <f>IF(Table1[appointment_status]="Cancelled","1","0")</f>
        <v>0</v>
      </c>
    </row>
    <row r="1850" spans="1:23">
      <c r="A1850" t="s">
        <v>2977</v>
      </c>
      <c r="B1850" t="s">
        <v>2978</v>
      </c>
      <c r="C1850">
        <v>52</v>
      </c>
      <c r="D1850" t="str" cm="1">
        <f t="array" ref="D1850">_xlfn.IFS(Table1[[#This Row],[age]]&lt;=17,"0-17",C1850&lt;=29,"18-29",C1850&lt;=44,"30-44",C1850&lt;=59,"45-59",C1850&lt;=74,"60-74",TRUE,"75+")</f>
        <v>45-59</v>
      </c>
      <c r="E1850" t="s">
        <v>29</v>
      </c>
      <c r="F1850">
        <v>5</v>
      </c>
      <c r="G1850" t="str" cm="1">
        <f t="array" ref="G1850">_xlfn.IFS(_xlfn.SINGLE(Table1[imd_decile])&lt;=3,"Most Deprived",F1850&lt;=7,"Moderately Deprived",F1850&lt;=10,"Least Deprived")</f>
        <v>Moderately Deprived</v>
      </c>
      <c r="H1850">
        <v>3.9</v>
      </c>
      <c r="I1850" t="s">
        <v>18</v>
      </c>
      <c r="J1850" t="s">
        <v>19</v>
      </c>
      <c r="K1850" s="1">
        <v>45876</v>
      </c>
      <c r="L1850" s="1">
        <v>45916</v>
      </c>
      <c r="M1850" s="1" t="str">
        <f>TEXT(Table1[[#This Row],[appointment_date]],"MM/YYYY")</f>
        <v>09/2025</v>
      </c>
      <c r="N1850">
        <v>40</v>
      </c>
      <c r="O1850" t="str" cm="1">
        <f t="array" ref="O1850">_xlfn.IFS(Table1[[#This Row],[lead_time_days]]&lt;=7,"0-7 days",N1850&lt;=14,"8-14 days",N1850&lt;=30,"15-30 days",N1850&lt;=60,"31-60 days",TRUE,"61+ days")</f>
        <v>31-60 days</v>
      </c>
      <c r="P1850" t="s">
        <v>71</v>
      </c>
      <c r="Q1850" t="s">
        <v>21</v>
      </c>
      <c r="R1850">
        <v>0</v>
      </c>
      <c r="S1850" t="str">
        <f>IF(Table1[prior_dna_count]&gt;=1,"Has prior DNA history","No prior DNA history")</f>
        <v>No prior DNA history</v>
      </c>
      <c r="T1850" t="s">
        <v>22</v>
      </c>
      <c r="U1850" t="str">
        <f t="shared" si="28"/>
        <v>0</v>
      </c>
      <c r="V1850" t="str">
        <f>IF(Table1[appointment_status]="Attended","1","0")</f>
        <v>1</v>
      </c>
      <c r="W1850" t="str">
        <f>IF(Table1[appointment_status]="Cancelled","1","0")</f>
        <v>0</v>
      </c>
    </row>
    <row r="1851" spans="1:23">
      <c r="A1851" t="s">
        <v>2979</v>
      </c>
      <c r="B1851" t="s">
        <v>1661</v>
      </c>
      <c r="C1851">
        <v>55</v>
      </c>
      <c r="D1851" t="str" cm="1">
        <f t="array" ref="D1851">_xlfn.IFS(Table1[[#This Row],[age]]&lt;=17,"0-17",C1851&lt;=29,"18-29",C1851&lt;=44,"30-44",C1851&lt;=59,"45-59",C1851&lt;=74,"60-74",TRUE,"75+")</f>
        <v>45-59</v>
      </c>
      <c r="E1851" t="s">
        <v>17</v>
      </c>
      <c r="F1851">
        <v>9</v>
      </c>
      <c r="G1851" t="str" cm="1">
        <f t="array" ref="G1851">_xlfn.IFS(_xlfn.SINGLE(Table1[imd_decile])&lt;=3,"Most Deprived",F1851&lt;=7,"Moderately Deprived",F1851&lt;=10,"Least Deprived")</f>
        <v>Least Deprived</v>
      </c>
      <c r="H1851">
        <v>6.2</v>
      </c>
      <c r="I1851" t="s">
        <v>155</v>
      </c>
      <c r="J1851" t="s">
        <v>19</v>
      </c>
      <c r="K1851" s="1">
        <v>45891</v>
      </c>
      <c r="L1851" s="1">
        <v>45916</v>
      </c>
      <c r="M1851" s="1" t="str">
        <f>TEXT(Table1[[#This Row],[appointment_date]],"MM/YYYY")</f>
        <v>09/2025</v>
      </c>
      <c r="N1851">
        <v>25</v>
      </c>
      <c r="O1851" t="str" cm="1">
        <f t="array" ref="O1851">_xlfn.IFS(Table1[[#This Row],[lead_time_days]]&lt;=7,"0-7 days",N1851&lt;=14,"8-14 days",N1851&lt;=30,"15-30 days",N1851&lt;=60,"31-60 days",TRUE,"61+ days")</f>
        <v>15-30 days</v>
      </c>
      <c r="P1851" t="s">
        <v>71</v>
      </c>
      <c r="Q1851" t="s">
        <v>21</v>
      </c>
      <c r="R1851">
        <v>0</v>
      </c>
      <c r="S1851" t="str">
        <f>IF(Table1[prior_dna_count]&gt;=1,"Has prior DNA history","No prior DNA history")</f>
        <v>No prior DNA history</v>
      </c>
      <c r="T1851" t="s">
        <v>22</v>
      </c>
      <c r="U1851" t="str">
        <f t="shared" si="28"/>
        <v>1</v>
      </c>
      <c r="V1851" t="str">
        <f>IF(Table1[appointment_status]="Attended","1","0")</f>
        <v>1</v>
      </c>
      <c r="W1851" t="str">
        <f>IF(Table1[appointment_status]="Cancelled","1","0")</f>
        <v>0</v>
      </c>
    </row>
    <row r="1852" spans="1:23">
      <c r="A1852" t="s">
        <v>2980</v>
      </c>
      <c r="B1852" t="s">
        <v>2981</v>
      </c>
      <c r="C1852">
        <v>28</v>
      </c>
      <c r="D1852" t="str" cm="1">
        <f t="array" ref="D1852">_xlfn.IFS(Table1[[#This Row],[age]]&lt;=17,"0-17",C1852&lt;=29,"18-29",C1852&lt;=44,"30-44",C1852&lt;=59,"45-59",C1852&lt;=74,"60-74",TRUE,"75+")</f>
        <v>18-29</v>
      </c>
      <c r="E1852" t="s">
        <v>17</v>
      </c>
      <c r="F1852">
        <v>6</v>
      </c>
      <c r="G1852" t="str" cm="1">
        <f t="array" ref="G1852">_xlfn.IFS(_xlfn.SINGLE(Table1[imd_decile])&lt;=3,"Most Deprived",F1852&lt;=7,"Moderately Deprived",F1852&lt;=10,"Least Deprived")</f>
        <v>Moderately Deprived</v>
      </c>
      <c r="H1852">
        <v>22</v>
      </c>
      <c r="I1852" t="s">
        <v>45</v>
      </c>
      <c r="J1852" t="s">
        <v>19</v>
      </c>
      <c r="K1852" s="1">
        <v>45902</v>
      </c>
      <c r="L1852" s="1">
        <v>45916</v>
      </c>
      <c r="M1852" s="1" t="str">
        <f>TEXT(Table1[[#This Row],[appointment_date]],"MM/YYYY")</f>
        <v>09/2025</v>
      </c>
      <c r="N1852">
        <v>14</v>
      </c>
      <c r="O1852" t="str" cm="1">
        <f t="array" ref="O1852">_xlfn.IFS(Table1[[#This Row],[lead_time_days]]&lt;=7,"0-7 days",N1852&lt;=14,"8-14 days",N1852&lt;=30,"15-30 days",N1852&lt;=60,"31-60 days",TRUE,"61+ days")</f>
        <v>8-14 days</v>
      </c>
      <c r="P1852" t="s">
        <v>71</v>
      </c>
      <c r="Q1852" t="s">
        <v>21</v>
      </c>
      <c r="R1852">
        <v>0</v>
      </c>
      <c r="S1852" t="str">
        <f>IF(Table1[prior_dna_count]&gt;=1,"Has prior DNA history","No prior DNA history")</f>
        <v>No prior DNA history</v>
      </c>
      <c r="T1852" t="s">
        <v>22</v>
      </c>
      <c r="U1852" t="str">
        <f t="shared" si="28"/>
        <v>1</v>
      </c>
      <c r="V1852" t="str">
        <f>IF(Table1[appointment_status]="Attended","1","0")</f>
        <v>1</v>
      </c>
      <c r="W1852" t="str">
        <f>IF(Table1[appointment_status]="Cancelled","1","0")</f>
        <v>0</v>
      </c>
    </row>
    <row r="1853" spans="1:23">
      <c r="A1853" t="s">
        <v>2982</v>
      </c>
      <c r="B1853" t="s">
        <v>2603</v>
      </c>
      <c r="C1853">
        <v>49</v>
      </c>
      <c r="D1853" t="str" cm="1">
        <f t="array" ref="D1853">_xlfn.IFS(Table1[[#This Row],[age]]&lt;=17,"0-17",C1853&lt;=29,"18-29",C1853&lt;=44,"30-44",C1853&lt;=59,"45-59",C1853&lt;=74,"60-74",TRUE,"75+")</f>
        <v>45-59</v>
      </c>
      <c r="E1853" t="s">
        <v>29</v>
      </c>
      <c r="F1853">
        <v>6</v>
      </c>
      <c r="G1853" t="str" cm="1">
        <f t="array" ref="G1853">_xlfn.IFS(_xlfn.SINGLE(Table1[imd_decile])&lt;=3,"Most Deprived",F1853&lt;=7,"Moderately Deprived",F1853&lt;=10,"Least Deprived")</f>
        <v>Moderately Deprived</v>
      </c>
      <c r="H1853">
        <v>4.0999999999999996</v>
      </c>
      <c r="I1853" t="s">
        <v>25</v>
      </c>
      <c r="J1853" t="s">
        <v>19</v>
      </c>
      <c r="K1853" s="1">
        <v>45855</v>
      </c>
      <c r="L1853" s="1">
        <v>45916</v>
      </c>
      <c r="M1853" s="1" t="str">
        <f>TEXT(Table1[[#This Row],[appointment_date]],"MM/YYYY")</f>
        <v>09/2025</v>
      </c>
      <c r="N1853">
        <v>61</v>
      </c>
      <c r="O1853" t="str" cm="1">
        <f t="array" ref="O1853">_xlfn.IFS(Table1[[#This Row],[lead_time_days]]&lt;=7,"0-7 days",N1853&lt;=14,"8-14 days",N1853&lt;=30,"15-30 days",N1853&lt;=60,"31-60 days",TRUE,"61+ days")</f>
        <v>61+ days</v>
      </c>
      <c r="P1853" t="s">
        <v>71</v>
      </c>
      <c r="Q1853" t="s">
        <v>21</v>
      </c>
      <c r="R1853">
        <v>0</v>
      </c>
      <c r="S1853" t="str">
        <f>IF(Table1[prior_dna_count]&gt;=1,"Has prior DNA history","No prior DNA history")</f>
        <v>No prior DNA history</v>
      </c>
      <c r="T1853" t="s">
        <v>22</v>
      </c>
      <c r="U1853" t="str">
        <f t="shared" si="28"/>
        <v>1</v>
      </c>
      <c r="V1853" t="str">
        <f>IF(Table1[appointment_status]="Attended","1","0")</f>
        <v>1</v>
      </c>
      <c r="W1853" t="str">
        <f>IF(Table1[appointment_status]="Cancelled","1","0")</f>
        <v>0</v>
      </c>
    </row>
    <row r="1854" spans="1:23">
      <c r="A1854" t="s">
        <v>2983</v>
      </c>
      <c r="B1854" t="s">
        <v>2984</v>
      </c>
      <c r="C1854">
        <v>33</v>
      </c>
      <c r="D1854" t="str" cm="1">
        <f t="array" ref="D1854">_xlfn.IFS(Table1[[#This Row],[age]]&lt;=17,"0-17",C1854&lt;=29,"18-29",C1854&lt;=44,"30-44",C1854&lt;=59,"45-59",C1854&lt;=74,"60-74",TRUE,"75+")</f>
        <v>30-44</v>
      </c>
      <c r="E1854" t="s">
        <v>29</v>
      </c>
      <c r="F1854">
        <v>4</v>
      </c>
      <c r="G1854" t="str" cm="1">
        <f t="array" ref="G1854">_xlfn.IFS(_xlfn.SINGLE(Table1[imd_decile])&lt;=3,"Most Deprived",F1854&lt;=7,"Moderately Deprived",F1854&lt;=10,"Least Deprived")</f>
        <v>Moderately Deprived</v>
      </c>
      <c r="H1854">
        <v>9</v>
      </c>
      <c r="I1854" t="s">
        <v>58</v>
      </c>
      <c r="J1854" t="s">
        <v>19</v>
      </c>
      <c r="K1854" s="1">
        <v>45890</v>
      </c>
      <c r="L1854" s="1">
        <v>45916</v>
      </c>
      <c r="M1854" s="1" t="str">
        <f>TEXT(Table1[[#This Row],[appointment_date]],"MM/YYYY")</f>
        <v>09/2025</v>
      </c>
      <c r="N1854">
        <v>26</v>
      </c>
      <c r="O1854" t="str" cm="1">
        <f t="array" ref="O1854">_xlfn.IFS(Table1[[#This Row],[lead_time_days]]&lt;=7,"0-7 days",N1854&lt;=14,"8-14 days",N1854&lt;=30,"15-30 days",N1854&lt;=60,"31-60 days",TRUE,"61+ days")</f>
        <v>15-30 days</v>
      </c>
      <c r="P1854" t="s">
        <v>71</v>
      </c>
      <c r="Q1854" t="s">
        <v>21</v>
      </c>
      <c r="R1854">
        <v>0</v>
      </c>
      <c r="S1854" t="str">
        <f>IF(Table1[prior_dna_count]&gt;=1,"Has prior DNA history","No prior DNA history")</f>
        <v>No prior DNA history</v>
      </c>
      <c r="T1854" t="s">
        <v>22</v>
      </c>
      <c r="U1854" t="str">
        <f t="shared" si="28"/>
        <v>1</v>
      </c>
      <c r="V1854" t="str">
        <f>IF(Table1[appointment_status]="Attended","1","0")</f>
        <v>1</v>
      </c>
      <c r="W1854" t="str">
        <f>IF(Table1[appointment_status]="Cancelled","1","0")</f>
        <v>0</v>
      </c>
    </row>
    <row r="1855" spans="1:23">
      <c r="A1855" t="s">
        <v>2985</v>
      </c>
      <c r="B1855" t="s">
        <v>2986</v>
      </c>
      <c r="C1855">
        <v>71</v>
      </c>
      <c r="D1855" t="str" cm="1">
        <f t="array" ref="D1855">_xlfn.IFS(Table1[[#This Row],[age]]&lt;=17,"0-17",C1855&lt;=29,"18-29",C1855&lt;=44,"30-44",C1855&lt;=59,"45-59",C1855&lt;=74,"60-74",TRUE,"75+")</f>
        <v>60-74</v>
      </c>
      <c r="E1855" t="s">
        <v>29</v>
      </c>
      <c r="F1855">
        <v>6</v>
      </c>
      <c r="G1855" t="str" cm="1">
        <f t="array" ref="G1855">_xlfn.IFS(_xlfn.SINGLE(Table1[imd_decile])&lt;=3,"Most Deprived",F1855&lt;=7,"Moderately Deprived",F1855&lt;=10,"Least Deprived")</f>
        <v>Moderately Deprived</v>
      </c>
      <c r="H1855">
        <v>8.1999999999999993</v>
      </c>
      <c r="I1855" t="s">
        <v>91</v>
      </c>
      <c r="J1855" t="s">
        <v>19</v>
      </c>
      <c r="K1855" s="1">
        <v>45895</v>
      </c>
      <c r="L1855" s="1">
        <v>45916</v>
      </c>
      <c r="M1855" s="1" t="str">
        <f>TEXT(Table1[[#This Row],[appointment_date]],"MM/YYYY")</f>
        <v>09/2025</v>
      </c>
      <c r="N1855">
        <v>21</v>
      </c>
      <c r="O1855" t="str" cm="1">
        <f t="array" ref="O1855">_xlfn.IFS(Table1[[#This Row],[lead_time_days]]&lt;=7,"0-7 days",N1855&lt;=14,"8-14 days",N1855&lt;=30,"15-30 days",N1855&lt;=60,"31-60 days",TRUE,"61+ days")</f>
        <v>15-30 days</v>
      </c>
      <c r="P1855" t="s">
        <v>71</v>
      </c>
      <c r="Q1855" t="s">
        <v>21</v>
      </c>
      <c r="R1855">
        <v>0</v>
      </c>
      <c r="S1855" t="str">
        <f>IF(Table1[prior_dna_count]&gt;=1,"Has prior DNA history","No prior DNA history")</f>
        <v>No prior DNA history</v>
      </c>
      <c r="T1855" t="s">
        <v>22</v>
      </c>
      <c r="U1855" t="str">
        <f t="shared" si="28"/>
        <v>1</v>
      </c>
      <c r="V1855" t="str">
        <f>IF(Table1[appointment_status]="Attended","1","0")</f>
        <v>1</v>
      </c>
      <c r="W1855" t="str">
        <f>IF(Table1[appointment_status]="Cancelled","1","0")</f>
        <v>0</v>
      </c>
    </row>
    <row r="1856" spans="1:23">
      <c r="A1856" t="s">
        <v>2987</v>
      </c>
      <c r="B1856" t="s">
        <v>907</v>
      </c>
      <c r="C1856">
        <v>88</v>
      </c>
      <c r="D1856" t="str" cm="1">
        <f t="array" ref="D1856">_xlfn.IFS(Table1[[#This Row],[age]]&lt;=17,"0-17",C1856&lt;=29,"18-29",C1856&lt;=44,"30-44",C1856&lt;=59,"45-59",C1856&lt;=74,"60-74",TRUE,"75+")</f>
        <v>75+</v>
      </c>
      <c r="E1856" t="s">
        <v>17</v>
      </c>
      <c r="F1856">
        <v>10</v>
      </c>
      <c r="G1856" t="str" cm="1">
        <f t="array" ref="G1856">_xlfn.IFS(_xlfn.SINGLE(Table1[imd_decile])&lt;=3,"Most Deprived",F1856&lt;=7,"Moderately Deprived",F1856&lt;=10,"Least Deprived")</f>
        <v>Least Deprived</v>
      </c>
      <c r="H1856">
        <v>3.3</v>
      </c>
      <c r="I1856" t="s">
        <v>91</v>
      </c>
      <c r="J1856" t="s">
        <v>19</v>
      </c>
      <c r="K1856" s="1">
        <v>45838</v>
      </c>
      <c r="L1856" s="1">
        <v>45916</v>
      </c>
      <c r="M1856" s="1" t="str">
        <f>TEXT(Table1[[#This Row],[appointment_date]],"MM/YYYY")</f>
        <v>09/2025</v>
      </c>
      <c r="N1856">
        <v>78</v>
      </c>
      <c r="O1856" t="str" cm="1">
        <f t="array" ref="O1856">_xlfn.IFS(Table1[[#This Row],[lead_time_days]]&lt;=7,"0-7 days",N1856&lt;=14,"8-14 days",N1856&lt;=30,"15-30 days",N1856&lt;=60,"31-60 days",TRUE,"61+ days")</f>
        <v>61+ days</v>
      </c>
      <c r="P1856" t="s">
        <v>71</v>
      </c>
      <c r="Q1856" t="s">
        <v>21</v>
      </c>
      <c r="R1856">
        <v>0</v>
      </c>
      <c r="S1856" t="str">
        <f>IF(Table1[prior_dna_count]&gt;=1,"Has prior DNA history","No prior DNA history")</f>
        <v>No prior DNA history</v>
      </c>
      <c r="T1856" t="s">
        <v>22</v>
      </c>
      <c r="U1856" t="str">
        <f t="shared" si="28"/>
        <v>1</v>
      </c>
      <c r="V1856" t="str">
        <f>IF(Table1[appointment_status]="Attended","1","0")</f>
        <v>1</v>
      </c>
      <c r="W1856" t="str">
        <f>IF(Table1[appointment_status]="Cancelled","1","0")</f>
        <v>0</v>
      </c>
    </row>
    <row r="1857" spans="1:23">
      <c r="A1857" t="s">
        <v>2988</v>
      </c>
      <c r="B1857" t="s">
        <v>809</v>
      </c>
      <c r="C1857">
        <v>40</v>
      </c>
      <c r="D1857" t="str" cm="1">
        <f t="array" ref="D1857">_xlfn.IFS(Table1[[#This Row],[age]]&lt;=17,"0-17",C1857&lt;=29,"18-29",C1857&lt;=44,"30-44",C1857&lt;=59,"45-59",C1857&lt;=74,"60-74",TRUE,"75+")</f>
        <v>30-44</v>
      </c>
      <c r="E1857" t="s">
        <v>17</v>
      </c>
      <c r="F1857">
        <v>2</v>
      </c>
      <c r="G1857" t="str" cm="1">
        <f t="array" ref="G1857">_xlfn.IFS(_xlfn.SINGLE(Table1[imd_decile])&lt;=3,"Most Deprived",F1857&lt;=7,"Moderately Deprived",F1857&lt;=10,"Least Deprived")</f>
        <v>Most Deprived</v>
      </c>
      <c r="H1857">
        <v>29.3</v>
      </c>
      <c r="I1857" t="s">
        <v>42</v>
      </c>
      <c r="J1857" t="s">
        <v>19</v>
      </c>
      <c r="K1857" s="1">
        <v>45883</v>
      </c>
      <c r="L1857" s="1">
        <v>45916</v>
      </c>
      <c r="M1857" s="1" t="str">
        <f>TEXT(Table1[[#This Row],[appointment_date]],"MM/YYYY")</f>
        <v>09/2025</v>
      </c>
      <c r="N1857">
        <v>33</v>
      </c>
      <c r="O1857" t="str" cm="1">
        <f t="array" ref="O1857">_xlfn.IFS(Table1[[#This Row],[lead_time_days]]&lt;=7,"0-7 days",N1857&lt;=14,"8-14 days",N1857&lt;=30,"15-30 days",N1857&lt;=60,"31-60 days",TRUE,"61+ days")</f>
        <v>31-60 days</v>
      </c>
      <c r="P1857" t="s">
        <v>71</v>
      </c>
      <c r="Q1857" t="s">
        <v>21</v>
      </c>
      <c r="R1857">
        <v>0</v>
      </c>
      <c r="S1857" t="str">
        <f>IF(Table1[prior_dna_count]&gt;=1,"Has prior DNA history","No prior DNA history")</f>
        <v>No prior DNA history</v>
      </c>
      <c r="T1857" t="s">
        <v>22</v>
      </c>
      <c r="U1857" t="str">
        <f t="shared" si="28"/>
        <v>1</v>
      </c>
      <c r="V1857" t="str">
        <f>IF(Table1[appointment_status]="Attended","1","0")</f>
        <v>1</v>
      </c>
      <c r="W1857" t="str">
        <f>IF(Table1[appointment_status]="Cancelled","1","0")</f>
        <v>0</v>
      </c>
    </row>
    <row r="1858" spans="1:23">
      <c r="A1858" t="s">
        <v>2989</v>
      </c>
      <c r="B1858" t="s">
        <v>1946</v>
      </c>
      <c r="C1858">
        <v>41</v>
      </c>
      <c r="D1858" t="str" cm="1">
        <f t="array" ref="D1858">_xlfn.IFS(Table1[[#This Row],[age]]&lt;=17,"0-17",C1858&lt;=29,"18-29",C1858&lt;=44,"30-44",C1858&lt;=59,"45-59",C1858&lt;=74,"60-74",TRUE,"75+")</f>
        <v>30-44</v>
      </c>
      <c r="E1858" t="s">
        <v>17</v>
      </c>
      <c r="F1858">
        <v>8</v>
      </c>
      <c r="G1858" t="str" cm="1">
        <f t="array" ref="G1858">_xlfn.IFS(_xlfn.SINGLE(Table1[imd_decile])&lt;=3,"Most Deprived",F1858&lt;=7,"Moderately Deprived",F1858&lt;=10,"Least Deprived")</f>
        <v>Least Deprived</v>
      </c>
      <c r="H1858">
        <v>9.8000000000000007</v>
      </c>
      <c r="I1858" t="s">
        <v>155</v>
      </c>
      <c r="J1858" t="s">
        <v>26</v>
      </c>
      <c r="K1858" s="1">
        <v>45915</v>
      </c>
      <c r="L1858" s="1">
        <v>45916</v>
      </c>
      <c r="M1858" s="1" t="str">
        <f>TEXT(Table1[[#This Row],[appointment_date]],"MM/YYYY")</f>
        <v>09/2025</v>
      </c>
      <c r="N1858">
        <v>1</v>
      </c>
      <c r="O1858" t="str" cm="1">
        <f t="array" ref="O1858">_xlfn.IFS(Table1[[#This Row],[lead_time_days]]&lt;=7,"0-7 days",N1858&lt;=14,"8-14 days",N1858&lt;=30,"15-30 days",N1858&lt;=60,"31-60 days",TRUE,"61+ days")</f>
        <v>0-7 days</v>
      </c>
      <c r="P1858" t="s">
        <v>71</v>
      </c>
      <c r="Q1858" t="s">
        <v>32</v>
      </c>
      <c r="R1858">
        <v>0</v>
      </c>
      <c r="S1858" t="str">
        <f>IF(Table1[prior_dna_count]&gt;=1,"Has prior DNA history","No prior DNA history")</f>
        <v>No prior DNA history</v>
      </c>
      <c r="T1858" t="s">
        <v>39</v>
      </c>
      <c r="U1858" t="str">
        <f t="shared" ref="U1858:U1921" si="29">V1857</f>
        <v>1</v>
      </c>
      <c r="V1858" t="str">
        <f>IF(Table1[appointment_status]="Attended","1","0")</f>
        <v>0</v>
      </c>
      <c r="W1858" t="str">
        <f>IF(Table1[appointment_status]="Cancelled","1","0")</f>
        <v>0</v>
      </c>
    </row>
    <row r="1859" spans="1:23">
      <c r="A1859" t="s">
        <v>2990</v>
      </c>
      <c r="B1859" t="s">
        <v>526</v>
      </c>
      <c r="C1859">
        <v>18</v>
      </c>
      <c r="D1859" t="str" cm="1">
        <f t="array" ref="D1859">_xlfn.IFS(Table1[[#This Row],[age]]&lt;=17,"0-17",C1859&lt;=29,"18-29",C1859&lt;=44,"30-44",C1859&lt;=59,"45-59",C1859&lt;=74,"60-74",TRUE,"75+")</f>
        <v>18-29</v>
      </c>
      <c r="E1859" t="s">
        <v>17</v>
      </c>
      <c r="F1859">
        <v>3</v>
      </c>
      <c r="G1859" t="str" cm="1">
        <f t="array" ref="G1859">_xlfn.IFS(_xlfn.SINGLE(Table1[imd_decile])&lt;=3,"Most Deprived",F1859&lt;=7,"Moderately Deprived",F1859&lt;=10,"Least Deprived")</f>
        <v>Most Deprived</v>
      </c>
      <c r="H1859">
        <v>15.9</v>
      </c>
      <c r="I1859" t="s">
        <v>45</v>
      </c>
      <c r="J1859" t="s">
        <v>26</v>
      </c>
      <c r="K1859" s="1">
        <v>45890</v>
      </c>
      <c r="L1859" s="1">
        <v>45916</v>
      </c>
      <c r="M1859" s="1" t="str">
        <f>TEXT(Table1[[#This Row],[appointment_date]],"MM/YYYY")</f>
        <v>09/2025</v>
      </c>
      <c r="N1859">
        <v>26</v>
      </c>
      <c r="O1859" t="str" cm="1">
        <f t="array" ref="O1859">_xlfn.IFS(Table1[[#This Row],[lead_time_days]]&lt;=7,"0-7 days",N1859&lt;=14,"8-14 days",N1859&lt;=30,"15-30 days",N1859&lt;=60,"31-60 days",TRUE,"61+ days")</f>
        <v>15-30 days</v>
      </c>
      <c r="P1859" t="s">
        <v>71</v>
      </c>
      <c r="Q1859" t="s">
        <v>21</v>
      </c>
      <c r="R1859">
        <v>0</v>
      </c>
      <c r="S1859" t="str">
        <f>IF(Table1[prior_dna_count]&gt;=1,"Has prior DNA history","No prior DNA history")</f>
        <v>No prior DNA history</v>
      </c>
      <c r="T1859" t="s">
        <v>22</v>
      </c>
      <c r="U1859" t="str">
        <f t="shared" si="29"/>
        <v>0</v>
      </c>
      <c r="V1859" t="str">
        <f>IF(Table1[appointment_status]="Attended","1","0")</f>
        <v>1</v>
      </c>
      <c r="W1859" t="str">
        <f>IF(Table1[appointment_status]="Cancelled","1","0")</f>
        <v>0</v>
      </c>
    </row>
    <row r="1860" spans="1:23">
      <c r="A1860" t="s">
        <v>2991</v>
      </c>
      <c r="B1860" t="s">
        <v>423</v>
      </c>
      <c r="C1860">
        <v>53</v>
      </c>
      <c r="D1860" t="str" cm="1">
        <f t="array" ref="D1860">_xlfn.IFS(Table1[[#This Row],[age]]&lt;=17,"0-17",C1860&lt;=29,"18-29",C1860&lt;=44,"30-44",C1860&lt;=59,"45-59",C1860&lt;=74,"60-74",TRUE,"75+")</f>
        <v>45-59</v>
      </c>
      <c r="E1860" t="s">
        <v>17</v>
      </c>
      <c r="F1860">
        <v>4</v>
      </c>
      <c r="G1860" t="str" cm="1">
        <f t="array" ref="G1860">_xlfn.IFS(_xlfn.SINGLE(Table1[imd_decile])&lt;=3,"Most Deprived",F1860&lt;=7,"Moderately Deprived",F1860&lt;=10,"Least Deprived")</f>
        <v>Moderately Deprived</v>
      </c>
      <c r="H1860">
        <v>3.8</v>
      </c>
      <c r="I1860" t="s">
        <v>25</v>
      </c>
      <c r="J1860" t="s">
        <v>19</v>
      </c>
      <c r="K1860" s="1">
        <v>45853</v>
      </c>
      <c r="L1860" s="1">
        <v>45917</v>
      </c>
      <c r="M1860" s="1" t="str">
        <f>TEXT(Table1[[#This Row],[appointment_date]],"MM/YYYY")</f>
        <v>09/2025</v>
      </c>
      <c r="N1860">
        <v>64</v>
      </c>
      <c r="O1860" t="str" cm="1">
        <f t="array" ref="O1860">_xlfn.IFS(Table1[[#This Row],[lead_time_days]]&lt;=7,"0-7 days",N1860&lt;=14,"8-14 days",N1860&lt;=30,"15-30 days",N1860&lt;=60,"31-60 days",TRUE,"61+ days")</f>
        <v>61+ days</v>
      </c>
      <c r="P1860" t="s">
        <v>80</v>
      </c>
      <c r="Q1860" t="s">
        <v>21</v>
      </c>
      <c r="R1860">
        <v>0</v>
      </c>
      <c r="S1860" t="str">
        <f>IF(Table1[prior_dna_count]&gt;=1,"Has prior DNA history","No prior DNA history")</f>
        <v>No prior DNA history</v>
      </c>
      <c r="T1860" t="s">
        <v>46</v>
      </c>
      <c r="U1860" t="str">
        <f t="shared" si="29"/>
        <v>1</v>
      </c>
      <c r="V1860" t="str">
        <f>IF(Table1[appointment_status]="Attended","1","0")</f>
        <v>0</v>
      </c>
      <c r="W1860" t="str">
        <f>IF(Table1[appointment_status]="Cancelled","1","0")</f>
        <v>1</v>
      </c>
    </row>
    <row r="1861" spans="1:23">
      <c r="A1861" t="s">
        <v>2992</v>
      </c>
      <c r="B1861" t="s">
        <v>642</v>
      </c>
      <c r="C1861">
        <v>54</v>
      </c>
      <c r="D1861" t="str" cm="1">
        <f t="array" ref="D1861">_xlfn.IFS(Table1[[#This Row],[age]]&lt;=17,"0-17",C1861&lt;=29,"18-29",C1861&lt;=44,"30-44",C1861&lt;=59,"45-59",C1861&lt;=74,"60-74",TRUE,"75+")</f>
        <v>45-59</v>
      </c>
      <c r="E1861" t="s">
        <v>29</v>
      </c>
      <c r="F1861">
        <v>5</v>
      </c>
      <c r="G1861" t="str" cm="1">
        <f t="array" ref="G1861">_xlfn.IFS(_xlfn.SINGLE(Table1[imd_decile])&lt;=3,"Most Deprived",F1861&lt;=7,"Moderately Deprived",F1861&lt;=10,"Least Deprived")</f>
        <v>Moderately Deprived</v>
      </c>
      <c r="H1861">
        <v>21.9</v>
      </c>
      <c r="I1861" t="s">
        <v>25</v>
      </c>
      <c r="J1861" t="s">
        <v>19</v>
      </c>
      <c r="K1861" s="1">
        <v>45877</v>
      </c>
      <c r="L1861" s="1">
        <v>45917</v>
      </c>
      <c r="M1861" s="1" t="str">
        <f>TEXT(Table1[[#This Row],[appointment_date]],"MM/YYYY")</f>
        <v>09/2025</v>
      </c>
      <c r="N1861">
        <v>40</v>
      </c>
      <c r="O1861" t="str" cm="1">
        <f t="array" ref="O1861">_xlfn.IFS(Table1[[#This Row],[lead_time_days]]&lt;=7,"0-7 days",N1861&lt;=14,"8-14 days",N1861&lt;=30,"15-30 days",N1861&lt;=60,"31-60 days",TRUE,"61+ days")</f>
        <v>31-60 days</v>
      </c>
      <c r="P1861" t="s">
        <v>80</v>
      </c>
      <c r="Q1861" t="s">
        <v>21</v>
      </c>
      <c r="R1861">
        <v>0</v>
      </c>
      <c r="S1861" t="str">
        <f>IF(Table1[prior_dna_count]&gt;=1,"Has prior DNA history","No prior DNA history")</f>
        <v>No prior DNA history</v>
      </c>
      <c r="T1861" t="s">
        <v>39</v>
      </c>
      <c r="U1861" t="str">
        <f t="shared" si="29"/>
        <v>0</v>
      </c>
      <c r="V1861" t="str">
        <f>IF(Table1[appointment_status]="Attended","1","0")</f>
        <v>0</v>
      </c>
      <c r="W1861" t="str">
        <f>IF(Table1[appointment_status]="Cancelled","1","0")</f>
        <v>0</v>
      </c>
    </row>
    <row r="1862" spans="1:23">
      <c r="A1862" t="s">
        <v>2993</v>
      </c>
      <c r="B1862" t="s">
        <v>953</v>
      </c>
      <c r="C1862">
        <v>69</v>
      </c>
      <c r="D1862" t="str" cm="1">
        <f t="array" ref="D1862">_xlfn.IFS(Table1[[#This Row],[age]]&lt;=17,"0-17",C1862&lt;=29,"18-29",C1862&lt;=44,"30-44",C1862&lt;=59,"45-59",C1862&lt;=74,"60-74",TRUE,"75+")</f>
        <v>60-74</v>
      </c>
      <c r="E1862" t="s">
        <v>29</v>
      </c>
      <c r="F1862">
        <v>10</v>
      </c>
      <c r="G1862" t="str" cm="1">
        <f t="array" ref="G1862">_xlfn.IFS(_xlfn.SINGLE(Table1[imd_decile])&lt;=3,"Most Deprived",F1862&lt;=7,"Moderately Deprived",F1862&lt;=10,"Least Deprived")</f>
        <v>Least Deprived</v>
      </c>
      <c r="H1862">
        <v>7.5</v>
      </c>
      <c r="I1862" t="s">
        <v>18</v>
      </c>
      <c r="J1862" t="s">
        <v>26</v>
      </c>
      <c r="K1862" s="1">
        <v>45896</v>
      </c>
      <c r="L1862" s="1">
        <v>45917</v>
      </c>
      <c r="M1862" s="1" t="str">
        <f>TEXT(Table1[[#This Row],[appointment_date]],"MM/YYYY")</f>
        <v>09/2025</v>
      </c>
      <c r="N1862">
        <v>21</v>
      </c>
      <c r="O1862" t="str" cm="1">
        <f t="array" ref="O1862">_xlfn.IFS(Table1[[#This Row],[lead_time_days]]&lt;=7,"0-7 days",N1862&lt;=14,"8-14 days",N1862&lt;=30,"15-30 days",N1862&lt;=60,"31-60 days",TRUE,"61+ days")</f>
        <v>15-30 days</v>
      </c>
      <c r="P1862" t="s">
        <v>80</v>
      </c>
      <c r="Q1862" t="s">
        <v>32</v>
      </c>
      <c r="R1862">
        <v>1</v>
      </c>
      <c r="S1862" t="str">
        <f>IF(Table1[prior_dna_count]&gt;=1,"Has prior DNA history","No prior DNA history")</f>
        <v>Has prior DNA history</v>
      </c>
      <c r="T1862" t="s">
        <v>22</v>
      </c>
      <c r="U1862" t="str">
        <f t="shared" si="29"/>
        <v>0</v>
      </c>
      <c r="V1862" t="str">
        <f>IF(Table1[appointment_status]="Attended","1","0")</f>
        <v>1</v>
      </c>
      <c r="W1862" t="str">
        <f>IF(Table1[appointment_status]="Cancelled","1","0")</f>
        <v>0</v>
      </c>
    </row>
    <row r="1863" spans="1:23">
      <c r="A1863" t="s">
        <v>2994</v>
      </c>
      <c r="B1863" t="s">
        <v>2995</v>
      </c>
      <c r="C1863">
        <v>46</v>
      </c>
      <c r="D1863" t="str" cm="1">
        <f t="array" ref="D1863">_xlfn.IFS(Table1[[#This Row],[age]]&lt;=17,"0-17",C1863&lt;=29,"18-29",C1863&lt;=44,"30-44",C1863&lt;=59,"45-59",C1863&lt;=74,"60-74",TRUE,"75+")</f>
        <v>45-59</v>
      </c>
      <c r="E1863" t="s">
        <v>17</v>
      </c>
      <c r="F1863">
        <v>7</v>
      </c>
      <c r="G1863" t="str" cm="1">
        <f t="array" ref="G1863">_xlfn.IFS(_xlfn.SINGLE(Table1[imd_decile])&lt;=3,"Most Deprived",F1863&lt;=7,"Moderately Deprived",F1863&lt;=10,"Least Deprived")</f>
        <v>Moderately Deprived</v>
      </c>
      <c r="H1863">
        <v>8.6</v>
      </c>
      <c r="I1863" t="s">
        <v>30</v>
      </c>
      <c r="J1863" t="s">
        <v>19</v>
      </c>
      <c r="K1863" s="1">
        <v>45870</v>
      </c>
      <c r="L1863" s="1">
        <v>45917</v>
      </c>
      <c r="M1863" s="1" t="str">
        <f>TEXT(Table1[[#This Row],[appointment_date]],"MM/YYYY")</f>
        <v>09/2025</v>
      </c>
      <c r="N1863">
        <v>47</v>
      </c>
      <c r="O1863" t="str" cm="1">
        <f t="array" ref="O1863">_xlfn.IFS(Table1[[#This Row],[lead_time_days]]&lt;=7,"0-7 days",N1863&lt;=14,"8-14 days",N1863&lt;=30,"15-30 days",N1863&lt;=60,"31-60 days",TRUE,"61+ days")</f>
        <v>31-60 days</v>
      </c>
      <c r="P1863" t="s">
        <v>80</v>
      </c>
      <c r="Q1863" t="s">
        <v>21</v>
      </c>
      <c r="R1863">
        <v>0</v>
      </c>
      <c r="S1863" t="str">
        <f>IF(Table1[prior_dna_count]&gt;=1,"Has prior DNA history","No prior DNA history")</f>
        <v>No prior DNA history</v>
      </c>
      <c r="T1863" t="s">
        <v>22</v>
      </c>
      <c r="U1863" t="str">
        <f t="shared" si="29"/>
        <v>1</v>
      </c>
      <c r="V1863" t="str">
        <f>IF(Table1[appointment_status]="Attended","1","0")</f>
        <v>1</v>
      </c>
      <c r="W1863" t="str">
        <f>IF(Table1[appointment_status]="Cancelled","1","0")</f>
        <v>0</v>
      </c>
    </row>
    <row r="1864" spans="1:23">
      <c r="A1864" t="s">
        <v>2996</v>
      </c>
      <c r="B1864" t="s">
        <v>350</v>
      </c>
      <c r="C1864">
        <v>59</v>
      </c>
      <c r="D1864" t="str" cm="1">
        <f t="array" ref="D1864">_xlfn.IFS(Table1[[#This Row],[age]]&lt;=17,"0-17",C1864&lt;=29,"18-29",C1864&lt;=44,"30-44",C1864&lt;=59,"45-59",C1864&lt;=74,"60-74",TRUE,"75+")</f>
        <v>45-59</v>
      </c>
      <c r="E1864" t="s">
        <v>29</v>
      </c>
      <c r="F1864">
        <v>9</v>
      </c>
      <c r="G1864" t="str" cm="1">
        <f t="array" ref="G1864">_xlfn.IFS(_xlfn.SINGLE(Table1[imd_decile])&lt;=3,"Most Deprived",F1864&lt;=7,"Moderately Deprived",F1864&lt;=10,"Least Deprived")</f>
        <v>Least Deprived</v>
      </c>
      <c r="H1864">
        <v>8.9</v>
      </c>
      <c r="I1864" t="s">
        <v>91</v>
      </c>
      <c r="J1864" t="s">
        <v>19</v>
      </c>
      <c r="K1864" s="1">
        <v>45900</v>
      </c>
      <c r="L1864" s="1">
        <v>45917</v>
      </c>
      <c r="M1864" s="1" t="str">
        <f>TEXT(Table1[[#This Row],[appointment_date]],"MM/YYYY")</f>
        <v>09/2025</v>
      </c>
      <c r="N1864">
        <v>17</v>
      </c>
      <c r="O1864" t="str" cm="1">
        <f t="array" ref="O1864">_xlfn.IFS(Table1[[#This Row],[lead_time_days]]&lt;=7,"0-7 days",N1864&lt;=14,"8-14 days",N1864&lt;=30,"15-30 days",N1864&lt;=60,"31-60 days",TRUE,"61+ days")</f>
        <v>15-30 days</v>
      </c>
      <c r="P1864" t="s">
        <v>80</v>
      </c>
      <c r="Q1864" t="s">
        <v>21</v>
      </c>
      <c r="R1864">
        <v>0</v>
      </c>
      <c r="S1864" t="str">
        <f>IF(Table1[prior_dna_count]&gt;=1,"Has prior DNA history","No prior DNA history")</f>
        <v>No prior DNA history</v>
      </c>
      <c r="T1864" t="s">
        <v>22</v>
      </c>
      <c r="U1864" t="str">
        <f t="shared" si="29"/>
        <v>1</v>
      </c>
      <c r="V1864" t="str">
        <f>IF(Table1[appointment_status]="Attended","1","0")</f>
        <v>1</v>
      </c>
      <c r="W1864" t="str">
        <f>IF(Table1[appointment_status]="Cancelled","1","0")</f>
        <v>0</v>
      </c>
    </row>
    <row r="1865" spans="1:23">
      <c r="A1865" t="s">
        <v>2997</v>
      </c>
      <c r="B1865" t="s">
        <v>1871</v>
      </c>
      <c r="C1865">
        <v>65</v>
      </c>
      <c r="D1865" t="str" cm="1">
        <f t="array" ref="D1865">_xlfn.IFS(Table1[[#This Row],[age]]&lt;=17,"0-17",C1865&lt;=29,"18-29",C1865&lt;=44,"30-44",C1865&lt;=59,"45-59",C1865&lt;=74,"60-74",TRUE,"75+")</f>
        <v>60-74</v>
      </c>
      <c r="E1865" t="s">
        <v>29</v>
      </c>
      <c r="F1865">
        <v>3</v>
      </c>
      <c r="G1865" t="str" cm="1">
        <f t="array" ref="G1865">_xlfn.IFS(_xlfn.SINGLE(Table1[imd_decile])&lt;=3,"Most Deprived",F1865&lt;=7,"Moderately Deprived",F1865&lt;=10,"Least Deprived")</f>
        <v>Most Deprived</v>
      </c>
      <c r="H1865">
        <v>3.6</v>
      </c>
      <c r="I1865" t="s">
        <v>30</v>
      </c>
      <c r="J1865" t="s">
        <v>26</v>
      </c>
      <c r="K1865" s="1">
        <v>45889</v>
      </c>
      <c r="L1865" s="1">
        <v>45917</v>
      </c>
      <c r="M1865" s="1" t="str">
        <f>TEXT(Table1[[#This Row],[appointment_date]],"MM/YYYY")</f>
        <v>09/2025</v>
      </c>
      <c r="N1865">
        <v>28</v>
      </c>
      <c r="O1865" t="str" cm="1">
        <f t="array" ref="O1865">_xlfn.IFS(Table1[[#This Row],[lead_time_days]]&lt;=7,"0-7 days",N1865&lt;=14,"8-14 days",N1865&lt;=30,"15-30 days",N1865&lt;=60,"31-60 days",TRUE,"61+ days")</f>
        <v>15-30 days</v>
      </c>
      <c r="P1865" t="s">
        <v>80</v>
      </c>
      <c r="Q1865" t="s">
        <v>32</v>
      </c>
      <c r="R1865">
        <v>1</v>
      </c>
      <c r="S1865" t="str">
        <f>IF(Table1[prior_dna_count]&gt;=1,"Has prior DNA history","No prior DNA history")</f>
        <v>Has prior DNA history</v>
      </c>
      <c r="T1865" t="s">
        <v>22</v>
      </c>
      <c r="U1865" t="str">
        <f t="shared" si="29"/>
        <v>1</v>
      </c>
      <c r="V1865" t="str">
        <f>IF(Table1[appointment_status]="Attended","1","0")</f>
        <v>1</v>
      </c>
      <c r="W1865" t="str">
        <f>IF(Table1[appointment_status]="Cancelled","1","0")</f>
        <v>0</v>
      </c>
    </row>
    <row r="1866" spans="1:23">
      <c r="A1866" t="s">
        <v>2998</v>
      </c>
      <c r="B1866" t="s">
        <v>2999</v>
      </c>
      <c r="C1866">
        <v>53</v>
      </c>
      <c r="D1866" t="str" cm="1">
        <f t="array" ref="D1866">_xlfn.IFS(Table1[[#This Row],[age]]&lt;=17,"0-17",C1866&lt;=29,"18-29",C1866&lt;=44,"30-44",C1866&lt;=59,"45-59",C1866&lt;=74,"60-74",TRUE,"75+")</f>
        <v>45-59</v>
      </c>
      <c r="E1866" t="s">
        <v>29</v>
      </c>
      <c r="F1866">
        <v>6</v>
      </c>
      <c r="G1866" t="str" cm="1">
        <f t="array" ref="G1866">_xlfn.IFS(_xlfn.SINGLE(Table1[imd_decile])&lt;=3,"Most Deprived",F1866&lt;=7,"Moderately Deprived",F1866&lt;=10,"Least Deprived")</f>
        <v>Moderately Deprived</v>
      </c>
      <c r="H1866">
        <v>6.8</v>
      </c>
      <c r="I1866" t="s">
        <v>38</v>
      </c>
      <c r="J1866" t="s">
        <v>19</v>
      </c>
      <c r="K1866" s="1">
        <v>45893</v>
      </c>
      <c r="L1866" s="1">
        <v>45917</v>
      </c>
      <c r="M1866" s="1" t="str">
        <f>TEXT(Table1[[#This Row],[appointment_date]],"MM/YYYY")</f>
        <v>09/2025</v>
      </c>
      <c r="N1866">
        <v>24</v>
      </c>
      <c r="O1866" t="str" cm="1">
        <f t="array" ref="O1866">_xlfn.IFS(Table1[[#This Row],[lead_time_days]]&lt;=7,"0-7 days",N1866&lt;=14,"8-14 days",N1866&lt;=30,"15-30 days",N1866&lt;=60,"31-60 days",TRUE,"61+ days")</f>
        <v>15-30 days</v>
      </c>
      <c r="P1866" t="s">
        <v>80</v>
      </c>
      <c r="Q1866" t="s">
        <v>21</v>
      </c>
      <c r="R1866">
        <v>0</v>
      </c>
      <c r="S1866" t="str">
        <f>IF(Table1[prior_dna_count]&gt;=1,"Has prior DNA history","No prior DNA history")</f>
        <v>No prior DNA history</v>
      </c>
      <c r="T1866" t="s">
        <v>22</v>
      </c>
      <c r="U1866" t="str">
        <f t="shared" si="29"/>
        <v>1</v>
      </c>
      <c r="V1866" t="str">
        <f>IF(Table1[appointment_status]="Attended","1","0")</f>
        <v>1</v>
      </c>
      <c r="W1866" t="str">
        <f>IF(Table1[appointment_status]="Cancelled","1","0")</f>
        <v>0</v>
      </c>
    </row>
    <row r="1867" spans="1:23">
      <c r="A1867" t="s">
        <v>3000</v>
      </c>
      <c r="B1867" t="s">
        <v>3001</v>
      </c>
      <c r="C1867">
        <v>18</v>
      </c>
      <c r="D1867" t="str" cm="1">
        <f t="array" ref="D1867">_xlfn.IFS(Table1[[#This Row],[age]]&lt;=17,"0-17",C1867&lt;=29,"18-29",C1867&lt;=44,"30-44",C1867&lt;=59,"45-59",C1867&lt;=74,"60-74",TRUE,"75+")</f>
        <v>18-29</v>
      </c>
      <c r="E1867" t="s">
        <v>29</v>
      </c>
      <c r="F1867">
        <v>5</v>
      </c>
      <c r="G1867" t="str" cm="1">
        <f t="array" ref="G1867">_xlfn.IFS(_xlfn.SINGLE(Table1[imd_decile])&lt;=3,"Most Deprived",F1867&lt;=7,"Moderately Deprived",F1867&lt;=10,"Least Deprived")</f>
        <v>Moderately Deprived</v>
      </c>
      <c r="H1867">
        <v>1.2</v>
      </c>
      <c r="I1867" t="s">
        <v>42</v>
      </c>
      <c r="J1867" t="s">
        <v>19</v>
      </c>
      <c r="K1867" s="1">
        <v>45898</v>
      </c>
      <c r="L1867" s="1">
        <v>45917</v>
      </c>
      <c r="M1867" s="1" t="str">
        <f>TEXT(Table1[[#This Row],[appointment_date]],"MM/YYYY")</f>
        <v>09/2025</v>
      </c>
      <c r="N1867">
        <v>19</v>
      </c>
      <c r="O1867" t="str" cm="1">
        <f t="array" ref="O1867">_xlfn.IFS(Table1[[#This Row],[lead_time_days]]&lt;=7,"0-7 days",N1867&lt;=14,"8-14 days",N1867&lt;=30,"15-30 days",N1867&lt;=60,"31-60 days",TRUE,"61+ days")</f>
        <v>15-30 days</v>
      </c>
      <c r="P1867" t="s">
        <v>80</v>
      </c>
      <c r="Q1867" t="s">
        <v>21</v>
      </c>
      <c r="R1867">
        <v>0</v>
      </c>
      <c r="S1867" t="str">
        <f>IF(Table1[prior_dna_count]&gt;=1,"Has prior DNA history","No prior DNA history")</f>
        <v>No prior DNA history</v>
      </c>
      <c r="T1867" t="s">
        <v>22</v>
      </c>
      <c r="U1867" t="str">
        <f t="shared" si="29"/>
        <v>1</v>
      </c>
      <c r="V1867" t="str">
        <f>IF(Table1[appointment_status]="Attended","1","0")</f>
        <v>1</v>
      </c>
      <c r="W1867" t="str">
        <f>IF(Table1[appointment_status]="Cancelled","1","0")</f>
        <v>0</v>
      </c>
    </row>
    <row r="1868" spans="1:23">
      <c r="A1868" t="s">
        <v>3002</v>
      </c>
      <c r="B1868" t="s">
        <v>217</v>
      </c>
      <c r="C1868">
        <v>52</v>
      </c>
      <c r="D1868" t="str" cm="1">
        <f t="array" ref="D1868">_xlfn.IFS(Table1[[#This Row],[age]]&lt;=17,"0-17",C1868&lt;=29,"18-29",C1868&lt;=44,"30-44",C1868&lt;=59,"45-59",C1868&lt;=74,"60-74",TRUE,"75+")</f>
        <v>45-59</v>
      </c>
      <c r="E1868" t="s">
        <v>17</v>
      </c>
      <c r="F1868">
        <v>1</v>
      </c>
      <c r="G1868" t="str" cm="1">
        <f t="array" ref="G1868">_xlfn.IFS(_xlfn.SINGLE(Table1[imd_decile])&lt;=3,"Most Deprived",F1868&lt;=7,"Moderately Deprived",F1868&lt;=10,"Least Deprived")</f>
        <v>Most Deprived</v>
      </c>
      <c r="H1868">
        <v>2.5</v>
      </c>
      <c r="I1868" t="s">
        <v>25</v>
      </c>
      <c r="J1868" t="s">
        <v>19</v>
      </c>
      <c r="K1868" s="1">
        <v>45884</v>
      </c>
      <c r="L1868" s="1">
        <v>45917</v>
      </c>
      <c r="M1868" s="1" t="str">
        <f>TEXT(Table1[[#This Row],[appointment_date]],"MM/YYYY")</f>
        <v>09/2025</v>
      </c>
      <c r="N1868">
        <v>33</v>
      </c>
      <c r="O1868" t="str" cm="1">
        <f t="array" ref="O1868">_xlfn.IFS(Table1[[#This Row],[lead_time_days]]&lt;=7,"0-7 days",N1868&lt;=14,"8-14 days",N1868&lt;=30,"15-30 days",N1868&lt;=60,"31-60 days",TRUE,"61+ days")</f>
        <v>31-60 days</v>
      </c>
      <c r="P1868" t="s">
        <v>80</v>
      </c>
      <c r="Q1868" t="s">
        <v>32</v>
      </c>
      <c r="R1868">
        <v>0</v>
      </c>
      <c r="S1868" t="str">
        <f>IF(Table1[prior_dna_count]&gt;=1,"Has prior DNA history","No prior DNA history")</f>
        <v>No prior DNA history</v>
      </c>
      <c r="T1868" t="s">
        <v>22</v>
      </c>
      <c r="U1868" t="str">
        <f t="shared" si="29"/>
        <v>1</v>
      </c>
      <c r="V1868" t="str">
        <f>IF(Table1[appointment_status]="Attended","1","0")</f>
        <v>1</v>
      </c>
      <c r="W1868" t="str">
        <f>IF(Table1[appointment_status]="Cancelled","1","0")</f>
        <v>0</v>
      </c>
    </row>
    <row r="1869" spans="1:23">
      <c r="A1869" t="s">
        <v>3003</v>
      </c>
      <c r="B1869" t="s">
        <v>169</v>
      </c>
      <c r="C1869">
        <v>44</v>
      </c>
      <c r="D1869" t="str" cm="1">
        <f t="array" ref="D1869">_xlfn.IFS(Table1[[#This Row],[age]]&lt;=17,"0-17",C1869&lt;=29,"18-29",C1869&lt;=44,"30-44",C1869&lt;=59,"45-59",C1869&lt;=74,"60-74",TRUE,"75+")</f>
        <v>30-44</v>
      </c>
      <c r="E1869" t="s">
        <v>17</v>
      </c>
      <c r="F1869">
        <v>3</v>
      </c>
      <c r="G1869" t="str" cm="1">
        <f t="array" ref="G1869">_xlfn.IFS(_xlfn.SINGLE(Table1[imd_decile])&lt;=3,"Most Deprived",F1869&lt;=7,"Moderately Deprived",F1869&lt;=10,"Least Deprived")</f>
        <v>Most Deprived</v>
      </c>
      <c r="H1869">
        <v>6.6</v>
      </c>
      <c r="I1869" t="s">
        <v>18</v>
      </c>
      <c r="J1869" t="s">
        <v>19</v>
      </c>
      <c r="K1869" s="1">
        <v>45913</v>
      </c>
      <c r="L1869" s="1">
        <v>45917</v>
      </c>
      <c r="M1869" s="1" t="str">
        <f>TEXT(Table1[[#This Row],[appointment_date]],"MM/YYYY")</f>
        <v>09/2025</v>
      </c>
      <c r="N1869">
        <v>4</v>
      </c>
      <c r="O1869" t="str" cm="1">
        <f t="array" ref="O1869">_xlfn.IFS(Table1[[#This Row],[lead_time_days]]&lt;=7,"0-7 days",N1869&lt;=14,"8-14 days",N1869&lt;=30,"15-30 days",N1869&lt;=60,"31-60 days",TRUE,"61+ days")</f>
        <v>0-7 days</v>
      </c>
      <c r="P1869" t="s">
        <v>80</v>
      </c>
      <c r="Q1869" t="s">
        <v>32</v>
      </c>
      <c r="R1869">
        <v>0</v>
      </c>
      <c r="S1869" t="str">
        <f>IF(Table1[prior_dna_count]&gt;=1,"Has prior DNA history","No prior DNA history")</f>
        <v>No prior DNA history</v>
      </c>
      <c r="T1869" t="s">
        <v>22</v>
      </c>
      <c r="U1869" t="str">
        <f t="shared" si="29"/>
        <v>1</v>
      </c>
      <c r="V1869" t="str">
        <f>IF(Table1[appointment_status]="Attended","1","0")</f>
        <v>1</v>
      </c>
      <c r="W1869" t="str">
        <f>IF(Table1[appointment_status]="Cancelled","1","0")</f>
        <v>0</v>
      </c>
    </row>
    <row r="1870" spans="1:23">
      <c r="A1870" t="s">
        <v>3004</v>
      </c>
      <c r="B1870" t="s">
        <v>2370</v>
      </c>
      <c r="C1870">
        <v>54</v>
      </c>
      <c r="D1870" t="str" cm="1">
        <f t="array" ref="D1870">_xlfn.IFS(Table1[[#This Row],[age]]&lt;=17,"0-17",C1870&lt;=29,"18-29",C1870&lt;=44,"30-44",C1870&lt;=59,"45-59",C1870&lt;=74,"60-74",TRUE,"75+")</f>
        <v>45-59</v>
      </c>
      <c r="E1870" t="s">
        <v>17</v>
      </c>
      <c r="F1870">
        <v>8</v>
      </c>
      <c r="G1870" t="str" cm="1">
        <f t="array" ref="G1870">_xlfn.IFS(_xlfn.SINGLE(Table1[imd_decile])&lt;=3,"Most Deprived",F1870&lt;=7,"Moderately Deprived",F1870&lt;=10,"Least Deprived")</f>
        <v>Least Deprived</v>
      </c>
      <c r="H1870">
        <v>8.6999999999999993</v>
      </c>
      <c r="I1870" t="s">
        <v>30</v>
      </c>
      <c r="J1870" t="s">
        <v>26</v>
      </c>
      <c r="K1870" s="1">
        <v>45913</v>
      </c>
      <c r="L1870" s="1">
        <v>45917</v>
      </c>
      <c r="M1870" s="1" t="str">
        <f>TEXT(Table1[[#This Row],[appointment_date]],"MM/YYYY")</f>
        <v>09/2025</v>
      </c>
      <c r="N1870">
        <v>4</v>
      </c>
      <c r="O1870" t="str" cm="1">
        <f t="array" ref="O1870">_xlfn.IFS(Table1[[#This Row],[lead_time_days]]&lt;=7,"0-7 days",N1870&lt;=14,"8-14 days",N1870&lt;=30,"15-30 days",N1870&lt;=60,"31-60 days",TRUE,"61+ days")</f>
        <v>0-7 days</v>
      </c>
      <c r="P1870" t="s">
        <v>80</v>
      </c>
      <c r="Q1870" t="s">
        <v>32</v>
      </c>
      <c r="R1870">
        <v>0</v>
      </c>
      <c r="S1870" t="str">
        <f>IF(Table1[prior_dna_count]&gt;=1,"Has prior DNA history","No prior DNA history")</f>
        <v>No prior DNA history</v>
      </c>
      <c r="T1870" t="s">
        <v>22</v>
      </c>
      <c r="U1870" t="str">
        <f t="shared" si="29"/>
        <v>1</v>
      </c>
      <c r="V1870" t="str">
        <f>IF(Table1[appointment_status]="Attended","1","0")</f>
        <v>1</v>
      </c>
      <c r="W1870" t="str">
        <f>IF(Table1[appointment_status]="Cancelled","1","0")</f>
        <v>0</v>
      </c>
    </row>
    <row r="1871" spans="1:23">
      <c r="A1871" t="s">
        <v>3005</v>
      </c>
      <c r="B1871" t="s">
        <v>3006</v>
      </c>
      <c r="C1871">
        <v>32</v>
      </c>
      <c r="D1871" t="str" cm="1">
        <f t="array" ref="D1871">_xlfn.IFS(Table1[[#This Row],[age]]&lt;=17,"0-17",C1871&lt;=29,"18-29",C1871&lt;=44,"30-44",C1871&lt;=59,"45-59",C1871&lt;=74,"60-74",TRUE,"75+")</f>
        <v>30-44</v>
      </c>
      <c r="E1871" t="s">
        <v>29</v>
      </c>
      <c r="F1871">
        <v>8</v>
      </c>
      <c r="G1871" t="str" cm="1">
        <f t="array" ref="G1871">_xlfn.IFS(_xlfn.SINGLE(Table1[imd_decile])&lt;=3,"Most Deprived",F1871&lt;=7,"Moderately Deprived",F1871&lt;=10,"Least Deprived")</f>
        <v>Least Deprived</v>
      </c>
      <c r="H1871">
        <v>12.2</v>
      </c>
      <c r="I1871" t="s">
        <v>49</v>
      </c>
      <c r="J1871" t="s">
        <v>26</v>
      </c>
      <c r="K1871" s="1">
        <v>45874</v>
      </c>
      <c r="L1871" s="1">
        <v>45917</v>
      </c>
      <c r="M1871" s="1" t="str">
        <f>TEXT(Table1[[#This Row],[appointment_date]],"MM/YYYY")</f>
        <v>09/2025</v>
      </c>
      <c r="N1871">
        <v>43</v>
      </c>
      <c r="O1871" t="str" cm="1">
        <f t="array" ref="O1871">_xlfn.IFS(Table1[[#This Row],[lead_time_days]]&lt;=7,"0-7 days",N1871&lt;=14,"8-14 days",N1871&lt;=30,"15-30 days",N1871&lt;=60,"31-60 days",TRUE,"61+ days")</f>
        <v>31-60 days</v>
      </c>
      <c r="P1871" t="s">
        <v>80</v>
      </c>
      <c r="Q1871" t="s">
        <v>21</v>
      </c>
      <c r="R1871">
        <v>0</v>
      </c>
      <c r="S1871" t="str">
        <f>IF(Table1[prior_dna_count]&gt;=1,"Has prior DNA history","No prior DNA history")</f>
        <v>No prior DNA history</v>
      </c>
      <c r="T1871" t="s">
        <v>22</v>
      </c>
      <c r="U1871" t="str">
        <f t="shared" si="29"/>
        <v>1</v>
      </c>
      <c r="V1871" t="str">
        <f>IF(Table1[appointment_status]="Attended","1","0")</f>
        <v>1</v>
      </c>
      <c r="W1871" t="str">
        <f>IF(Table1[appointment_status]="Cancelled","1","0")</f>
        <v>0</v>
      </c>
    </row>
    <row r="1872" spans="1:23">
      <c r="A1872" t="s">
        <v>3007</v>
      </c>
      <c r="B1872" t="s">
        <v>3008</v>
      </c>
      <c r="C1872">
        <v>44</v>
      </c>
      <c r="D1872" t="str" cm="1">
        <f t="array" ref="D1872">_xlfn.IFS(Table1[[#This Row],[age]]&lt;=17,"0-17",C1872&lt;=29,"18-29",C1872&lt;=44,"30-44",C1872&lt;=59,"45-59",C1872&lt;=74,"60-74",TRUE,"75+")</f>
        <v>30-44</v>
      </c>
      <c r="E1872" t="s">
        <v>29</v>
      </c>
      <c r="F1872">
        <v>5</v>
      </c>
      <c r="G1872" t="str" cm="1">
        <f t="array" ref="G1872">_xlfn.IFS(_xlfn.SINGLE(Table1[imd_decile])&lt;=3,"Most Deprived",F1872&lt;=7,"Moderately Deprived",F1872&lt;=10,"Least Deprived")</f>
        <v>Moderately Deprived</v>
      </c>
      <c r="H1872">
        <v>7.1</v>
      </c>
      <c r="I1872" t="s">
        <v>58</v>
      </c>
      <c r="J1872" t="s">
        <v>19</v>
      </c>
      <c r="K1872" s="1">
        <v>45830</v>
      </c>
      <c r="L1872" s="1">
        <v>45918</v>
      </c>
      <c r="M1872" s="1" t="str">
        <f>TEXT(Table1[[#This Row],[appointment_date]],"MM/YYYY")</f>
        <v>09/2025</v>
      </c>
      <c r="N1872">
        <v>88</v>
      </c>
      <c r="O1872" t="str" cm="1">
        <f t="array" ref="O1872">_xlfn.IFS(Table1[[#This Row],[lead_time_days]]&lt;=7,"0-7 days",N1872&lt;=14,"8-14 days",N1872&lt;=30,"15-30 days",N1872&lt;=60,"31-60 days",TRUE,"61+ days")</f>
        <v>61+ days</v>
      </c>
      <c r="P1872" t="s">
        <v>20</v>
      </c>
      <c r="Q1872" t="s">
        <v>21</v>
      </c>
      <c r="R1872">
        <v>0</v>
      </c>
      <c r="S1872" t="str">
        <f>IF(Table1[prior_dna_count]&gt;=1,"Has prior DNA history","No prior DNA history")</f>
        <v>No prior DNA history</v>
      </c>
      <c r="T1872" t="s">
        <v>39</v>
      </c>
      <c r="U1872" t="str">
        <f t="shared" si="29"/>
        <v>1</v>
      </c>
      <c r="V1872" t="str">
        <f>IF(Table1[appointment_status]="Attended","1","0")</f>
        <v>0</v>
      </c>
      <c r="W1872" t="str">
        <f>IF(Table1[appointment_status]="Cancelled","1","0")</f>
        <v>0</v>
      </c>
    </row>
    <row r="1873" spans="1:23">
      <c r="A1873" t="s">
        <v>3009</v>
      </c>
      <c r="B1873" t="s">
        <v>2398</v>
      </c>
      <c r="C1873">
        <v>19</v>
      </c>
      <c r="D1873" t="str" cm="1">
        <f t="array" ref="D1873">_xlfn.IFS(Table1[[#This Row],[age]]&lt;=17,"0-17",C1873&lt;=29,"18-29",C1873&lt;=44,"30-44",C1873&lt;=59,"45-59",C1873&lt;=74,"60-74",TRUE,"75+")</f>
        <v>18-29</v>
      </c>
      <c r="E1873" t="s">
        <v>29</v>
      </c>
      <c r="F1873">
        <v>2</v>
      </c>
      <c r="G1873" t="str" cm="1">
        <f t="array" ref="G1873">_xlfn.IFS(_xlfn.SINGLE(Table1[imd_decile])&lt;=3,"Most Deprived",F1873&lt;=7,"Moderately Deprived",F1873&lt;=10,"Least Deprived")</f>
        <v>Most Deprived</v>
      </c>
      <c r="H1873">
        <v>13.2</v>
      </c>
      <c r="I1873" t="s">
        <v>58</v>
      </c>
      <c r="J1873" t="s">
        <v>19</v>
      </c>
      <c r="K1873" s="1">
        <v>45883</v>
      </c>
      <c r="L1873" s="1">
        <v>45918</v>
      </c>
      <c r="M1873" s="1" t="str">
        <f>TEXT(Table1[[#This Row],[appointment_date]],"MM/YYYY")</f>
        <v>09/2025</v>
      </c>
      <c r="N1873">
        <v>35</v>
      </c>
      <c r="O1873" t="str" cm="1">
        <f t="array" ref="O1873">_xlfn.IFS(Table1[[#This Row],[lead_time_days]]&lt;=7,"0-7 days",N1873&lt;=14,"8-14 days",N1873&lt;=30,"15-30 days",N1873&lt;=60,"31-60 days",TRUE,"61+ days")</f>
        <v>31-60 days</v>
      </c>
      <c r="P1873" t="s">
        <v>20</v>
      </c>
      <c r="Q1873" t="s">
        <v>21</v>
      </c>
      <c r="R1873">
        <v>1</v>
      </c>
      <c r="S1873" t="str">
        <f>IF(Table1[prior_dna_count]&gt;=1,"Has prior DNA history","No prior DNA history")</f>
        <v>Has prior DNA history</v>
      </c>
      <c r="T1873" t="s">
        <v>39</v>
      </c>
      <c r="U1873" t="str">
        <f t="shared" si="29"/>
        <v>0</v>
      </c>
      <c r="V1873" t="str">
        <f>IF(Table1[appointment_status]="Attended","1","0")</f>
        <v>0</v>
      </c>
      <c r="W1873" t="str">
        <f>IF(Table1[appointment_status]="Cancelled","1","0")</f>
        <v>0</v>
      </c>
    </row>
    <row r="1874" spans="1:23">
      <c r="A1874" t="s">
        <v>3010</v>
      </c>
      <c r="B1874" t="s">
        <v>2148</v>
      </c>
      <c r="C1874">
        <v>29</v>
      </c>
      <c r="D1874" t="str" cm="1">
        <f t="array" ref="D1874">_xlfn.IFS(Table1[[#This Row],[age]]&lt;=17,"0-17",C1874&lt;=29,"18-29",C1874&lt;=44,"30-44",C1874&lt;=59,"45-59",C1874&lt;=74,"60-74",TRUE,"75+")</f>
        <v>18-29</v>
      </c>
      <c r="E1874" t="s">
        <v>17</v>
      </c>
      <c r="F1874">
        <v>2</v>
      </c>
      <c r="G1874" t="str" cm="1">
        <f t="array" ref="G1874">_xlfn.IFS(_xlfn.SINGLE(Table1[imd_decile])&lt;=3,"Most Deprived",F1874&lt;=7,"Moderately Deprived",F1874&lt;=10,"Least Deprived")</f>
        <v>Most Deprived</v>
      </c>
      <c r="H1874">
        <v>7.5</v>
      </c>
      <c r="I1874" t="s">
        <v>30</v>
      </c>
      <c r="J1874" t="s">
        <v>19</v>
      </c>
      <c r="K1874" s="1">
        <v>45890</v>
      </c>
      <c r="L1874" s="1">
        <v>45918</v>
      </c>
      <c r="M1874" s="1" t="str">
        <f>TEXT(Table1[[#This Row],[appointment_date]],"MM/YYYY")</f>
        <v>09/2025</v>
      </c>
      <c r="N1874">
        <v>28</v>
      </c>
      <c r="O1874" t="str" cm="1">
        <f t="array" ref="O1874">_xlfn.IFS(Table1[[#This Row],[lead_time_days]]&lt;=7,"0-7 days",N1874&lt;=14,"8-14 days",N1874&lt;=30,"15-30 days",N1874&lt;=60,"31-60 days",TRUE,"61+ days")</f>
        <v>15-30 days</v>
      </c>
      <c r="P1874" t="s">
        <v>20</v>
      </c>
      <c r="Q1874" t="s">
        <v>21</v>
      </c>
      <c r="R1874">
        <v>0</v>
      </c>
      <c r="S1874" t="str">
        <f>IF(Table1[prior_dna_count]&gt;=1,"Has prior DNA history","No prior DNA history")</f>
        <v>No prior DNA history</v>
      </c>
      <c r="T1874" t="s">
        <v>22</v>
      </c>
      <c r="U1874" t="str">
        <f t="shared" si="29"/>
        <v>0</v>
      </c>
      <c r="V1874" t="str">
        <f>IF(Table1[appointment_status]="Attended","1","0")</f>
        <v>1</v>
      </c>
      <c r="W1874" t="str">
        <f>IF(Table1[appointment_status]="Cancelled","1","0")</f>
        <v>0</v>
      </c>
    </row>
    <row r="1875" spans="1:23">
      <c r="A1875" t="s">
        <v>3011</v>
      </c>
      <c r="B1875" t="s">
        <v>2043</v>
      </c>
      <c r="C1875">
        <v>55</v>
      </c>
      <c r="D1875" t="str" cm="1">
        <f t="array" ref="D1875">_xlfn.IFS(Table1[[#This Row],[age]]&lt;=17,"0-17",C1875&lt;=29,"18-29",C1875&lt;=44,"30-44",C1875&lt;=59,"45-59",C1875&lt;=74,"60-74",TRUE,"75+")</f>
        <v>45-59</v>
      </c>
      <c r="E1875" t="s">
        <v>17</v>
      </c>
      <c r="F1875">
        <v>8</v>
      </c>
      <c r="G1875" t="str" cm="1">
        <f t="array" ref="G1875">_xlfn.IFS(_xlfn.SINGLE(Table1[imd_decile])&lt;=3,"Most Deprived",F1875&lt;=7,"Moderately Deprived",F1875&lt;=10,"Least Deprived")</f>
        <v>Least Deprived</v>
      </c>
      <c r="H1875">
        <v>1.9</v>
      </c>
      <c r="I1875" t="s">
        <v>25</v>
      </c>
      <c r="J1875" t="s">
        <v>26</v>
      </c>
      <c r="K1875" s="1">
        <v>45910</v>
      </c>
      <c r="L1875" s="1">
        <v>45918</v>
      </c>
      <c r="M1875" s="1" t="str">
        <f>TEXT(Table1[[#This Row],[appointment_date]],"MM/YYYY")</f>
        <v>09/2025</v>
      </c>
      <c r="N1875">
        <v>8</v>
      </c>
      <c r="O1875" t="str" cm="1">
        <f t="array" ref="O1875">_xlfn.IFS(Table1[[#This Row],[lead_time_days]]&lt;=7,"0-7 days",N1875&lt;=14,"8-14 days",N1875&lt;=30,"15-30 days",N1875&lt;=60,"31-60 days",TRUE,"61+ days")</f>
        <v>8-14 days</v>
      </c>
      <c r="P1875" t="s">
        <v>20</v>
      </c>
      <c r="Q1875" t="s">
        <v>21</v>
      </c>
      <c r="R1875">
        <v>0</v>
      </c>
      <c r="S1875" t="str">
        <f>IF(Table1[prior_dna_count]&gt;=1,"Has prior DNA history","No prior DNA history")</f>
        <v>No prior DNA history</v>
      </c>
      <c r="T1875" t="s">
        <v>22</v>
      </c>
      <c r="U1875" t="str">
        <f t="shared" si="29"/>
        <v>1</v>
      </c>
      <c r="V1875" t="str">
        <f>IF(Table1[appointment_status]="Attended","1","0")</f>
        <v>1</v>
      </c>
      <c r="W1875" t="str">
        <f>IF(Table1[appointment_status]="Cancelled","1","0")</f>
        <v>0</v>
      </c>
    </row>
    <row r="1876" spans="1:23">
      <c r="A1876" t="s">
        <v>3012</v>
      </c>
      <c r="B1876" t="s">
        <v>2835</v>
      </c>
      <c r="C1876">
        <v>64</v>
      </c>
      <c r="D1876" t="str" cm="1">
        <f t="array" ref="D1876">_xlfn.IFS(Table1[[#This Row],[age]]&lt;=17,"0-17",C1876&lt;=29,"18-29",C1876&lt;=44,"30-44",C1876&lt;=59,"45-59",C1876&lt;=74,"60-74",TRUE,"75+")</f>
        <v>60-74</v>
      </c>
      <c r="E1876" t="s">
        <v>29</v>
      </c>
      <c r="F1876">
        <v>7</v>
      </c>
      <c r="G1876" t="str" cm="1">
        <f t="array" ref="G1876">_xlfn.IFS(_xlfn.SINGLE(Table1[imd_decile])&lt;=3,"Most Deprived",F1876&lt;=7,"Moderately Deprived",F1876&lt;=10,"Least Deprived")</f>
        <v>Moderately Deprived</v>
      </c>
      <c r="H1876">
        <v>4.5</v>
      </c>
      <c r="I1876" t="s">
        <v>30</v>
      </c>
      <c r="J1876" t="s">
        <v>19</v>
      </c>
      <c r="K1876" s="1">
        <v>45872</v>
      </c>
      <c r="L1876" s="1">
        <v>45918</v>
      </c>
      <c r="M1876" s="1" t="str">
        <f>TEXT(Table1[[#This Row],[appointment_date]],"MM/YYYY")</f>
        <v>09/2025</v>
      </c>
      <c r="N1876">
        <v>46</v>
      </c>
      <c r="O1876" t="str" cm="1">
        <f t="array" ref="O1876">_xlfn.IFS(Table1[[#This Row],[lead_time_days]]&lt;=7,"0-7 days",N1876&lt;=14,"8-14 days",N1876&lt;=30,"15-30 days",N1876&lt;=60,"31-60 days",TRUE,"61+ days")</f>
        <v>31-60 days</v>
      </c>
      <c r="P1876" t="s">
        <v>20</v>
      </c>
      <c r="Q1876" t="s">
        <v>32</v>
      </c>
      <c r="R1876">
        <v>1</v>
      </c>
      <c r="S1876" t="str">
        <f>IF(Table1[prior_dna_count]&gt;=1,"Has prior DNA history","No prior DNA history")</f>
        <v>Has prior DNA history</v>
      </c>
      <c r="T1876" t="s">
        <v>22</v>
      </c>
      <c r="U1876" t="str">
        <f t="shared" si="29"/>
        <v>1</v>
      </c>
      <c r="V1876" t="str">
        <f>IF(Table1[appointment_status]="Attended","1","0")</f>
        <v>1</v>
      </c>
      <c r="W1876" t="str">
        <f>IF(Table1[appointment_status]="Cancelled","1","0")</f>
        <v>0</v>
      </c>
    </row>
    <row r="1877" spans="1:23">
      <c r="A1877" t="s">
        <v>3013</v>
      </c>
      <c r="B1877" t="s">
        <v>3014</v>
      </c>
      <c r="C1877">
        <v>83</v>
      </c>
      <c r="D1877" t="str" cm="1">
        <f t="array" ref="D1877">_xlfn.IFS(Table1[[#This Row],[age]]&lt;=17,"0-17",C1877&lt;=29,"18-29",C1877&lt;=44,"30-44",C1877&lt;=59,"45-59",C1877&lt;=74,"60-74",TRUE,"75+")</f>
        <v>75+</v>
      </c>
      <c r="E1877" t="s">
        <v>29</v>
      </c>
      <c r="F1877">
        <v>7</v>
      </c>
      <c r="G1877" t="str" cm="1">
        <f t="array" ref="G1877">_xlfn.IFS(_xlfn.SINGLE(Table1[imd_decile])&lt;=3,"Most Deprived",F1877&lt;=7,"Moderately Deprived",F1877&lt;=10,"Least Deprived")</f>
        <v>Moderately Deprived</v>
      </c>
      <c r="H1877">
        <v>5.0999999999999996</v>
      </c>
      <c r="I1877" t="s">
        <v>18</v>
      </c>
      <c r="J1877" t="s">
        <v>19</v>
      </c>
      <c r="K1877" s="1">
        <v>45890</v>
      </c>
      <c r="L1877" s="1">
        <v>45918</v>
      </c>
      <c r="M1877" s="1" t="str">
        <f>TEXT(Table1[[#This Row],[appointment_date]],"MM/YYYY")</f>
        <v>09/2025</v>
      </c>
      <c r="N1877">
        <v>28</v>
      </c>
      <c r="O1877" t="str" cm="1">
        <f t="array" ref="O1877">_xlfn.IFS(Table1[[#This Row],[lead_time_days]]&lt;=7,"0-7 days",N1877&lt;=14,"8-14 days",N1877&lt;=30,"15-30 days",N1877&lt;=60,"31-60 days",TRUE,"61+ days")</f>
        <v>15-30 days</v>
      </c>
      <c r="P1877" t="s">
        <v>20</v>
      </c>
      <c r="Q1877" t="s">
        <v>21</v>
      </c>
      <c r="R1877">
        <v>0</v>
      </c>
      <c r="S1877" t="str">
        <f>IF(Table1[prior_dna_count]&gt;=1,"Has prior DNA history","No prior DNA history")</f>
        <v>No prior DNA history</v>
      </c>
      <c r="T1877" t="s">
        <v>22</v>
      </c>
      <c r="U1877" t="str">
        <f t="shared" si="29"/>
        <v>1</v>
      </c>
      <c r="V1877" t="str">
        <f>IF(Table1[appointment_status]="Attended","1","0")</f>
        <v>1</v>
      </c>
      <c r="W1877" t="str">
        <f>IF(Table1[appointment_status]="Cancelled","1","0")</f>
        <v>0</v>
      </c>
    </row>
    <row r="1878" spans="1:23">
      <c r="A1878" t="s">
        <v>3015</v>
      </c>
      <c r="B1878" t="s">
        <v>1611</v>
      </c>
      <c r="C1878">
        <v>62</v>
      </c>
      <c r="D1878" t="str" cm="1">
        <f t="array" ref="D1878">_xlfn.IFS(Table1[[#This Row],[age]]&lt;=17,"0-17",C1878&lt;=29,"18-29",C1878&lt;=44,"30-44",C1878&lt;=59,"45-59",C1878&lt;=74,"60-74",TRUE,"75+")</f>
        <v>60-74</v>
      </c>
      <c r="E1878" t="s">
        <v>29</v>
      </c>
      <c r="F1878">
        <v>3</v>
      </c>
      <c r="G1878" t="str" cm="1">
        <f t="array" ref="G1878">_xlfn.IFS(_xlfn.SINGLE(Table1[imd_decile])&lt;=3,"Most Deprived",F1878&lt;=7,"Moderately Deprived",F1878&lt;=10,"Least Deprived")</f>
        <v>Most Deprived</v>
      </c>
      <c r="H1878">
        <v>3.6</v>
      </c>
      <c r="I1878" t="s">
        <v>91</v>
      </c>
      <c r="J1878" t="s">
        <v>26</v>
      </c>
      <c r="K1878" s="1">
        <v>45900</v>
      </c>
      <c r="L1878" s="1">
        <v>45918</v>
      </c>
      <c r="M1878" s="1" t="str">
        <f>TEXT(Table1[[#This Row],[appointment_date]],"MM/YYYY")</f>
        <v>09/2025</v>
      </c>
      <c r="N1878">
        <v>18</v>
      </c>
      <c r="O1878" t="str" cm="1">
        <f t="array" ref="O1878">_xlfn.IFS(Table1[[#This Row],[lead_time_days]]&lt;=7,"0-7 days",N1878&lt;=14,"8-14 days",N1878&lt;=30,"15-30 days",N1878&lt;=60,"31-60 days",TRUE,"61+ days")</f>
        <v>15-30 days</v>
      </c>
      <c r="P1878" t="s">
        <v>20</v>
      </c>
      <c r="Q1878" t="s">
        <v>21</v>
      </c>
      <c r="R1878">
        <v>0</v>
      </c>
      <c r="S1878" t="str">
        <f>IF(Table1[prior_dna_count]&gt;=1,"Has prior DNA history","No prior DNA history")</f>
        <v>No prior DNA history</v>
      </c>
      <c r="T1878" t="s">
        <v>22</v>
      </c>
      <c r="U1878" t="str">
        <f t="shared" si="29"/>
        <v>1</v>
      </c>
      <c r="V1878" t="str">
        <f>IF(Table1[appointment_status]="Attended","1","0")</f>
        <v>1</v>
      </c>
      <c r="W1878" t="str">
        <f>IF(Table1[appointment_status]="Cancelled","1","0")</f>
        <v>0</v>
      </c>
    </row>
    <row r="1879" spans="1:23">
      <c r="A1879" t="s">
        <v>3016</v>
      </c>
      <c r="B1879" t="s">
        <v>1589</v>
      </c>
      <c r="C1879">
        <v>48</v>
      </c>
      <c r="D1879" t="str" cm="1">
        <f t="array" ref="D1879">_xlfn.IFS(Table1[[#This Row],[age]]&lt;=17,"0-17",C1879&lt;=29,"18-29",C1879&lt;=44,"30-44",C1879&lt;=59,"45-59",C1879&lt;=74,"60-74",TRUE,"75+")</f>
        <v>45-59</v>
      </c>
      <c r="E1879" t="s">
        <v>17</v>
      </c>
      <c r="F1879">
        <v>10</v>
      </c>
      <c r="G1879" t="str" cm="1">
        <f t="array" ref="G1879">_xlfn.IFS(_xlfn.SINGLE(Table1[imd_decile])&lt;=3,"Most Deprived",F1879&lt;=7,"Moderately Deprived",F1879&lt;=10,"Least Deprived")</f>
        <v>Least Deprived</v>
      </c>
      <c r="H1879">
        <v>3.4</v>
      </c>
      <c r="I1879" t="s">
        <v>45</v>
      </c>
      <c r="J1879" t="s">
        <v>19</v>
      </c>
      <c r="K1879" s="1">
        <v>45894</v>
      </c>
      <c r="L1879" s="1">
        <v>45918</v>
      </c>
      <c r="M1879" s="1" t="str">
        <f>TEXT(Table1[[#This Row],[appointment_date]],"MM/YYYY")</f>
        <v>09/2025</v>
      </c>
      <c r="N1879">
        <v>24</v>
      </c>
      <c r="O1879" t="str" cm="1">
        <f t="array" ref="O1879">_xlfn.IFS(Table1[[#This Row],[lead_time_days]]&lt;=7,"0-7 days",N1879&lt;=14,"8-14 days",N1879&lt;=30,"15-30 days",N1879&lt;=60,"31-60 days",TRUE,"61+ days")</f>
        <v>15-30 days</v>
      </c>
      <c r="P1879" t="s">
        <v>20</v>
      </c>
      <c r="Q1879" t="s">
        <v>21</v>
      </c>
      <c r="R1879">
        <v>0</v>
      </c>
      <c r="S1879" t="str">
        <f>IF(Table1[prior_dna_count]&gt;=1,"Has prior DNA history","No prior DNA history")</f>
        <v>No prior DNA history</v>
      </c>
      <c r="T1879" t="s">
        <v>22</v>
      </c>
      <c r="U1879" t="str">
        <f t="shared" si="29"/>
        <v>1</v>
      </c>
      <c r="V1879" t="str">
        <f>IF(Table1[appointment_status]="Attended","1","0")</f>
        <v>1</v>
      </c>
      <c r="W1879" t="str">
        <f>IF(Table1[appointment_status]="Cancelled","1","0")</f>
        <v>0</v>
      </c>
    </row>
    <row r="1880" spans="1:23">
      <c r="A1880" t="s">
        <v>3017</v>
      </c>
      <c r="B1880" t="s">
        <v>3018</v>
      </c>
      <c r="C1880">
        <v>21</v>
      </c>
      <c r="D1880" t="str" cm="1">
        <f t="array" ref="D1880">_xlfn.IFS(Table1[[#This Row],[age]]&lt;=17,"0-17",C1880&lt;=29,"18-29",C1880&lt;=44,"30-44",C1880&lt;=59,"45-59",C1880&lt;=74,"60-74",TRUE,"75+")</f>
        <v>18-29</v>
      </c>
      <c r="E1880" t="s">
        <v>29</v>
      </c>
      <c r="F1880">
        <v>2</v>
      </c>
      <c r="G1880" t="str" cm="1">
        <f t="array" ref="G1880">_xlfn.IFS(_xlfn.SINGLE(Table1[imd_decile])&lt;=3,"Most Deprived",F1880&lt;=7,"Moderately Deprived",F1880&lt;=10,"Least Deprived")</f>
        <v>Most Deprived</v>
      </c>
      <c r="H1880">
        <v>11.6</v>
      </c>
      <c r="I1880" t="s">
        <v>38</v>
      </c>
      <c r="J1880" t="s">
        <v>26</v>
      </c>
      <c r="K1880" s="1">
        <v>45895</v>
      </c>
      <c r="L1880" s="1">
        <v>45918</v>
      </c>
      <c r="M1880" s="1" t="str">
        <f>TEXT(Table1[[#This Row],[appointment_date]],"MM/YYYY")</f>
        <v>09/2025</v>
      </c>
      <c r="N1880">
        <v>23</v>
      </c>
      <c r="O1880" t="str" cm="1">
        <f t="array" ref="O1880">_xlfn.IFS(Table1[[#This Row],[lead_time_days]]&lt;=7,"0-7 days",N1880&lt;=14,"8-14 days",N1880&lt;=30,"15-30 days",N1880&lt;=60,"31-60 days",TRUE,"61+ days")</f>
        <v>15-30 days</v>
      </c>
      <c r="P1880" t="s">
        <v>20</v>
      </c>
      <c r="Q1880" t="s">
        <v>21</v>
      </c>
      <c r="R1880">
        <v>0</v>
      </c>
      <c r="S1880" t="str">
        <f>IF(Table1[prior_dna_count]&gt;=1,"Has prior DNA history","No prior DNA history")</f>
        <v>No prior DNA history</v>
      </c>
      <c r="T1880" t="s">
        <v>22</v>
      </c>
      <c r="U1880" t="str">
        <f t="shared" si="29"/>
        <v>1</v>
      </c>
      <c r="V1880" t="str">
        <f>IF(Table1[appointment_status]="Attended","1","0")</f>
        <v>1</v>
      </c>
      <c r="W1880" t="str">
        <f>IF(Table1[appointment_status]="Cancelled","1","0")</f>
        <v>0</v>
      </c>
    </row>
    <row r="1881" spans="1:23">
      <c r="A1881" t="s">
        <v>3019</v>
      </c>
      <c r="B1881" t="s">
        <v>680</v>
      </c>
      <c r="C1881">
        <v>7</v>
      </c>
      <c r="D1881" t="str" cm="1">
        <f t="array" ref="D1881">_xlfn.IFS(Table1[[#This Row],[age]]&lt;=17,"0-17",C1881&lt;=29,"18-29",C1881&lt;=44,"30-44",C1881&lt;=59,"45-59",C1881&lt;=74,"60-74",TRUE,"75+")</f>
        <v>0-17</v>
      </c>
      <c r="E1881" t="s">
        <v>17</v>
      </c>
      <c r="F1881">
        <v>9</v>
      </c>
      <c r="G1881" t="str" cm="1">
        <f t="array" ref="G1881">_xlfn.IFS(_xlfn.SINGLE(Table1[imd_decile])&lt;=3,"Most Deprived",F1881&lt;=7,"Moderately Deprived",F1881&lt;=10,"Least Deprived")</f>
        <v>Least Deprived</v>
      </c>
      <c r="H1881">
        <v>3.8</v>
      </c>
      <c r="I1881" t="s">
        <v>25</v>
      </c>
      <c r="J1881" t="s">
        <v>26</v>
      </c>
      <c r="K1881" s="1">
        <v>45897</v>
      </c>
      <c r="L1881" s="1">
        <v>45918</v>
      </c>
      <c r="M1881" s="1" t="str">
        <f>TEXT(Table1[[#This Row],[appointment_date]],"MM/YYYY")</f>
        <v>09/2025</v>
      </c>
      <c r="N1881">
        <v>21</v>
      </c>
      <c r="O1881" t="str" cm="1">
        <f t="array" ref="O1881">_xlfn.IFS(Table1[[#This Row],[lead_time_days]]&lt;=7,"0-7 days",N1881&lt;=14,"8-14 days",N1881&lt;=30,"15-30 days",N1881&lt;=60,"31-60 days",TRUE,"61+ days")</f>
        <v>15-30 days</v>
      </c>
      <c r="P1881" t="s">
        <v>20</v>
      </c>
      <c r="Q1881" t="s">
        <v>21</v>
      </c>
      <c r="R1881">
        <v>0</v>
      </c>
      <c r="S1881" t="str">
        <f>IF(Table1[prior_dna_count]&gt;=1,"Has prior DNA history","No prior DNA history")</f>
        <v>No prior DNA history</v>
      </c>
      <c r="T1881" t="s">
        <v>22</v>
      </c>
      <c r="U1881" t="str">
        <f t="shared" si="29"/>
        <v>1</v>
      </c>
      <c r="V1881" t="str">
        <f>IF(Table1[appointment_status]="Attended","1","0")</f>
        <v>1</v>
      </c>
      <c r="W1881" t="str">
        <f>IF(Table1[appointment_status]="Cancelled","1","0")</f>
        <v>0</v>
      </c>
    </row>
    <row r="1882" spans="1:23">
      <c r="A1882" t="s">
        <v>3020</v>
      </c>
      <c r="B1882" t="s">
        <v>809</v>
      </c>
      <c r="C1882">
        <v>40</v>
      </c>
      <c r="D1882" t="str" cm="1">
        <f t="array" ref="D1882">_xlfn.IFS(Table1[[#This Row],[age]]&lt;=17,"0-17",C1882&lt;=29,"18-29",C1882&lt;=44,"30-44",C1882&lt;=59,"45-59",C1882&lt;=74,"60-74",TRUE,"75+")</f>
        <v>30-44</v>
      </c>
      <c r="E1882" t="s">
        <v>17</v>
      </c>
      <c r="F1882">
        <v>2</v>
      </c>
      <c r="G1882" t="str" cm="1">
        <f t="array" ref="G1882">_xlfn.IFS(_xlfn.SINGLE(Table1[imd_decile])&lt;=3,"Most Deprived",F1882&lt;=7,"Moderately Deprived",F1882&lt;=10,"Least Deprived")</f>
        <v>Most Deprived</v>
      </c>
      <c r="H1882">
        <v>29.3</v>
      </c>
      <c r="I1882" t="s">
        <v>18</v>
      </c>
      <c r="J1882" t="s">
        <v>26</v>
      </c>
      <c r="K1882" s="1">
        <v>45916</v>
      </c>
      <c r="L1882" s="1">
        <v>45918</v>
      </c>
      <c r="M1882" s="1" t="str">
        <f>TEXT(Table1[[#This Row],[appointment_date]],"MM/YYYY")</f>
        <v>09/2025</v>
      </c>
      <c r="N1882">
        <v>2</v>
      </c>
      <c r="O1882" t="str" cm="1">
        <f t="array" ref="O1882">_xlfn.IFS(Table1[[#This Row],[lead_time_days]]&lt;=7,"0-7 days",N1882&lt;=14,"8-14 days",N1882&lt;=30,"15-30 days",N1882&lt;=60,"31-60 days",TRUE,"61+ days")</f>
        <v>0-7 days</v>
      </c>
      <c r="P1882" t="s">
        <v>20</v>
      </c>
      <c r="Q1882" t="s">
        <v>21</v>
      </c>
      <c r="R1882">
        <v>0</v>
      </c>
      <c r="S1882" t="str">
        <f>IF(Table1[prior_dna_count]&gt;=1,"Has prior DNA history","No prior DNA history")</f>
        <v>No prior DNA history</v>
      </c>
      <c r="T1882" t="s">
        <v>22</v>
      </c>
      <c r="U1882" t="str">
        <f t="shared" si="29"/>
        <v>1</v>
      </c>
      <c r="V1882" t="str">
        <f>IF(Table1[appointment_status]="Attended","1","0")</f>
        <v>1</v>
      </c>
      <c r="W1882" t="str">
        <f>IF(Table1[appointment_status]="Cancelled","1","0")</f>
        <v>0</v>
      </c>
    </row>
    <row r="1883" spans="1:23">
      <c r="A1883" t="s">
        <v>3021</v>
      </c>
      <c r="B1883" t="s">
        <v>3022</v>
      </c>
      <c r="C1883">
        <v>61</v>
      </c>
      <c r="D1883" t="str" cm="1">
        <f t="array" ref="D1883">_xlfn.IFS(Table1[[#This Row],[age]]&lt;=17,"0-17",C1883&lt;=29,"18-29",C1883&lt;=44,"30-44",C1883&lt;=59,"45-59",C1883&lt;=74,"60-74",TRUE,"75+")</f>
        <v>60-74</v>
      </c>
      <c r="E1883" t="s">
        <v>29</v>
      </c>
      <c r="F1883">
        <v>2</v>
      </c>
      <c r="G1883" t="str" cm="1">
        <f t="array" ref="G1883">_xlfn.IFS(_xlfn.SINGLE(Table1[imd_decile])&lt;=3,"Most Deprived",F1883&lt;=7,"Moderately Deprived",F1883&lt;=10,"Least Deprived")</f>
        <v>Most Deprived</v>
      </c>
      <c r="H1883">
        <v>0.9</v>
      </c>
      <c r="I1883" t="s">
        <v>25</v>
      </c>
      <c r="J1883" t="s">
        <v>19</v>
      </c>
      <c r="K1883" s="1">
        <v>45859</v>
      </c>
      <c r="L1883" s="1">
        <v>45919</v>
      </c>
      <c r="M1883" s="1" t="str">
        <f>TEXT(Table1[[#This Row],[appointment_date]],"MM/YYYY")</f>
        <v>09/2025</v>
      </c>
      <c r="N1883">
        <v>60</v>
      </c>
      <c r="O1883" t="str" cm="1">
        <f t="array" ref="O1883">_xlfn.IFS(Table1[[#This Row],[lead_time_days]]&lt;=7,"0-7 days",N1883&lt;=14,"8-14 days",N1883&lt;=30,"15-30 days",N1883&lt;=60,"31-60 days",TRUE,"61+ days")</f>
        <v>31-60 days</v>
      </c>
      <c r="P1883" t="s">
        <v>52</v>
      </c>
      <c r="Q1883" t="s">
        <v>21</v>
      </c>
      <c r="R1883">
        <v>0</v>
      </c>
      <c r="S1883" t="str">
        <f>IF(Table1[prior_dna_count]&gt;=1,"Has prior DNA history","No prior DNA history")</f>
        <v>No prior DNA history</v>
      </c>
      <c r="T1883" t="s">
        <v>39</v>
      </c>
      <c r="U1883" t="str">
        <f t="shared" si="29"/>
        <v>1</v>
      </c>
      <c r="V1883" t="str">
        <f>IF(Table1[appointment_status]="Attended","1","0")</f>
        <v>0</v>
      </c>
      <c r="W1883" t="str">
        <f>IF(Table1[appointment_status]="Cancelled","1","0")</f>
        <v>0</v>
      </c>
    </row>
    <row r="1884" spans="1:23">
      <c r="A1884" t="s">
        <v>3023</v>
      </c>
      <c r="B1884" t="s">
        <v>3024</v>
      </c>
      <c r="C1884">
        <v>59</v>
      </c>
      <c r="D1884" t="str" cm="1">
        <f t="array" ref="D1884">_xlfn.IFS(Table1[[#This Row],[age]]&lt;=17,"0-17",C1884&lt;=29,"18-29",C1884&lt;=44,"30-44",C1884&lt;=59,"45-59",C1884&lt;=74,"60-74",TRUE,"75+")</f>
        <v>45-59</v>
      </c>
      <c r="E1884" t="s">
        <v>29</v>
      </c>
      <c r="F1884">
        <v>5</v>
      </c>
      <c r="G1884" t="str" cm="1">
        <f t="array" ref="G1884">_xlfn.IFS(_xlfn.SINGLE(Table1[imd_decile])&lt;=3,"Most Deprived",F1884&lt;=7,"Moderately Deprived",F1884&lt;=10,"Least Deprived")</f>
        <v>Moderately Deprived</v>
      </c>
      <c r="H1884">
        <v>2.7</v>
      </c>
      <c r="I1884" t="s">
        <v>49</v>
      </c>
      <c r="J1884" t="s">
        <v>19</v>
      </c>
      <c r="K1884" s="1">
        <v>45880</v>
      </c>
      <c r="L1884" s="1">
        <v>45919</v>
      </c>
      <c r="M1884" s="1" t="str">
        <f>TEXT(Table1[[#This Row],[appointment_date]],"MM/YYYY")</f>
        <v>09/2025</v>
      </c>
      <c r="N1884">
        <v>39</v>
      </c>
      <c r="O1884" t="str" cm="1">
        <f t="array" ref="O1884">_xlfn.IFS(Table1[[#This Row],[lead_time_days]]&lt;=7,"0-7 days",N1884&lt;=14,"8-14 days",N1884&lt;=30,"15-30 days",N1884&lt;=60,"31-60 days",TRUE,"61+ days")</f>
        <v>31-60 days</v>
      </c>
      <c r="P1884" t="s">
        <v>52</v>
      </c>
      <c r="Q1884" t="s">
        <v>21</v>
      </c>
      <c r="R1884">
        <v>0</v>
      </c>
      <c r="S1884" t="str">
        <f>IF(Table1[prior_dna_count]&gt;=1,"Has prior DNA history","No prior DNA history")</f>
        <v>No prior DNA history</v>
      </c>
      <c r="T1884" t="s">
        <v>22</v>
      </c>
      <c r="U1884" t="str">
        <f t="shared" si="29"/>
        <v>0</v>
      </c>
      <c r="V1884" t="str">
        <f>IF(Table1[appointment_status]="Attended","1","0")</f>
        <v>1</v>
      </c>
      <c r="W1884" t="str">
        <f>IF(Table1[appointment_status]="Cancelled","1","0")</f>
        <v>0</v>
      </c>
    </row>
    <row r="1885" spans="1:23">
      <c r="A1885" t="s">
        <v>3025</v>
      </c>
      <c r="B1885" t="s">
        <v>1942</v>
      </c>
      <c r="C1885">
        <v>27</v>
      </c>
      <c r="D1885" t="str" cm="1">
        <f t="array" ref="D1885">_xlfn.IFS(Table1[[#This Row],[age]]&lt;=17,"0-17",C1885&lt;=29,"18-29",C1885&lt;=44,"30-44",C1885&lt;=59,"45-59",C1885&lt;=74,"60-74",TRUE,"75+")</f>
        <v>18-29</v>
      </c>
      <c r="E1885" t="s">
        <v>29</v>
      </c>
      <c r="F1885">
        <v>5</v>
      </c>
      <c r="G1885" t="str" cm="1">
        <f t="array" ref="G1885">_xlfn.IFS(_xlfn.SINGLE(Table1[imd_decile])&lt;=3,"Most Deprived",F1885&lt;=7,"Moderately Deprived",F1885&lt;=10,"Least Deprived")</f>
        <v>Moderately Deprived</v>
      </c>
      <c r="H1885">
        <v>1.7</v>
      </c>
      <c r="I1885" t="s">
        <v>38</v>
      </c>
      <c r="J1885" t="s">
        <v>26</v>
      </c>
      <c r="K1885" s="1">
        <v>45908</v>
      </c>
      <c r="L1885" s="1">
        <v>45919</v>
      </c>
      <c r="M1885" s="1" t="str">
        <f>TEXT(Table1[[#This Row],[appointment_date]],"MM/YYYY")</f>
        <v>09/2025</v>
      </c>
      <c r="N1885">
        <v>11</v>
      </c>
      <c r="O1885" t="str" cm="1">
        <f t="array" ref="O1885">_xlfn.IFS(Table1[[#This Row],[lead_time_days]]&lt;=7,"0-7 days",N1885&lt;=14,"8-14 days",N1885&lt;=30,"15-30 days",N1885&lt;=60,"31-60 days",TRUE,"61+ days")</f>
        <v>8-14 days</v>
      </c>
      <c r="P1885" t="s">
        <v>52</v>
      </c>
      <c r="Q1885" t="s">
        <v>21</v>
      </c>
      <c r="R1885">
        <v>0</v>
      </c>
      <c r="S1885" t="str">
        <f>IF(Table1[prior_dna_count]&gt;=1,"Has prior DNA history","No prior DNA history")</f>
        <v>No prior DNA history</v>
      </c>
      <c r="T1885" t="s">
        <v>22</v>
      </c>
      <c r="U1885" t="str">
        <f t="shared" si="29"/>
        <v>1</v>
      </c>
      <c r="V1885" t="str">
        <f>IF(Table1[appointment_status]="Attended","1","0")</f>
        <v>1</v>
      </c>
      <c r="W1885" t="str">
        <f>IF(Table1[appointment_status]="Cancelled","1","0")</f>
        <v>0</v>
      </c>
    </row>
    <row r="1886" spans="1:23">
      <c r="A1886" t="s">
        <v>3026</v>
      </c>
      <c r="B1886" t="s">
        <v>84</v>
      </c>
      <c r="C1886">
        <v>44</v>
      </c>
      <c r="D1886" t="str" cm="1">
        <f t="array" ref="D1886">_xlfn.IFS(Table1[[#This Row],[age]]&lt;=17,"0-17",C1886&lt;=29,"18-29",C1886&lt;=44,"30-44",C1886&lt;=59,"45-59",C1886&lt;=74,"60-74",TRUE,"75+")</f>
        <v>30-44</v>
      </c>
      <c r="E1886" t="s">
        <v>29</v>
      </c>
      <c r="F1886">
        <v>4</v>
      </c>
      <c r="G1886" t="str" cm="1">
        <f t="array" ref="G1886">_xlfn.IFS(_xlfn.SINGLE(Table1[imd_decile])&lt;=3,"Most Deprived",F1886&lt;=7,"Moderately Deprived",F1886&lt;=10,"Least Deprived")</f>
        <v>Moderately Deprived</v>
      </c>
      <c r="H1886">
        <v>8.6</v>
      </c>
      <c r="I1886" t="s">
        <v>38</v>
      </c>
      <c r="J1886" t="s">
        <v>19</v>
      </c>
      <c r="K1886" s="1">
        <v>45882</v>
      </c>
      <c r="L1886" s="1">
        <v>45919</v>
      </c>
      <c r="M1886" s="1" t="str">
        <f>TEXT(Table1[[#This Row],[appointment_date]],"MM/YYYY")</f>
        <v>09/2025</v>
      </c>
      <c r="N1886">
        <v>37</v>
      </c>
      <c r="O1886" t="str" cm="1">
        <f t="array" ref="O1886">_xlfn.IFS(Table1[[#This Row],[lead_time_days]]&lt;=7,"0-7 days",N1886&lt;=14,"8-14 days",N1886&lt;=30,"15-30 days",N1886&lt;=60,"31-60 days",TRUE,"61+ days")</f>
        <v>31-60 days</v>
      </c>
      <c r="P1886" t="s">
        <v>52</v>
      </c>
      <c r="Q1886" t="s">
        <v>32</v>
      </c>
      <c r="R1886">
        <v>0</v>
      </c>
      <c r="S1886" t="str">
        <f>IF(Table1[prior_dna_count]&gt;=1,"Has prior DNA history","No prior DNA history")</f>
        <v>No prior DNA history</v>
      </c>
      <c r="T1886" t="s">
        <v>22</v>
      </c>
      <c r="U1886" t="str">
        <f t="shared" si="29"/>
        <v>1</v>
      </c>
      <c r="V1886" t="str">
        <f>IF(Table1[appointment_status]="Attended","1","0")</f>
        <v>1</v>
      </c>
      <c r="W1886" t="str">
        <f>IF(Table1[appointment_status]="Cancelled","1","0")</f>
        <v>0</v>
      </c>
    </row>
    <row r="1887" spans="1:23">
      <c r="A1887" t="s">
        <v>3027</v>
      </c>
      <c r="B1887" t="s">
        <v>193</v>
      </c>
      <c r="C1887">
        <v>27</v>
      </c>
      <c r="D1887" t="str" cm="1">
        <f t="array" ref="D1887">_xlfn.IFS(Table1[[#This Row],[age]]&lt;=17,"0-17",C1887&lt;=29,"18-29",C1887&lt;=44,"30-44",C1887&lt;=59,"45-59",C1887&lt;=74,"60-74",TRUE,"75+")</f>
        <v>18-29</v>
      </c>
      <c r="E1887" t="s">
        <v>17</v>
      </c>
      <c r="F1887">
        <v>9</v>
      </c>
      <c r="G1887" t="str" cm="1">
        <f t="array" ref="G1887">_xlfn.IFS(_xlfn.SINGLE(Table1[imd_decile])&lt;=3,"Most Deprived",F1887&lt;=7,"Moderately Deprived",F1887&lt;=10,"Least Deprived")</f>
        <v>Least Deprived</v>
      </c>
      <c r="H1887">
        <v>12.5</v>
      </c>
      <c r="I1887" t="s">
        <v>38</v>
      </c>
      <c r="J1887" t="s">
        <v>26</v>
      </c>
      <c r="K1887" s="1">
        <v>45882</v>
      </c>
      <c r="L1887" s="1">
        <v>45919</v>
      </c>
      <c r="M1887" s="1" t="str">
        <f>TEXT(Table1[[#This Row],[appointment_date]],"MM/YYYY")</f>
        <v>09/2025</v>
      </c>
      <c r="N1887">
        <v>37</v>
      </c>
      <c r="O1887" t="str" cm="1">
        <f t="array" ref="O1887">_xlfn.IFS(Table1[[#This Row],[lead_time_days]]&lt;=7,"0-7 days",N1887&lt;=14,"8-14 days",N1887&lt;=30,"15-30 days",N1887&lt;=60,"31-60 days",TRUE,"61+ days")</f>
        <v>31-60 days</v>
      </c>
      <c r="P1887" t="s">
        <v>52</v>
      </c>
      <c r="Q1887" t="s">
        <v>21</v>
      </c>
      <c r="R1887">
        <v>0</v>
      </c>
      <c r="S1887" t="str">
        <f>IF(Table1[prior_dna_count]&gt;=1,"Has prior DNA history","No prior DNA history")</f>
        <v>No prior DNA history</v>
      </c>
      <c r="T1887" t="s">
        <v>22</v>
      </c>
      <c r="U1887" t="str">
        <f t="shared" si="29"/>
        <v>1</v>
      </c>
      <c r="V1887" t="str">
        <f>IF(Table1[appointment_status]="Attended","1","0")</f>
        <v>1</v>
      </c>
      <c r="W1887" t="str">
        <f>IF(Table1[appointment_status]="Cancelled","1","0")</f>
        <v>0</v>
      </c>
    </row>
    <row r="1888" spans="1:23">
      <c r="A1888" t="s">
        <v>3028</v>
      </c>
      <c r="B1888" t="s">
        <v>2890</v>
      </c>
      <c r="C1888">
        <v>55</v>
      </c>
      <c r="D1888" t="str" cm="1">
        <f t="array" ref="D1888">_xlfn.IFS(Table1[[#This Row],[age]]&lt;=17,"0-17",C1888&lt;=29,"18-29",C1888&lt;=44,"30-44",C1888&lt;=59,"45-59",C1888&lt;=74,"60-74",TRUE,"75+")</f>
        <v>45-59</v>
      </c>
      <c r="E1888" t="s">
        <v>17</v>
      </c>
      <c r="F1888">
        <v>2</v>
      </c>
      <c r="G1888" t="str" cm="1">
        <f t="array" ref="G1888">_xlfn.IFS(_xlfn.SINGLE(Table1[imd_decile])&lt;=3,"Most Deprived",F1888&lt;=7,"Moderately Deprived",F1888&lt;=10,"Least Deprived")</f>
        <v>Most Deprived</v>
      </c>
      <c r="H1888">
        <v>3.7</v>
      </c>
      <c r="I1888" t="s">
        <v>58</v>
      </c>
      <c r="J1888" t="s">
        <v>26</v>
      </c>
      <c r="K1888" s="1">
        <v>45910</v>
      </c>
      <c r="L1888" s="1">
        <v>45919</v>
      </c>
      <c r="M1888" s="1" t="str">
        <f>TEXT(Table1[[#This Row],[appointment_date]],"MM/YYYY")</f>
        <v>09/2025</v>
      </c>
      <c r="N1888">
        <v>9</v>
      </c>
      <c r="O1888" t="str" cm="1">
        <f t="array" ref="O1888">_xlfn.IFS(Table1[[#This Row],[lead_time_days]]&lt;=7,"0-7 days",N1888&lt;=14,"8-14 days",N1888&lt;=30,"15-30 days",N1888&lt;=60,"31-60 days",TRUE,"61+ days")</f>
        <v>8-14 days</v>
      </c>
      <c r="P1888" t="s">
        <v>52</v>
      </c>
      <c r="Q1888" t="s">
        <v>32</v>
      </c>
      <c r="R1888">
        <v>0</v>
      </c>
      <c r="S1888" t="str">
        <f>IF(Table1[prior_dna_count]&gt;=1,"Has prior DNA history","No prior DNA history")</f>
        <v>No prior DNA history</v>
      </c>
      <c r="T1888" t="s">
        <v>22</v>
      </c>
      <c r="U1888" t="str">
        <f t="shared" si="29"/>
        <v>1</v>
      </c>
      <c r="V1888" t="str">
        <f>IF(Table1[appointment_status]="Attended","1","0")</f>
        <v>1</v>
      </c>
      <c r="W1888" t="str">
        <f>IF(Table1[appointment_status]="Cancelled","1","0")</f>
        <v>0</v>
      </c>
    </row>
    <row r="1889" spans="1:23">
      <c r="A1889" t="s">
        <v>3029</v>
      </c>
      <c r="B1889" t="s">
        <v>1286</v>
      </c>
      <c r="C1889">
        <v>69</v>
      </c>
      <c r="D1889" t="str" cm="1">
        <f t="array" ref="D1889">_xlfn.IFS(Table1[[#This Row],[age]]&lt;=17,"0-17",C1889&lt;=29,"18-29",C1889&lt;=44,"30-44",C1889&lt;=59,"45-59",C1889&lt;=74,"60-74",TRUE,"75+")</f>
        <v>60-74</v>
      </c>
      <c r="E1889" t="s">
        <v>29</v>
      </c>
      <c r="F1889">
        <v>7</v>
      </c>
      <c r="G1889" t="str" cm="1">
        <f t="array" ref="G1889">_xlfn.IFS(_xlfn.SINGLE(Table1[imd_decile])&lt;=3,"Most Deprived",F1889&lt;=7,"Moderately Deprived",F1889&lt;=10,"Least Deprived")</f>
        <v>Moderately Deprived</v>
      </c>
      <c r="H1889">
        <v>3.3</v>
      </c>
      <c r="I1889" t="s">
        <v>45</v>
      </c>
      <c r="J1889" t="s">
        <v>26</v>
      </c>
      <c r="K1889" s="1">
        <v>45917</v>
      </c>
      <c r="L1889" s="1">
        <v>45919</v>
      </c>
      <c r="M1889" s="1" t="str">
        <f>TEXT(Table1[[#This Row],[appointment_date]],"MM/YYYY")</f>
        <v>09/2025</v>
      </c>
      <c r="N1889">
        <v>2</v>
      </c>
      <c r="O1889" t="str" cm="1">
        <f t="array" ref="O1889">_xlfn.IFS(Table1[[#This Row],[lead_time_days]]&lt;=7,"0-7 days",N1889&lt;=14,"8-14 days",N1889&lt;=30,"15-30 days",N1889&lt;=60,"31-60 days",TRUE,"61+ days")</f>
        <v>0-7 days</v>
      </c>
      <c r="P1889" t="s">
        <v>52</v>
      </c>
      <c r="Q1889" t="s">
        <v>32</v>
      </c>
      <c r="R1889">
        <v>1</v>
      </c>
      <c r="S1889" t="str">
        <f>IF(Table1[prior_dna_count]&gt;=1,"Has prior DNA history","No prior DNA history")</f>
        <v>Has prior DNA history</v>
      </c>
      <c r="T1889" t="s">
        <v>22</v>
      </c>
      <c r="U1889" t="str">
        <f t="shared" si="29"/>
        <v>1</v>
      </c>
      <c r="V1889" t="str">
        <f>IF(Table1[appointment_status]="Attended","1","0")</f>
        <v>1</v>
      </c>
      <c r="W1889" t="str">
        <f>IF(Table1[appointment_status]="Cancelled","1","0")</f>
        <v>0</v>
      </c>
    </row>
    <row r="1890" spans="1:23">
      <c r="A1890" t="s">
        <v>3030</v>
      </c>
      <c r="B1890" t="s">
        <v>2901</v>
      </c>
      <c r="C1890">
        <v>26</v>
      </c>
      <c r="D1890" t="str" cm="1">
        <f t="array" ref="D1890">_xlfn.IFS(Table1[[#This Row],[age]]&lt;=17,"0-17",C1890&lt;=29,"18-29",C1890&lt;=44,"30-44",C1890&lt;=59,"45-59",C1890&lt;=74,"60-74",TRUE,"75+")</f>
        <v>18-29</v>
      </c>
      <c r="E1890" t="s">
        <v>17</v>
      </c>
      <c r="F1890">
        <v>4</v>
      </c>
      <c r="G1890" t="str" cm="1">
        <f t="array" ref="G1890">_xlfn.IFS(_xlfn.SINGLE(Table1[imd_decile])&lt;=3,"Most Deprived",F1890&lt;=7,"Moderately Deprived",F1890&lt;=10,"Least Deprived")</f>
        <v>Moderately Deprived</v>
      </c>
      <c r="H1890">
        <v>6.1</v>
      </c>
      <c r="I1890" t="s">
        <v>25</v>
      </c>
      <c r="J1890" t="s">
        <v>26</v>
      </c>
      <c r="K1890" s="1">
        <v>45909</v>
      </c>
      <c r="L1890" s="1">
        <v>45919</v>
      </c>
      <c r="M1890" s="1" t="str">
        <f>TEXT(Table1[[#This Row],[appointment_date]],"MM/YYYY")</f>
        <v>09/2025</v>
      </c>
      <c r="N1890">
        <v>10</v>
      </c>
      <c r="O1890" t="str" cm="1">
        <f t="array" ref="O1890">_xlfn.IFS(Table1[[#This Row],[lead_time_days]]&lt;=7,"0-7 days",N1890&lt;=14,"8-14 days",N1890&lt;=30,"15-30 days",N1890&lt;=60,"31-60 days",TRUE,"61+ days")</f>
        <v>8-14 days</v>
      </c>
      <c r="P1890" t="s">
        <v>52</v>
      </c>
      <c r="Q1890" t="s">
        <v>32</v>
      </c>
      <c r="R1890">
        <v>0</v>
      </c>
      <c r="S1890" t="str">
        <f>IF(Table1[prior_dna_count]&gt;=1,"Has prior DNA history","No prior DNA history")</f>
        <v>No prior DNA history</v>
      </c>
      <c r="T1890" t="s">
        <v>22</v>
      </c>
      <c r="U1890" t="str">
        <f t="shared" si="29"/>
        <v>1</v>
      </c>
      <c r="V1890" t="str">
        <f>IF(Table1[appointment_status]="Attended","1","0")</f>
        <v>1</v>
      </c>
      <c r="W1890" t="str">
        <f>IF(Table1[appointment_status]="Cancelled","1","0")</f>
        <v>0</v>
      </c>
    </row>
    <row r="1891" spans="1:23">
      <c r="A1891" t="s">
        <v>3031</v>
      </c>
      <c r="B1891" t="s">
        <v>3032</v>
      </c>
      <c r="C1891">
        <v>42</v>
      </c>
      <c r="D1891" t="str" cm="1">
        <f t="array" ref="D1891">_xlfn.IFS(Table1[[#This Row],[age]]&lt;=17,"0-17",C1891&lt;=29,"18-29",C1891&lt;=44,"30-44",C1891&lt;=59,"45-59",C1891&lt;=74,"60-74",TRUE,"75+")</f>
        <v>30-44</v>
      </c>
      <c r="E1891" t="s">
        <v>17</v>
      </c>
      <c r="F1891">
        <v>9</v>
      </c>
      <c r="G1891" t="str" cm="1">
        <f t="array" ref="G1891">_xlfn.IFS(_xlfn.SINGLE(Table1[imd_decile])&lt;=3,"Most Deprived",F1891&lt;=7,"Moderately Deprived",F1891&lt;=10,"Least Deprived")</f>
        <v>Least Deprived</v>
      </c>
      <c r="H1891">
        <v>12.8</v>
      </c>
      <c r="I1891" t="s">
        <v>45</v>
      </c>
      <c r="J1891" t="s">
        <v>26</v>
      </c>
      <c r="K1891" s="1">
        <v>45916</v>
      </c>
      <c r="L1891" s="1">
        <v>45919</v>
      </c>
      <c r="M1891" s="1" t="str">
        <f>TEXT(Table1[[#This Row],[appointment_date]],"MM/YYYY")</f>
        <v>09/2025</v>
      </c>
      <c r="N1891">
        <v>3</v>
      </c>
      <c r="O1891" t="str" cm="1">
        <f t="array" ref="O1891">_xlfn.IFS(Table1[[#This Row],[lead_time_days]]&lt;=7,"0-7 days",N1891&lt;=14,"8-14 days",N1891&lt;=30,"15-30 days",N1891&lt;=60,"31-60 days",TRUE,"61+ days")</f>
        <v>0-7 days</v>
      </c>
      <c r="P1891" t="s">
        <v>52</v>
      </c>
      <c r="Q1891" t="s">
        <v>21</v>
      </c>
      <c r="R1891">
        <v>0</v>
      </c>
      <c r="S1891" t="str">
        <f>IF(Table1[prior_dna_count]&gt;=1,"Has prior DNA history","No prior DNA history")</f>
        <v>No prior DNA history</v>
      </c>
      <c r="T1891" t="s">
        <v>22</v>
      </c>
      <c r="U1891" t="str">
        <f t="shared" si="29"/>
        <v>1</v>
      </c>
      <c r="V1891" t="str">
        <f>IF(Table1[appointment_status]="Attended","1","0")</f>
        <v>1</v>
      </c>
      <c r="W1891" t="str">
        <f>IF(Table1[appointment_status]="Cancelled","1","0")</f>
        <v>0</v>
      </c>
    </row>
    <row r="1892" spans="1:23">
      <c r="A1892" t="s">
        <v>3033</v>
      </c>
      <c r="B1892" t="s">
        <v>2467</v>
      </c>
      <c r="C1892">
        <v>63</v>
      </c>
      <c r="D1892" t="str" cm="1">
        <f t="array" ref="D1892">_xlfn.IFS(Table1[[#This Row],[age]]&lt;=17,"0-17",C1892&lt;=29,"18-29",C1892&lt;=44,"30-44",C1892&lt;=59,"45-59",C1892&lt;=74,"60-74",TRUE,"75+")</f>
        <v>60-74</v>
      </c>
      <c r="E1892" t="s">
        <v>17</v>
      </c>
      <c r="F1892">
        <v>6</v>
      </c>
      <c r="G1892" t="str" cm="1">
        <f t="array" ref="G1892">_xlfn.IFS(_xlfn.SINGLE(Table1[imd_decile])&lt;=3,"Most Deprived",F1892&lt;=7,"Moderately Deprived",F1892&lt;=10,"Least Deprived")</f>
        <v>Moderately Deprived</v>
      </c>
      <c r="H1892">
        <v>17.899999999999999</v>
      </c>
      <c r="I1892" t="s">
        <v>45</v>
      </c>
      <c r="J1892" t="s">
        <v>26</v>
      </c>
      <c r="K1892" s="1">
        <v>45905</v>
      </c>
      <c r="L1892" s="1">
        <v>45919</v>
      </c>
      <c r="M1892" s="1" t="str">
        <f>TEXT(Table1[[#This Row],[appointment_date]],"MM/YYYY")</f>
        <v>09/2025</v>
      </c>
      <c r="N1892">
        <v>14</v>
      </c>
      <c r="O1892" t="str" cm="1">
        <f t="array" ref="O1892">_xlfn.IFS(Table1[[#This Row],[lead_time_days]]&lt;=7,"0-7 days",N1892&lt;=14,"8-14 days",N1892&lt;=30,"15-30 days",N1892&lt;=60,"31-60 days",TRUE,"61+ days")</f>
        <v>8-14 days</v>
      </c>
      <c r="P1892" t="s">
        <v>52</v>
      </c>
      <c r="Q1892" t="s">
        <v>32</v>
      </c>
      <c r="R1892">
        <v>0</v>
      </c>
      <c r="S1892" t="str">
        <f>IF(Table1[prior_dna_count]&gt;=1,"Has prior DNA history","No prior DNA history")</f>
        <v>No prior DNA history</v>
      </c>
      <c r="T1892" t="s">
        <v>22</v>
      </c>
      <c r="U1892" t="str">
        <f t="shared" si="29"/>
        <v>1</v>
      </c>
      <c r="V1892" t="str">
        <f>IF(Table1[appointment_status]="Attended","1","0")</f>
        <v>1</v>
      </c>
      <c r="W1892" t="str">
        <f>IF(Table1[appointment_status]="Cancelled","1","0")</f>
        <v>0</v>
      </c>
    </row>
    <row r="1893" spans="1:23">
      <c r="A1893" t="s">
        <v>3034</v>
      </c>
      <c r="B1893" t="s">
        <v>3035</v>
      </c>
      <c r="C1893">
        <v>18</v>
      </c>
      <c r="D1893" t="str" cm="1">
        <f t="array" ref="D1893">_xlfn.IFS(Table1[[#This Row],[age]]&lt;=17,"0-17",C1893&lt;=29,"18-29",C1893&lt;=44,"30-44",C1893&lt;=59,"45-59",C1893&lt;=74,"60-74",TRUE,"75+")</f>
        <v>18-29</v>
      </c>
      <c r="E1893" t="s">
        <v>17</v>
      </c>
      <c r="F1893">
        <v>2</v>
      </c>
      <c r="G1893" t="str" cm="1">
        <f t="array" ref="G1893">_xlfn.IFS(_xlfn.SINGLE(Table1[imd_decile])&lt;=3,"Most Deprived",F1893&lt;=7,"Moderately Deprived",F1893&lt;=10,"Least Deprived")</f>
        <v>Most Deprived</v>
      </c>
      <c r="H1893">
        <v>8.1999999999999993</v>
      </c>
      <c r="I1893" t="s">
        <v>49</v>
      </c>
      <c r="J1893" t="s">
        <v>19</v>
      </c>
      <c r="K1893" s="1">
        <v>45862</v>
      </c>
      <c r="L1893" s="1">
        <v>45919</v>
      </c>
      <c r="M1893" s="1" t="str">
        <f>TEXT(Table1[[#This Row],[appointment_date]],"MM/YYYY")</f>
        <v>09/2025</v>
      </c>
      <c r="N1893">
        <v>57</v>
      </c>
      <c r="O1893" t="str" cm="1">
        <f t="array" ref="O1893">_xlfn.IFS(Table1[[#This Row],[lead_time_days]]&lt;=7,"0-7 days",N1893&lt;=14,"8-14 days",N1893&lt;=30,"15-30 days",N1893&lt;=60,"31-60 days",TRUE,"61+ days")</f>
        <v>31-60 days</v>
      </c>
      <c r="P1893" t="s">
        <v>52</v>
      </c>
      <c r="Q1893" t="s">
        <v>21</v>
      </c>
      <c r="R1893">
        <v>0</v>
      </c>
      <c r="S1893" t="str">
        <f>IF(Table1[prior_dna_count]&gt;=1,"Has prior DNA history","No prior DNA history")</f>
        <v>No prior DNA history</v>
      </c>
      <c r="T1893" t="s">
        <v>46</v>
      </c>
      <c r="U1893" t="str">
        <f t="shared" si="29"/>
        <v>1</v>
      </c>
      <c r="V1893" t="str">
        <f>IF(Table1[appointment_status]="Attended","1","0")</f>
        <v>0</v>
      </c>
      <c r="W1893" t="str">
        <f>IF(Table1[appointment_status]="Cancelled","1","0")</f>
        <v>1</v>
      </c>
    </row>
    <row r="1894" spans="1:23">
      <c r="A1894" t="s">
        <v>3036</v>
      </c>
      <c r="B1894" t="s">
        <v>2347</v>
      </c>
      <c r="C1894">
        <v>61</v>
      </c>
      <c r="D1894" t="str" cm="1">
        <f t="array" ref="D1894">_xlfn.IFS(Table1[[#This Row],[age]]&lt;=17,"0-17",C1894&lt;=29,"18-29",C1894&lt;=44,"30-44",C1894&lt;=59,"45-59",C1894&lt;=74,"60-74",TRUE,"75+")</f>
        <v>60-74</v>
      </c>
      <c r="E1894" t="s">
        <v>17</v>
      </c>
      <c r="F1894">
        <v>9</v>
      </c>
      <c r="G1894" t="str" cm="1">
        <f t="array" ref="G1894">_xlfn.IFS(_xlfn.SINGLE(Table1[imd_decile])&lt;=3,"Most Deprived",F1894&lt;=7,"Moderately Deprived",F1894&lt;=10,"Least Deprived")</f>
        <v>Least Deprived</v>
      </c>
      <c r="H1894">
        <v>9.1</v>
      </c>
      <c r="I1894" t="s">
        <v>25</v>
      </c>
      <c r="J1894" t="s">
        <v>19</v>
      </c>
      <c r="K1894" s="1">
        <v>45880</v>
      </c>
      <c r="L1894" s="1">
        <v>45920</v>
      </c>
      <c r="M1894" s="1" t="str">
        <f>TEXT(Table1[[#This Row],[appointment_date]],"MM/YYYY")</f>
        <v>09/2025</v>
      </c>
      <c r="N1894">
        <v>40</v>
      </c>
      <c r="O1894" t="str" cm="1">
        <f t="array" ref="O1894">_xlfn.IFS(Table1[[#This Row],[lead_time_days]]&lt;=7,"0-7 days",N1894&lt;=14,"8-14 days",N1894&lt;=30,"15-30 days",N1894&lt;=60,"31-60 days",TRUE,"61+ days")</f>
        <v>31-60 days</v>
      </c>
      <c r="P1894" t="s">
        <v>55</v>
      </c>
      <c r="Q1894" t="s">
        <v>32</v>
      </c>
      <c r="R1894">
        <v>0</v>
      </c>
      <c r="S1894" t="str">
        <f>IF(Table1[prior_dna_count]&gt;=1,"Has prior DNA history","No prior DNA history")</f>
        <v>No prior DNA history</v>
      </c>
      <c r="T1894" t="s">
        <v>22</v>
      </c>
      <c r="U1894" t="str">
        <f t="shared" si="29"/>
        <v>0</v>
      </c>
      <c r="V1894" t="str">
        <f>IF(Table1[appointment_status]="Attended","1","0")</f>
        <v>1</v>
      </c>
      <c r="W1894" t="str">
        <f>IF(Table1[appointment_status]="Cancelled","1","0")</f>
        <v>0</v>
      </c>
    </row>
    <row r="1895" spans="1:23">
      <c r="A1895" t="s">
        <v>3037</v>
      </c>
      <c r="B1895" t="s">
        <v>1965</v>
      </c>
      <c r="C1895">
        <v>26</v>
      </c>
      <c r="D1895" t="str" cm="1">
        <f t="array" ref="D1895">_xlfn.IFS(Table1[[#This Row],[age]]&lt;=17,"0-17",C1895&lt;=29,"18-29",C1895&lt;=44,"30-44",C1895&lt;=59,"45-59",C1895&lt;=74,"60-74",TRUE,"75+")</f>
        <v>18-29</v>
      </c>
      <c r="E1895" t="s">
        <v>17</v>
      </c>
      <c r="F1895">
        <v>9</v>
      </c>
      <c r="G1895" t="str" cm="1">
        <f t="array" ref="G1895">_xlfn.IFS(_xlfn.SINGLE(Table1[imd_decile])&lt;=3,"Most Deprived",F1895&lt;=7,"Moderately Deprived",F1895&lt;=10,"Least Deprived")</f>
        <v>Least Deprived</v>
      </c>
      <c r="H1895">
        <v>4.5999999999999996</v>
      </c>
      <c r="I1895" t="s">
        <v>30</v>
      </c>
      <c r="J1895" t="s">
        <v>26</v>
      </c>
      <c r="K1895" s="1">
        <v>45908</v>
      </c>
      <c r="L1895" s="1">
        <v>45920</v>
      </c>
      <c r="M1895" s="1" t="str">
        <f>TEXT(Table1[[#This Row],[appointment_date]],"MM/YYYY")</f>
        <v>09/2025</v>
      </c>
      <c r="N1895">
        <v>12</v>
      </c>
      <c r="O1895" t="str" cm="1">
        <f t="array" ref="O1895">_xlfn.IFS(Table1[[#This Row],[lead_time_days]]&lt;=7,"0-7 days",N1895&lt;=14,"8-14 days",N1895&lt;=30,"15-30 days",N1895&lt;=60,"31-60 days",TRUE,"61+ days")</f>
        <v>8-14 days</v>
      </c>
      <c r="P1895" t="s">
        <v>55</v>
      </c>
      <c r="Q1895" t="s">
        <v>21</v>
      </c>
      <c r="R1895">
        <v>0</v>
      </c>
      <c r="S1895" t="str">
        <f>IF(Table1[prior_dna_count]&gt;=1,"Has prior DNA history","No prior DNA history")</f>
        <v>No prior DNA history</v>
      </c>
      <c r="T1895" t="s">
        <v>22</v>
      </c>
      <c r="U1895" t="str">
        <f t="shared" si="29"/>
        <v>1</v>
      </c>
      <c r="V1895" t="str">
        <f>IF(Table1[appointment_status]="Attended","1","0")</f>
        <v>1</v>
      </c>
      <c r="W1895" t="str">
        <f>IF(Table1[appointment_status]="Cancelled","1","0")</f>
        <v>0</v>
      </c>
    </row>
    <row r="1896" spans="1:23">
      <c r="A1896" t="s">
        <v>3038</v>
      </c>
      <c r="B1896" t="s">
        <v>3039</v>
      </c>
      <c r="C1896">
        <v>85</v>
      </c>
      <c r="D1896" t="str" cm="1">
        <f t="array" ref="D1896">_xlfn.IFS(Table1[[#This Row],[age]]&lt;=17,"0-17",C1896&lt;=29,"18-29",C1896&lt;=44,"30-44",C1896&lt;=59,"45-59",C1896&lt;=74,"60-74",TRUE,"75+")</f>
        <v>75+</v>
      </c>
      <c r="E1896" t="s">
        <v>17</v>
      </c>
      <c r="F1896">
        <v>5</v>
      </c>
      <c r="G1896" t="str" cm="1">
        <f t="array" ref="G1896">_xlfn.IFS(_xlfn.SINGLE(Table1[imd_decile])&lt;=3,"Most Deprived",F1896&lt;=7,"Moderately Deprived",F1896&lt;=10,"Least Deprived")</f>
        <v>Moderately Deprived</v>
      </c>
      <c r="H1896">
        <v>6.9</v>
      </c>
      <c r="I1896" t="s">
        <v>42</v>
      </c>
      <c r="J1896" t="s">
        <v>19</v>
      </c>
      <c r="K1896" s="1">
        <v>45900</v>
      </c>
      <c r="L1896" s="1">
        <v>45920</v>
      </c>
      <c r="M1896" s="1" t="str">
        <f>TEXT(Table1[[#This Row],[appointment_date]],"MM/YYYY")</f>
        <v>09/2025</v>
      </c>
      <c r="N1896">
        <v>20</v>
      </c>
      <c r="O1896" t="str" cm="1">
        <f t="array" ref="O1896">_xlfn.IFS(Table1[[#This Row],[lead_time_days]]&lt;=7,"0-7 days",N1896&lt;=14,"8-14 days",N1896&lt;=30,"15-30 days",N1896&lt;=60,"31-60 days",TRUE,"61+ days")</f>
        <v>15-30 days</v>
      </c>
      <c r="P1896" t="s">
        <v>55</v>
      </c>
      <c r="Q1896" t="s">
        <v>21</v>
      </c>
      <c r="R1896">
        <v>0</v>
      </c>
      <c r="S1896" t="str">
        <f>IF(Table1[prior_dna_count]&gt;=1,"Has prior DNA history","No prior DNA history")</f>
        <v>No prior DNA history</v>
      </c>
      <c r="T1896" t="s">
        <v>22</v>
      </c>
      <c r="U1896" t="str">
        <f t="shared" si="29"/>
        <v>1</v>
      </c>
      <c r="V1896" t="str">
        <f>IF(Table1[appointment_status]="Attended","1","0")</f>
        <v>1</v>
      </c>
      <c r="W1896" t="str">
        <f>IF(Table1[appointment_status]="Cancelled","1","0")</f>
        <v>0</v>
      </c>
    </row>
    <row r="1897" spans="1:23">
      <c r="A1897" t="s">
        <v>3040</v>
      </c>
      <c r="B1897" t="s">
        <v>488</v>
      </c>
      <c r="C1897">
        <v>55</v>
      </c>
      <c r="D1897" t="str" cm="1">
        <f t="array" ref="D1897">_xlfn.IFS(Table1[[#This Row],[age]]&lt;=17,"0-17",C1897&lt;=29,"18-29",C1897&lt;=44,"30-44",C1897&lt;=59,"45-59",C1897&lt;=74,"60-74",TRUE,"75+")</f>
        <v>45-59</v>
      </c>
      <c r="E1897" t="s">
        <v>29</v>
      </c>
      <c r="F1897">
        <v>1</v>
      </c>
      <c r="G1897" t="str" cm="1">
        <f t="array" ref="G1897">_xlfn.IFS(_xlfn.SINGLE(Table1[imd_decile])&lt;=3,"Most Deprived",F1897&lt;=7,"Moderately Deprived",F1897&lt;=10,"Least Deprived")</f>
        <v>Most Deprived</v>
      </c>
      <c r="H1897">
        <v>3</v>
      </c>
      <c r="I1897" t="s">
        <v>91</v>
      </c>
      <c r="J1897" t="s">
        <v>19</v>
      </c>
      <c r="K1897" s="1">
        <v>45899</v>
      </c>
      <c r="L1897" s="1">
        <v>45920</v>
      </c>
      <c r="M1897" s="1" t="str">
        <f>TEXT(Table1[[#This Row],[appointment_date]],"MM/YYYY")</f>
        <v>09/2025</v>
      </c>
      <c r="N1897">
        <v>21</v>
      </c>
      <c r="O1897" t="str" cm="1">
        <f t="array" ref="O1897">_xlfn.IFS(Table1[[#This Row],[lead_time_days]]&lt;=7,"0-7 days",N1897&lt;=14,"8-14 days",N1897&lt;=30,"15-30 days",N1897&lt;=60,"31-60 days",TRUE,"61+ days")</f>
        <v>15-30 days</v>
      </c>
      <c r="P1897" t="s">
        <v>55</v>
      </c>
      <c r="Q1897" t="s">
        <v>21</v>
      </c>
      <c r="R1897">
        <v>0</v>
      </c>
      <c r="S1897" t="str">
        <f>IF(Table1[prior_dna_count]&gt;=1,"Has prior DNA history","No prior DNA history")</f>
        <v>No prior DNA history</v>
      </c>
      <c r="T1897" t="s">
        <v>22</v>
      </c>
      <c r="U1897" t="str">
        <f t="shared" si="29"/>
        <v>1</v>
      </c>
      <c r="V1897" t="str">
        <f>IF(Table1[appointment_status]="Attended","1","0")</f>
        <v>1</v>
      </c>
      <c r="W1897" t="str">
        <f>IF(Table1[appointment_status]="Cancelled","1","0")</f>
        <v>0</v>
      </c>
    </row>
    <row r="1898" spans="1:23">
      <c r="A1898" t="s">
        <v>3041</v>
      </c>
      <c r="B1898" t="s">
        <v>415</v>
      </c>
      <c r="C1898">
        <v>50</v>
      </c>
      <c r="D1898" t="str" cm="1">
        <f t="array" ref="D1898">_xlfn.IFS(Table1[[#This Row],[age]]&lt;=17,"0-17",C1898&lt;=29,"18-29",C1898&lt;=44,"30-44",C1898&lt;=59,"45-59",C1898&lt;=74,"60-74",TRUE,"75+")</f>
        <v>45-59</v>
      </c>
      <c r="E1898" t="s">
        <v>29</v>
      </c>
      <c r="F1898">
        <v>8</v>
      </c>
      <c r="G1898" t="str" cm="1">
        <f t="array" ref="G1898">_xlfn.IFS(_xlfn.SINGLE(Table1[imd_decile])&lt;=3,"Most Deprived",F1898&lt;=7,"Moderately Deprived",F1898&lt;=10,"Least Deprived")</f>
        <v>Least Deprived</v>
      </c>
      <c r="H1898">
        <v>8.1</v>
      </c>
      <c r="I1898" t="s">
        <v>58</v>
      </c>
      <c r="J1898" t="s">
        <v>26</v>
      </c>
      <c r="K1898" s="1">
        <v>45915</v>
      </c>
      <c r="L1898" s="1">
        <v>45920</v>
      </c>
      <c r="M1898" s="1" t="str">
        <f>TEXT(Table1[[#This Row],[appointment_date]],"MM/YYYY")</f>
        <v>09/2025</v>
      </c>
      <c r="N1898">
        <v>5</v>
      </c>
      <c r="O1898" t="str" cm="1">
        <f t="array" ref="O1898">_xlfn.IFS(Table1[[#This Row],[lead_time_days]]&lt;=7,"0-7 days",N1898&lt;=14,"8-14 days",N1898&lt;=30,"15-30 days",N1898&lt;=60,"31-60 days",TRUE,"61+ days")</f>
        <v>0-7 days</v>
      </c>
      <c r="P1898" t="s">
        <v>55</v>
      </c>
      <c r="Q1898" t="s">
        <v>21</v>
      </c>
      <c r="R1898">
        <v>0</v>
      </c>
      <c r="S1898" t="str">
        <f>IF(Table1[prior_dna_count]&gt;=1,"Has prior DNA history","No prior DNA history")</f>
        <v>No prior DNA history</v>
      </c>
      <c r="T1898" t="s">
        <v>22</v>
      </c>
      <c r="U1898" t="str">
        <f t="shared" si="29"/>
        <v>1</v>
      </c>
      <c r="V1898" t="str">
        <f>IF(Table1[appointment_status]="Attended","1","0")</f>
        <v>1</v>
      </c>
      <c r="W1898" t="str">
        <f>IF(Table1[appointment_status]="Cancelled","1","0")</f>
        <v>0</v>
      </c>
    </row>
    <row r="1899" spans="1:23">
      <c r="A1899" t="s">
        <v>3042</v>
      </c>
      <c r="B1899" t="s">
        <v>3043</v>
      </c>
      <c r="C1899">
        <v>58</v>
      </c>
      <c r="D1899" t="str" cm="1">
        <f t="array" ref="D1899">_xlfn.IFS(Table1[[#This Row],[age]]&lt;=17,"0-17",C1899&lt;=29,"18-29",C1899&lt;=44,"30-44",C1899&lt;=59,"45-59",C1899&lt;=74,"60-74",TRUE,"75+")</f>
        <v>45-59</v>
      </c>
      <c r="E1899" t="s">
        <v>29</v>
      </c>
      <c r="F1899">
        <v>1</v>
      </c>
      <c r="G1899" t="str" cm="1">
        <f t="array" ref="G1899">_xlfn.IFS(_xlfn.SINGLE(Table1[imd_decile])&lt;=3,"Most Deprived",F1899&lt;=7,"Moderately Deprived",F1899&lt;=10,"Least Deprived")</f>
        <v>Most Deprived</v>
      </c>
      <c r="H1899">
        <v>4.4000000000000004</v>
      </c>
      <c r="I1899" t="s">
        <v>155</v>
      </c>
      <c r="J1899" t="s">
        <v>19</v>
      </c>
      <c r="K1899" s="1">
        <v>45853</v>
      </c>
      <c r="L1899" s="1">
        <v>45920</v>
      </c>
      <c r="M1899" s="1" t="str">
        <f>TEXT(Table1[[#This Row],[appointment_date]],"MM/YYYY")</f>
        <v>09/2025</v>
      </c>
      <c r="N1899">
        <v>67</v>
      </c>
      <c r="O1899" t="str" cm="1">
        <f t="array" ref="O1899">_xlfn.IFS(Table1[[#This Row],[lead_time_days]]&lt;=7,"0-7 days",N1899&lt;=14,"8-14 days",N1899&lt;=30,"15-30 days",N1899&lt;=60,"31-60 days",TRUE,"61+ days")</f>
        <v>61+ days</v>
      </c>
      <c r="P1899" t="s">
        <v>55</v>
      </c>
      <c r="Q1899" t="s">
        <v>21</v>
      </c>
      <c r="R1899">
        <v>0</v>
      </c>
      <c r="S1899" t="str">
        <f>IF(Table1[prior_dna_count]&gt;=1,"Has prior DNA history","No prior DNA history")</f>
        <v>No prior DNA history</v>
      </c>
      <c r="T1899" t="s">
        <v>22</v>
      </c>
      <c r="U1899" t="str">
        <f t="shared" si="29"/>
        <v>1</v>
      </c>
      <c r="V1899" t="str">
        <f>IF(Table1[appointment_status]="Attended","1","0")</f>
        <v>1</v>
      </c>
      <c r="W1899" t="str">
        <f>IF(Table1[appointment_status]="Cancelled","1","0")</f>
        <v>0</v>
      </c>
    </row>
    <row r="1900" spans="1:23">
      <c r="A1900" t="s">
        <v>3044</v>
      </c>
      <c r="B1900" t="s">
        <v>2393</v>
      </c>
      <c r="C1900">
        <v>70</v>
      </c>
      <c r="D1900" t="str" cm="1">
        <f t="array" ref="D1900">_xlfn.IFS(Table1[[#This Row],[age]]&lt;=17,"0-17",C1900&lt;=29,"18-29",C1900&lt;=44,"30-44",C1900&lt;=59,"45-59",C1900&lt;=74,"60-74",TRUE,"75+")</f>
        <v>60-74</v>
      </c>
      <c r="E1900" t="s">
        <v>29</v>
      </c>
      <c r="F1900">
        <v>6</v>
      </c>
      <c r="G1900" t="str" cm="1">
        <f t="array" ref="G1900">_xlfn.IFS(_xlfn.SINGLE(Table1[imd_decile])&lt;=3,"Most Deprived",F1900&lt;=7,"Moderately Deprived",F1900&lt;=10,"Least Deprived")</f>
        <v>Moderately Deprived</v>
      </c>
      <c r="H1900">
        <v>5</v>
      </c>
      <c r="I1900" t="s">
        <v>25</v>
      </c>
      <c r="J1900" t="s">
        <v>26</v>
      </c>
      <c r="K1900" s="1">
        <v>45903</v>
      </c>
      <c r="L1900" s="1">
        <v>45920</v>
      </c>
      <c r="M1900" s="1" t="str">
        <f>TEXT(Table1[[#This Row],[appointment_date]],"MM/YYYY")</f>
        <v>09/2025</v>
      </c>
      <c r="N1900">
        <v>17</v>
      </c>
      <c r="O1900" t="str" cm="1">
        <f t="array" ref="O1900">_xlfn.IFS(Table1[[#This Row],[lead_time_days]]&lt;=7,"0-7 days",N1900&lt;=14,"8-14 days",N1900&lt;=30,"15-30 days",N1900&lt;=60,"31-60 days",TRUE,"61+ days")</f>
        <v>15-30 days</v>
      </c>
      <c r="P1900" t="s">
        <v>55</v>
      </c>
      <c r="Q1900" t="s">
        <v>32</v>
      </c>
      <c r="R1900">
        <v>1</v>
      </c>
      <c r="S1900" t="str">
        <f>IF(Table1[prior_dna_count]&gt;=1,"Has prior DNA history","No prior DNA history")</f>
        <v>Has prior DNA history</v>
      </c>
      <c r="T1900" t="s">
        <v>22</v>
      </c>
      <c r="U1900" t="str">
        <f t="shared" si="29"/>
        <v>1</v>
      </c>
      <c r="V1900" t="str">
        <f>IF(Table1[appointment_status]="Attended","1","0")</f>
        <v>1</v>
      </c>
      <c r="W1900" t="str">
        <f>IF(Table1[appointment_status]="Cancelled","1","0")</f>
        <v>0</v>
      </c>
    </row>
    <row r="1901" spans="1:23">
      <c r="A1901" t="s">
        <v>3045</v>
      </c>
      <c r="B1901" t="s">
        <v>2266</v>
      </c>
      <c r="C1901">
        <v>40</v>
      </c>
      <c r="D1901" t="str" cm="1">
        <f t="array" ref="D1901">_xlfn.IFS(Table1[[#This Row],[age]]&lt;=17,"0-17",C1901&lt;=29,"18-29",C1901&lt;=44,"30-44",C1901&lt;=59,"45-59",C1901&lt;=74,"60-74",TRUE,"75+")</f>
        <v>30-44</v>
      </c>
      <c r="E1901" t="s">
        <v>29</v>
      </c>
      <c r="F1901">
        <v>3</v>
      </c>
      <c r="G1901" t="str" cm="1">
        <f t="array" ref="G1901">_xlfn.IFS(_xlfn.SINGLE(Table1[imd_decile])&lt;=3,"Most Deprived",F1901&lt;=7,"Moderately Deprived",F1901&lt;=10,"Least Deprived")</f>
        <v>Most Deprived</v>
      </c>
      <c r="H1901">
        <v>5.0999999999999996</v>
      </c>
      <c r="I1901" t="s">
        <v>42</v>
      </c>
      <c r="J1901" t="s">
        <v>19</v>
      </c>
      <c r="K1901" s="1">
        <v>45895</v>
      </c>
      <c r="L1901" s="1">
        <v>45920</v>
      </c>
      <c r="M1901" s="1" t="str">
        <f>TEXT(Table1[[#This Row],[appointment_date]],"MM/YYYY")</f>
        <v>09/2025</v>
      </c>
      <c r="N1901">
        <v>25</v>
      </c>
      <c r="O1901" t="str" cm="1">
        <f t="array" ref="O1901">_xlfn.IFS(Table1[[#This Row],[lead_time_days]]&lt;=7,"0-7 days",N1901&lt;=14,"8-14 days",N1901&lt;=30,"15-30 days",N1901&lt;=60,"31-60 days",TRUE,"61+ days")</f>
        <v>15-30 days</v>
      </c>
      <c r="P1901" t="s">
        <v>55</v>
      </c>
      <c r="Q1901" t="s">
        <v>21</v>
      </c>
      <c r="R1901">
        <v>0</v>
      </c>
      <c r="S1901" t="str">
        <f>IF(Table1[prior_dna_count]&gt;=1,"Has prior DNA history","No prior DNA history")</f>
        <v>No prior DNA history</v>
      </c>
      <c r="T1901" t="s">
        <v>22</v>
      </c>
      <c r="U1901" t="str">
        <f t="shared" si="29"/>
        <v>1</v>
      </c>
      <c r="V1901" t="str">
        <f>IF(Table1[appointment_status]="Attended","1","0")</f>
        <v>1</v>
      </c>
      <c r="W1901" t="str">
        <f>IF(Table1[appointment_status]="Cancelled","1","0")</f>
        <v>0</v>
      </c>
    </row>
    <row r="1902" spans="1:23">
      <c r="A1902" t="s">
        <v>3046</v>
      </c>
      <c r="B1902" t="s">
        <v>2490</v>
      </c>
      <c r="C1902">
        <v>13</v>
      </c>
      <c r="D1902" t="str" cm="1">
        <f t="array" ref="D1902">_xlfn.IFS(Table1[[#This Row],[age]]&lt;=17,"0-17",C1902&lt;=29,"18-29",C1902&lt;=44,"30-44",C1902&lt;=59,"45-59",C1902&lt;=74,"60-74",TRUE,"75+")</f>
        <v>0-17</v>
      </c>
      <c r="E1902" t="s">
        <v>17</v>
      </c>
      <c r="F1902">
        <v>8</v>
      </c>
      <c r="G1902" t="str" cm="1">
        <f t="array" ref="G1902">_xlfn.IFS(_xlfn.SINGLE(Table1[imd_decile])&lt;=3,"Most Deprived",F1902&lt;=7,"Moderately Deprived",F1902&lt;=10,"Least Deprived")</f>
        <v>Least Deprived</v>
      </c>
      <c r="H1902">
        <v>14.9</v>
      </c>
      <c r="I1902" t="s">
        <v>25</v>
      </c>
      <c r="J1902" t="s">
        <v>19</v>
      </c>
      <c r="K1902" s="1">
        <v>45898</v>
      </c>
      <c r="L1902" s="1">
        <v>45920</v>
      </c>
      <c r="M1902" s="1" t="str">
        <f>TEXT(Table1[[#This Row],[appointment_date]],"MM/YYYY")</f>
        <v>09/2025</v>
      </c>
      <c r="N1902">
        <v>22</v>
      </c>
      <c r="O1902" t="str" cm="1">
        <f t="array" ref="O1902">_xlfn.IFS(Table1[[#This Row],[lead_time_days]]&lt;=7,"0-7 days",N1902&lt;=14,"8-14 days",N1902&lt;=30,"15-30 days",N1902&lt;=60,"31-60 days",TRUE,"61+ days")</f>
        <v>15-30 days</v>
      </c>
      <c r="P1902" t="s">
        <v>55</v>
      </c>
      <c r="Q1902" t="s">
        <v>21</v>
      </c>
      <c r="R1902">
        <v>0</v>
      </c>
      <c r="S1902" t="str">
        <f>IF(Table1[prior_dna_count]&gt;=1,"Has prior DNA history","No prior DNA history")</f>
        <v>No prior DNA history</v>
      </c>
      <c r="T1902" t="s">
        <v>22</v>
      </c>
      <c r="U1902" t="str">
        <f t="shared" si="29"/>
        <v>1</v>
      </c>
      <c r="V1902" t="str">
        <f>IF(Table1[appointment_status]="Attended","1","0")</f>
        <v>1</v>
      </c>
      <c r="W1902" t="str">
        <f>IF(Table1[appointment_status]="Cancelled","1","0")</f>
        <v>0</v>
      </c>
    </row>
    <row r="1903" spans="1:23">
      <c r="A1903" t="s">
        <v>3047</v>
      </c>
      <c r="B1903" t="s">
        <v>1896</v>
      </c>
      <c r="C1903">
        <v>49</v>
      </c>
      <c r="D1903" t="str" cm="1">
        <f t="array" ref="D1903">_xlfn.IFS(Table1[[#This Row],[age]]&lt;=17,"0-17",C1903&lt;=29,"18-29",C1903&lt;=44,"30-44",C1903&lt;=59,"45-59",C1903&lt;=74,"60-74",TRUE,"75+")</f>
        <v>45-59</v>
      </c>
      <c r="E1903" t="s">
        <v>29</v>
      </c>
      <c r="F1903">
        <v>4</v>
      </c>
      <c r="G1903" t="str" cm="1">
        <f t="array" ref="G1903">_xlfn.IFS(_xlfn.SINGLE(Table1[imd_decile])&lt;=3,"Most Deprived",F1903&lt;=7,"Moderately Deprived",F1903&lt;=10,"Least Deprived")</f>
        <v>Moderately Deprived</v>
      </c>
      <c r="H1903">
        <v>5.9</v>
      </c>
      <c r="I1903" t="s">
        <v>49</v>
      </c>
      <c r="J1903" t="s">
        <v>19</v>
      </c>
      <c r="K1903" s="1">
        <v>45832</v>
      </c>
      <c r="L1903" s="1">
        <v>45920</v>
      </c>
      <c r="M1903" s="1" t="str">
        <f>TEXT(Table1[[#This Row],[appointment_date]],"MM/YYYY")</f>
        <v>09/2025</v>
      </c>
      <c r="N1903">
        <v>88</v>
      </c>
      <c r="O1903" t="str" cm="1">
        <f t="array" ref="O1903">_xlfn.IFS(Table1[[#This Row],[lead_time_days]]&lt;=7,"0-7 days",N1903&lt;=14,"8-14 days",N1903&lt;=30,"15-30 days",N1903&lt;=60,"31-60 days",TRUE,"61+ days")</f>
        <v>61+ days</v>
      </c>
      <c r="P1903" t="s">
        <v>55</v>
      </c>
      <c r="Q1903" t="s">
        <v>32</v>
      </c>
      <c r="R1903">
        <v>0</v>
      </c>
      <c r="S1903" t="str">
        <f>IF(Table1[prior_dna_count]&gt;=1,"Has prior DNA history","No prior DNA history")</f>
        <v>No prior DNA history</v>
      </c>
      <c r="T1903" t="s">
        <v>46</v>
      </c>
      <c r="U1903" t="str">
        <f t="shared" si="29"/>
        <v>1</v>
      </c>
      <c r="V1903" t="str">
        <f>IF(Table1[appointment_status]="Attended","1","0")</f>
        <v>0</v>
      </c>
      <c r="W1903" t="str">
        <f>IF(Table1[appointment_status]="Cancelled","1","0")</f>
        <v>1</v>
      </c>
    </row>
    <row r="1904" spans="1:23">
      <c r="A1904" t="s">
        <v>3048</v>
      </c>
      <c r="B1904" t="s">
        <v>2995</v>
      </c>
      <c r="C1904">
        <v>46</v>
      </c>
      <c r="D1904" t="str" cm="1">
        <f t="array" ref="D1904">_xlfn.IFS(Table1[[#This Row],[age]]&lt;=17,"0-17",C1904&lt;=29,"18-29",C1904&lt;=44,"30-44",C1904&lt;=59,"45-59",C1904&lt;=74,"60-74",TRUE,"75+")</f>
        <v>45-59</v>
      </c>
      <c r="E1904" t="s">
        <v>17</v>
      </c>
      <c r="F1904">
        <v>7</v>
      </c>
      <c r="G1904" t="str" cm="1">
        <f t="array" ref="G1904">_xlfn.IFS(_xlfn.SINGLE(Table1[imd_decile])&lt;=3,"Most Deprived",F1904&lt;=7,"Moderately Deprived",F1904&lt;=10,"Least Deprived")</f>
        <v>Moderately Deprived</v>
      </c>
      <c r="H1904">
        <v>8.6</v>
      </c>
      <c r="I1904" t="s">
        <v>38</v>
      </c>
      <c r="J1904" t="s">
        <v>19</v>
      </c>
      <c r="K1904" s="1">
        <v>45903</v>
      </c>
      <c r="L1904" s="1">
        <v>45920</v>
      </c>
      <c r="M1904" s="1" t="str">
        <f>TEXT(Table1[[#This Row],[appointment_date]],"MM/YYYY")</f>
        <v>09/2025</v>
      </c>
      <c r="N1904">
        <v>17</v>
      </c>
      <c r="O1904" t="str" cm="1">
        <f t="array" ref="O1904">_xlfn.IFS(Table1[[#This Row],[lead_time_days]]&lt;=7,"0-7 days",N1904&lt;=14,"8-14 days",N1904&lt;=30,"15-30 days",N1904&lt;=60,"31-60 days",TRUE,"61+ days")</f>
        <v>15-30 days</v>
      </c>
      <c r="P1904" t="s">
        <v>55</v>
      </c>
      <c r="Q1904" t="s">
        <v>21</v>
      </c>
      <c r="R1904">
        <v>0</v>
      </c>
      <c r="S1904" t="str">
        <f>IF(Table1[prior_dna_count]&gt;=1,"Has prior DNA history","No prior DNA history")</f>
        <v>No prior DNA history</v>
      </c>
      <c r="T1904" t="s">
        <v>22</v>
      </c>
      <c r="U1904" t="str">
        <f t="shared" si="29"/>
        <v>0</v>
      </c>
      <c r="V1904" t="str">
        <f>IF(Table1[appointment_status]="Attended","1","0")</f>
        <v>1</v>
      </c>
      <c r="W1904" t="str">
        <f>IF(Table1[appointment_status]="Cancelled","1","0")</f>
        <v>0</v>
      </c>
    </row>
    <row r="1905" spans="1:23">
      <c r="A1905" t="s">
        <v>3049</v>
      </c>
      <c r="B1905" t="s">
        <v>354</v>
      </c>
      <c r="C1905">
        <v>28</v>
      </c>
      <c r="D1905" t="str" cm="1">
        <f t="array" ref="D1905">_xlfn.IFS(Table1[[#This Row],[age]]&lt;=17,"0-17",C1905&lt;=29,"18-29",C1905&lt;=44,"30-44",C1905&lt;=59,"45-59",C1905&lt;=74,"60-74",TRUE,"75+")</f>
        <v>18-29</v>
      </c>
      <c r="E1905" t="s">
        <v>17</v>
      </c>
      <c r="F1905">
        <v>4</v>
      </c>
      <c r="G1905" t="str" cm="1">
        <f t="array" ref="G1905">_xlfn.IFS(_xlfn.SINGLE(Table1[imd_decile])&lt;=3,"Most Deprived",F1905&lt;=7,"Moderately Deprived",F1905&lt;=10,"Least Deprived")</f>
        <v>Moderately Deprived</v>
      </c>
      <c r="H1905">
        <v>16.5</v>
      </c>
      <c r="I1905" t="s">
        <v>58</v>
      </c>
      <c r="J1905" t="s">
        <v>19</v>
      </c>
      <c r="K1905" s="1">
        <v>45917</v>
      </c>
      <c r="L1905" s="1">
        <v>45920</v>
      </c>
      <c r="M1905" s="1" t="str">
        <f>TEXT(Table1[[#This Row],[appointment_date]],"MM/YYYY")</f>
        <v>09/2025</v>
      </c>
      <c r="N1905">
        <v>3</v>
      </c>
      <c r="O1905" t="str" cm="1">
        <f t="array" ref="O1905">_xlfn.IFS(Table1[[#This Row],[lead_time_days]]&lt;=7,"0-7 days",N1905&lt;=14,"8-14 days",N1905&lt;=30,"15-30 days",N1905&lt;=60,"31-60 days",TRUE,"61+ days")</f>
        <v>0-7 days</v>
      </c>
      <c r="P1905" t="s">
        <v>55</v>
      </c>
      <c r="Q1905" t="s">
        <v>21</v>
      </c>
      <c r="R1905">
        <v>0</v>
      </c>
      <c r="S1905" t="str">
        <f>IF(Table1[prior_dna_count]&gt;=1,"Has prior DNA history","No prior DNA history")</f>
        <v>No prior DNA history</v>
      </c>
      <c r="T1905" t="s">
        <v>22</v>
      </c>
      <c r="U1905" t="str">
        <f t="shared" si="29"/>
        <v>1</v>
      </c>
      <c r="V1905" t="str">
        <f>IF(Table1[appointment_status]="Attended","1","0")</f>
        <v>1</v>
      </c>
      <c r="W1905" t="str">
        <f>IF(Table1[appointment_status]="Cancelled","1","0")</f>
        <v>0</v>
      </c>
    </row>
    <row r="1906" spans="1:23">
      <c r="A1906" t="s">
        <v>3050</v>
      </c>
      <c r="B1906" t="s">
        <v>2719</v>
      </c>
      <c r="C1906">
        <v>30</v>
      </c>
      <c r="D1906" t="str" cm="1">
        <f t="array" ref="D1906">_xlfn.IFS(Table1[[#This Row],[age]]&lt;=17,"0-17",C1906&lt;=29,"18-29",C1906&lt;=44,"30-44",C1906&lt;=59,"45-59",C1906&lt;=74,"60-74",TRUE,"75+")</f>
        <v>30-44</v>
      </c>
      <c r="E1906" t="s">
        <v>29</v>
      </c>
      <c r="F1906">
        <v>2</v>
      </c>
      <c r="G1906" t="str" cm="1">
        <f t="array" ref="G1906">_xlfn.IFS(_xlfn.SINGLE(Table1[imd_decile])&lt;=3,"Most Deprived",F1906&lt;=7,"Moderately Deprived",F1906&lt;=10,"Least Deprived")</f>
        <v>Most Deprived</v>
      </c>
      <c r="H1906">
        <v>26.7</v>
      </c>
      <c r="I1906" t="s">
        <v>45</v>
      </c>
      <c r="J1906" t="s">
        <v>19</v>
      </c>
      <c r="K1906" s="1">
        <v>45884</v>
      </c>
      <c r="L1906" s="1">
        <v>45920</v>
      </c>
      <c r="M1906" s="1" t="str">
        <f>TEXT(Table1[[#This Row],[appointment_date]],"MM/YYYY")</f>
        <v>09/2025</v>
      </c>
      <c r="N1906">
        <v>36</v>
      </c>
      <c r="O1906" t="str" cm="1">
        <f t="array" ref="O1906">_xlfn.IFS(Table1[[#This Row],[lead_time_days]]&lt;=7,"0-7 days",N1906&lt;=14,"8-14 days",N1906&lt;=30,"15-30 days",N1906&lt;=60,"31-60 days",TRUE,"61+ days")</f>
        <v>31-60 days</v>
      </c>
      <c r="P1906" t="s">
        <v>55</v>
      </c>
      <c r="Q1906" t="s">
        <v>32</v>
      </c>
      <c r="R1906">
        <v>0</v>
      </c>
      <c r="S1906" t="str">
        <f>IF(Table1[prior_dna_count]&gt;=1,"Has prior DNA history","No prior DNA history")</f>
        <v>No prior DNA history</v>
      </c>
      <c r="T1906" t="s">
        <v>39</v>
      </c>
      <c r="U1906" t="str">
        <f t="shared" si="29"/>
        <v>1</v>
      </c>
      <c r="V1906" t="str">
        <f>IF(Table1[appointment_status]="Attended","1","0")</f>
        <v>0</v>
      </c>
      <c r="W1906" t="str">
        <f>IF(Table1[appointment_status]="Cancelled","1","0")</f>
        <v>0</v>
      </c>
    </row>
    <row r="1907" spans="1:23">
      <c r="A1907" t="s">
        <v>3051</v>
      </c>
      <c r="B1907" t="s">
        <v>306</v>
      </c>
      <c r="C1907">
        <v>73</v>
      </c>
      <c r="D1907" t="str" cm="1">
        <f t="array" ref="D1907">_xlfn.IFS(Table1[[#This Row],[age]]&lt;=17,"0-17",C1907&lt;=29,"18-29",C1907&lt;=44,"30-44",C1907&lt;=59,"45-59",C1907&lt;=74,"60-74",TRUE,"75+")</f>
        <v>60-74</v>
      </c>
      <c r="E1907" t="s">
        <v>29</v>
      </c>
      <c r="F1907">
        <v>9</v>
      </c>
      <c r="G1907" t="str" cm="1">
        <f t="array" ref="G1907">_xlfn.IFS(_xlfn.SINGLE(Table1[imd_decile])&lt;=3,"Most Deprived",F1907&lt;=7,"Moderately Deprived",F1907&lt;=10,"Least Deprived")</f>
        <v>Least Deprived</v>
      </c>
      <c r="H1907">
        <v>11.5</v>
      </c>
      <c r="I1907" t="s">
        <v>42</v>
      </c>
      <c r="J1907" t="s">
        <v>19</v>
      </c>
      <c r="K1907" s="1">
        <v>45906</v>
      </c>
      <c r="L1907" s="1">
        <v>45921</v>
      </c>
      <c r="M1907" s="1" t="str">
        <f>TEXT(Table1[[#This Row],[appointment_date]],"MM/YYYY")</f>
        <v>09/2025</v>
      </c>
      <c r="N1907">
        <v>15</v>
      </c>
      <c r="O1907" t="str" cm="1">
        <f t="array" ref="O1907">_xlfn.IFS(Table1[[#This Row],[lead_time_days]]&lt;=7,"0-7 days",N1907&lt;=14,"8-14 days",N1907&lt;=30,"15-30 days",N1907&lt;=60,"31-60 days",TRUE,"61+ days")</f>
        <v>15-30 days</v>
      </c>
      <c r="P1907" t="s">
        <v>31</v>
      </c>
      <c r="Q1907" t="s">
        <v>21</v>
      </c>
      <c r="R1907">
        <v>0</v>
      </c>
      <c r="S1907" t="str">
        <f>IF(Table1[prior_dna_count]&gt;=1,"Has prior DNA history","No prior DNA history")</f>
        <v>No prior DNA history</v>
      </c>
      <c r="T1907" t="s">
        <v>22</v>
      </c>
      <c r="U1907" t="str">
        <f t="shared" si="29"/>
        <v>0</v>
      </c>
      <c r="V1907" t="str">
        <f>IF(Table1[appointment_status]="Attended","1","0")</f>
        <v>1</v>
      </c>
      <c r="W1907" t="str">
        <f>IF(Table1[appointment_status]="Cancelled","1","0")</f>
        <v>0</v>
      </c>
    </row>
    <row r="1908" spans="1:23">
      <c r="A1908" t="s">
        <v>3052</v>
      </c>
      <c r="B1908" t="s">
        <v>1330</v>
      </c>
      <c r="C1908">
        <v>56</v>
      </c>
      <c r="D1908" t="str" cm="1">
        <f t="array" ref="D1908">_xlfn.IFS(Table1[[#This Row],[age]]&lt;=17,"0-17",C1908&lt;=29,"18-29",C1908&lt;=44,"30-44",C1908&lt;=59,"45-59",C1908&lt;=74,"60-74",TRUE,"75+")</f>
        <v>45-59</v>
      </c>
      <c r="E1908" t="s">
        <v>29</v>
      </c>
      <c r="F1908">
        <v>3</v>
      </c>
      <c r="G1908" t="str" cm="1">
        <f t="array" ref="G1908">_xlfn.IFS(_xlfn.SINGLE(Table1[imd_decile])&lt;=3,"Most Deprived",F1908&lt;=7,"Moderately Deprived",F1908&lt;=10,"Least Deprived")</f>
        <v>Most Deprived</v>
      </c>
      <c r="H1908">
        <v>6.4</v>
      </c>
      <c r="I1908" t="s">
        <v>58</v>
      </c>
      <c r="J1908" t="s">
        <v>19</v>
      </c>
      <c r="K1908" s="1">
        <v>45908</v>
      </c>
      <c r="L1908" s="1">
        <v>45921</v>
      </c>
      <c r="M1908" s="1" t="str">
        <f>TEXT(Table1[[#This Row],[appointment_date]],"MM/YYYY")</f>
        <v>09/2025</v>
      </c>
      <c r="N1908">
        <v>13</v>
      </c>
      <c r="O1908" t="str" cm="1">
        <f t="array" ref="O1908">_xlfn.IFS(Table1[[#This Row],[lead_time_days]]&lt;=7,"0-7 days",N1908&lt;=14,"8-14 days",N1908&lt;=30,"15-30 days",N1908&lt;=60,"31-60 days",TRUE,"61+ days")</f>
        <v>8-14 days</v>
      </c>
      <c r="P1908" t="s">
        <v>31</v>
      </c>
      <c r="Q1908" t="s">
        <v>32</v>
      </c>
      <c r="R1908">
        <v>0</v>
      </c>
      <c r="S1908" t="str">
        <f>IF(Table1[prior_dna_count]&gt;=1,"Has prior DNA history","No prior DNA history")</f>
        <v>No prior DNA history</v>
      </c>
      <c r="T1908" t="s">
        <v>39</v>
      </c>
      <c r="U1908" t="str">
        <f t="shared" si="29"/>
        <v>1</v>
      </c>
      <c r="V1908" t="str">
        <f>IF(Table1[appointment_status]="Attended","1","0")</f>
        <v>0</v>
      </c>
      <c r="W1908" t="str">
        <f>IF(Table1[appointment_status]="Cancelled","1","0")</f>
        <v>0</v>
      </c>
    </row>
    <row r="1909" spans="1:23">
      <c r="A1909" t="s">
        <v>3053</v>
      </c>
      <c r="B1909" t="s">
        <v>1254</v>
      </c>
      <c r="C1909">
        <v>55</v>
      </c>
      <c r="D1909" t="str" cm="1">
        <f t="array" ref="D1909">_xlfn.IFS(Table1[[#This Row],[age]]&lt;=17,"0-17",C1909&lt;=29,"18-29",C1909&lt;=44,"30-44",C1909&lt;=59,"45-59",C1909&lt;=74,"60-74",TRUE,"75+")</f>
        <v>45-59</v>
      </c>
      <c r="E1909" t="s">
        <v>17</v>
      </c>
      <c r="F1909">
        <v>9</v>
      </c>
      <c r="G1909" t="str" cm="1">
        <f t="array" ref="G1909">_xlfn.IFS(_xlfn.SINGLE(Table1[imd_decile])&lt;=3,"Most Deprived",F1909&lt;=7,"Moderately Deprived",F1909&lt;=10,"Least Deprived")</f>
        <v>Least Deprived</v>
      </c>
      <c r="H1909">
        <v>4.7</v>
      </c>
      <c r="I1909" t="s">
        <v>25</v>
      </c>
      <c r="J1909" t="s">
        <v>19</v>
      </c>
      <c r="K1909" s="1">
        <v>45905</v>
      </c>
      <c r="L1909" s="1">
        <v>45921</v>
      </c>
      <c r="M1909" s="1" t="str">
        <f>TEXT(Table1[[#This Row],[appointment_date]],"MM/YYYY")</f>
        <v>09/2025</v>
      </c>
      <c r="N1909">
        <v>16</v>
      </c>
      <c r="O1909" t="str" cm="1">
        <f t="array" ref="O1909">_xlfn.IFS(Table1[[#This Row],[lead_time_days]]&lt;=7,"0-7 days",N1909&lt;=14,"8-14 days",N1909&lt;=30,"15-30 days",N1909&lt;=60,"31-60 days",TRUE,"61+ days")</f>
        <v>15-30 days</v>
      </c>
      <c r="P1909" t="s">
        <v>31</v>
      </c>
      <c r="Q1909" t="s">
        <v>21</v>
      </c>
      <c r="R1909">
        <v>0</v>
      </c>
      <c r="S1909" t="str">
        <f>IF(Table1[prior_dna_count]&gt;=1,"Has prior DNA history","No prior DNA history")</f>
        <v>No prior DNA history</v>
      </c>
      <c r="T1909" t="s">
        <v>22</v>
      </c>
      <c r="U1909" t="str">
        <f t="shared" si="29"/>
        <v>0</v>
      </c>
      <c r="V1909" t="str">
        <f>IF(Table1[appointment_status]="Attended","1","0")</f>
        <v>1</v>
      </c>
      <c r="W1909" t="str">
        <f>IF(Table1[appointment_status]="Cancelled","1","0")</f>
        <v>0</v>
      </c>
    </row>
    <row r="1910" spans="1:23">
      <c r="A1910" t="s">
        <v>3054</v>
      </c>
      <c r="B1910" t="s">
        <v>2454</v>
      </c>
      <c r="C1910">
        <v>40</v>
      </c>
      <c r="D1910" t="str" cm="1">
        <f t="array" ref="D1910">_xlfn.IFS(Table1[[#This Row],[age]]&lt;=17,"0-17",C1910&lt;=29,"18-29",C1910&lt;=44,"30-44",C1910&lt;=59,"45-59",C1910&lt;=74,"60-74",TRUE,"75+")</f>
        <v>30-44</v>
      </c>
      <c r="E1910" t="s">
        <v>29</v>
      </c>
      <c r="F1910">
        <v>2</v>
      </c>
      <c r="G1910" t="str" cm="1">
        <f t="array" ref="G1910">_xlfn.IFS(_xlfn.SINGLE(Table1[imd_decile])&lt;=3,"Most Deprived",F1910&lt;=7,"Moderately Deprived",F1910&lt;=10,"Least Deprived")</f>
        <v>Most Deprived</v>
      </c>
      <c r="H1910">
        <v>5.7</v>
      </c>
      <c r="I1910" t="s">
        <v>18</v>
      </c>
      <c r="J1910" t="s">
        <v>19</v>
      </c>
      <c r="K1910" s="1">
        <v>45913</v>
      </c>
      <c r="L1910" s="1">
        <v>45921</v>
      </c>
      <c r="M1910" s="1" t="str">
        <f>TEXT(Table1[[#This Row],[appointment_date]],"MM/YYYY")</f>
        <v>09/2025</v>
      </c>
      <c r="N1910">
        <v>8</v>
      </c>
      <c r="O1910" t="str" cm="1">
        <f t="array" ref="O1910">_xlfn.IFS(Table1[[#This Row],[lead_time_days]]&lt;=7,"0-7 days",N1910&lt;=14,"8-14 days",N1910&lt;=30,"15-30 days",N1910&lt;=60,"31-60 days",TRUE,"61+ days")</f>
        <v>8-14 days</v>
      </c>
      <c r="P1910" t="s">
        <v>31</v>
      </c>
      <c r="Q1910" t="s">
        <v>32</v>
      </c>
      <c r="R1910">
        <v>0</v>
      </c>
      <c r="S1910" t="str">
        <f>IF(Table1[prior_dna_count]&gt;=1,"Has prior DNA history","No prior DNA history")</f>
        <v>No prior DNA history</v>
      </c>
      <c r="T1910" t="s">
        <v>22</v>
      </c>
      <c r="U1910" t="str">
        <f t="shared" si="29"/>
        <v>1</v>
      </c>
      <c r="V1910" t="str">
        <f>IF(Table1[appointment_status]="Attended","1","0")</f>
        <v>1</v>
      </c>
      <c r="W1910" t="str">
        <f>IF(Table1[appointment_status]="Cancelled","1","0")</f>
        <v>0</v>
      </c>
    </row>
    <row r="1911" spans="1:23">
      <c r="A1911" t="s">
        <v>3055</v>
      </c>
      <c r="B1911" t="s">
        <v>421</v>
      </c>
      <c r="C1911">
        <v>62</v>
      </c>
      <c r="D1911" t="str" cm="1">
        <f t="array" ref="D1911">_xlfn.IFS(Table1[[#This Row],[age]]&lt;=17,"0-17",C1911&lt;=29,"18-29",C1911&lt;=44,"30-44",C1911&lt;=59,"45-59",C1911&lt;=74,"60-74",TRUE,"75+")</f>
        <v>60-74</v>
      </c>
      <c r="E1911" t="s">
        <v>29</v>
      </c>
      <c r="F1911">
        <v>6</v>
      </c>
      <c r="G1911" t="str" cm="1">
        <f t="array" ref="G1911">_xlfn.IFS(_xlfn.SINGLE(Table1[imd_decile])&lt;=3,"Most Deprived",F1911&lt;=7,"Moderately Deprived",F1911&lt;=10,"Least Deprived")</f>
        <v>Moderately Deprived</v>
      </c>
      <c r="H1911">
        <v>4</v>
      </c>
      <c r="I1911" t="s">
        <v>25</v>
      </c>
      <c r="J1911" t="s">
        <v>19</v>
      </c>
      <c r="K1911" s="1">
        <v>45899</v>
      </c>
      <c r="L1911" s="1">
        <v>45921</v>
      </c>
      <c r="M1911" s="1" t="str">
        <f>TEXT(Table1[[#This Row],[appointment_date]],"MM/YYYY")</f>
        <v>09/2025</v>
      </c>
      <c r="N1911">
        <v>22</v>
      </c>
      <c r="O1911" t="str" cm="1">
        <f t="array" ref="O1911">_xlfn.IFS(Table1[[#This Row],[lead_time_days]]&lt;=7,"0-7 days",N1911&lt;=14,"8-14 days",N1911&lt;=30,"15-30 days",N1911&lt;=60,"31-60 days",TRUE,"61+ days")</f>
        <v>15-30 days</v>
      </c>
      <c r="P1911" t="s">
        <v>31</v>
      </c>
      <c r="Q1911" t="s">
        <v>32</v>
      </c>
      <c r="R1911">
        <v>0</v>
      </c>
      <c r="S1911" t="str">
        <f>IF(Table1[prior_dna_count]&gt;=1,"Has prior DNA history","No prior DNA history")</f>
        <v>No prior DNA history</v>
      </c>
      <c r="T1911" t="s">
        <v>22</v>
      </c>
      <c r="U1911" t="str">
        <f t="shared" si="29"/>
        <v>1</v>
      </c>
      <c r="V1911" t="str">
        <f>IF(Table1[appointment_status]="Attended","1","0")</f>
        <v>1</v>
      </c>
      <c r="W1911" t="str">
        <f>IF(Table1[appointment_status]="Cancelled","1","0")</f>
        <v>0</v>
      </c>
    </row>
    <row r="1912" spans="1:23">
      <c r="A1912" t="s">
        <v>3056</v>
      </c>
      <c r="B1912" t="s">
        <v>1460</v>
      </c>
      <c r="C1912">
        <v>1</v>
      </c>
      <c r="D1912" t="str" cm="1">
        <f t="array" ref="D1912">_xlfn.IFS(Table1[[#This Row],[age]]&lt;=17,"0-17",C1912&lt;=29,"18-29",C1912&lt;=44,"30-44",C1912&lt;=59,"45-59",C1912&lt;=74,"60-74",TRUE,"75+")</f>
        <v>0-17</v>
      </c>
      <c r="E1912" t="s">
        <v>17</v>
      </c>
      <c r="F1912">
        <v>8</v>
      </c>
      <c r="G1912" t="str" cm="1">
        <f t="array" ref="G1912">_xlfn.IFS(_xlfn.SINGLE(Table1[imd_decile])&lt;=3,"Most Deprived",F1912&lt;=7,"Moderately Deprived",F1912&lt;=10,"Least Deprived")</f>
        <v>Least Deprived</v>
      </c>
      <c r="H1912">
        <v>0.9</v>
      </c>
      <c r="I1912" t="s">
        <v>155</v>
      </c>
      <c r="J1912" t="s">
        <v>19</v>
      </c>
      <c r="K1912" s="1">
        <v>45861</v>
      </c>
      <c r="L1912" s="1">
        <v>45921</v>
      </c>
      <c r="M1912" s="1" t="str">
        <f>TEXT(Table1[[#This Row],[appointment_date]],"MM/YYYY")</f>
        <v>09/2025</v>
      </c>
      <c r="N1912">
        <v>60</v>
      </c>
      <c r="O1912" t="str" cm="1">
        <f t="array" ref="O1912">_xlfn.IFS(Table1[[#This Row],[lead_time_days]]&lt;=7,"0-7 days",N1912&lt;=14,"8-14 days",N1912&lt;=30,"15-30 days",N1912&lt;=60,"31-60 days",TRUE,"61+ days")</f>
        <v>31-60 days</v>
      </c>
      <c r="P1912" t="s">
        <v>31</v>
      </c>
      <c r="Q1912" t="s">
        <v>21</v>
      </c>
      <c r="R1912">
        <v>0</v>
      </c>
      <c r="S1912" t="str">
        <f>IF(Table1[prior_dna_count]&gt;=1,"Has prior DNA history","No prior DNA history")</f>
        <v>No prior DNA history</v>
      </c>
      <c r="T1912" t="s">
        <v>39</v>
      </c>
      <c r="U1912" t="str">
        <f t="shared" si="29"/>
        <v>1</v>
      </c>
      <c r="V1912" t="str">
        <f>IF(Table1[appointment_status]="Attended","1","0")</f>
        <v>0</v>
      </c>
      <c r="W1912" t="str">
        <f>IF(Table1[appointment_status]="Cancelled","1","0")</f>
        <v>0</v>
      </c>
    </row>
    <row r="1913" spans="1:23">
      <c r="A1913" t="s">
        <v>3057</v>
      </c>
      <c r="B1913" t="s">
        <v>3058</v>
      </c>
      <c r="C1913">
        <v>81</v>
      </c>
      <c r="D1913" t="str" cm="1">
        <f t="array" ref="D1913">_xlfn.IFS(Table1[[#This Row],[age]]&lt;=17,"0-17",C1913&lt;=29,"18-29",C1913&lt;=44,"30-44",C1913&lt;=59,"45-59",C1913&lt;=74,"60-74",TRUE,"75+")</f>
        <v>75+</v>
      </c>
      <c r="E1913" t="s">
        <v>17</v>
      </c>
      <c r="F1913">
        <v>6</v>
      </c>
      <c r="G1913" t="str" cm="1">
        <f t="array" ref="G1913">_xlfn.IFS(_xlfn.SINGLE(Table1[imd_decile])&lt;=3,"Most Deprived",F1913&lt;=7,"Moderately Deprived",F1913&lt;=10,"Least Deprived")</f>
        <v>Moderately Deprived</v>
      </c>
      <c r="H1913">
        <v>20</v>
      </c>
      <c r="I1913" t="s">
        <v>30</v>
      </c>
      <c r="J1913" t="s">
        <v>19</v>
      </c>
      <c r="K1913" s="1">
        <v>45865</v>
      </c>
      <c r="L1913" s="1">
        <v>45921</v>
      </c>
      <c r="M1913" s="1" t="str">
        <f>TEXT(Table1[[#This Row],[appointment_date]],"MM/YYYY")</f>
        <v>09/2025</v>
      </c>
      <c r="N1913">
        <v>56</v>
      </c>
      <c r="O1913" t="str" cm="1">
        <f t="array" ref="O1913">_xlfn.IFS(Table1[[#This Row],[lead_time_days]]&lt;=7,"0-7 days",N1913&lt;=14,"8-14 days",N1913&lt;=30,"15-30 days",N1913&lt;=60,"31-60 days",TRUE,"61+ days")</f>
        <v>31-60 days</v>
      </c>
      <c r="P1913" t="s">
        <v>31</v>
      </c>
      <c r="Q1913" t="s">
        <v>21</v>
      </c>
      <c r="R1913">
        <v>0</v>
      </c>
      <c r="S1913" t="str">
        <f>IF(Table1[prior_dna_count]&gt;=1,"Has prior DNA history","No prior DNA history")</f>
        <v>No prior DNA history</v>
      </c>
      <c r="T1913" t="s">
        <v>46</v>
      </c>
      <c r="U1913" t="str">
        <f t="shared" si="29"/>
        <v>0</v>
      </c>
      <c r="V1913" t="str">
        <f>IF(Table1[appointment_status]="Attended","1","0")</f>
        <v>0</v>
      </c>
      <c r="W1913" t="str">
        <f>IF(Table1[appointment_status]="Cancelled","1","0")</f>
        <v>1</v>
      </c>
    </row>
    <row r="1914" spans="1:23">
      <c r="A1914" t="s">
        <v>3059</v>
      </c>
      <c r="B1914" t="s">
        <v>3060</v>
      </c>
      <c r="C1914">
        <v>34</v>
      </c>
      <c r="D1914" t="str" cm="1">
        <f t="array" ref="D1914">_xlfn.IFS(Table1[[#This Row],[age]]&lt;=17,"0-17",C1914&lt;=29,"18-29",C1914&lt;=44,"30-44",C1914&lt;=59,"45-59",C1914&lt;=74,"60-74",TRUE,"75+")</f>
        <v>30-44</v>
      </c>
      <c r="E1914" t="s">
        <v>17</v>
      </c>
      <c r="F1914">
        <v>5</v>
      </c>
      <c r="G1914" t="str" cm="1">
        <f t="array" ref="G1914">_xlfn.IFS(_xlfn.SINGLE(Table1[imd_decile])&lt;=3,"Most Deprived",F1914&lt;=7,"Moderately Deprived",F1914&lt;=10,"Least Deprived")</f>
        <v>Moderately Deprived</v>
      </c>
      <c r="H1914">
        <v>6.5</v>
      </c>
      <c r="I1914" t="s">
        <v>91</v>
      </c>
      <c r="J1914" t="s">
        <v>19</v>
      </c>
      <c r="K1914" s="1">
        <v>45887</v>
      </c>
      <c r="L1914" s="1">
        <v>45921</v>
      </c>
      <c r="M1914" s="1" t="str">
        <f>TEXT(Table1[[#This Row],[appointment_date]],"MM/YYYY")</f>
        <v>09/2025</v>
      </c>
      <c r="N1914">
        <v>34</v>
      </c>
      <c r="O1914" t="str" cm="1">
        <f t="array" ref="O1914">_xlfn.IFS(Table1[[#This Row],[lead_time_days]]&lt;=7,"0-7 days",N1914&lt;=14,"8-14 days",N1914&lt;=30,"15-30 days",N1914&lt;=60,"31-60 days",TRUE,"61+ days")</f>
        <v>31-60 days</v>
      </c>
      <c r="P1914" t="s">
        <v>31</v>
      </c>
      <c r="Q1914" t="s">
        <v>21</v>
      </c>
      <c r="R1914">
        <v>0</v>
      </c>
      <c r="S1914" t="str">
        <f>IF(Table1[prior_dna_count]&gt;=1,"Has prior DNA history","No prior DNA history")</f>
        <v>No prior DNA history</v>
      </c>
      <c r="T1914" t="s">
        <v>22</v>
      </c>
      <c r="U1914" t="str">
        <f t="shared" si="29"/>
        <v>0</v>
      </c>
      <c r="V1914" t="str">
        <f>IF(Table1[appointment_status]="Attended","1","0")</f>
        <v>1</v>
      </c>
      <c r="W1914" t="str">
        <f>IF(Table1[appointment_status]="Cancelled","1","0")</f>
        <v>0</v>
      </c>
    </row>
    <row r="1915" spans="1:23">
      <c r="A1915" t="s">
        <v>3061</v>
      </c>
      <c r="B1915" t="s">
        <v>482</v>
      </c>
      <c r="C1915">
        <v>54</v>
      </c>
      <c r="D1915" t="str" cm="1">
        <f t="array" ref="D1915">_xlfn.IFS(Table1[[#This Row],[age]]&lt;=17,"0-17",C1915&lt;=29,"18-29",C1915&lt;=44,"30-44",C1915&lt;=59,"45-59",C1915&lt;=74,"60-74",TRUE,"75+")</f>
        <v>45-59</v>
      </c>
      <c r="E1915" t="s">
        <v>29</v>
      </c>
      <c r="F1915">
        <v>6</v>
      </c>
      <c r="G1915" t="str" cm="1">
        <f t="array" ref="G1915">_xlfn.IFS(_xlfn.SINGLE(Table1[imd_decile])&lt;=3,"Most Deprived",F1915&lt;=7,"Moderately Deprived",F1915&lt;=10,"Least Deprived")</f>
        <v>Moderately Deprived</v>
      </c>
      <c r="H1915">
        <v>4.2</v>
      </c>
      <c r="I1915" t="s">
        <v>18</v>
      </c>
      <c r="J1915" t="s">
        <v>19</v>
      </c>
      <c r="K1915" s="1">
        <v>45896</v>
      </c>
      <c r="L1915" s="1">
        <v>45922</v>
      </c>
      <c r="M1915" s="1" t="str">
        <f>TEXT(Table1[[#This Row],[appointment_date]],"MM/YYYY")</f>
        <v>09/2025</v>
      </c>
      <c r="N1915">
        <v>26</v>
      </c>
      <c r="O1915" t="str" cm="1">
        <f t="array" ref="O1915">_xlfn.IFS(Table1[[#This Row],[lead_time_days]]&lt;=7,"0-7 days",N1915&lt;=14,"8-14 days",N1915&lt;=30,"15-30 days",N1915&lt;=60,"31-60 days",TRUE,"61+ days")</f>
        <v>15-30 days</v>
      </c>
      <c r="P1915" t="s">
        <v>35</v>
      </c>
      <c r="Q1915" t="s">
        <v>32</v>
      </c>
      <c r="R1915">
        <v>0</v>
      </c>
      <c r="S1915" t="str">
        <f>IF(Table1[prior_dna_count]&gt;=1,"Has prior DNA history","No prior DNA history")</f>
        <v>No prior DNA history</v>
      </c>
      <c r="T1915" t="s">
        <v>22</v>
      </c>
      <c r="U1915" t="str">
        <f t="shared" si="29"/>
        <v>1</v>
      </c>
      <c r="V1915" t="str">
        <f>IF(Table1[appointment_status]="Attended","1","0")</f>
        <v>1</v>
      </c>
      <c r="W1915" t="str">
        <f>IF(Table1[appointment_status]="Cancelled","1","0")</f>
        <v>0</v>
      </c>
    </row>
    <row r="1916" spans="1:23">
      <c r="A1916" t="s">
        <v>3062</v>
      </c>
      <c r="B1916" t="s">
        <v>2026</v>
      </c>
      <c r="C1916">
        <v>48</v>
      </c>
      <c r="D1916" t="str" cm="1">
        <f t="array" ref="D1916">_xlfn.IFS(Table1[[#This Row],[age]]&lt;=17,"0-17",C1916&lt;=29,"18-29",C1916&lt;=44,"30-44",C1916&lt;=59,"45-59",C1916&lt;=74,"60-74",TRUE,"75+")</f>
        <v>45-59</v>
      </c>
      <c r="E1916" t="s">
        <v>29</v>
      </c>
      <c r="F1916">
        <v>4</v>
      </c>
      <c r="G1916" t="str" cm="1">
        <f t="array" ref="G1916">_xlfn.IFS(_xlfn.SINGLE(Table1[imd_decile])&lt;=3,"Most Deprived",F1916&lt;=7,"Moderately Deprived",F1916&lt;=10,"Least Deprived")</f>
        <v>Moderately Deprived</v>
      </c>
      <c r="H1916">
        <v>8.9</v>
      </c>
      <c r="I1916" t="s">
        <v>155</v>
      </c>
      <c r="J1916" t="s">
        <v>26</v>
      </c>
      <c r="K1916" s="1">
        <v>45904</v>
      </c>
      <c r="L1916" s="1">
        <v>45922</v>
      </c>
      <c r="M1916" s="1" t="str">
        <f>TEXT(Table1[[#This Row],[appointment_date]],"MM/YYYY")</f>
        <v>09/2025</v>
      </c>
      <c r="N1916">
        <v>18</v>
      </c>
      <c r="O1916" t="str" cm="1">
        <f t="array" ref="O1916">_xlfn.IFS(Table1[[#This Row],[lead_time_days]]&lt;=7,"0-7 days",N1916&lt;=14,"8-14 days",N1916&lt;=30,"15-30 days",N1916&lt;=60,"31-60 days",TRUE,"61+ days")</f>
        <v>15-30 days</v>
      </c>
      <c r="P1916" t="s">
        <v>35</v>
      </c>
      <c r="Q1916" t="s">
        <v>21</v>
      </c>
      <c r="R1916">
        <v>0</v>
      </c>
      <c r="S1916" t="str">
        <f>IF(Table1[prior_dna_count]&gt;=1,"Has prior DNA history","No prior DNA history")</f>
        <v>No prior DNA history</v>
      </c>
      <c r="T1916" t="s">
        <v>22</v>
      </c>
      <c r="U1916" t="str">
        <f t="shared" si="29"/>
        <v>1</v>
      </c>
      <c r="V1916" t="str">
        <f>IF(Table1[appointment_status]="Attended","1","0")</f>
        <v>1</v>
      </c>
      <c r="W1916" t="str">
        <f>IF(Table1[appointment_status]="Cancelled","1","0")</f>
        <v>0</v>
      </c>
    </row>
    <row r="1917" spans="1:23">
      <c r="A1917" t="s">
        <v>3063</v>
      </c>
      <c r="B1917" t="s">
        <v>1289</v>
      </c>
      <c r="C1917">
        <v>41</v>
      </c>
      <c r="D1917" t="str" cm="1">
        <f t="array" ref="D1917">_xlfn.IFS(Table1[[#This Row],[age]]&lt;=17,"0-17",C1917&lt;=29,"18-29",C1917&lt;=44,"30-44",C1917&lt;=59,"45-59",C1917&lt;=74,"60-74",TRUE,"75+")</f>
        <v>30-44</v>
      </c>
      <c r="E1917" t="s">
        <v>29</v>
      </c>
      <c r="F1917">
        <v>3</v>
      </c>
      <c r="G1917" t="str" cm="1">
        <f t="array" ref="G1917">_xlfn.IFS(_xlfn.SINGLE(Table1[imd_decile])&lt;=3,"Most Deprived",F1917&lt;=7,"Moderately Deprived",F1917&lt;=10,"Least Deprived")</f>
        <v>Most Deprived</v>
      </c>
      <c r="H1917">
        <v>20.8</v>
      </c>
      <c r="I1917" t="s">
        <v>30</v>
      </c>
      <c r="J1917" t="s">
        <v>19</v>
      </c>
      <c r="K1917" s="1">
        <v>45896</v>
      </c>
      <c r="L1917" s="1">
        <v>45922</v>
      </c>
      <c r="M1917" s="1" t="str">
        <f>TEXT(Table1[[#This Row],[appointment_date]],"MM/YYYY")</f>
        <v>09/2025</v>
      </c>
      <c r="N1917">
        <v>26</v>
      </c>
      <c r="O1917" t="str" cm="1">
        <f t="array" ref="O1917">_xlfn.IFS(Table1[[#This Row],[lead_time_days]]&lt;=7,"0-7 days",N1917&lt;=14,"8-14 days",N1917&lt;=30,"15-30 days",N1917&lt;=60,"31-60 days",TRUE,"61+ days")</f>
        <v>15-30 days</v>
      </c>
      <c r="P1917" t="s">
        <v>35</v>
      </c>
      <c r="Q1917" t="s">
        <v>21</v>
      </c>
      <c r="R1917">
        <v>0</v>
      </c>
      <c r="S1917" t="str">
        <f>IF(Table1[prior_dna_count]&gt;=1,"Has prior DNA history","No prior DNA history")</f>
        <v>No prior DNA history</v>
      </c>
      <c r="T1917" t="s">
        <v>22</v>
      </c>
      <c r="U1917" t="str">
        <f t="shared" si="29"/>
        <v>1</v>
      </c>
      <c r="V1917" t="str">
        <f>IF(Table1[appointment_status]="Attended","1","0")</f>
        <v>1</v>
      </c>
      <c r="W1917" t="str">
        <f>IF(Table1[appointment_status]="Cancelled","1","0")</f>
        <v>0</v>
      </c>
    </row>
    <row r="1918" spans="1:23">
      <c r="A1918" t="s">
        <v>3064</v>
      </c>
      <c r="B1918" t="s">
        <v>3065</v>
      </c>
      <c r="C1918">
        <v>50</v>
      </c>
      <c r="D1918" t="str" cm="1">
        <f t="array" ref="D1918">_xlfn.IFS(Table1[[#This Row],[age]]&lt;=17,"0-17",C1918&lt;=29,"18-29",C1918&lt;=44,"30-44",C1918&lt;=59,"45-59",C1918&lt;=74,"60-74",TRUE,"75+")</f>
        <v>45-59</v>
      </c>
      <c r="E1918" t="s">
        <v>17</v>
      </c>
      <c r="F1918">
        <v>1</v>
      </c>
      <c r="G1918" t="str" cm="1">
        <f t="array" ref="G1918">_xlfn.IFS(_xlfn.SINGLE(Table1[imd_decile])&lt;=3,"Most Deprived",F1918&lt;=7,"Moderately Deprived",F1918&lt;=10,"Least Deprived")</f>
        <v>Most Deprived</v>
      </c>
      <c r="H1918">
        <v>12.4</v>
      </c>
      <c r="I1918" t="s">
        <v>30</v>
      </c>
      <c r="J1918" t="s">
        <v>19</v>
      </c>
      <c r="K1918" s="1">
        <v>45916</v>
      </c>
      <c r="L1918" s="1">
        <v>45922</v>
      </c>
      <c r="M1918" s="1" t="str">
        <f>TEXT(Table1[[#This Row],[appointment_date]],"MM/YYYY")</f>
        <v>09/2025</v>
      </c>
      <c r="N1918">
        <v>6</v>
      </c>
      <c r="O1918" t="str" cm="1">
        <f t="array" ref="O1918">_xlfn.IFS(Table1[[#This Row],[lead_time_days]]&lt;=7,"0-7 days",N1918&lt;=14,"8-14 days",N1918&lt;=30,"15-30 days",N1918&lt;=60,"31-60 days",TRUE,"61+ days")</f>
        <v>0-7 days</v>
      </c>
      <c r="P1918" t="s">
        <v>35</v>
      </c>
      <c r="Q1918" t="s">
        <v>21</v>
      </c>
      <c r="R1918">
        <v>0</v>
      </c>
      <c r="S1918" t="str">
        <f>IF(Table1[prior_dna_count]&gt;=1,"Has prior DNA history","No prior DNA history")</f>
        <v>No prior DNA history</v>
      </c>
      <c r="T1918" t="s">
        <v>39</v>
      </c>
      <c r="U1918" t="str">
        <f t="shared" si="29"/>
        <v>1</v>
      </c>
      <c r="V1918" t="str">
        <f>IF(Table1[appointment_status]="Attended","1","0")</f>
        <v>0</v>
      </c>
      <c r="W1918" t="str">
        <f>IF(Table1[appointment_status]="Cancelled","1","0")</f>
        <v>0</v>
      </c>
    </row>
    <row r="1919" spans="1:23">
      <c r="A1919" t="s">
        <v>3066</v>
      </c>
      <c r="B1919" t="s">
        <v>1105</v>
      </c>
      <c r="C1919">
        <v>31</v>
      </c>
      <c r="D1919" t="str" cm="1">
        <f t="array" ref="D1919">_xlfn.IFS(Table1[[#This Row],[age]]&lt;=17,"0-17",C1919&lt;=29,"18-29",C1919&lt;=44,"30-44",C1919&lt;=59,"45-59",C1919&lt;=74,"60-74",TRUE,"75+")</f>
        <v>30-44</v>
      </c>
      <c r="E1919" t="s">
        <v>17</v>
      </c>
      <c r="F1919">
        <v>6</v>
      </c>
      <c r="G1919" t="str" cm="1">
        <f t="array" ref="G1919">_xlfn.IFS(_xlfn.SINGLE(Table1[imd_decile])&lt;=3,"Most Deprived",F1919&lt;=7,"Moderately Deprived",F1919&lt;=10,"Least Deprived")</f>
        <v>Moderately Deprived</v>
      </c>
      <c r="H1919">
        <v>3.4</v>
      </c>
      <c r="I1919" t="s">
        <v>25</v>
      </c>
      <c r="J1919" t="s">
        <v>19</v>
      </c>
      <c r="K1919" s="1">
        <v>45907</v>
      </c>
      <c r="L1919" s="1">
        <v>45922</v>
      </c>
      <c r="M1919" s="1" t="str">
        <f>TEXT(Table1[[#This Row],[appointment_date]],"MM/YYYY")</f>
        <v>09/2025</v>
      </c>
      <c r="N1919">
        <v>15</v>
      </c>
      <c r="O1919" t="str" cm="1">
        <f t="array" ref="O1919">_xlfn.IFS(Table1[[#This Row],[lead_time_days]]&lt;=7,"0-7 days",N1919&lt;=14,"8-14 days",N1919&lt;=30,"15-30 days",N1919&lt;=60,"31-60 days",TRUE,"61+ days")</f>
        <v>15-30 days</v>
      </c>
      <c r="P1919" t="s">
        <v>35</v>
      </c>
      <c r="Q1919" t="s">
        <v>21</v>
      </c>
      <c r="R1919">
        <v>0</v>
      </c>
      <c r="S1919" t="str">
        <f>IF(Table1[prior_dna_count]&gt;=1,"Has prior DNA history","No prior DNA history")</f>
        <v>No prior DNA history</v>
      </c>
      <c r="T1919" t="s">
        <v>22</v>
      </c>
      <c r="U1919" t="str">
        <f t="shared" si="29"/>
        <v>0</v>
      </c>
      <c r="V1919" t="str">
        <f>IF(Table1[appointment_status]="Attended","1","0")</f>
        <v>1</v>
      </c>
      <c r="W1919" t="str">
        <f>IF(Table1[appointment_status]="Cancelled","1","0")</f>
        <v>0</v>
      </c>
    </row>
    <row r="1920" spans="1:23">
      <c r="A1920" t="s">
        <v>3067</v>
      </c>
      <c r="B1920" t="s">
        <v>3068</v>
      </c>
      <c r="C1920">
        <v>42</v>
      </c>
      <c r="D1920" t="str" cm="1">
        <f t="array" ref="D1920">_xlfn.IFS(Table1[[#This Row],[age]]&lt;=17,"0-17",C1920&lt;=29,"18-29",C1920&lt;=44,"30-44",C1920&lt;=59,"45-59",C1920&lt;=74,"60-74",TRUE,"75+")</f>
        <v>30-44</v>
      </c>
      <c r="E1920" t="s">
        <v>17</v>
      </c>
      <c r="F1920">
        <v>7</v>
      </c>
      <c r="G1920" t="str" cm="1">
        <f t="array" ref="G1920">_xlfn.IFS(_xlfn.SINGLE(Table1[imd_decile])&lt;=3,"Most Deprived",F1920&lt;=7,"Moderately Deprived",F1920&lt;=10,"Least Deprived")</f>
        <v>Moderately Deprived</v>
      </c>
      <c r="H1920">
        <v>7.6</v>
      </c>
      <c r="I1920" t="s">
        <v>18</v>
      </c>
      <c r="J1920" t="s">
        <v>26</v>
      </c>
      <c r="K1920" s="1">
        <v>45910</v>
      </c>
      <c r="L1920" s="1">
        <v>45922</v>
      </c>
      <c r="M1920" s="1" t="str">
        <f>TEXT(Table1[[#This Row],[appointment_date]],"MM/YYYY")</f>
        <v>09/2025</v>
      </c>
      <c r="N1920">
        <v>12</v>
      </c>
      <c r="O1920" t="str" cm="1">
        <f t="array" ref="O1920">_xlfn.IFS(Table1[[#This Row],[lead_time_days]]&lt;=7,"0-7 days",N1920&lt;=14,"8-14 days",N1920&lt;=30,"15-30 days",N1920&lt;=60,"31-60 days",TRUE,"61+ days")</f>
        <v>8-14 days</v>
      </c>
      <c r="P1920" t="s">
        <v>35</v>
      </c>
      <c r="Q1920" t="s">
        <v>32</v>
      </c>
      <c r="R1920">
        <v>0</v>
      </c>
      <c r="S1920" t="str">
        <f>IF(Table1[prior_dna_count]&gt;=1,"Has prior DNA history","No prior DNA history")</f>
        <v>No prior DNA history</v>
      </c>
      <c r="T1920" t="s">
        <v>22</v>
      </c>
      <c r="U1920" t="str">
        <f t="shared" si="29"/>
        <v>1</v>
      </c>
      <c r="V1920" t="str">
        <f>IF(Table1[appointment_status]="Attended","1","0")</f>
        <v>1</v>
      </c>
      <c r="W1920" t="str">
        <f>IF(Table1[appointment_status]="Cancelled","1","0")</f>
        <v>0</v>
      </c>
    </row>
    <row r="1921" spans="1:23">
      <c r="A1921" t="s">
        <v>3069</v>
      </c>
      <c r="B1921" t="s">
        <v>1873</v>
      </c>
      <c r="C1921">
        <v>81</v>
      </c>
      <c r="D1921" t="str" cm="1">
        <f t="array" ref="D1921">_xlfn.IFS(Table1[[#This Row],[age]]&lt;=17,"0-17",C1921&lt;=29,"18-29",C1921&lt;=44,"30-44",C1921&lt;=59,"45-59",C1921&lt;=74,"60-74",TRUE,"75+")</f>
        <v>75+</v>
      </c>
      <c r="E1921" t="s">
        <v>29</v>
      </c>
      <c r="F1921">
        <v>7</v>
      </c>
      <c r="G1921" t="str" cm="1">
        <f t="array" ref="G1921">_xlfn.IFS(_xlfn.SINGLE(Table1[imd_decile])&lt;=3,"Most Deprived",F1921&lt;=7,"Moderately Deprived",F1921&lt;=10,"Least Deprived")</f>
        <v>Moderately Deprived</v>
      </c>
      <c r="H1921">
        <v>6.6</v>
      </c>
      <c r="I1921" t="s">
        <v>25</v>
      </c>
      <c r="J1921" t="s">
        <v>19</v>
      </c>
      <c r="K1921" s="1">
        <v>45880</v>
      </c>
      <c r="L1921" s="1">
        <v>45922</v>
      </c>
      <c r="M1921" s="1" t="str">
        <f>TEXT(Table1[[#This Row],[appointment_date]],"MM/YYYY")</f>
        <v>09/2025</v>
      </c>
      <c r="N1921">
        <v>42</v>
      </c>
      <c r="O1921" t="str" cm="1">
        <f t="array" ref="O1921">_xlfn.IFS(Table1[[#This Row],[lead_time_days]]&lt;=7,"0-7 days",N1921&lt;=14,"8-14 days",N1921&lt;=30,"15-30 days",N1921&lt;=60,"31-60 days",TRUE,"61+ days")</f>
        <v>31-60 days</v>
      </c>
      <c r="P1921" t="s">
        <v>35</v>
      </c>
      <c r="Q1921" t="s">
        <v>32</v>
      </c>
      <c r="R1921">
        <v>1</v>
      </c>
      <c r="S1921" t="str">
        <f>IF(Table1[prior_dna_count]&gt;=1,"Has prior DNA history","No prior DNA history")</f>
        <v>Has prior DNA history</v>
      </c>
      <c r="T1921" t="s">
        <v>22</v>
      </c>
      <c r="U1921" t="str">
        <f t="shared" si="29"/>
        <v>1</v>
      </c>
      <c r="V1921" t="str">
        <f>IF(Table1[appointment_status]="Attended","1","0")</f>
        <v>1</v>
      </c>
      <c r="W1921" t="str">
        <f>IF(Table1[appointment_status]="Cancelled","1","0")</f>
        <v>0</v>
      </c>
    </row>
    <row r="1922" spans="1:23">
      <c r="A1922" t="s">
        <v>3070</v>
      </c>
      <c r="B1922" t="s">
        <v>3071</v>
      </c>
      <c r="C1922">
        <v>48</v>
      </c>
      <c r="D1922" t="str" cm="1">
        <f t="array" ref="D1922">_xlfn.IFS(Table1[[#This Row],[age]]&lt;=17,"0-17",C1922&lt;=29,"18-29",C1922&lt;=44,"30-44",C1922&lt;=59,"45-59",C1922&lt;=74,"60-74",TRUE,"75+")</f>
        <v>45-59</v>
      </c>
      <c r="E1922" t="s">
        <v>17</v>
      </c>
      <c r="F1922">
        <v>9</v>
      </c>
      <c r="G1922" t="str" cm="1">
        <f t="array" ref="G1922">_xlfn.IFS(_xlfn.SINGLE(Table1[imd_decile])&lt;=3,"Most Deprived",F1922&lt;=7,"Moderately Deprived",F1922&lt;=10,"Least Deprived")</f>
        <v>Least Deprived</v>
      </c>
      <c r="H1922">
        <v>6.8</v>
      </c>
      <c r="I1922" t="s">
        <v>25</v>
      </c>
      <c r="J1922" t="s">
        <v>19</v>
      </c>
      <c r="K1922" s="1">
        <v>45864</v>
      </c>
      <c r="L1922" s="1">
        <v>45922</v>
      </c>
      <c r="M1922" s="1" t="str">
        <f>TEXT(Table1[[#This Row],[appointment_date]],"MM/YYYY")</f>
        <v>09/2025</v>
      </c>
      <c r="N1922">
        <v>58</v>
      </c>
      <c r="O1922" t="str" cm="1">
        <f t="array" ref="O1922">_xlfn.IFS(Table1[[#This Row],[lead_time_days]]&lt;=7,"0-7 days",N1922&lt;=14,"8-14 days",N1922&lt;=30,"15-30 days",N1922&lt;=60,"31-60 days",TRUE,"61+ days")</f>
        <v>31-60 days</v>
      </c>
      <c r="P1922" t="s">
        <v>35</v>
      </c>
      <c r="Q1922" t="s">
        <v>21</v>
      </c>
      <c r="R1922">
        <v>0</v>
      </c>
      <c r="S1922" t="str">
        <f>IF(Table1[prior_dna_count]&gt;=1,"Has prior DNA history","No prior DNA history")</f>
        <v>No prior DNA history</v>
      </c>
      <c r="T1922" t="s">
        <v>22</v>
      </c>
      <c r="U1922" t="str">
        <f t="shared" ref="U1922:U1985" si="30">V1921</f>
        <v>1</v>
      </c>
      <c r="V1922" t="str">
        <f>IF(Table1[appointment_status]="Attended","1","0")</f>
        <v>1</v>
      </c>
      <c r="W1922" t="str">
        <f>IF(Table1[appointment_status]="Cancelled","1","0")</f>
        <v>0</v>
      </c>
    </row>
    <row r="1923" spans="1:23">
      <c r="A1923" t="s">
        <v>3072</v>
      </c>
      <c r="B1923" t="s">
        <v>235</v>
      </c>
      <c r="C1923">
        <v>39</v>
      </c>
      <c r="D1923" t="str" cm="1">
        <f t="array" ref="D1923">_xlfn.IFS(Table1[[#This Row],[age]]&lt;=17,"0-17",C1923&lt;=29,"18-29",C1923&lt;=44,"30-44",C1923&lt;=59,"45-59",C1923&lt;=74,"60-74",TRUE,"75+")</f>
        <v>30-44</v>
      </c>
      <c r="E1923" t="s">
        <v>17</v>
      </c>
      <c r="F1923">
        <v>2</v>
      </c>
      <c r="G1923" t="str" cm="1">
        <f t="array" ref="G1923">_xlfn.IFS(_xlfn.SINGLE(Table1[imd_decile])&lt;=3,"Most Deprived",F1923&lt;=7,"Moderately Deprived",F1923&lt;=10,"Least Deprived")</f>
        <v>Most Deprived</v>
      </c>
      <c r="H1923">
        <v>9.1999999999999993</v>
      </c>
      <c r="I1923" t="s">
        <v>91</v>
      </c>
      <c r="J1923" t="s">
        <v>26</v>
      </c>
      <c r="K1923" s="1">
        <v>45917</v>
      </c>
      <c r="L1923" s="1">
        <v>45923</v>
      </c>
      <c r="M1923" s="1" t="str">
        <f>TEXT(Table1[[#This Row],[appointment_date]],"MM/YYYY")</f>
        <v>09/2025</v>
      </c>
      <c r="N1923">
        <v>6</v>
      </c>
      <c r="O1923" t="str" cm="1">
        <f t="array" ref="O1923">_xlfn.IFS(Table1[[#This Row],[lead_time_days]]&lt;=7,"0-7 days",N1923&lt;=14,"8-14 days",N1923&lt;=30,"15-30 days",N1923&lt;=60,"31-60 days",TRUE,"61+ days")</f>
        <v>0-7 days</v>
      </c>
      <c r="P1923" t="s">
        <v>71</v>
      </c>
      <c r="Q1923" t="s">
        <v>21</v>
      </c>
      <c r="R1923">
        <v>0</v>
      </c>
      <c r="S1923" t="str">
        <f>IF(Table1[prior_dna_count]&gt;=1,"Has prior DNA history","No prior DNA history")</f>
        <v>No prior DNA history</v>
      </c>
      <c r="T1923" t="s">
        <v>22</v>
      </c>
      <c r="U1923" t="str">
        <f t="shared" si="30"/>
        <v>1</v>
      </c>
      <c r="V1923" t="str">
        <f>IF(Table1[appointment_status]="Attended","1","0")</f>
        <v>1</v>
      </c>
      <c r="W1923" t="str">
        <f>IF(Table1[appointment_status]="Cancelled","1","0")</f>
        <v>0</v>
      </c>
    </row>
    <row r="1924" spans="1:23">
      <c r="A1924" t="s">
        <v>3073</v>
      </c>
      <c r="B1924" t="s">
        <v>3074</v>
      </c>
      <c r="C1924">
        <v>83</v>
      </c>
      <c r="D1924" t="str" cm="1">
        <f t="array" ref="D1924">_xlfn.IFS(Table1[[#This Row],[age]]&lt;=17,"0-17",C1924&lt;=29,"18-29",C1924&lt;=44,"30-44",C1924&lt;=59,"45-59",C1924&lt;=74,"60-74",TRUE,"75+")</f>
        <v>75+</v>
      </c>
      <c r="E1924" t="s">
        <v>29</v>
      </c>
      <c r="F1924">
        <v>4</v>
      </c>
      <c r="G1924" t="str" cm="1">
        <f t="array" ref="G1924">_xlfn.IFS(_xlfn.SINGLE(Table1[imd_decile])&lt;=3,"Most Deprived",F1924&lt;=7,"Moderately Deprived",F1924&lt;=10,"Least Deprived")</f>
        <v>Moderately Deprived</v>
      </c>
      <c r="H1924">
        <v>23.8</v>
      </c>
      <c r="I1924" t="s">
        <v>42</v>
      </c>
      <c r="J1924" t="s">
        <v>19</v>
      </c>
      <c r="K1924" s="1">
        <v>45871</v>
      </c>
      <c r="L1924" s="1">
        <v>45923</v>
      </c>
      <c r="M1924" s="1" t="str">
        <f>TEXT(Table1[[#This Row],[appointment_date]],"MM/YYYY")</f>
        <v>09/2025</v>
      </c>
      <c r="N1924">
        <v>52</v>
      </c>
      <c r="O1924" t="str" cm="1">
        <f t="array" ref="O1924">_xlfn.IFS(Table1[[#This Row],[lead_time_days]]&lt;=7,"0-7 days",N1924&lt;=14,"8-14 days",N1924&lt;=30,"15-30 days",N1924&lt;=60,"31-60 days",TRUE,"61+ days")</f>
        <v>31-60 days</v>
      </c>
      <c r="P1924" t="s">
        <v>71</v>
      </c>
      <c r="Q1924" t="s">
        <v>32</v>
      </c>
      <c r="R1924">
        <v>0</v>
      </c>
      <c r="S1924" t="str">
        <f>IF(Table1[prior_dna_count]&gt;=1,"Has prior DNA history","No prior DNA history")</f>
        <v>No prior DNA history</v>
      </c>
      <c r="T1924" t="s">
        <v>22</v>
      </c>
      <c r="U1924" t="str">
        <f t="shared" si="30"/>
        <v>1</v>
      </c>
      <c r="V1924" t="str">
        <f>IF(Table1[appointment_status]="Attended","1","0")</f>
        <v>1</v>
      </c>
      <c r="W1924" t="str">
        <f>IF(Table1[appointment_status]="Cancelled","1","0")</f>
        <v>0</v>
      </c>
    </row>
    <row r="1925" spans="1:23">
      <c r="A1925" t="s">
        <v>3075</v>
      </c>
      <c r="B1925" t="s">
        <v>2741</v>
      </c>
      <c r="C1925">
        <v>50</v>
      </c>
      <c r="D1925" t="str" cm="1">
        <f t="array" ref="D1925">_xlfn.IFS(Table1[[#This Row],[age]]&lt;=17,"0-17",C1925&lt;=29,"18-29",C1925&lt;=44,"30-44",C1925&lt;=59,"45-59",C1925&lt;=74,"60-74",TRUE,"75+")</f>
        <v>45-59</v>
      </c>
      <c r="E1925" t="s">
        <v>17</v>
      </c>
      <c r="F1925">
        <v>6</v>
      </c>
      <c r="G1925" t="str" cm="1">
        <f t="array" ref="G1925">_xlfn.IFS(_xlfn.SINGLE(Table1[imd_decile])&lt;=3,"Most Deprived",F1925&lt;=7,"Moderately Deprived",F1925&lt;=10,"Least Deprived")</f>
        <v>Moderately Deprived</v>
      </c>
      <c r="H1925">
        <v>3.2</v>
      </c>
      <c r="I1925" t="s">
        <v>25</v>
      </c>
      <c r="J1925" t="s">
        <v>26</v>
      </c>
      <c r="K1925" s="1">
        <v>45906</v>
      </c>
      <c r="L1925" s="1">
        <v>45923</v>
      </c>
      <c r="M1925" s="1" t="str">
        <f>TEXT(Table1[[#This Row],[appointment_date]],"MM/YYYY")</f>
        <v>09/2025</v>
      </c>
      <c r="N1925">
        <v>17</v>
      </c>
      <c r="O1925" t="str" cm="1">
        <f t="array" ref="O1925">_xlfn.IFS(Table1[[#This Row],[lead_time_days]]&lt;=7,"0-7 days",N1925&lt;=14,"8-14 days",N1925&lt;=30,"15-30 days",N1925&lt;=60,"31-60 days",TRUE,"61+ days")</f>
        <v>15-30 days</v>
      </c>
      <c r="P1925" t="s">
        <v>71</v>
      </c>
      <c r="Q1925" t="s">
        <v>32</v>
      </c>
      <c r="R1925">
        <v>0</v>
      </c>
      <c r="S1925" t="str">
        <f>IF(Table1[prior_dna_count]&gt;=1,"Has prior DNA history","No prior DNA history")</f>
        <v>No prior DNA history</v>
      </c>
      <c r="T1925" t="s">
        <v>22</v>
      </c>
      <c r="U1925" t="str">
        <f t="shared" si="30"/>
        <v>1</v>
      </c>
      <c r="V1925" t="str">
        <f>IF(Table1[appointment_status]="Attended","1","0")</f>
        <v>1</v>
      </c>
      <c r="W1925" t="str">
        <f>IF(Table1[appointment_status]="Cancelled","1","0")</f>
        <v>0</v>
      </c>
    </row>
    <row r="1926" spans="1:23">
      <c r="A1926" t="s">
        <v>3076</v>
      </c>
      <c r="B1926" t="s">
        <v>369</v>
      </c>
      <c r="C1926">
        <v>16</v>
      </c>
      <c r="D1926" t="str" cm="1">
        <f t="array" ref="D1926">_xlfn.IFS(Table1[[#This Row],[age]]&lt;=17,"0-17",C1926&lt;=29,"18-29",C1926&lt;=44,"30-44",C1926&lt;=59,"45-59",C1926&lt;=74,"60-74",TRUE,"75+")</f>
        <v>0-17</v>
      </c>
      <c r="E1926" t="s">
        <v>29</v>
      </c>
      <c r="F1926">
        <v>3</v>
      </c>
      <c r="G1926" t="str" cm="1">
        <f t="array" ref="G1926">_xlfn.IFS(_xlfn.SINGLE(Table1[imd_decile])&lt;=3,"Most Deprived",F1926&lt;=7,"Moderately Deprived",F1926&lt;=10,"Least Deprived")</f>
        <v>Most Deprived</v>
      </c>
      <c r="H1926">
        <v>1.6</v>
      </c>
      <c r="I1926" t="s">
        <v>155</v>
      </c>
      <c r="J1926" t="s">
        <v>19</v>
      </c>
      <c r="K1926" s="1">
        <v>45890</v>
      </c>
      <c r="L1926" s="1">
        <v>45923</v>
      </c>
      <c r="M1926" s="1" t="str">
        <f>TEXT(Table1[[#This Row],[appointment_date]],"MM/YYYY")</f>
        <v>09/2025</v>
      </c>
      <c r="N1926">
        <v>33</v>
      </c>
      <c r="O1926" t="str" cm="1">
        <f t="array" ref="O1926">_xlfn.IFS(Table1[[#This Row],[lead_time_days]]&lt;=7,"0-7 days",N1926&lt;=14,"8-14 days",N1926&lt;=30,"15-30 days",N1926&lt;=60,"31-60 days",TRUE,"61+ days")</f>
        <v>31-60 days</v>
      </c>
      <c r="P1926" t="s">
        <v>71</v>
      </c>
      <c r="Q1926" t="s">
        <v>21</v>
      </c>
      <c r="R1926">
        <v>0</v>
      </c>
      <c r="S1926" t="str">
        <f>IF(Table1[prior_dna_count]&gt;=1,"Has prior DNA history","No prior DNA history")</f>
        <v>No prior DNA history</v>
      </c>
      <c r="T1926" t="s">
        <v>22</v>
      </c>
      <c r="U1926" t="str">
        <f t="shared" si="30"/>
        <v>1</v>
      </c>
      <c r="V1926" t="str">
        <f>IF(Table1[appointment_status]="Attended","1","0")</f>
        <v>1</v>
      </c>
      <c r="W1926" t="str">
        <f>IF(Table1[appointment_status]="Cancelled","1","0")</f>
        <v>0</v>
      </c>
    </row>
    <row r="1927" spans="1:23">
      <c r="A1927" t="s">
        <v>3077</v>
      </c>
      <c r="B1927" t="s">
        <v>3078</v>
      </c>
      <c r="C1927">
        <v>63</v>
      </c>
      <c r="D1927" t="str" cm="1">
        <f t="array" ref="D1927">_xlfn.IFS(Table1[[#This Row],[age]]&lt;=17,"0-17",C1927&lt;=29,"18-29",C1927&lt;=44,"30-44",C1927&lt;=59,"45-59",C1927&lt;=74,"60-74",TRUE,"75+")</f>
        <v>60-74</v>
      </c>
      <c r="E1927" t="s">
        <v>29</v>
      </c>
      <c r="F1927">
        <v>7</v>
      </c>
      <c r="G1927" t="str" cm="1">
        <f t="array" ref="G1927">_xlfn.IFS(_xlfn.SINGLE(Table1[imd_decile])&lt;=3,"Most Deprived",F1927&lt;=7,"Moderately Deprived",F1927&lt;=10,"Least Deprived")</f>
        <v>Moderately Deprived</v>
      </c>
      <c r="H1927">
        <v>0.5</v>
      </c>
      <c r="I1927" t="s">
        <v>42</v>
      </c>
      <c r="J1927" t="s">
        <v>26</v>
      </c>
      <c r="K1927" s="1">
        <v>45899</v>
      </c>
      <c r="L1927" s="1">
        <v>45923</v>
      </c>
      <c r="M1927" s="1" t="str">
        <f>TEXT(Table1[[#This Row],[appointment_date]],"MM/YYYY")</f>
        <v>09/2025</v>
      </c>
      <c r="N1927">
        <v>24</v>
      </c>
      <c r="O1927" t="str" cm="1">
        <f t="array" ref="O1927">_xlfn.IFS(Table1[[#This Row],[lead_time_days]]&lt;=7,"0-7 days",N1927&lt;=14,"8-14 days",N1927&lt;=30,"15-30 days",N1927&lt;=60,"31-60 days",TRUE,"61+ days")</f>
        <v>15-30 days</v>
      </c>
      <c r="P1927" t="s">
        <v>71</v>
      </c>
      <c r="Q1927" t="s">
        <v>32</v>
      </c>
      <c r="R1927">
        <v>0</v>
      </c>
      <c r="S1927" t="str">
        <f>IF(Table1[prior_dna_count]&gt;=1,"Has prior DNA history","No prior DNA history")</f>
        <v>No prior DNA history</v>
      </c>
      <c r="T1927" t="s">
        <v>46</v>
      </c>
      <c r="U1927" t="str">
        <f t="shared" si="30"/>
        <v>1</v>
      </c>
      <c r="V1927" t="str">
        <f>IF(Table1[appointment_status]="Attended","1","0")</f>
        <v>0</v>
      </c>
      <c r="W1927" t="str">
        <f>IF(Table1[appointment_status]="Cancelled","1","0")</f>
        <v>1</v>
      </c>
    </row>
    <row r="1928" spans="1:23">
      <c r="A1928" t="s">
        <v>3079</v>
      </c>
      <c r="B1928" t="s">
        <v>3080</v>
      </c>
      <c r="C1928">
        <v>58</v>
      </c>
      <c r="D1928" t="str" cm="1">
        <f t="array" ref="D1928">_xlfn.IFS(Table1[[#This Row],[age]]&lt;=17,"0-17",C1928&lt;=29,"18-29",C1928&lt;=44,"30-44",C1928&lt;=59,"45-59",C1928&lt;=74,"60-74",TRUE,"75+")</f>
        <v>45-59</v>
      </c>
      <c r="E1928" t="s">
        <v>29</v>
      </c>
      <c r="F1928">
        <v>8</v>
      </c>
      <c r="G1928" t="str" cm="1">
        <f t="array" ref="G1928">_xlfn.IFS(_xlfn.SINGLE(Table1[imd_decile])&lt;=3,"Most Deprived",F1928&lt;=7,"Moderately Deprived",F1928&lt;=10,"Least Deprived")</f>
        <v>Least Deprived</v>
      </c>
      <c r="H1928">
        <v>3.4</v>
      </c>
      <c r="I1928" t="s">
        <v>25</v>
      </c>
      <c r="J1928" t="s">
        <v>19</v>
      </c>
      <c r="K1928" s="1">
        <v>45895</v>
      </c>
      <c r="L1928" s="1">
        <v>45923</v>
      </c>
      <c r="M1928" s="1" t="str">
        <f>TEXT(Table1[[#This Row],[appointment_date]],"MM/YYYY")</f>
        <v>09/2025</v>
      </c>
      <c r="N1928">
        <v>28</v>
      </c>
      <c r="O1928" t="str" cm="1">
        <f t="array" ref="O1928">_xlfn.IFS(Table1[[#This Row],[lead_time_days]]&lt;=7,"0-7 days",N1928&lt;=14,"8-14 days",N1928&lt;=30,"15-30 days",N1928&lt;=60,"31-60 days",TRUE,"61+ days")</f>
        <v>15-30 days</v>
      </c>
      <c r="P1928" t="s">
        <v>71</v>
      </c>
      <c r="Q1928" t="s">
        <v>21</v>
      </c>
      <c r="R1928">
        <v>0</v>
      </c>
      <c r="S1928" t="str">
        <f>IF(Table1[prior_dna_count]&gt;=1,"Has prior DNA history","No prior DNA history")</f>
        <v>No prior DNA history</v>
      </c>
      <c r="T1928" t="s">
        <v>46</v>
      </c>
      <c r="U1928" t="str">
        <f t="shared" si="30"/>
        <v>0</v>
      </c>
      <c r="V1928" t="str">
        <f>IF(Table1[appointment_status]="Attended","1","0")</f>
        <v>0</v>
      </c>
      <c r="W1928" t="str">
        <f>IF(Table1[appointment_status]="Cancelled","1","0")</f>
        <v>1</v>
      </c>
    </row>
    <row r="1929" spans="1:23">
      <c r="A1929" t="s">
        <v>3081</v>
      </c>
      <c r="B1929" t="s">
        <v>3082</v>
      </c>
      <c r="C1929">
        <v>33</v>
      </c>
      <c r="D1929" t="str" cm="1">
        <f t="array" ref="D1929">_xlfn.IFS(Table1[[#This Row],[age]]&lt;=17,"0-17",C1929&lt;=29,"18-29",C1929&lt;=44,"30-44",C1929&lt;=59,"45-59",C1929&lt;=74,"60-74",TRUE,"75+")</f>
        <v>30-44</v>
      </c>
      <c r="E1929" t="s">
        <v>29</v>
      </c>
      <c r="F1929">
        <v>5</v>
      </c>
      <c r="G1929" t="str" cm="1">
        <f t="array" ref="G1929">_xlfn.IFS(_xlfn.SINGLE(Table1[imd_decile])&lt;=3,"Most Deprived",F1929&lt;=7,"Moderately Deprived",F1929&lt;=10,"Least Deprived")</f>
        <v>Moderately Deprived</v>
      </c>
      <c r="H1929">
        <v>3.8</v>
      </c>
      <c r="I1929" t="s">
        <v>58</v>
      </c>
      <c r="J1929" t="s">
        <v>26</v>
      </c>
      <c r="K1929" s="1">
        <v>45920</v>
      </c>
      <c r="L1929" s="1">
        <v>45923</v>
      </c>
      <c r="M1929" s="1" t="str">
        <f>TEXT(Table1[[#This Row],[appointment_date]],"MM/YYYY")</f>
        <v>09/2025</v>
      </c>
      <c r="N1929">
        <v>3</v>
      </c>
      <c r="O1929" t="str" cm="1">
        <f t="array" ref="O1929">_xlfn.IFS(Table1[[#This Row],[lead_time_days]]&lt;=7,"0-7 days",N1929&lt;=14,"8-14 days",N1929&lt;=30,"15-30 days",N1929&lt;=60,"31-60 days",TRUE,"61+ days")</f>
        <v>0-7 days</v>
      </c>
      <c r="P1929" t="s">
        <v>71</v>
      </c>
      <c r="Q1929" t="s">
        <v>32</v>
      </c>
      <c r="R1929">
        <v>0</v>
      </c>
      <c r="S1929" t="str">
        <f>IF(Table1[prior_dna_count]&gt;=1,"Has prior DNA history","No prior DNA history")</f>
        <v>No prior DNA history</v>
      </c>
      <c r="T1929" t="s">
        <v>22</v>
      </c>
      <c r="U1929" t="str">
        <f t="shared" si="30"/>
        <v>0</v>
      </c>
      <c r="V1929" t="str">
        <f>IF(Table1[appointment_status]="Attended","1","0")</f>
        <v>1</v>
      </c>
      <c r="W1929" t="str">
        <f>IF(Table1[appointment_status]="Cancelled","1","0")</f>
        <v>0</v>
      </c>
    </row>
    <row r="1930" spans="1:23">
      <c r="A1930" t="s">
        <v>3083</v>
      </c>
      <c r="B1930" t="s">
        <v>3084</v>
      </c>
      <c r="C1930">
        <v>25</v>
      </c>
      <c r="D1930" t="str" cm="1">
        <f t="array" ref="D1930">_xlfn.IFS(Table1[[#This Row],[age]]&lt;=17,"0-17",C1930&lt;=29,"18-29",C1930&lt;=44,"30-44",C1930&lt;=59,"45-59",C1930&lt;=74,"60-74",TRUE,"75+")</f>
        <v>18-29</v>
      </c>
      <c r="E1930" t="s">
        <v>29</v>
      </c>
      <c r="F1930">
        <v>7</v>
      </c>
      <c r="G1930" t="str" cm="1">
        <f t="array" ref="G1930">_xlfn.IFS(_xlfn.SINGLE(Table1[imd_decile])&lt;=3,"Most Deprived",F1930&lt;=7,"Moderately Deprived",F1930&lt;=10,"Least Deprived")</f>
        <v>Moderately Deprived</v>
      </c>
      <c r="H1930">
        <v>7.9</v>
      </c>
      <c r="I1930" t="s">
        <v>42</v>
      </c>
      <c r="J1930" t="s">
        <v>26</v>
      </c>
      <c r="K1930" s="1">
        <v>45921</v>
      </c>
      <c r="L1930" s="1">
        <v>45924</v>
      </c>
      <c r="M1930" s="1" t="str">
        <f>TEXT(Table1[[#This Row],[appointment_date]],"MM/YYYY")</f>
        <v>09/2025</v>
      </c>
      <c r="N1930">
        <v>3</v>
      </c>
      <c r="O1930" t="str" cm="1">
        <f t="array" ref="O1930">_xlfn.IFS(Table1[[#This Row],[lead_time_days]]&lt;=7,"0-7 days",N1930&lt;=14,"8-14 days",N1930&lt;=30,"15-30 days",N1930&lt;=60,"31-60 days",TRUE,"61+ days")</f>
        <v>0-7 days</v>
      </c>
      <c r="P1930" t="s">
        <v>80</v>
      </c>
      <c r="Q1930" t="s">
        <v>21</v>
      </c>
      <c r="R1930">
        <v>0</v>
      </c>
      <c r="S1930" t="str">
        <f>IF(Table1[prior_dna_count]&gt;=1,"Has prior DNA history","No prior DNA history")</f>
        <v>No prior DNA history</v>
      </c>
      <c r="T1930" t="s">
        <v>46</v>
      </c>
      <c r="U1930" t="str">
        <f t="shared" si="30"/>
        <v>1</v>
      </c>
      <c r="V1930" t="str">
        <f>IF(Table1[appointment_status]="Attended","1","0")</f>
        <v>0</v>
      </c>
      <c r="W1930" t="str">
        <f>IF(Table1[appointment_status]="Cancelled","1","0")</f>
        <v>1</v>
      </c>
    </row>
    <row r="1931" spans="1:23">
      <c r="A1931" t="s">
        <v>3085</v>
      </c>
      <c r="B1931" t="s">
        <v>3086</v>
      </c>
      <c r="C1931">
        <v>38</v>
      </c>
      <c r="D1931" t="str" cm="1">
        <f t="array" ref="D1931">_xlfn.IFS(Table1[[#This Row],[age]]&lt;=17,"0-17",C1931&lt;=29,"18-29",C1931&lt;=44,"30-44",C1931&lt;=59,"45-59",C1931&lt;=74,"60-74",TRUE,"75+")</f>
        <v>30-44</v>
      </c>
      <c r="E1931" t="s">
        <v>29</v>
      </c>
      <c r="F1931">
        <v>3</v>
      </c>
      <c r="G1931" t="str" cm="1">
        <f t="array" ref="G1931">_xlfn.IFS(_xlfn.SINGLE(Table1[imd_decile])&lt;=3,"Most Deprived",F1931&lt;=7,"Moderately Deprived",F1931&lt;=10,"Least Deprived")</f>
        <v>Most Deprived</v>
      </c>
      <c r="H1931">
        <v>11.3</v>
      </c>
      <c r="I1931" t="s">
        <v>58</v>
      </c>
      <c r="J1931" t="s">
        <v>19</v>
      </c>
      <c r="K1931" s="1">
        <v>45843</v>
      </c>
      <c r="L1931" s="1">
        <v>45924</v>
      </c>
      <c r="M1931" s="1" t="str">
        <f>TEXT(Table1[[#This Row],[appointment_date]],"MM/YYYY")</f>
        <v>09/2025</v>
      </c>
      <c r="N1931">
        <v>81</v>
      </c>
      <c r="O1931" t="str" cm="1">
        <f t="array" ref="O1931">_xlfn.IFS(Table1[[#This Row],[lead_time_days]]&lt;=7,"0-7 days",N1931&lt;=14,"8-14 days",N1931&lt;=30,"15-30 days",N1931&lt;=60,"31-60 days",TRUE,"61+ days")</f>
        <v>61+ days</v>
      </c>
      <c r="P1931" t="s">
        <v>80</v>
      </c>
      <c r="Q1931" t="s">
        <v>32</v>
      </c>
      <c r="R1931">
        <v>0</v>
      </c>
      <c r="S1931" t="str">
        <f>IF(Table1[prior_dna_count]&gt;=1,"Has prior DNA history","No prior DNA history")</f>
        <v>No prior DNA history</v>
      </c>
      <c r="T1931" t="s">
        <v>39</v>
      </c>
      <c r="U1931" t="str">
        <f t="shared" si="30"/>
        <v>0</v>
      </c>
      <c r="V1931" t="str">
        <f>IF(Table1[appointment_status]="Attended","1","0")</f>
        <v>0</v>
      </c>
      <c r="W1931" t="str">
        <f>IF(Table1[appointment_status]="Cancelled","1","0")</f>
        <v>0</v>
      </c>
    </row>
    <row r="1932" spans="1:23">
      <c r="A1932" t="s">
        <v>3087</v>
      </c>
      <c r="B1932" t="s">
        <v>195</v>
      </c>
      <c r="C1932">
        <v>7</v>
      </c>
      <c r="D1932" t="str" cm="1">
        <f t="array" ref="D1932">_xlfn.IFS(Table1[[#This Row],[age]]&lt;=17,"0-17",C1932&lt;=29,"18-29",C1932&lt;=44,"30-44",C1932&lt;=59,"45-59",C1932&lt;=74,"60-74",TRUE,"75+")</f>
        <v>0-17</v>
      </c>
      <c r="E1932" t="s">
        <v>29</v>
      </c>
      <c r="F1932">
        <v>10</v>
      </c>
      <c r="G1932" t="str" cm="1">
        <f t="array" ref="G1932">_xlfn.IFS(_xlfn.SINGLE(Table1[imd_decile])&lt;=3,"Most Deprived",F1932&lt;=7,"Moderately Deprived",F1932&lt;=10,"Least Deprived")</f>
        <v>Least Deprived</v>
      </c>
      <c r="H1932">
        <v>7.8</v>
      </c>
      <c r="I1932" t="s">
        <v>58</v>
      </c>
      <c r="J1932" t="s">
        <v>19</v>
      </c>
      <c r="K1932" s="1">
        <v>45912</v>
      </c>
      <c r="L1932" s="1">
        <v>45924</v>
      </c>
      <c r="M1932" s="1" t="str">
        <f>TEXT(Table1[[#This Row],[appointment_date]],"MM/YYYY")</f>
        <v>09/2025</v>
      </c>
      <c r="N1932">
        <v>12</v>
      </c>
      <c r="O1932" t="str" cm="1">
        <f t="array" ref="O1932">_xlfn.IFS(Table1[[#This Row],[lead_time_days]]&lt;=7,"0-7 days",N1932&lt;=14,"8-14 days",N1932&lt;=30,"15-30 days",N1932&lt;=60,"31-60 days",TRUE,"61+ days")</f>
        <v>8-14 days</v>
      </c>
      <c r="P1932" t="s">
        <v>80</v>
      </c>
      <c r="Q1932" t="s">
        <v>32</v>
      </c>
      <c r="R1932">
        <v>0</v>
      </c>
      <c r="S1932" t="str">
        <f>IF(Table1[prior_dna_count]&gt;=1,"Has prior DNA history","No prior DNA history")</f>
        <v>No prior DNA history</v>
      </c>
      <c r="T1932" t="s">
        <v>39</v>
      </c>
      <c r="U1932" t="str">
        <f t="shared" si="30"/>
        <v>0</v>
      </c>
      <c r="V1932" t="str">
        <f>IF(Table1[appointment_status]="Attended","1","0")</f>
        <v>0</v>
      </c>
      <c r="W1932" t="str">
        <f>IF(Table1[appointment_status]="Cancelled","1","0")</f>
        <v>0</v>
      </c>
    </row>
    <row r="1933" spans="1:23">
      <c r="A1933" t="s">
        <v>3088</v>
      </c>
      <c r="B1933" t="s">
        <v>3089</v>
      </c>
      <c r="C1933">
        <v>21</v>
      </c>
      <c r="D1933" t="str" cm="1">
        <f t="array" ref="D1933">_xlfn.IFS(Table1[[#This Row],[age]]&lt;=17,"0-17",C1933&lt;=29,"18-29",C1933&lt;=44,"30-44",C1933&lt;=59,"45-59",C1933&lt;=74,"60-74",TRUE,"75+")</f>
        <v>18-29</v>
      </c>
      <c r="E1933" t="s">
        <v>29</v>
      </c>
      <c r="F1933">
        <v>1</v>
      </c>
      <c r="G1933" t="str" cm="1">
        <f t="array" ref="G1933">_xlfn.IFS(_xlfn.SINGLE(Table1[imd_decile])&lt;=3,"Most Deprived",F1933&lt;=7,"Moderately Deprived",F1933&lt;=10,"Least Deprived")</f>
        <v>Most Deprived</v>
      </c>
      <c r="H1933">
        <v>1.8</v>
      </c>
      <c r="I1933" t="s">
        <v>91</v>
      </c>
      <c r="J1933" t="s">
        <v>26</v>
      </c>
      <c r="K1933" s="1">
        <v>45913</v>
      </c>
      <c r="L1933" s="1">
        <v>45924</v>
      </c>
      <c r="M1933" s="1" t="str">
        <f>TEXT(Table1[[#This Row],[appointment_date]],"MM/YYYY")</f>
        <v>09/2025</v>
      </c>
      <c r="N1933">
        <v>11</v>
      </c>
      <c r="O1933" t="str" cm="1">
        <f t="array" ref="O1933">_xlfn.IFS(Table1[[#This Row],[lead_time_days]]&lt;=7,"0-7 days",N1933&lt;=14,"8-14 days",N1933&lt;=30,"15-30 days",N1933&lt;=60,"31-60 days",TRUE,"61+ days")</f>
        <v>8-14 days</v>
      </c>
      <c r="P1933" t="s">
        <v>80</v>
      </c>
      <c r="Q1933" t="s">
        <v>21</v>
      </c>
      <c r="R1933">
        <v>0</v>
      </c>
      <c r="S1933" t="str">
        <f>IF(Table1[prior_dna_count]&gt;=1,"Has prior DNA history","No prior DNA history")</f>
        <v>No prior DNA history</v>
      </c>
      <c r="T1933" t="s">
        <v>39</v>
      </c>
      <c r="U1933" t="str">
        <f t="shared" si="30"/>
        <v>0</v>
      </c>
      <c r="V1933" t="str">
        <f>IF(Table1[appointment_status]="Attended","1","0")</f>
        <v>0</v>
      </c>
      <c r="W1933" t="str">
        <f>IF(Table1[appointment_status]="Cancelled","1","0")</f>
        <v>0</v>
      </c>
    </row>
    <row r="1934" spans="1:23">
      <c r="A1934" t="s">
        <v>3090</v>
      </c>
      <c r="B1934" t="s">
        <v>3091</v>
      </c>
      <c r="C1934">
        <v>56</v>
      </c>
      <c r="D1934" t="str" cm="1">
        <f t="array" ref="D1934">_xlfn.IFS(Table1[[#This Row],[age]]&lt;=17,"0-17",C1934&lt;=29,"18-29",C1934&lt;=44,"30-44",C1934&lt;=59,"45-59",C1934&lt;=74,"60-74",TRUE,"75+")</f>
        <v>45-59</v>
      </c>
      <c r="E1934" t="s">
        <v>17</v>
      </c>
      <c r="F1934">
        <v>9</v>
      </c>
      <c r="G1934" t="str" cm="1">
        <f t="array" ref="G1934">_xlfn.IFS(_xlfn.SINGLE(Table1[imd_decile])&lt;=3,"Most Deprived",F1934&lt;=7,"Moderately Deprived",F1934&lt;=10,"Least Deprived")</f>
        <v>Least Deprived</v>
      </c>
      <c r="H1934">
        <v>2.7</v>
      </c>
      <c r="I1934" t="s">
        <v>155</v>
      </c>
      <c r="J1934" t="s">
        <v>26</v>
      </c>
      <c r="K1934" s="1">
        <v>45903</v>
      </c>
      <c r="L1934" s="1">
        <v>45924</v>
      </c>
      <c r="M1934" s="1" t="str">
        <f>TEXT(Table1[[#This Row],[appointment_date]],"MM/YYYY")</f>
        <v>09/2025</v>
      </c>
      <c r="N1934">
        <v>21</v>
      </c>
      <c r="O1934" t="str" cm="1">
        <f t="array" ref="O1934">_xlfn.IFS(Table1[[#This Row],[lead_time_days]]&lt;=7,"0-7 days",N1934&lt;=14,"8-14 days",N1934&lt;=30,"15-30 days",N1934&lt;=60,"31-60 days",TRUE,"61+ days")</f>
        <v>15-30 days</v>
      </c>
      <c r="P1934" t="s">
        <v>80</v>
      </c>
      <c r="Q1934" t="s">
        <v>21</v>
      </c>
      <c r="R1934">
        <v>0</v>
      </c>
      <c r="S1934" t="str">
        <f>IF(Table1[prior_dna_count]&gt;=1,"Has prior DNA history","No prior DNA history")</f>
        <v>No prior DNA history</v>
      </c>
      <c r="T1934" t="s">
        <v>22</v>
      </c>
      <c r="U1934" t="str">
        <f t="shared" si="30"/>
        <v>0</v>
      </c>
      <c r="V1934" t="str">
        <f>IF(Table1[appointment_status]="Attended","1","0")</f>
        <v>1</v>
      </c>
      <c r="W1934" t="str">
        <f>IF(Table1[appointment_status]="Cancelled","1","0")</f>
        <v>0</v>
      </c>
    </row>
    <row r="1935" spans="1:23">
      <c r="A1935" t="s">
        <v>3092</v>
      </c>
      <c r="B1935" t="s">
        <v>2038</v>
      </c>
      <c r="C1935">
        <v>56</v>
      </c>
      <c r="D1935" t="str" cm="1">
        <f t="array" ref="D1935">_xlfn.IFS(Table1[[#This Row],[age]]&lt;=17,"0-17",C1935&lt;=29,"18-29",C1935&lt;=44,"30-44",C1935&lt;=59,"45-59",C1935&lt;=74,"60-74",TRUE,"75+")</f>
        <v>45-59</v>
      </c>
      <c r="E1935" t="s">
        <v>17</v>
      </c>
      <c r="F1935">
        <v>9</v>
      </c>
      <c r="G1935" t="str" cm="1">
        <f t="array" ref="G1935">_xlfn.IFS(_xlfn.SINGLE(Table1[imd_decile])&lt;=3,"Most Deprived",F1935&lt;=7,"Moderately Deprived",F1935&lt;=10,"Least Deprived")</f>
        <v>Least Deprived</v>
      </c>
      <c r="H1935">
        <v>29.8</v>
      </c>
      <c r="I1935" t="s">
        <v>45</v>
      </c>
      <c r="J1935" t="s">
        <v>19</v>
      </c>
      <c r="K1935" s="1">
        <v>45892</v>
      </c>
      <c r="L1935" s="1">
        <v>45924</v>
      </c>
      <c r="M1935" s="1" t="str">
        <f>TEXT(Table1[[#This Row],[appointment_date]],"MM/YYYY")</f>
        <v>09/2025</v>
      </c>
      <c r="N1935">
        <v>32</v>
      </c>
      <c r="O1935" t="str" cm="1">
        <f t="array" ref="O1935">_xlfn.IFS(Table1[[#This Row],[lead_time_days]]&lt;=7,"0-7 days",N1935&lt;=14,"8-14 days",N1935&lt;=30,"15-30 days",N1935&lt;=60,"31-60 days",TRUE,"61+ days")</f>
        <v>31-60 days</v>
      </c>
      <c r="P1935" t="s">
        <v>80</v>
      </c>
      <c r="Q1935" t="s">
        <v>32</v>
      </c>
      <c r="R1935">
        <v>1</v>
      </c>
      <c r="S1935" t="str">
        <f>IF(Table1[prior_dna_count]&gt;=1,"Has prior DNA history","No prior DNA history")</f>
        <v>Has prior DNA history</v>
      </c>
      <c r="T1935" t="s">
        <v>46</v>
      </c>
      <c r="U1935" t="str">
        <f t="shared" si="30"/>
        <v>1</v>
      </c>
      <c r="V1935" t="str">
        <f>IF(Table1[appointment_status]="Attended","1","0")</f>
        <v>0</v>
      </c>
      <c r="W1935" t="str">
        <f>IF(Table1[appointment_status]="Cancelled","1","0")</f>
        <v>1</v>
      </c>
    </row>
    <row r="1936" spans="1:23">
      <c r="A1936" t="s">
        <v>3093</v>
      </c>
      <c r="B1936" t="s">
        <v>147</v>
      </c>
      <c r="C1936">
        <v>41</v>
      </c>
      <c r="D1936" t="str" cm="1">
        <f t="array" ref="D1936">_xlfn.IFS(Table1[[#This Row],[age]]&lt;=17,"0-17",C1936&lt;=29,"18-29",C1936&lt;=44,"30-44",C1936&lt;=59,"45-59",C1936&lt;=74,"60-74",TRUE,"75+")</f>
        <v>30-44</v>
      </c>
      <c r="E1936" t="s">
        <v>29</v>
      </c>
      <c r="F1936">
        <v>4</v>
      </c>
      <c r="G1936" t="str" cm="1">
        <f t="array" ref="G1936">_xlfn.IFS(_xlfn.SINGLE(Table1[imd_decile])&lt;=3,"Most Deprived",F1936&lt;=7,"Moderately Deprived",F1936&lt;=10,"Least Deprived")</f>
        <v>Moderately Deprived</v>
      </c>
      <c r="H1936">
        <v>6.2</v>
      </c>
      <c r="I1936" t="s">
        <v>42</v>
      </c>
      <c r="J1936" t="s">
        <v>19</v>
      </c>
      <c r="K1936" s="1">
        <v>45895</v>
      </c>
      <c r="L1936" s="1">
        <v>45924</v>
      </c>
      <c r="M1936" s="1" t="str">
        <f>TEXT(Table1[[#This Row],[appointment_date]],"MM/YYYY")</f>
        <v>09/2025</v>
      </c>
      <c r="N1936">
        <v>29</v>
      </c>
      <c r="O1936" t="str" cm="1">
        <f t="array" ref="O1936">_xlfn.IFS(Table1[[#This Row],[lead_time_days]]&lt;=7,"0-7 days",N1936&lt;=14,"8-14 days",N1936&lt;=30,"15-30 days",N1936&lt;=60,"31-60 days",TRUE,"61+ days")</f>
        <v>15-30 days</v>
      </c>
      <c r="P1936" t="s">
        <v>80</v>
      </c>
      <c r="Q1936" t="s">
        <v>32</v>
      </c>
      <c r="R1936">
        <v>0</v>
      </c>
      <c r="S1936" t="str">
        <f>IF(Table1[prior_dna_count]&gt;=1,"Has prior DNA history","No prior DNA history")</f>
        <v>No prior DNA history</v>
      </c>
      <c r="T1936" t="s">
        <v>39</v>
      </c>
      <c r="U1936" t="str">
        <f t="shared" si="30"/>
        <v>0</v>
      </c>
      <c r="V1936" t="str">
        <f>IF(Table1[appointment_status]="Attended","1","0")</f>
        <v>0</v>
      </c>
      <c r="W1936" t="str">
        <f>IF(Table1[appointment_status]="Cancelled","1","0")</f>
        <v>0</v>
      </c>
    </row>
    <row r="1937" spans="1:23">
      <c r="A1937" t="s">
        <v>3094</v>
      </c>
      <c r="B1937" t="s">
        <v>1231</v>
      </c>
      <c r="C1937">
        <v>50</v>
      </c>
      <c r="D1937" t="str" cm="1">
        <f t="array" ref="D1937">_xlfn.IFS(Table1[[#This Row],[age]]&lt;=17,"0-17",C1937&lt;=29,"18-29",C1937&lt;=44,"30-44",C1937&lt;=59,"45-59",C1937&lt;=74,"60-74",TRUE,"75+")</f>
        <v>45-59</v>
      </c>
      <c r="E1937" t="s">
        <v>17</v>
      </c>
      <c r="F1937">
        <v>5</v>
      </c>
      <c r="G1937" t="str" cm="1">
        <f t="array" ref="G1937">_xlfn.IFS(_xlfn.SINGLE(Table1[imd_decile])&lt;=3,"Most Deprived",F1937&lt;=7,"Moderately Deprived",F1937&lt;=10,"Least Deprived")</f>
        <v>Moderately Deprived</v>
      </c>
      <c r="H1937">
        <v>9.9</v>
      </c>
      <c r="I1937" t="s">
        <v>30</v>
      </c>
      <c r="J1937" t="s">
        <v>26</v>
      </c>
      <c r="K1937" s="1">
        <v>45902</v>
      </c>
      <c r="L1937" s="1">
        <v>45925</v>
      </c>
      <c r="M1937" s="1" t="str">
        <f>TEXT(Table1[[#This Row],[appointment_date]],"MM/YYYY")</f>
        <v>09/2025</v>
      </c>
      <c r="N1937">
        <v>23</v>
      </c>
      <c r="O1937" t="str" cm="1">
        <f t="array" ref="O1937">_xlfn.IFS(Table1[[#This Row],[lead_time_days]]&lt;=7,"0-7 days",N1937&lt;=14,"8-14 days",N1937&lt;=30,"15-30 days",N1937&lt;=60,"31-60 days",TRUE,"61+ days")</f>
        <v>15-30 days</v>
      </c>
      <c r="P1937" t="s">
        <v>20</v>
      </c>
      <c r="Q1937" t="s">
        <v>21</v>
      </c>
      <c r="R1937">
        <v>0</v>
      </c>
      <c r="S1937" t="str">
        <f>IF(Table1[prior_dna_count]&gt;=1,"Has prior DNA history","No prior DNA history")</f>
        <v>No prior DNA history</v>
      </c>
      <c r="T1937" t="s">
        <v>22</v>
      </c>
      <c r="U1937" t="str">
        <f t="shared" si="30"/>
        <v>0</v>
      </c>
      <c r="V1937" t="str">
        <f>IF(Table1[appointment_status]="Attended","1","0")</f>
        <v>1</v>
      </c>
      <c r="W1937" t="str">
        <f>IF(Table1[appointment_status]="Cancelled","1","0")</f>
        <v>0</v>
      </c>
    </row>
    <row r="1938" spans="1:23">
      <c r="A1938" t="s">
        <v>3095</v>
      </c>
      <c r="B1938" t="s">
        <v>354</v>
      </c>
      <c r="C1938">
        <v>28</v>
      </c>
      <c r="D1938" t="str" cm="1">
        <f t="array" ref="D1938">_xlfn.IFS(Table1[[#This Row],[age]]&lt;=17,"0-17",C1938&lt;=29,"18-29",C1938&lt;=44,"30-44",C1938&lt;=59,"45-59",C1938&lt;=74,"60-74",TRUE,"75+")</f>
        <v>18-29</v>
      </c>
      <c r="E1938" t="s">
        <v>17</v>
      </c>
      <c r="F1938">
        <v>4</v>
      </c>
      <c r="G1938" t="str" cm="1">
        <f t="array" ref="G1938">_xlfn.IFS(_xlfn.SINGLE(Table1[imd_decile])&lt;=3,"Most Deprived",F1938&lt;=7,"Moderately Deprived",F1938&lt;=10,"Least Deprived")</f>
        <v>Moderately Deprived</v>
      </c>
      <c r="H1938">
        <v>16.5</v>
      </c>
      <c r="I1938" t="s">
        <v>58</v>
      </c>
      <c r="J1938" t="s">
        <v>19</v>
      </c>
      <c r="K1938" s="1">
        <v>45911</v>
      </c>
      <c r="L1938" s="1">
        <v>45925</v>
      </c>
      <c r="M1938" s="1" t="str">
        <f>TEXT(Table1[[#This Row],[appointment_date]],"MM/YYYY")</f>
        <v>09/2025</v>
      </c>
      <c r="N1938">
        <v>14</v>
      </c>
      <c r="O1938" t="str" cm="1">
        <f t="array" ref="O1938">_xlfn.IFS(Table1[[#This Row],[lead_time_days]]&lt;=7,"0-7 days",N1938&lt;=14,"8-14 days",N1938&lt;=30,"15-30 days",N1938&lt;=60,"31-60 days",TRUE,"61+ days")</f>
        <v>8-14 days</v>
      </c>
      <c r="P1938" t="s">
        <v>20</v>
      </c>
      <c r="Q1938" t="s">
        <v>21</v>
      </c>
      <c r="R1938">
        <v>0</v>
      </c>
      <c r="S1938" t="str">
        <f>IF(Table1[prior_dna_count]&gt;=1,"Has prior DNA history","No prior DNA history")</f>
        <v>No prior DNA history</v>
      </c>
      <c r="T1938" t="s">
        <v>46</v>
      </c>
      <c r="U1938" t="str">
        <f t="shared" si="30"/>
        <v>1</v>
      </c>
      <c r="V1938" t="str">
        <f>IF(Table1[appointment_status]="Attended","1","0")</f>
        <v>0</v>
      </c>
      <c r="W1938" t="str">
        <f>IF(Table1[appointment_status]="Cancelled","1","0")</f>
        <v>1</v>
      </c>
    </row>
    <row r="1939" spans="1:23">
      <c r="A1939" t="s">
        <v>3096</v>
      </c>
      <c r="B1939" t="s">
        <v>3022</v>
      </c>
      <c r="C1939">
        <v>61</v>
      </c>
      <c r="D1939" t="str" cm="1">
        <f t="array" ref="D1939">_xlfn.IFS(Table1[[#This Row],[age]]&lt;=17,"0-17",C1939&lt;=29,"18-29",C1939&lt;=44,"30-44",C1939&lt;=59,"45-59",C1939&lt;=74,"60-74",TRUE,"75+")</f>
        <v>60-74</v>
      </c>
      <c r="E1939" t="s">
        <v>29</v>
      </c>
      <c r="F1939">
        <v>2</v>
      </c>
      <c r="G1939" t="str" cm="1">
        <f t="array" ref="G1939">_xlfn.IFS(_xlfn.SINGLE(Table1[imd_decile])&lt;=3,"Most Deprived",F1939&lt;=7,"Moderately Deprived",F1939&lt;=10,"Least Deprived")</f>
        <v>Most Deprived</v>
      </c>
      <c r="H1939">
        <v>0.9</v>
      </c>
      <c r="I1939" t="s">
        <v>25</v>
      </c>
      <c r="J1939" t="s">
        <v>26</v>
      </c>
      <c r="K1939" s="1">
        <v>45911</v>
      </c>
      <c r="L1939" s="1">
        <v>45925</v>
      </c>
      <c r="M1939" s="1" t="str">
        <f>TEXT(Table1[[#This Row],[appointment_date]],"MM/YYYY")</f>
        <v>09/2025</v>
      </c>
      <c r="N1939">
        <v>14</v>
      </c>
      <c r="O1939" t="str" cm="1">
        <f t="array" ref="O1939">_xlfn.IFS(Table1[[#This Row],[lead_time_days]]&lt;=7,"0-7 days",N1939&lt;=14,"8-14 days",N1939&lt;=30,"15-30 days",N1939&lt;=60,"31-60 days",TRUE,"61+ days")</f>
        <v>8-14 days</v>
      </c>
      <c r="P1939" t="s">
        <v>20</v>
      </c>
      <c r="Q1939" t="s">
        <v>21</v>
      </c>
      <c r="R1939">
        <v>0</v>
      </c>
      <c r="S1939" t="str">
        <f>IF(Table1[prior_dna_count]&gt;=1,"Has prior DNA history","No prior DNA history")</f>
        <v>No prior DNA history</v>
      </c>
      <c r="T1939" t="s">
        <v>22</v>
      </c>
      <c r="U1939" t="str">
        <f t="shared" si="30"/>
        <v>0</v>
      </c>
      <c r="V1939" t="str">
        <f>IF(Table1[appointment_status]="Attended","1","0")</f>
        <v>1</v>
      </c>
      <c r="W1939" t="str">
        <f>IF(Table1[appointment_status]="Cancelled","1","0")</f>
        <v>0</v>
      </c>
    </row>
    <row r="1940" spans="1:23">
      <c r="A1940" t="s">
        <v>3097</v>
      </c>
      <c r="B1940" t="s">
        <v>2330</v>
      </c>
      <c r="C1940">
        <v>54</v>
      </c>
      <c r="D1940" t="str" cm="1">
        <f t="array" ref="D1940">_xlfn.IFS(Table1[[#This Row],[age]]&lt;=17,"0-17",C1940&lt;=29,"18-29",C1940&lt;=44,"30-44",C1940&lt;=59,"45-59",C1940&lt;=74,"60-74",TRUE,"75+")</f>
        <v>45-59</v>
      </c>
      <c r="E1940" t="s">
        <v>29</v>
      </c>
      <c r="F1940">
        <v>9</v>
      </c>
      <c r="G1940" t="str" cm="1">
        <f t="array" ref="G1940">_xlfn.IFS(_xlfn.SINGLE(Table1[imd_decile])&lt;=3,"Most Deprived",F1940&lt;=7,"Moderately Deprived",F1940&lt;=10,"Least Deprived")</f>
        <v>Least Deprived</v>
      </c>
      <c r="H1940">
        <v>2.1</v>
      </c>
      <c r="I1940" t="s">
        <v>38</v>
      </c>
      <c r="J1940" t="s">
        <v>19</v>
      </c>
      <c r="K1940" s="1">
        <v>45884</v>
      </c>
      <c r="L1940" s="1">
        <v>45925</v>
      </c>
      <c r="M1940" s="1" t="str">
        <f>TEXT(Table1[[#This Row],[appointment_date]],"MM/YYYY")</f>
        <v>09/2025</v>
      </c>
      <c r="N1940">
        <v>41</v>
      </c>
      <c r="O1940" t="str" cm="1">
        <f t="array" ref="O1940">_xlfn.IFS(Table1[[#This Row],[lead_time_days]]&lt;=7,"0-7 days",N1940&lt;=14,"8-14 days",N1940&lt;=30,"15-30 days",N1940&lt;=60,"31-60 days",TRUE,"61+ days")</f>
        <v>31-60 days</v>
      </c>
      <c r="P1940" t="s">
        <v>20</v>
      </c>
      <c r="Q1940" t="s">
        <v>32</v>
      </c>
      <c r="R1940">
        <v>0</v>
      </c>
      <c r="S1940" t="str">
        <f>IF(Table1[prior_dna_count]&gt;=1,"Has prior DNA history","No prior DNA history")</f>
        <v>No prior DNA history</v>
      </c>
      <c r="T1940" t="s">
        <v>22</v>
      </c>
      <c r="U1940" t="str">
        <f t="shared" si="30"/>
        <v>1</v>
      </c>
      <c r="V1940" t="str">
        <f>IF(Table1[appointment_status]="Attended","1","0")</f>
        <v>1</v>
      </c>
      <c r="W1940" t="str">
        <f>IF(Table1[appointment_status]="Cancelled","1","0")</f>
        <v>0</v>
      </c>
    </row>
    <row r="1941" spans="1:23">
      <c r="A1941" t="s">
        <v>3098</v>
      </c>
      <c r="B1941" t="s">
        <v>1892</v>
      </c>
      <c r="C1941">
        <v>57</v>
      </c>
      <c r="D1941" t="str" cm="1">
        <f t="array" ref="D1941">_xlfn.IFS(Table1[[#This Row],[age]]&lt;=17,"0-17",C1941&lt;=29,"18-29",C1941&lt;=44,"30-44",C1941&lt;=59,"45-59",C1941&lt;=74,"60-74",TRUE,"75+")</f>
        <v>45-59</v>
      </c>
      <c r="E1941" t="s">
        <v>29</v>
      </c>
      <c r="F1941">
        <v>1</v>
      </c>
      <c r="G1941" t="str" cm="1">
        <f t="array" ref="G1941">_xlfn.IFS(_xlfn.SINGLE(Table1[imd_decile])&lt;=3,"Most Deprived",F1941&lt;=7,"Moderately Deprived",F1941&lt;=10,"Least Deprived")</f>
        <v>Most Deprived</v>
      </c>
      <c r="H1941">
        <v>5.4</v>
      </c>
      <c r="I1941" t="s">
        <v>49</v>
      </c>
      <c r="J1941" t="s">
        <v>26</v>
      </c>
      <c r="K1941" s="1">
        <v>45916</v>
      </c>
      <c r="L1941" s="1">
        <v>45925</v>
      </c>
      <c r="M1941" s="1" t="str">
        <f>TEXT(Table1[[#This Row],[appointment_date]],"MM/YYYY")</f>
        <v>09/2025</v>
      </c>
      <c r="N1941">
        <v>9</v>
      </c>
      <c r="O1941" t="str" cm="1">
        <f t="array" ref="O1941">_xlfn.IFS(Table1[[#This Row],[lead_time_days]]&lt;=7,"0-7 days",N1941&lt;=14,"8-14 days",N1941&lt;=30,"15-30 days",N1941&lt;=60,"31-60 days",TRUE,"61+ days")</f>
        <v>8-14 days</v>
      </c>
      <c r="P1941" t="s">
        <v>20</v>
      </c>
      <c r="Q1941" t="s">
        <v>21</v>
      </c>
      <c r="R1941">
        <v>0</v>
      </c>
      <c r="S1941" t="str">
        <f>IF(Table1[prior_dna_count]&gt;=1,"Has prior DNA history","No prior DNA history")</f>
        <v>No prior DNA history</v>
      </c>
      <c r="T1941" t="s">
        <v>22</v>
      </c>
      <c r="U1941" t="str">
        <f t="shared" si="30"/>
        <v>1</v>
      </c>
      <c r="V1941" t="str">
        <f>IF(Table1[appointment_status]="Attended","1","0")</f>
        <v>1</v>
      </c>
      <c r="W1941" t="str">
        <f>IF(Table1[appointment_status]="Cancelled","1","0")</f>
        <v>0</v>
      </c>
    </row>
    <row r="1942" spans="1:23">
      <c r="A1942" t="s">
        <v>3099</v>
      </c>
      <c r="B1942" t="s">
        <v>484</v>
      </c>
      <c r="C1942">
        <v>45</v>
      </c>
      <c r="D1942" t="str" cm="1">
        <f t="array" ref="D1942">_xlfn.IFS(Table1[[#This Row],[age]]&lt;=17,"0-17",C1942&lt;=29,"18-29",C1942&lt;=44,"30-44",C1942&lt;=59,"45-59",C1942&lt;=74,"60-74",TRUE,"75+")</f>
        <v>45-59</v>
      </c>
      <c r="E1942" t="s">
        <v>29</v>
      </c>
      <c r="F1942">
        <v>3</v>
      </c>
      <c r="G1942" t="str" cm="1">
        <f t="array" ref="G1942">_xlfn.IFS(_xlfn.SINGLE(Table1[imd_decile])&lt;=3,"Most Deprived",F1942&lt;=7,"Moderately Deprived",F1942&lt;=10,"Least Deprived")</f>
        <v>Most Deprived</v>
      </c>
      <c r="H1942">
        <v>4.2</v>
      </c>
      <c r="I1942" t="s">
        <v>91</v>
      </c>
      <c r="J1942" t="s">
        <v>26</v>
      </c>
      <c r="K1942" s="1">
        <v>45909</v>
      </c>
      <c r="L1942" s="1">
        <v>45925</v>
      </c>
      <c r="M1942" s="1" t="str">
        <f>TEXT(Table1[[#This Row],[appointment_date]],"MM/YYYY")</f>
        <v>09/2025</v>
      </c>
      <c r="N1942">
        <v>16</v>
      </c>
      <c r="O1942" t="str" cm="1">
        <f t="array" ref="O1942">_xlfn.IFS(Table1[[#This Row],[lead_time_days]]&lt;=7,"0-7 days",N1942&lt;=14,"8-14 days",N1942&lt;=30,"15-30 days",N1942&lt;=60,"31-60 days",TRUE,"61+ days")</f>
        <v>15-30 days</v>
      </c>
      <c r="P1942" t="s">
        <v>20</v>
      </c>
      <c r="Q1942" t="s">
        <v>21</v>
      </c>
      <c r="R1942">
        <v>0</v>
      </c>
      <c r="S1942" t="str">
        <f>IF(Table1[prior_dna_count]&gt;=1,"Has prior DNA history","No prior DNA history")</f>
        <v>No prior DNA history</v>
      </c>
      <c r="T1942" t="s">
        <v>22</v>
      </c>
      <c r="U1942" t="str">
        <f t="shared" si="30"/>
        <v>1</v>
      </c>
      <c r="V1942" t="str">
        <f>IF(Table1[appointment_status]="Attended","1","0")</f>
        <v>1</v>
      </c>
      <c r="W1942" t="str">
        <f>IF(Table1[appointment_status]="Cancelled","1","0")</f>
        <v>0</v>
      </c>
    </row>
    <row r="1943" spans="1:23">
      <c r="A1943" t="s">
        <v>3100</v>
      </c>
      <c r="B1943" t="s">
        <v>2458</v>
      </c>
      <c r="C1943">
        <v>70</v>
      </c>
      <c r="D1943" t="str" cm="1">
        <f t="array" ref="D1943">_xlfn.IFS(Table1[[#This Row],[age]]&lt;=17,"0-17",C1943&lt;=29,"18-29",C1943&lt;=44,"30-44",C1943&lt;=59,"45-59",C1943&lt;=74,"60-74",TRUE,"75+")</f>
        <v>60-74</v>
      </c>
      <c r="E1943" t="s">
        <v>17</v>
      </c>
      <c r="F1943">
        <v>8</v>
      </c>
      <c r="G1943" t="str" cm="1">
        <f t="array" ref="G1943">_xlfn.IFS(_xlfn.SINGLE(Table1[imd_decile])&lt;=3,"Most Deprived",F1943&lt;=7,"Moderately Deprived",F1943&lt;=10,"Least Deprived")</f>
        <v>Least Deprived</v>
      </c>
      <c r="H1943">
        <v>8.1999999999999993</v>
      </c>
      <c r="I1943" t="s">
        <v>30</v>
      </c>
      <c r="J1943" t="s">
        <v>26</v>
      </c>
      <c r="K1943" s="1">
        <v>45900</v>
      </c>
      <c r="L1943" s="1">
        <v>45925</v>
      </c>
      <c r="M1943" s="1" t="str">
        <f>TEXT(Table1[[#This Row],[appointment_date]],"MM/YYYY")</f>
        <v>09/2025</v>
      </c>
      <c r="N1943">
        <v>25</v>
      </c>
      <c r="O1943" t="str" cm="1">
        <f t="array" ref="O1943">_xlfn.IFS(Table1[[#This Row],[lead_time_days]]&lt;=7,"0-7 days",N1943&lt;=14,"8-14 days",N1943&lt;=30,"15-30 days",N1943&lt;=60,"31-60 days",TRUE,"61+ days")</f>
        <v>15-30 days</v>
      </c>
      <c r="P1943" t="s">
        <v>20</v>
      </c>
      <c r="Q1943" t="s">
        <v>32</v>
      </c>
      <c r="R1943">
        <v>0</v>
      </c>
      <c r="S1943" t="str">
        <f>IF(Table1[prior_dna_count]&gt;=1,"Has prior DNA history","No prior DNA history")</f>
        <v>No prior DNA history</v>
      </c>
      <c r="T1943" t="s">
        <v>22</v>
      </c>
      <c r="U1943" t="str">
        <f t="shared" si="30"/>
        <v>1</v>
      </c>
      <c r="V1943" t="str">
        <f>IF(Table1[appointment_status]="Attended","1","0")</f>
        <v>1</v>
      </c>
      <c r="W1943" t="str">
        <f>IF(Table1[appointment_status]="Cancelled","1","0")</f>
        <v>0</v>
      </c>
    </row>
    <row r="1944" spans="1:23">
      <c r="A1944" t="s">
        <v>3101</v>
      </c>
      <c r="B1944" t="s">
        <v>3102</v>
      </c>
      <c r="C1944">
        <v>55</v>
      </c>
      <c r="D1944" t="str" cm="1">
        <f t="array" ref="D1944">_xlfn.IFS(Table1[[#This Row],[age]]&lt;=17,"0-17",C1944&lt;=29,"18-29",C1944&lt;=44,"30-44",C1944&lt;=59,"45-59",C1944&lt;=74,"60-74",TRUE,"75+")</f>
        <v>45-59</v>
      </c>
      <c r="E1944" t="s">
        <v>17</v>
      </c>
      <c r="F1944">
        <v>4</v>
      </c>
      <c r="G1944" t="str" cm="1">
        <f t="array" ref="G1944">_xlfn.IFS(_xlfn.SINGLE(Table1[imd_decile])&lt;=3,"Most Deprived",F1944&lt;=7,"Moderately Deprived",F1944&lt;=10,"Least Deprived")</f>
        <v>Moderately Deprived</v>
      </c>
      <c r="H1944">
        <v>1.1000000000000001</v>
      </c>
      <c r="I1944" t="s">
        <v>42</v>
      </c>
      <c r="J1944" t="s">
        <v>19</v>
      </c>
      <c r="K1944" s="1">
        <v>45859</v>
      </c>
      <c r="L1944" s="1">
        <v>45926</v>
      </c>
      <c r="M1944" s="1" t="str">
        <f>TEXT(Table1[[#This Row],[appointment_date]],"MM/YYYY")</f>
        <v>09/2025</v>
      </c>
      <c r="N1944">
        <v>67</v>
      </c>
      <c r="O1944" t="str" cm="1">
        <f t="array" ref="O1944">_xlfn.IFS(Table1[[#This Row],[lead_time_days]]&lt;=7,"0-7 days",N1944&lt;=14,"8-14 days",N1944&lt;=30,"15-30 days",N1944&lt;=60,"31-60 days",TRUE,"61+ days")</f>
        <v>61+ days</v>
      </c>
      <c r="P1944" t="s">
        <v>52</v>
      </c>
      <c r="Q1944" t="s">
        <v>21</v>
      </c>
      <c r="R1944">
        <v>0</v>
      </c>
      <c r="S1944" t="str">
        <f>IF(Table1[prior_dna_count]&gt;=1,"Has prior DNA history","No prior DNA history")</f>
        <v>No prior DNA history</v>
      </c>
      <c r="T1944" t="s">
        <v>46</v>
      </c>
      <c r="U1944" t="str">
        <f t="shared" si="30"/>
        <v>1</v>
      </c>
      <c r="V1944" t="str">
        <f>IF(Table1[appointment_status]="Attended","1","0")</f>
        <v>0</v>
      </c>
      <c r="W1944" t="str">
        <f>IF(Table1[appointment_status]="Cancelled","1","0")</f>
        <v>1</v>
      </c>
    </row>
    <row r="1945" spans="1:23">
      <c r="A1945" t="s">
        <v>3103</v>
      </c>
      <c r="B1945" t="s">
        <v>642</v>
      </c>
      <c r="C1945">
        <v>54</v>
      </c>
      <c r="D1945" t="str" cm="1">
        <f t="array" ref="D1945">_xlfn.IFS(Table1[[#This Row],[age]]&lt;=17,"0-17",C1945&lt;=29,"18-29",C1945&lt;=44,"30-44",C1945&lt;=59,"45-59",C1945&lt;=74,"60-74",TRUE,"75+")</f>
        <v>45-59</v>
      </c>
      <c r="E1945" t="s">
        <v>29</v>
      </c>
      <c r="F1945">
        <v>5</v>
      </c>
      <c r="G1945" t="str" cm="1">
        <f t="array" ref="G1945">_xlfn.IFS(_xlfn.SINGLE(Table1[imd_decile])&lt;=3,"Most Deprived",F1945&lt;=7,"Moderately Deprived",F1945&lt;=10,"Least Deprived")</f>
        <v>Moderately Deprived</v>
      </c>
      <c r="H1945">
        <v>21.9</v>
      </c>
      <c r="I1945" t="s">
        <v>38</v>
      </c>
      <c r="J1945" t="s">
        <v>19</v>
      </c>
      <c r="K1945" s="1">
        <v>45912</v>
      </c>
      <c r="L1945" s="1">
        <v>45926</v>
      </c>
      <c r="M1945" s="1" t="str">
        <f>TEXT(Table1[[#This Row],[appointment_date]],"MM/YYYY")</f>
        <v>09/2025</v>
      </c>
      <c r="N1945">
        <v>14</v>
      </c>
      <c r="O1945" t="str" cm="1">
        <f t="array" ref="O1945">_xlfn.IFS(Table1[[#This Row],[lead_time_days]]&lt;=7,"0-7 days",N1945&lt;=14,"8-14 days",N1945&lt;=30,"15-30 days",N1945&lt;=60,"31-60 days",TRUE,"61+ days")</f>
        <v>8-14 days</v>
      </c>
      <c r="P1945" t="s">
        <v>52</v>
      </c>
      <c r="Q1945" t="s">
        <v>21</v>
      </c>
      <c r="R1945">
        <v>1</v>
      </c>
      <c r="S1945" t="str">
        <f>IF(Table1[prior_dna_count]&gt;=1,"Has prior DNA history","No prior DNA history")</f>
        <v>Has prior DNA history</v>
      </c>
      <c r="T1945" t="s">
        <v>39</v>
      </c>
      <c r="U1945" t="str">
        <f t="shared" si="30"/>
        <v>0</v>
      </c>
      <c r="V1945" t="str">
        <f>IF(Table1[appointment_status]="Attended","1","0")</f>
        <v>0</v>
      </c>
      <c r="W1945" t="str">
        <f>IF(Table1[appointment_status]="Cancelled","1","0")</f>
        <v>0</v>
      </c>
    </row>
    <row r="1946" spans="1:23">
      <c r="A1946" t="s">
        <v>3104</v>
      </c>
      <c r="B1946" t="s">
        <v>3105</v>
      </c>
      <c r="C1946">
        <v>29</v>
      </c>
      <c r="D1946" t="str" cm="1">
        <f t="array" ref="D1946">_xlfn.IFS(Table1[[#This Row],[age]]&lt;=17,"0-17",C1946&lt;=29,"18-29",C1946&lt;=44,"30-44",C1946&lt;=59,"45-59",C1946&lt;=74,"60-74",TRUE,"75+")</f>
        <v>18-29</v>
      </c>
      <c r="E1946" t="s">
        <v>29</v>
      </c>
      <c r="F1946">
        <v>2</v>
      </c>
      <c r="G1946" t="str" cm="1">
        <f t="array" ref="G1946">_xlfn.IFS(_xlfn.SINGLE(Table1[imd_decile])&lt;=3,"Most Deprived",F1946&lt;=7,"Moderately Deprived",F1946&lt;=10,"Least Deprived")</f>
        <v>Most Deprived</v>
      </c>
      <c r="H1946">
        <v>13.5</v>
      </c>
      <c r="I1946" t="s">
        <v>42</v>
      </c>
      <c r="J1946" t="s">
        <v>19</v>
      </c>
      <c r="K1946" s="1">
        <v>45891</v>
      </c>
      <c r="L1946" s="1">
        <v>45926</v>
      </c>
      <c r="M1946" s="1" t="str">
        <f>TEXT(Table1[[#This Row],[appointment_date]],"MM/YYYY")</f>
        <v>09/2025</v>
      </c>
      <c r="N1946">
        <v>35</v>
      </c>
      <c r="O1946" t="str" cm="1">
        <f t="array" ref="O1946">_xlfn.IFS(Table1[[#This Row],[lead_time_days]]&lt;=7,"0-7 days",N1946&lt;=14,"8-14 days",N1946&lt;=30,"15-30 days",N1946&lt;=60,"31-60 days",TRUE,"61+ days")</f>
        <v>31-60 days</v>
      </c>
      <c r="P1946" t="s">
        <v>52</v>
      </c>
      <c r="Q1946" t="s">
        <v>21</v>
      </c>
      <c r="R1946">
        <v>0</v>
      </c>
      <c r="S1946" t="str">
        <f>IF(Table1[prior_dna_count]&gt;=1,"Has prior DNA history","No prior DNA history")</f>
        <v>No prior DNA history</v>
      </c>
      <c r="T1946" t="s">
        <v>22</v>
      </c>
      <c r="U1946" t="str">
        <f t="shared" si="30"/>
        <v>0</v>
      </c>
      <c r="V1946" t="str">
        <f>IF(Table1[appointment_status]="Attended","1","0")</f>
        <v>1</v>
      </c>
      <c r="W1946" t="str">
        <f>IF(Table1[appointment_status]="Cancelled","1","0")</f>
        <v>0</v>
      </c>
    </row>
    <row r="1947" spans="1:23">
      <c r="A1947" t="s">
        <v>3106</v>
      </c>
      <c r="B1947" t="s">
        <v>605</v>
      </c>
      <c r="C1947">
        <v>51</v>
      </c>
      <c r="D1947" t="str" cm="1">
        <f t="array" ref="D1947">_xlfn.IFS(Table1[[#This Row],[age]]&lt;=17,"0-17",C1947&lt;=29,"18-29",C1947&lt;=44,"30-44",C1947&lt;=59,"45-59",C1947&lt;=74,"60-74",TRUE,"75+")</f>
        <v>45-59</v>
      </c>
      <c r="E1947" t="s">
        <v>29</v>
      </c>
      <c r="F1947">
        <v>10</v>
      </c>
      <c r="G1947" t="str" cm="1">
        <f t="array" ref="G1947">_xlfn.IFS(_xlfn.SINGLE(Table1[imd_decile])&lt;=3,"Most Deprived",F1947&lt;=7,"Moderately Deprived",F1947&lt;=10,"Least Deprived")</f>
        <v>Least Deprived</v>
      </c>
      <c r="H1947">
        <v>7.2</v>
      </c>
      <c r="I1947" t="s">
        <v>42</v>
      </c>
      <c r="J1947" t="s">
        <v>19</v>
      </c>
      <c r="K1947" s="1">
        <v>45885</v>
      </c>
      <c r="L1947" s="1">
        <v>45926</v>
      </c>
      <c r="M1947" s="1" t="str">
        <f>TEXT(Table1[[#This Row],[appointment_date]],"MM/YYYY")</f>
        <v>09/2025</v>
      </c>
      <c r="N1947">
        <v>41</v>
      </c>
      <c r="O1947" t="str" cm="1">
        <f t="array" ref="O1947">_xlfn.IFS(Table1[[#This Row],[lead_time_days]]&lt;=7,"0-7 days",N1947&lt;=14,"8-14 days",N1947&lt;=30,"15-30 days",N1947&lt;=60,"31-60 days",TRUE,"61+ days")</f>
        <v>31-60 days</v>
      </c>
      <c r="P1947" t="s">
        <v>52</v>
      </c>
      <c r="Q1947" t="s">
        <v>21</v>
      </c>
      <c r="R1947">
        <v>0</v>
      </c>
      <c r="S1947" t="str">
        <f>IF(Table1[prior_dna_count]&gt;=1,"Has prior DNA history","No prior DNA history")</f>
        <v>No prior DNA history</v>
      </c>
      <c r="T1947" t="s">
        <v>22</v>
      </c>
      <c r="U1947" t="str">
        <f t="shared" si="30"/>
        <v>1</v>
      </c>
      <c r="V1947" t="str">
        <f>IF(Table1[appointment_status]="Attended","1","0")</f>
        <v>1</v>
      </c>
      <c r="W1947" t="str">
        <f>IF(Table1[appointment_status]="Cancelled","1","0")</f>
        <v>0</v>
      </c>
    </row>
    <row r="1948" spans="1:23">
      <c r="A1948" t="s">
        <v>3107</v>
      </c>
      <c r="B1948" t="s">
        <v>2650</v>
      </c>
      <c r="C1948">
        <v>84</v>
      </c>
      <c r="D1948" t="str" cm="1">
        <f t="array" ref="D1948">_xlfn.IFS(Table1[[#This Row],[age]]&lt;=17,"0-17",C1948&lt;=29,"18-29",C1948&lt;=44,"30-44",C1948&lt;=59,"45-59",C1948&lt;=74,"60-74",TRUE,"75+")</f>
        <v>75+</v>
      </c>
      <c r="E1948" t="s">
        <v>29</v>
      </c>
      <c r="F1948">
        <v>5</v>
      </c>
      <c r="G1948" t="str" cm="1">
        <f t="array" ref="G1948">_xlfn.IFS(_xlfn.SINGLE(Table1[imd_decile])&lt;=3,"Most Deprived",F1948&lt;=7,"Moderately Deprived",F1948&lt;=10,"Least Deprived")</f>
        <v>Moderately Deprived</v>
      </c>
      <c r="H1948">
        <v>3</v>
      </c>
      <c r="I1948" t="s">
        <v>25</v>
      </c>
      <c r="J1948" t="s">
        <v>26</v>
      </c>
      <c r="K1948" s="1">
        <v>45907</v>
      </c>
      <c r="L1948" s="1">
        <v>45926</v>
      </c>
      <c r="M1948" s="1" t="str">
        <f>TEXT(Table1[[#This Row],[appointment_date]],"MM/YYYY")</f>
        <v>09/2025</v>
      </c>
      <c r="N1948">
        <v>19</v>
      </c>
      <c r="O1948" t="str" cm="1">
        <f t="array" ref="O1948">_xlfn.IFS(Table1[[#This Row],[lead_time_days]]&lt;=7,"0-7 days",N1948&lt;=14,"8-14 days",N1948&lt;=30,"15-30 days",N1948&lt;=60,"31-60 days",TRUE,"61+ days")</f>
        <v>15-30 days</v>
      </c>
      <c r="P1948" t="s">
        <v>52</v>
      </c>
      <c r="Q1948" t="s">
        <v>21</v>
      </c>
      <c r="R1948">
        <v>0</v>
      </c>
      <c r="S1948" t="str">
        <f>IF(Table1[prior_dna_count]&gt;=1,"Has prior DNA history","No prior DNA history")</f>
        <v>No prior DNA history</v>
      </c>
      <c r="T1948" t="s">
        <v>22</v>
      </c>
      <c r="U1948" t="str">
        <f t="shared" si="30"/>
        <v>1</v>
      </c>
      <c r="V1948" t="str">
        <f>IF(Table1[appointment_status]="Attended","1","0")</f>
        <v>1</v>
      </c>
      <c r="W1948" t="str">
        <f>IF(Table1[appointment_status]="Cancelled","1","0")</f>
        <v>0</v>
      </c>
    </row>
    <row r="1949" spans="1:23">
      <c r="A1949" t="s">
        <v>3108</v>
      </c>
      <c r="B1949" t="s">
        <v>1881</v>
      </c>
      <c r="C1949">
        <v>44</v>
      </c>
      <c r="D1949" t="str" cm="1">
        <f t="array" ref="D1949">_xlfn.IFS(Table1[[#This Row],[age]]&lt;=17,"0-17",C1949&lt;=29,"18-29",C1949&lt;=44,"30-44",C1949&lt;=59,"45-59",C1949&lt;=74,"60-74",TRUE,"75+")</f>
        <v>30-44</v>
      </c>
      <c r="E1949" t="s">
        <v>29</v>
      </c>
      <c r="F1949">
        <v>7</v>
      </c>
      <c r="G1949" t="str" cm="1">
        <f t="array" ref="G1949">_xlfn.IFS(_xlfn.SINGLE(Table1[imd_decile])&lt;=3,"Most Deprived",F1949&lt;=7,"Moderately Deprived",F1949&lt;=10,"Least Deprived")</f>
        <v>Moderately Deprived</v>
      </c>
      <c r="H1949">
        <v>11.1</v>
      </c>
      <c r="I1949" t="s">
        <v>30</v>
      </c>
      <c r="J1949" t="s">
        <v>19</v>
      </c>
      <c r="K1949" s="1">
        <v>45909</v>
      </c>
      <c r="L1949" s="1">
        <v>45926</v>
      </c>
      <c r="M1949" s="1" t="str">
        <f>TEXT(Table1[[#This Row],[appointment_date]],"MM/YYYY")</f>
        <v>09/2025</v>
      </c>
      <c r="N1949">
        <v>17</v>
      </c>
      <c r="O1949" t="str" cm="1">
        <f t="array" ref="O1949">_xlfn.IFS(Table1[[#This Row],[lead_time_days]]&lt;=7,"0-7 days",N1949&lt;=14,"8-14 days",N1949&lt;=30,"15-30 days",N1949&lt;=60,"31-60 days",TRUE,"61+ days")</f>
        <v>15-30 days</v>
      </c>
      <c r="P1949" t="s">
        <v>52</v>
      </c>
      <c r="Q1949" t="s">
        <v>21</v>
      </c>
      <c r="R1949">
        <v>0</v>
      </c>
      <c r="S1949" t="str">
        <f>IF(Table1[prior_dna_count]&gt;=1,"Has prior DNA history","No prior DNA history")</f>
        <v>No prior DNA history</v>
      </c>
      <c r="T1949" t="s">
        <v>22</v>
      </c>
      <c r="U1949" t="str">
        <f t="shared" si="30"/>
        <v>1</v>
      </c>
      <c r="V1949" t="str">
        <f>IF(Table1[appointment_status]="Attended","1","0")</f>
        <v>1</v>
      </c>
      <c r="W1949" t="str">
        <f>IF(Table1[appointment_status]="Cancelled","1","0")</f>
        <v>0</v>
      </c>
    </row>
    <row r="1950" spans="1:23">
      <c r="A1950" t="s">
        <v>3109</v>
      </c>
      <c r="B1950" t="s">
        <v>2741</v>
      </c>
      <c r="C1950">
        <v>50</v>
      </c>
      <c r="D1950" t="str" cm="1">
        <f t="array" ref="D1950">_xlfn.IFS(Table1[[#This Row],[age]]&lt;=17,"0-17",C1950&lt;=29,"18-29",C1950&lt;=44,"30-44",C1950&lt;=59,"45-59",C1950&lt;=74,"60-74",TRUE,"75+")</f>
        <v>45-59</v>
      </c>
      <c r="E1950" t="s">
        <v>17</v>
      </c>
      <c r="F1950">
        <v>6</v>
      </c>
      <c r="G1950" t="str" cm="1">
        <f t="array" ref="G1950">_xlfn.IFS(_xlfn.SINGLE(Table1[imd_decile])&lt;=3,"Most Deprived",F1950&lt;=7,"Moderately Deprived",F1950&lt;=10,"Least Deprived")</f>
        <v>Moderately Deprived</v>
      </c>
      <c r="H1950">
        <v>3.2</v>
      </c>
      <c r="I1950" t="s">
        <v>25</v>
      </c>
      <c r="J1950" t="s">
        <v>19</v>
      </c>
      <c r="K1950" s="1">
        <v>45904</v>
      </c>
      <c r="L1950" s="1">
        <v>45927</v>
      </c>
      <c r="M1950" s="1" t="str">
        <f>TEXT(Table1[[#This Row],[appointment_date]],"MM/YYYY")</f>
        <v>09/2025</v>
      </c>
      <c r="N1950">
        <v>23</v>
      </c>
      <c r="O1950" t="str" cm="1">
        <f t="array" ref="O1950">_xlfn.IFS(Table1[[#This Row],[lead_time_days]]&lt;=7,"0-7 days",N1950&lt;=14,"8-14 days",N1950&lt;=30,"15-30 days",N1950&lt;=60,"31-60 days",TRUE,"61+ days")</f>
        <v>15-30 days</v>
      </c>
      <c r="P1950" t="s">
        <v>55</v>
      </c>
      <c r="Q1950" t="s">
        <v>21</v>
      </c>
      <c r="R1950">
        <v>0</v>
      </c>
      <c r="S1950" t="str">
        <f>IF(Table1[prior_dna_count]&gt;=1,"Has prior DNA history","No prior DNA history")</f>
        <v>No prior DNA history</v>
      </c>
      <c r="T1950" t="s">
        <v>22</v>
      </c>
      <c r="U1950" t="str">
        <f t="shared" si="30"/>
        <v>1</v>
      </c>
      <c r="V1950" t="str">
        <f>IF(Table1[appointment_status]="Attended","1","0")</f>
        <v>1</v>
      </c>
      <c r="W1950" t="str">
        <f>IF(Table1[appointment_status]="Cancelled","1","0")</f>
        <v>0</v>
      </c>
    </row>
    <row r="1951" spans="1:23">
      <c r="A1951" t="s">
        <v>3110</v>
      </c>
      <c r="B1951" t="s">
        <v>2398</v>
      </c>
      <c r="C1951">
        <v>19</v>
      </c>
      <c r="D1951" t="str" cm="1">
        <f t="array" ref="D1951">_xlfn.IFS(Table1[[#This Row],[age]]&lt;=17,"0-17",C1951&lt;=29,"18-29",C1951&lt;=44,"30-44",C1951&lt;=59,"45-59",C1951&lt;=74,"60-74",TRUE,"75+")</f>
        <v>18-29</v>
      </c>
      <c r="E1951" t="s">
        <v>29</v>
      </c>
      <c r="F1951">
        <v>2</v>
      </c>
      <c r="G1951" t="str" cm="1">
        <f t="array" ref="G1951">_xlfn.IFS(_xlfn.SINGLE(Table1[imd_decile])&lt;=3,"Most Deprived",F1951&lt;=7,"Moderately Deprived",F1951&lt;=10,"Least Deprived")</f>
        <v>Most Deprived</v>
      </c>
      <c r="H1951">
        <v>13.2</v>
      </c>
      <c r="I1951" t="s">
        <v>58</v>
      </c>
      <c r="J1951" t="s">
        <v>19</v>
      </c>
      <c r="K1951" s="1">
        <v>45877</v>
      </c>
      <c r="L1951" s="1">
        <v>45927</v>
      </c>
      <c r="M1951" s="1" t="str">
        <f>TEXT(Table1[[#This Row],[appointment_date]],"MM/YYYY")</f>
        <v>09/2025</v>
      </c>
      <c r="N1951">
        <v>50</v>
      </c>
      <c r="O1951" t="str" cm="1">
        <f t="array" ref="O1951">_xlfn.IFS(Table1[[#This Row],[lead_time_days]]&lt;=7,"0-7 days",N1951&lt;=14,"8-14 days",N1951&lt;=30,"15-30 days",N1951&lt;=60,"31-60 days",TRUE,"61+ days")</f>
        <v>31-60 days</v>
      </c>
      <c r="P1951" t="s">
        <v>55</v>
      </c>
      <c r="Q1951" t="s">
        <v>21</v>
      </c>
      <c r="R1951">
        <v>0</v>
      </c>
      <c r="S1951" t="str">
        <f>IF(Table1[prior_dna_count]&gt;=1,"Has prior DNA history","No prior DNA history")</f>
        <v>No prior DNA history</v>
      </c>
      <c r="T1951" t="s">
        <v>22</v>
      </c>
      <c r="U1951" t="str">
        <f t="shared" si="30"/>
        <v>1</v>
      </c>
      <c r="V1951" t="str">
        <f>IF(Table1[appointment_status]="Attended","1","0")</f>
        <v>1</v>
      </c>
      <c r="W1951" t="str">
        <f>IF(Table1[appointment_status]="Cancelled","1","0")</f>
        <v>0</v>
      </c>
    </row>
    <row r="1952" spans="1:23">
      <c r="A1952" t="s">
        <v>3111</v>
      </c>
      <c r="B1952" t="s">
        <v>1919</v>
      </c>
      <c r="C1952">
        <v>18</v>
      </c>
      <c r="D1952" t="str" cm="1">
        <f t="array" ref="D1952">_xlfn.IFS(Table1[[#This Row],[age]]&lt;=17,"0-17",C1952&lt;=29,"18-29",C1952&lt;=44,"30-44",C1952&lt;=59,"45-59",C1952&lt;=74,"60-74",TRUE,"75+")</f>
        <v>18-29</v>
      </c>
      <c r="E1952" t="s">
        <v>17</v>
      </c>
      <c r="F1952">
        <v>3</v>
      </c>
      <c r="G1952" t="str" cm="1">
        <f t="array" ref="G1952">_xlfn.IFS(_xlfn.SINGLE(Table1[imd_decile])&lt;=3,"Most Deprived",F1952&lt;=7,"Moderately Deprived",F1952&lt;=10,"Least Deprived")</f>
        <v>Most Deprived</v>
      </c>
      <c r="H1952">
        <v>23.5</v>
      </c>
      <c r="I1952" t="s">
        <v>25</v>
      </c>
      <c r="J1952" t="s">
        <v>26</v>
      </c>
      <c r="K1952" s="1">
        <v>45900</v>
      </c>
      <c r="L1952" s="1">
        <v>45927</v>
      </c>
      <c r="M1952" s="1" t="str">
        <f>TEXT(Table1[[#This Row],[appointment_date]],"MM/YYYY")</f>
        <v>09/2025</v>
      </c>
      <c r="N1952">
        <v>27</v>
      </c>
      <c r="O1952" t="str" cm="1">
        <f t="array" ref="O1952">_xlfn.IFS(Table1[[#This Row],[lead_time_days]]&lt;=7,"0-7 days",N1952&lt;=14,"8-14 days",N1952&lt;=30,"15-30 days",N1952&lt;=60,"31-60 days",TRUE,"61+ days")</f>
        <v>15-30 days</v>
      </c>
      <c r="P1952" t="s">
        <v>55</v>
      </c>
      <c r="Q1952" t="s">
        <v>21</v>
      </c>
      <c r="R1952">
        <v>0</v>
      </c>
      <c r="S1952" t="str">
        <f>IF(Table1[prior_dna_count]&gt;=1,"Has prior DNA history","No prior DNA history")</f>
        <v>No prior DNA history</v>
      </c>
      <c r="T1952" t="s">
        <v>22</v>
      </c>
      <c r="U1952" t="str">
        <f t="shared" si="30"/>
        <v>1</v>
      </c>
      <c r="V1952" t="str">
        <f>IF(Table1[appointment_status]="Attended","1","0")</f>
        <v>1</v>
      </c>
      <c r="W1952" t="str">
        <f>IF(Table1[appointment_status]="Cancelled","1","0")</f>
        <v>0</v>
      </c>
    </row>
    <row r="1953" spans="1:23">
      <c r="A1953" t="s">
        <v>3112</v>
      </c>
      <c r="B1953" t="s">
        <v>1251</v>
      </c>
      <c r="C1953">
        <v>46</v>
      </c>
      <c r="D1953" t="str" cm="1">
        <f t="array" ref="D1953">_xlfn.IFS(Table1[[#This Row],[age]]&lt;=17,"0-17",C1953&lt;=29,"18-29",C1953&lt;=44,"30-44",C1953&lt;=59,"45-59",C1953&lt;=74,"60-74",TRUE,"75+")</f>
        <v>45-59</v>
      </c>
      <c r="E1953" t="s">
        <v>29</v>
      </c>
      <c r="F1953">
        <v>10</v>
      </c>
      <c r="G1953" t="str" cm="1">
        <f t="array" ref="G1953">_xlfn.IFS(_xlfn.SINGLE(Table1[imd_decile])&lt;=3,"Most Deprived",F1953&lt;=7,"Moderately Deprived",F1953&lt;=10,"Least Deprived")</f>
        <v>Least Deprived</v>
      </c>
      <c r="H1953">
        <v>5.8</v>
      </c>
      <c r="I1953" t="s">
        <v>30</v>
      </c>
      <c r="J1953" t="s">
        <v>19</v>
      </c>
      <c r="K1953" s="1">
        <v>45911</v>
      </c>
      <c r="L1953" s="1">
        <v>45927</v>
      </c>
      <c r="M1953" s="1" t="str">
        <f>TEXT(Table1[[#This Row],[appointment_date]],"MM/YYYY")</f>
        <v>09/2025</v>
      </c>
      <c r="N1953">
        <v>16</v>
      </c>
      <c r="O1953" t="str" cm="1">
        <f t="array" ref="O1953">_xlfn.IFS(Table1[[#This Row],[lead_time_days]]&lt;=7,"0-7 days",N1953&lt;=14,"8-14 days",N1953&lt;=30,"15-30 days",N1953&lt;=60,"31-60 days",TRUE,"61+ days")</f>
        <v>15-30 days</v>
      </c>
      <c r="P1953" t="s">
        <v>55</v>
      </c>
      <c r="Q1953" t="s">
        <v>21</v>
      </c>
      <c r="R1953">
        <v>0</v>
      </c>
      <c r="S1953" t="str">
        <f>IF(Table1[prior_dna_count]&gt;=1,"Has prior DNA history","No prior DNA history")</f>
        <v>No prior DNA history</v>
      </c>
      <c r="T1953" t="s">
        <v>22</v>
      </c>
      <c r="U1953" t="str">
        <f t="shared" si="30"/>
        <v>1</v>
      </c>
      <c r="V1953" t="str">
        <f>IF(Table1[appointment_status]="Attended","1","0")</f>
        <v>1</v>
      </c>
      <c r="W1953" t="str">
        <f>IF(Table1[appointment_status]="Cancelled","1","0")</f>
        <v>0</v>
      </c>
    </row>
    <row r="1954" spans="1:23">
      <c r="A1954" t="s">
        <v>3113</v>
      </c>
      <c r="B1954" t="s">
        <v>3065</v>
      </c>
      <c r="C1954">
        <v>50</v>
      </c>
      <c r="D1954" t="str" cm="1">
        <f t="array" ref="D1954">_xlfn.IFS(Table1[[#This Row],[age]]&lt;=17,"0-17",C1954&lt;=29,"18-29",C1954&lt;=44,"30-44",C1954&lt;=59,"45-59",C1954&lt;=74,"60-74",TRUE,"75+")</f>
        <v>45-59</v>
      </c>
      <c r="E1954" t="s">
        <v>17</v>
      </c>
      <c r="F1954">
        <v>1</v>
      </c>
      <c r="G1954" t="str" cm="1">
        <f t="array" ref="G1954">_xlfn.IFS(_xlfn.SINGLE(Table1[imd_decile])&lt;=3,"Most Deprived",F1954&lt;=7,"Moderately Deprived",F1954&lt;=10,"Least Deprived")</f>
        <v>Most Deprived</v>
      </c>
      <c r="H1954">
        <v>12.4</v>
      </c>
      <c r="I1954" t="s">
        <v>45</v>
      </c>
      <c r="J1954" t="s">
        <v>26</v>
      </c>
      <c r="K1954" s="1">
        <v>45925</v>
      </c>
      <c r="L1954" s="1">
        <v>45927</v>
      </c>
      <c r="M1954" s="1" t="str">
        <f>TEXT(Table1[[#This Row],[appointment_date]],"MM/YYYY")</f>
        <v>09/2025</v>
      </c>
      <c r="N1954">
        <v>2</v>
      </c>
      <c r="O1954" t="str" cm="1">
        <f t="array" ref="O1954">_xlfn.IFS(Table1[[#This Row],[lead_time_days]]&lt;=7,"0-7 days",N1954&lt;=14,"8-14 days",N1954&lt;=30,"15-30 days",N1954&lt;=60,"31-60 days",TRUE,"61+ days")</f>
        <v>0-7 days</v>
      </c>
      <c r="P1954" t="s">
        <v>55</v>
      </c>
      <c r="Q1954" t="s">
        <v>21</v>
      </c>
      <c r="R1954">
        <v>1</v>
      </c>
      <c r="S1954" t="str">
        <f>IF(Table1[prior_dna_count]&gt;=1,"Has prior DNA history","No prior DNA history")</f>
        <v>Has prior DNA history</v>
      </c>
      <c r="T1954" t="s">
        <v>46</v>
      </c>
      <c r="U1954" t="str">
        <f t="shared" si="30"/>
        <v>1</v>
      </c>
      <c r="V1954" t="str">
        <f>IF(Table1[appointment_status]="Attended","1","0")</f>
        <v>0</v>
      </c>
      <c r="W1954" t="str">
        <f>IF(Table1[appointment_status]="Cancelled","1","0")</f>
        <v>1</v>
      </c>
    </row>
    <row r="1955" spans="1:23">
      <c r="A1955" t="s">
        <v>3114</v>
      </c>
      <c r="B1955" t="s">
        <v>3024</v>
      </c>
      <c r="C1955">
        <v>59</v>
      </c>
      <c r="D1955" t="str" cm="1">
        <f t="array" ref="D1955">_xlfn.IFS(Table1[[#This Row],[age]]&lt;=17,"0-17",C1955&lt;=29,"18-29",C1955&lt;=44,"30-44",C1955&lt;=59,"45-59",C1955&lt;=74,"60-74",TRUE,"75+")</f>
        <v>45-59</v>
      </c>
      <c r="E1955" t="s">
        <v>29</v>
      </c>
      <c r="F1955">
        <v>5</v>
      </c>
      <c r="G1955" t="str" cm="1">
        <f t="array" ref="G1955">_xlfn.IFS(_xlfn.SINGLE(Table1[imd_decile])&lt;=3,"Most Deprived",F1955&lt;=7,"Moderately Deprived",F1955&lt;=10,"Least Deprived")</f>
        <v>Moderately Deprived</v>
      </c>
      <c r="H1955">
        <v>2.7</v>
      </c>
      <c r="I1955" t="s">
        <v>45</v>
      </c>
      <c r="J1955" t="s">
        <v>19</v>
      </c>
      <c r="K1955" s="1">
        <v>45890</v>
      </c>
      <c r="L1955" s="1">
        <v>45928</v>
      </c>
      <c r="M1955" s="1" t="str">
        <f>TEXT(Table1[[#This Row],[appointment_date]],"MM/YYYY")</f>
        <v>09/2025</v>
      </c>
      <c r="N1955">
        <v>38</v>
      </c>
      <c r="O1955" t="str" cm="1">
        <f t="array" ref="O1955">_xlfn.IFS(Table1[[#This Row],[lead_time_days]]&lt;=7,"0-7 days",N1955&lt;=14,"8-14 days",N1955&lt;=30,"15-30 days",N1955&lt;=60,"31-60 days",TRUE,"61+ days")</f>
        <v>31-60 days</v>
      </c>
      <c r="P1955" t="s">
        <v>31</v>
      </c>
      <c r="Q1955" t="s">
        <v>21</v>
      </c>
      <c r="R1955">
        <v>0</v>
      </c>
      <c r="S1955" t="str">
        <f>IF(Table1[prior_dna_count]&gt;=1,"Has prior DNA history","No prior DNA history")</f>
        <v>No prior DNA history</v>
      </c>
      <c r="T1955" t="s">
        <v>22</v>
      </c>
      <c r="U1955" t="str">
        <f t="shared" si="30"/>
        <v>0</v>
      </c>
      <c r="V1955" t="str">
        <f>IF(Table1[appointment_status]="Attended","1","0")</f>
        <v>1</v>
      </c>
      <c r="W1955" t="str">
        <f>IF(Table1[appointment_status]="Cancelled","1","0")</f>
        <v>0</v>
      </c>
    </row>
    <row r="1956" spans="1:23">
      <c r="A1956" t="s">
        <v>3115</v>
      </c>
      <c r="B1956" t="s">
        <v>1788</v>
      </c>
      <c r="C1956">
        <v>58</v>
      </c>
      <c r="D1956" t="str" cm="1">
        <f t="array" ref="D1956">_xlfn.IFS(Table1[[#This Row],[age]]&lt;=17,"0-17",C1956&lt;=29,"18-29",C1956&lt;=44,"30-44",C1956&lt;=59,"45-59",C1956&lt;=74,"60-74",TRUE,"75+")</f>
        <v>45-59</v>
      </c>
      <c r="E1956" t="s">
        <v>29</v>
      </c>
      <c r="F1956">
        <v>10</v>
      </c>
      <c r="G1956" t="str" cm="1">
        <f t="array" ref="G1956">_xlfn.IFS(_xlfn.SINGLE(Table1[imd_decile])&lt;=3,"Most Deprived",F1956&lt;=7,"Moderately Deprived",F1956&lt;=10,"Least Deprived")</f>
        <v>Least Deprived</v>
      </c>
      <c r="H1956">
        <v>3.8</v>
      </c>
      <c r="I1956" t="s">
        <v>30</v>
      </c>
      <c r="J1956" t="s">
        <v>19</v>
      </c>
      <c r="K1956" s="1">
        <v>45890</v>
      </c>
      <c r="L1956" s="1">
        <v>45928</v>
      </c>
      <c r="M1956" s="1" t="str">
        <f>TEXT(Table1[[#This Row],[appointment_date]],"MM/YYYY")</f>
        <v>09/2025</v>
      </c>
      <c r="N1956">
        <v>38</v>
      </c>
      <c r="O1956" t="str" cm="1">
        <f t="array" ref="O1956">_xlfn.IFS(Table1[[#This Row],[lead_time_days]]&lt;=7,"0-7 days",N1956&lt;=14,"8-14 days",N1956&lt;=30,"15-30 days",N1956&lt;=60,"31-60 days",TRUE,"61+ days")</f>
        <v>31-60 days</v>
      </c>
      <c r="P1956" t="s">
        <v>31</v>
      </c>
      <c r="Q1956" t="s">
        <v>21</v>
      </c>
      <c r="R1956">
        <v>0</v>
      </c>
      <c r="S1956" t="str">
        <f>IF(Table1[prior_dna_count]&gt;=1,"Has prior DNA history","No prior DNA history")</f>
        <v>No prior DNA history</v>
      </c>
      <c r="T1956" t="s">
        <v>22</v>
      </c>
      <c r="U1956" t="str">
        <f t="shared" si="30"/>
        <v>1</v>
      </c>
      <c r="V1956" t="str">
        <f>IF(Table1[appointment_status]="Attended","1","0")</f>
        <v>1</v>
      </c>
      <c r="W1956" t="str">
        <f>IF(Table1[appointment_status]="Cancelled","1","0")</f>
        <v>0</v>
      </c>
    </row>
    <row r="1957" spans="1:23">
      <c r="A1957" t="s">
        <v>3116</v>
      </c>
      <c r="B1957" t="s">
        <v>663</v>
      </c>
      <c r="C1957">
        <v>68</v>
      </c>
      <c r="D1957" t="str" cm="1">
        <f t="array" ref="D1957">_xlfn.IFS(Table1[[#This Row],[age]]&lt;=17,"0-17",C1957&lt;=29,"18-29",C1957&lt;=44,"30-44",C1957&lt;=59,"45-59",C1957&lt;=74,"60-74",TRUE,"75+")</f>
        <v>60-74</v>
      </c>
      <c r="E1957" t="s">
        <v>17</v>
      </c>
      <c r="F1957">
        <v>2</v>
      </c>
      <c r="G1957" t="str" cm="1">
        <f t="array" ref="G1957">_xlfn.IFS(_xlfn.SINGLE(Table1[imd_decile])&lt;=3,"Most Deprived",F1957&lt;=7,"Moderately Deprived",F1957&lt;=10,"Least Deprived")</f>
        <v>Most Deprived</v>
      </c>
      <c r="H1957">
        <v>15</v>
      </c>
      <c r="I1957" t="s">
        <v>25</v>
      </c>
      <c r="J1957" t="s">
        <v>19</v>
      </c>
      <c r="K1957" s="1">
        <v>45911</v>
      </c>
      <c r="L1957" s="1">
        <v>45928</v>
      </c>
      <c r="M1957" s="1" t="str">
        <f>TEXT(Table1[[#This Row],[appointment_date]],"MM/YYYY")</f>
        <v>09/2025</v>
      </c>
      <c r="N1957">
        <v>17</v>
      </c>
      <c r="O1957" t="str" cm="1">
        <f t="array" ref="O1957">_xlfn.IFS(Table1[[#This Row],[lead_time_days]]&lt;=7,"0-7 days",N1957&lt;=14,"8-14 days",N1957&lt;=30,"15-30 days",N1957&lt;=60,"31-60 days",TRUE,"61+ days")</f>
        <v>15-30 days</v>
      </c>
      <c r="P1957" t="s">
        <v>31</v>
      </c>
      <c r="Q1957" t="s">
        <v>21</v>
      </c>
      <c r="R1957">
        <v>0</v>
      </c>
      <c r="S1957" t="str">
        <f>IF(Table1[prior_dna_count]&gt;=1,"Has prior DNA history","No prior DNA history")</f>
        <v>No prior DNA history</v>
      </c>
      <c r="T1957" t="s">
        <v>22</v>
      </c>
      <c r="U1957" t="str">
        <f t="shared" si="30"/>
        <v>1</v>
      </c>
      <c r="V1957" t="str">
        <f>IF(Table1[appointment_status]="Attended","1","0")</f>
        <v>1</v>
      </c>
      <c r="W1957" t="str">
        <f>IF(Table1[appointment_status]="Cancelled","1","0")</f>
        <v>0</v>
      </c>
    </row>
    <row r="1958" spans="1:23">
      <c r="A1958" t="s">
        <v>3117</v>
      </c>
      <c r="B1958" t="s">
        <v>476</v>
      </c>
      <c r="C1958">
        <v>75</v>
      </c>
      <c r="D1958" t="str" cm="1">
        <f t="array" ref="D1958">_xlfn.IFS(Table1[[#This Row],[age]]&lt;=17,"0-17",C1958&lt;=29,"18-29",C1958&lt;=44,"30-44",C1958&lt;=59,"45-59",C1958&lt;=74,"60-74",TRUE,"75+")</f>
        <v>75+</v>
      </c>
      <c r="E1958" t="s">
        <v>29</v>
      </c>
      <c r="F1958">
        <v>10</v>
      </c>
      <c r="G1958" t="str" cm="1">
        <f t="array" ref="G1958">_xlfn.IFS(_xlfn.SINGLE(Table1[imd_decile])&lt;=3,"Most Deprived",F1958&lt;=7,"Moderately Deprived",F1958&lt;=10,"Least Deprived")</f>
        <v>Least Deprived</v>
      </c>
      <c r="H1958">
        <v>5.5</v>
      </c>
      <c r="I1958" t="s">
        <v>58</v>
      </c>
      <c r="J1958" t="s">
        <v>26</v>
      </c>
      <c r="K1958" s="1">
        <v>45906</v>
      </c>
      <c r="L1958" s="1">
        <v>45928</v>
      </c>
      <c r="M1958" s="1" t="str">
        <f>TEXT(Table1[[#This Row],[appointment_date]],"MM/YYYY")</f>
        <v>09/2025</v>
      </c>
      <c r="N1958">
        <v>22</v>
      </c>
      <c r="O1958" t="str" cm="1">
        <f t="array" ref="O1958">_xlfn.IFS(Table1[[#This Row],[lead_time_days]]&lt;=7,"0-7 days",N1958&lt;=14,"8-14 days",N1958&lt;=30,"15-30 days",N1958&lt;=60,"31-60 days",TRUE,"61+ days")</f>
        <v>15-30 days</v>
      </c>
      <c r="P1958" t="s">
        <v>31</v>
      </c>
      <c r="Q1958" t="s">
        <v>21</v>
      </c>
      <c r="R1958">
        <v>0</v>
      </c>
      <c r="S1958" t="str">
        <f>IF(Table1[prior_dna_count]&gt;=1,"Has prior DNA history","No prior DNA history")</f>
        <v>No prior DNA history</v>
      </c>
      <c r="T1958" t="s">
        <v>22</v>
      </c>
      <c r="U1958" t="str">
        <f t="shared" si="30"/>
        <v>1</v>
      </c>
      <c r="V1958" t="str">
        <f>IF(Table1[appointment_status]="Attended","1","0")</f>
        <v>1</v>
      </c>
      <c r="W1958" t="str">
        <f>IF(Table1[appointment_status]="Cancelled","1","0")</f>
        <v>0</v>
      </c>
    </row>
    <row r="1959" spans="1:23">
      <c r="A1959" t="s">
        <v>3118</v>
      </c>
      <c r="B1959" t="s">
        <v>3119</v>
      </c>
      <c r="C1959">
        <v>56</v>
      </c>
      <c r="D1959" t="str" cm="1">
        <f t="array" ref="D1959">_xlfn.IFS(Table1[[#This Row],[age]]&lt;=17,"0-17",C1959&lt;=29,"18-29",C1959&lt;=44,"30-44",C1959&lt;=59,"45-59",C1959&lt;=74,"60-74",TRUE,"75+")</f>
        <v>45-59</v>
      </c>
      <c r="E1959" t="s">
        <v>29</v>
      </c>
      <c r="F1959">
        <v>1</v>
      </c>
      <c r="G1959" t="str" cm="1">
        <f t="array" ref="G1959">_xlfn.IFS(_xlfn.SINGLE(Table1[imd_decile])&lt;=3,"Most Deprived",F1959&lt;=7,"Moderately Deprived",F1959&lt;=10,"Least Deprived")</f>
        <v>Most Deprived</v>
      </c>
      <c r="H1959">
        <v>9.6</v>
      </c>
      <c r="I1959" t="s">
        <v>25</v>
      </c>
      <c r="J1959" t="s">
        <v>19</v>
      </c>
      <c r="K1959" s="1">
        <v>45892</v>
      </c>
      <c r="L1959" s="1">
        <v>45928</v>
      </c>
      <c r="M1959" s="1" t="str">
        <f>TEXT(Table1[[#This Row],[appointment_date]],"MM/YYYY")</f>
        <v>09/2025</v>
      </c>
      <c r="N1959">
        <v>36</v>
      </c>
      <c r="O1959" t="str" cm="1">
        <f t="array" ref="O1959">_xlfn.IFS(Table1[[#This Row],[lead_time_days]]&lt;=7,"0-7 days",N1959&lt;=14,"8-14 days",N1959&lt;=30,"15-30 days",N1959&lt;=60,"31-60 days",TRUE,"61+ days")</f>
        <v>31-60 days</v>
      </c>
      <c r="P1959" t="s">
        <v>31</v>
      </c>
      <c r="Q1959" t="s">
        <v>21</v>
      </c>
      <c r="R1959">
        <v>0</v>
      </c>
      <c r="S1959" t="str">
        <f>IF(Table1[prior_dna_count]&gt;=1,"Has prior DNA history","No prior DNA history")</f>
        <v>No prior DNA history</v>
      </c>
      <c r="T1959" t="s">
        <v>22</v>
      </c>
      <c r="U1959" t="str">
        <f t="shared" si="30"/>
        <v>1</v>
      </c>
      <c r="V1959" t="str">
        <f>IF(Table1[appointment_status]="Attended","1","0")</f>
        <v>1</v>
      </c>
      <c r="W1959" t="str">
        <f>IF(Table1[appointment_status]="Cancelled","1","0")</f>
        <v>0</v>
      </c>
    </row>
    <row r="1960" spans="1:23">
      <c r="A1960" t="s">
        <v>3120</v>
      </c>
      <c r="B1960" t="s">
        <v>974</v>
      </c>
      <c r="C1960">
        <v>24</v>
      </c>
      <c r="D1960" t="str" cm="1">
        <f t="array" ref="D1960">_xlfn.IFS(Table1[[#This Row],[age]]&lt;=17,"0-17",C1960&lt;=29,"18-29",C1960&lt;=44,"30-44",C1960&lt;=59,"45-59",C1960&lt;=74,"60-74",TRUE,"75+")</f>
        <v>18-29</v>
      </c>
      <c r="E1960" t="s">
        <v>29</v>
      </c>
      <c r="F1960">
        <v>8</v>
      </c>
      <c r="G1960" t="str" cm="1">
        <f t="array" ref="G1960">_xlfn.IFS(_xlfn.SINGLE(Table1[imd_decile])&lt;=3,"Most Deprived",F1960&lt;=7,"Moderately Deprived",F1960&lt;=10,"Least Deprived")</f>
        <v>Least Deprived</v>
      </c>
      <c r="H1960">
        <v>13.4</v>
      </c>
      <c r="I1960" t="s">
        <v>58</v>
      </c>
      <c r="J1960" t="s">
        <v>19</v>
      </c>
      <c r="K1960" s="1">
        <v>45896</v>
      </c>
      <c r="L1960" s="1">
        <v>45928</v>
      </c>
      <c r="M1960" s="1" t="str">
        <f>TEXT(Table1[[#This Row],[appointment_date]],"MM/YYYY")</f>
        <v>09/2025</v>
      </c>
      <c r="N1960">
        <v>32</v>
      </c>
      <c r="O1960" t="str" cm="1">
        <f t="array" ref="O1960">_xlfn.IFS(Table1[[#This Row],[lead_time_days]]&lt;=7,"0-7 days",N1960&lt;=14,"8-14 days",N1960&lt;=30,"15-30 days",N1960&lt;=60,"31-60 days",TRUE,"61+ days")</f>
        <v>31-60 days</v>
      </c>
      <c r="P1960" t="s">
        <v>31</v>
      </c>
      <c r="Q1960" t="s">
        <v>21</v>
      </c>
      <c r="R1960">
        <v>0</v>
      </c>
      <c r="S1960" t="str">
        <f>IF(Table1[prior_dna_count]&gt;=1,"Has prior DNA history","No prior DNA history")</f>
        <v>No prior DNA history</v>
      </c>
      <c r="T1960" t="s">
        <v>22</v>
      </c>
      <c r="U1960" t="str">
        <f t="shared" si="30"/>
        <v>1</v>
      </c>
      <c r="V1960" t="str">
        <f>IF(Table1[appointment_status]="Attended","1","0")</f>
        <v>1</v>
      </c>
      <c r="W1960" t="str">
        <f>IF(Table1[appointment_status]="Cancelled","1","0")</f>
        <v>0</v>
      </c>
    </row>
    <row r="1961" spans="1:23">
      <c r="A1961" t="s">
        <v>3121</v>
      </c>
      <c r="B1961" t="s">
        <v>3122</v>
      </c>
      <c r="C1961">
        <v>18</v>
      </c>
      <c r="D1961" t="str" cm="1">
        <f t="array" ref="D1961">_xlfn.IFS(Table1[[#This Row],[age]]&lt;=17,"0-17",C1961&lt;=29,"18-29",C1961&lt;=44,"30-44",C1961&lt;=59,"45-59",C1961&lt;=74,"60-74",TRUE,"75+")</f>
        <v>18-29</v>
      </c>
      <c r="E1961" t="s">
        <v>29</v>
      </c>
      <c r="F1961">
        <v>4</v>
      </c>
      <c r="G1961" t="str" cm="1">
        <f t="array" ref="G1961">_xlfn.IFS(_xlfn.SINGLE(Table1[imd_decile])&lt;=3,"Most Deprived",F1961&lt;=7,"Moderately Deprived",F1961&lt;=10,"Least Deprived")</f>
        <v>Moderately Deprived</v>
      </c>
      <c r="H1961">
        <v>21.8</v>
      </c>
      <c r="I1961" t="s">
        <v>38</v>
      </c>
      <c r="J1961" t="s">
        <v>26</v>
      </c>
      <c r="K1961" s="1">
        <v>45917</v>
      </c>
      <c r="L1961" s="1">
        <v>45928</v>
      </c>
      <c r="M1961" s="1" t="str">
        <f>TEXT(Table1[[#This Row],[appointment_date]],"MM/YYYY")</f>
        <v>09/2025</v>
      </c>
      <c r="N1961">
        <v>11</v>
      </c>
      <c r="O1961" t="str" cm="1">
        <f t="array" ref="O1961">_xlfn.IFS(Table1[[#This Row],[lead_time_days]]&lt;=7,"0-7 days",N1961&lt;=14,"8-14 days",N1961&lt;=30,"15-30 days",N1961&lt;=60,"31-60 days",TRUE,"61+ days")</f>
        <v>8-14 days</v>
      </c>
      <c r="P1961" t="s">
        <v>31</v>
      </c>
      <c r="Q1961" t="s">
        <v>21</v>
      </c>
      <c r="R1961">
        <v>0</v>
      </c>
      <c r="S1961" t="str">
        <f>IF(Table1[prior_dna_count]&gt;=1,"Has prior DNA history","No prior DNA history")</f>
        <v>No prior DNA history</v>
      </c>
      <c r="T1961" t="s">
        <v>46</v>
      </c>
      <c r="U1961" t="str">
        <f t="shared" si="30"/>
        <v>1</v>
      </c>
      <c r="V1961" t="str">
        <f>IF(Table1[appointment_status]="Attended","1","0")</f>
        <v>0</v>
      </c>
      <c r="W1961" t="str">
        <f>IF(Table1[appointment_status]="Cancelled","1","0")</f>
        <v>1</v>
      </c>
    </row>
    <row r="1962" spans="1:23">
      <c r="A1962" t="s">
        <v>3123</v>
      </c>
      <c r="B1962" t="s">
        <v>1449</v>
      </c>
      <c r="C1962">
        <v>10</v>
      </c>
      <c r="D1962" t="str" cm="1">
        <f t="array" ref="D1962">_xlfn.IFS(Table1[[#This Row],[age]]&lt;=17,"0-17",C1962&lt;=29,"18-29",C1962&lt;=44,"30-44",C1962&lt;=59,"45-59",C1962&lt;=74,"60-74",TRUE,"75+")</f>
        <v>0-17</v>
      </c>
      <c r="E1962" t="s">
        <v>29</v>
      </c>
      <c r="F1962">
        <v>7</v>
      </c>
      <c r="G1962" t="str" cm="1">
        <f t="array" ref="G1962">_xlfn.IFS(_xlfn.SINGLE(Table1[imd_decile])&lt;=3,"Most Deprived",F1962&lt;=7,"Moderately Deprived",F1962&lt;=10,"Least Deprived")</f>
        <v>Moderately Deprived</v>
      </c>
      <c r="H1962">
        <v>10.9</v>
      </c>
      <c r="I1962" t="s">
        <v>49</v>
      </c>
      <c r="J1962" t="s">
        <v>19</v>
      </c>
      <c r="K1962" s="1">
        <v>45856</v>
      </c>
      <c r="L1962" s="1">
        <v>45928</v>
      </c>
      <c r="M1962" s="1" t="str">
        <f>TEXT(Table1[[#This Row],[appointment_date]],"MM/YYYY")</f>
        <v>09/2025</v>
      </c>
      <c r="N1962">
        <v>72</v>
      </c>
      <c r="O1962" t="str" cm="1">
        <f t="array" ref="O1962">_xlfn.IFS(Table1[[#This Row],[lead_time_days]]&lt;=7,"0-7 days",N1962&lt;=14,"8-14 days",N1962&lt;=30,"15-30 days",N1962&lt;=60,"31-60 days",TRUE,"61+ days")</f>
        <v>61+ days</v>
      </c>
      <c r="P1962" t="s">
        <v>31</v>
      </c>
      <c r="Q1962" t="s">
        <v>32</v>
      </c>
      <c r="R1962">
        <v>0</v>
      </c>
      <c r="S1962" t="str">
        <f>IF(Table1[prior_dna_count]&gt;=1,"Has prior DNA history","No prior DNA history")</f>
        <v>No prior DNA history</v>
      </c>
      <c r="T1962" t="s">
        <v>39</v>
      </c>
      <c r="U1962" t="str">
        <f t="shared" si="30"/>
        <v>0</v>
      </c>
      <c r="V1962" t="str">
        <f>IF(Table1[appointment_status]="Attended","1","0")</f>
        <v>0</v>
      </c>
      <c r="W1962" t="str">
        <f>IF(Table1[appointment_status]="Cancelled","1","0")</f>
        <v>0</v>
      </c>
    </row>
    <row r="1963" spans="1:23">
      <c r="A1963" t="s">
        <v>3124</v>
      </c>
      <c r="B1963" t="s">
        <v>2897</v>
      </c>
      <c r="C1963">
        <v>53</v>
      </c>
      <c r="D1963" t="str" cm="1">
        <f t="array" ref="D1963">_xlfn.IFS(Table1[[#This Row],[age]]&lt;=17,"0-17",C1963&lt;=29,"18-29",C1963&lt;=44,"30-44",C1963&lt;=59,"45-59",C1963&lt;=74,"60-74",TRUE,"75+")</f>
        <v>45-59</v>
      </c>
      <c r="E1963" t="s">
        <v>29</v>
      </c>
      <c r="F1963">
        <v>10</v>
      </c>
      <c r="G1963" t="str" cm="1">
        <f t="array" ref="G1963">_xlfn.IFS(_xlfn.SINGLE(Table1[imd_decile])&lt;=3,"Most Deprived",F1963&lt;=7,"Moderately Deprived",F1963&lt;=10,"Least Deprived")</f>
        <v>Least Deprived</v>
      </c>
      <c r="H1963">
        <v>2.4</v>
      </c>
      <c r="I1963" t="s">
        <v>25</v>
      </c>
      <c r="J1963" t="s">
        <v>19</v>
      </c>
      <c r="K1963" s="1">
        <v>45903</v>
      </c>
      <c r="L1963" s="1">
        <v>45928</v>
      </c>
      <c r="M1963" s="1" t="str">
        <f>TEXT(Table1[[#This Row],[appointment_date]],"MM/YYYY")</f>
        <v>09/2025</v>
      </c>
      <c r="N1963">
        <v>25</v>
      </c>
      <c r="O1963" t="str" cm="1">
        <f t="array" ref="O1963">_xlfn.IFS(Table1[[#This Row],[lead_time_days]]&lt;=7,"0-7 days",N1963&lt;=14,"8-14 days",N1963&lt;=30,"15-30 days",N1963&lt;=60,"31-60 days",TRUE,"61+ days")</f>
        <v>15-30 days</v>
      </c>
      <c r="P1963" t="s">
        <v>31</v>
      </c>
      <c r="Q1963" t="s">
        <v>21</v>
      </c>
      <c r="R1963">
        <v>0</v>
      </c>
      <c r="S1963" t="str">
        <f>IF(Table1[prior_dna_count]&gt;=1,"Has prior DNA history","No prior DNA history")</f>
        <v>No prior DNA history</v>
      </c>
      <c r="T1963" t="s">
        <v>22</v>
      </c>
      <c r="U1963" t="str">
        <f t="shared" si="30"/>
        <v>0</v>
      </c>
      <c r="V1963" t="str">
        <f>IF(Table1[appointment_status]="Attended","1","0")</f>
        <v>1</v>
      </c>
      <c r="W1963" t="str">
        <f>IF(Table1[appointment_status]="Cancelled","1","0")</f>
        <v>0</v>
      </c>
    </row>
    <row r="1964" spans="1:23">
      <c r="A1964" t="s">
        <v>3125</v>
      </c>
      <c r="B1964" t="s">
        <v>1821</v>
      </c>
      <c r="C1964">
        <v>80</v>
      </c>
      <c r="D1964" t="str" cm="1">
        <f t="array" ref="D1964">_xlfn.IFS(Table1[[#This Row],[age]]&lt;=17,"0-17",C1964&lt;=29,"18-29",C1964&lt;=44,"30-44",C1964&lt;=59,"45-59",C1964&lt;=74,"60-74",TRUE,"75+")</f>
        <v>75+</v>
      </c>
      <c r="E1964" t="s">
        <v>17</v>
      </c>
      <c r="F1964">
        <v>2</v>
      </c>
      <c r="G1964" t="str" cm="1">
        <f t="array" ref="G1964">_xlfn.IFS(_xlfn.SINGLE(Table1[imd_decile])&lt;=3,"Most Deprived",F1964&lt;=7,"Moderately Deprived",F1964&lt;=10,"Least Deprived")</f>
        <v>Most Deprived</v>
      </c>
      <c r="H1964">
        <v>1.5</v>
      </c>
      <c r="I1964" t="s">
        <v>45</v>
      </c>
      <c r="J1964" t="s">
        <v>19</v>
      </c>
      <c r="K1964" s="1">
        <v>45901</v>
      </c>
      <c r="L1964" s="1">
        <v>45929</v>
      </c>
      <c r="M1964" s="1" t="str">
        <f>TEXT(Table1[[#This Row],[appointment_date]],"MM/YYYY")</f>
        <v>09/2025</v>
      </c>
      <c r="N1964">
        <v>28</v>
      </c>
      <c r="O1964" t="str" cm="1">
        <f t="array" ref="O1964">_xlfn.IFS(Table1[[#This Row],[lead_time_days]]&lt;=7,"0-7 days",N1964&lt;=14,"8-14 days",N1964&lt;=30,"15-30 days",N1964&lt;=60,"31-60 days",TRUE,"61+ days")</f>
        <v>15-30 days</v>
      </c>
      <c r="P1964" t="s">
        <v>35</v>
      </c>
      <c r="Q1964" t="s">
        <v>21</v>
      </c>
      <c r="R1964">
        <v>0</v>
      </c>
      <c r="S1964" t="str">
        <f>IF(Table1[prior_dna_count]&gt;=1,"Has prior DNA history","No prior DNA history")</f>
        <v>No prior DNA history</v>
      </c>
      <c r="T1964" t="s">
        <v>46</v>
      </c>
      <c r="U1964" t="str">
        <f t="shared" si="30"/>
        <v>1</v>
      </c>
      <c r="V1964" t="str">
        <f>IF(Table1[appointment_status]="Attended","1","0")</f>
        <v>0</v>
      </c>
      <c r="W1964" t="str">
        <f>IF(Table1[appointment_status]="Cancelled","1","0")</f>
        <v>1</v>
      </c>
    </row>
    <row r="1965" spans="1:23">
      <c r="A1965" t="s">
        <v>3126</v>
      </c>
      <c r="B1965" t="s">
        <v>1310</v>
      </c>
      <c r="C1965">
        <v>73</v>
      </c>
      <c r="D1965" t="str" cm="1">
        <f t="array" ref="D1965">_xlfn.IFS(Table1[[#This Row],[age]]&lt;=17,"0-17",C1965&lt;=29,"18-29",C1965&lt;=44,"30-44",C1965&lt;=59,"45-59",C1965&lt;=74,"60-74",TRUE,"75+")</f>
        <v>60-74</v>
      </c>
      <c r="E1965" t="s">
        <v>29</v>
      </c>
      <c r="F1965">
        <v>3</v>
      </c>
      <c r="G1965" t="str" cm="1">
        <f t="array" ref="G1965">_xlfn.IFS(_xlfn.SINGLE(Table1[imd_decile])&lt;=3,"Most Deprived",F1965&lt;=7,"Moderately Deprived",F1965&lt;=10,"Least Deprived")</f>
        <v>Most Deprived</v>
      </c>
      <c r="H1965">
        <v>4.9000000000000004</v>
      </c>
      <c r="I1965" t="s">
        <v>91</v>
      </c>
      <c r="J1965" t="s">
        <v>19</v>
      </c>
      <c r="K1965" s="1">
        <v>45908</v>
      </c>
      <c r="L1965" s="1">
        <v>45929</v>
      </c>
      <c r="M1965" s="1" t="str">
        <f>TEXT(Table1[[#This Row],[appointment_date]],"MM/YYYY")</f>
        <v>09/2025</v>
      </c>
      <c r="N1965">
        <v>21</v>
      </c>
      <c r="O1965" t="str" cm="1">
        <f t="array" ref="O1965">_xlfn.IFS(Table1[[#This Row],[lead_time_days]]&lt;=7,"0-7 days",N1965&lt;=14,"8-14 days",N1965&lt;=30,"15-30 days",N1965&lt;=60,"31-60 days",TRUE,"61+ days")</f>
        <v>15-30 days</v>
      </c>
      <c r="P1965" t="s">
        <v>35</v>
      </c>
      <c r="Q1965" t="s">
        <v>21</v>
      </c>
      <c r="R1965">
        <v>0</v>
      </c>
      <c r="S1965" t="str">
        <f>IF(Table1[prior_dna_count]&gt;=1,"Has prior DNA history","No prior DNA history")</f>
        <v>No prior DNA history</v>
      </c>
      <c r="T1965" t="s">
        <v>22</v>
      </c>
      <c r="U1965" t="str">
        <f t="shared" si="30"/>
        <v>0</v>
      </c>
      <c r="V1965" t="str">
        <f>IF(Table1[appointment_status]="Attended","1","0")</f>
        <v>1</v>
      </c>
      <c r="W1965" t="str">
        <f>IF(Table1[appointment_status]="Cancelled","1","0")</f>
        <v>0</v>
      </c>
    </row>
    <row r="1966" spans="1:23">
      <c r="A1966" t="s">
        <v>3127</v>
      </c>
      <c r="B1966" t="s">
        <v>2338</v>
      </c>
      <c r="C1966">
        <v>58</v>
      </c>
      <c r="D1966" t="str" cm="1">
        <f t="array" ref="D1966">_xlfn.IFS(Table1[[#This Row],[age]]&lt;=17,"0-17",C1966&lt;=29,"18-29",C1966&lt;=44,"30-44",C1966&lt;=59,"45-59",C1966&lt;=74,"60-74",TRUE,"75+")</f>
        <v>45-59</v>
      </c>
      <c r="E1966" t="s">
        <v>29</v>
      </c>
      <c r="F1966">
        <v>6</v>
      </c>
      <c r="G1966" t="str" cm="1">
        <f t="array" ref="G1966">_xlfn.IFS(_xlfn.SINGLE(Table1[imd_decile])&lt;=3,"Most Deprived",F1966&lt;=7,"Moderately Deprived",F1966&lt;=10,"Least Deprived")</f>
        <v>Moderately Deprived</v>
      </c>
      <c r="H1966">
        <v>8.5</v>
      </c>
      <c r="I1966" t="s">
        <v>42</v>
      </c>
      <c r="J1966" t="s">
        <v>19</v>
      </c>
      <c r="K1966" s="1">
        <v>45891</v>
      </c>
      <c r="L1966" s="1">
        <v>45929</v>
      </c>
      <c r="M1966" s="1" t="str">
        <f>TEXT(Table1[[#This Row],[appointment_date]],"MM/YYYY")</f>
        <v>09/2025</v>
      </c>
      <c r="N1966">
        <v>38</v>
      </c>
      <c r="O1966" t="str" cm="1">
        <f t="array" ref="O1966">_xlfn.IFS(Table1[[#This Row],[lead_time_days]]&lt;=7,"0-7 days",N1966&lt;=14,"8-14 days",N1966&lt;=30,"15-30 days",N1966&lt;=60,"31-60 days",TRUE,"61+ days")</f>
        <v>31-60 days</v>
      </c>
      <c r="P1966" t="s">
        <v>35</v>
      </c>
      <c r="Q1966" t="s">
        <v>32</v>
      </c>
      <c r="R1966">
        <v>0</v>
      </c>
      <c r="S1966" t="str">
        <f>IF(Table1[prior_dna_count]&gt;=1,"Has prior DNA history","No prior DNA history")</f>
        <v>No prior DNA history</v>
      </c>
      <c r="T1966" t="s">
        <v>22</v>
      </c>
      <c r="U1966" t="str">
        <f t="shared" si="30"/>
        <v>1</v>
      </c>
      <c r="V1966" t="str">
        <f>IF(Table1[appointment_status]="Attended","1","0")</f>
        <v>1</v>
      </c>
      <c r="W1966" t="str">
        <f>IF(Table1[appointment_status]="Cancelled","1","0")</f>
        <v>0</v>
      </c>
    </row>
    <row r="1967" spans="1:23">
      <c r="A1967" t="s">
        <v>3128</v>
      </c>
      <c r="B1967" t="s">
        <v>3129</v>
      </c>
      <c r="C1967">
        <v>64</v>
      </c>
      <c r="D1967" t="str" cm="1">
        <f t="array" ref="D1967">_xlfn.IFS(Table1[[#This Row],[age]]&lt;=17,"0-17",C1967&lt;=29,"18-29",C1967&lt;=44,"30-44",C1967&lt;=59,"45-59",C1967&lt;=74,"60-74",TRUE,"75+")</f>
        <v>60-74</v>
      </c>
      <c r="E1967" t="s">
        <v>17</v>
      </c>
      <c r="F1967">
        <v>10</v>
      </c>
      <c r="G1967" t="str" cm="1">
        <f t="array" ref="G1967">_xlfn.IFS(_xlfn.SINGLE(Table1[imd_decile])&lt;=3,"Most Deprived",F1967&lt;=7,"Moderately Deprived",F1967&lt;=10,"Least Deprived")</f>
        <v>Least Deprived</v>
      </c>
      <c r="H1967">
        <v>4</v>
      </c>
      <c r="I1967" t="s">
        <v>155</v>
      </c>
      <c r="J1967" t="s">
        <v>19</v>
      </c>
      <c r="K1967" s="1">
        <v>45879</v>
      </c>
      <c r="L1967" s="1">
        <v>45929</v>
      </c>
      <c r="M1967" s="1" t="str">
        <f>TEXT(Table1[[#This Row],[appointment_date]],"MM/YYYY")</f>
        <v>09/2025</v>
      </c>
      <c r="N1967">
        <v>50</v>
      </c>
      <c r="O1967" t="str" cm="1">
        <f t="array" ref="O1967">_xlfn.IFS(Table1[[#This Row],[lead_time_days]]&lt;=7,"0-7 days",N1967&lt;=14,"8-14 days",N1967&lt;=30,"15-30 days",N1967&lt;=60,"31-60 days",TRUE,"61+ days")</f>
        <v>31-60 days</v>
      </c>
      <c r="P1967" t="s">
        <v>35</v>
      </c>
      <c r="Q1967" t="s">
        <v>21</v>
      </c>
      <c r="R1967">
        <v>0</v>
      </c>
      <c r="S1967" t="str">
        <f>IF(Table1[prior_dna_count]&gt;=1,"Has prior DNA history","No prior DNA history")</f>
        <v>No prior DNA history</v>
      </c>
      <c r="T1967" t="s">
        <v>22</v>
      </c>
      <c r="U1967" t="str">
        <f t="shared" si="30"/>
        <v>1</v>
      </c>
      <c r="V1967" t="str">
        <f>IF(Table1[appointment_status]="Attended","1","0")</f>
        <v>1</v>
      </c>
      <c r="W1967" t="str">
        <f>IF(Table1[appointment_status]="Cancelled","1","0")</f>
        <v>0</v>
      </c>
    </row>
    <row r="1968" spans="1:23">
      <c r="A1968" t="s">
        <v>3130</v>
      </c>
      <c r="B1968" t="s">
        <v>3131</v>
      </c>
      <c r="C1968">
        <v>62</v>
      </c>
      <c r="D1968" t="str" cm="1">
        <f t="array" ref="D1968">_xlfn.IFS(Table1[[#This Row],[age]]&lt;=17,"0-17",C1968&lt;=29,"18-29",C1968&lt;=44,"30-44",C1968&lt;=59,"45-59",C1968&lt;=74,"60-74",TRUE,"75+")</f>
        <v>60-74</v>
      </c>
      <c r="E1968" t="s">
        <v>17</v>
      </c>
      <c r="F1968">
        <v>7</v>
      </c>
      <c r="G1968" t="str" cm="1">
        <f t="array" ref="G1968">_xlfn.IFS(_xlfn.SINGLE(Table1[imd_decile])&lt;=3,"Most Deprived",F1968&lt;=7,"Moderately Deprived",F1968&lt;=10,"Least Deprived")</f>
        <v>Moderately Deprived</v>
      </c>
      <c r="H1968">
        <v>5.5</v>
      </c>
      <c r="I1968" t="s">
        <v>25</v>
      </c>
      <c r="J1968" t="s">
        <v>26</v>
      </c>
      <c r="K1968" s="1">
        <v>45900</v>
      </c>
      <c r="L1968" s="1">
        <v>45929</v>
      </c>
      <c r="M1968" s="1" t="str">
        <f>TEXT(Table1[[#This Row],[appointment_date]],"MM/YYYY")</f>
        <v>09/2025</v>
      </c>
      <c r="N1968">
        <v>29</v>
      </c>
      <c r="O1968" t="str" cm="1">
        <f t="array" ref="O1968">_xlfn.IFS(Table1[[#This Row],[lead_time_days]]&lt;=7,"0-7 days",N1968&lt;=14,"8-14 days",N1968&lt;=30,"15-30 days",N1968&lt;=60,"31-60 days",TRUE,"61+ days")</f>
        <v>15-30 days</v>
      </c>
      <c r="P1968" t="s">
        <v>35</v>
      </c>
      <c r="Q1968" t="s">
        <v>21</v>
      </c>
      <c r="R1968">
        <v>0</v>
      </c>
      <c r="S1968" t="str">
        <f>IF(Table1[prior_dna_count]&gt;=1,"Has prior DNA history","No prior DNA history")</f>
        <v>No prior DNA history</v>
      </c>
      <c r="T1968" t="s">
        <v>22</v>
      </c>
      <c r="U1968" t="str">
        <f t="shared" si="30"/>
        <v>1</v>
      </c>
      <c r="V1968" t="str">
        <f>IF(Table1[appointment_status]="Attended","1","0")</f>
        <v>1</v>
      </c>
      <c r="W1968" t="str">
        <f>IF(Table1[appointment_status]="Cancelled","1","0")</f>
        <v>0</v>
      </c>
    </row>
    <row r="1969" spans="1:23">
      <c r="A1969" t="s">
        <v>3132</v>
      </c>
      <c r="B1969" t="s">
        <v>3133</v>
      </c>
      <c r="C1969">
        <v>87</v>
      </c>
      <c r="D1969" t="str" cm="1">
        <f t="array" ref="D1969">_xlfn.IFS(Table1[[#This Row],[age]]&lt;=17,"0-17",C1969&lt;=29,"18-29",C1969&lt;=44,"30-44",C1969&lt;=59,"45-59",C1969&lt;=74,"60-74",TRUE,"75+")</f>
        <v>75+</v>
      </c>
      <c r="E1969" t="s">
        <v>17</v>
      </c>
      <c r="F1969">
        <v>7</v>
      </c>
      <c r="G1969" t="str" cm="1">
        <f t="array" ref="G1969">_xlfn.IFS(_xlfn.SINGLE(Table1[imd_decile])&lt;=3,"Most Deprived",F1969&lt;=7,"Moderately Deprived",F1969&lt;=10,"Least Deprived")</f>
        <v>Moderately Deprived</v>
      </c>
      <c r="H1969">
        <v>15</v>
      </c>
      <c r="I1969" t="s">
        <v>91</v>
      </c>
      <c r="J1969" t="s">
        <v>19</v>
      </c>
      <c r="K1969" s="1">
        <v>45905</v>
      </c>
      <c r="L1969" s="1">
        <v>45929</v>
      </c>
      <c r="M1969" s="1" t="str">
        <f>TEXT(Table1[[#This Row],[appointment_date]],"MM/YYYY")</f>
        <v>09/2025</v>
      </c>
      <c r="N1969">
        <v>24</v>
      </c>
      <c r="O1969" t="str" cm="1">
        <f t="array" ref="O1969">_xlfn.IFS(Table1[[#This Row],[lead_time_days]]&lt;=7,"0-7 days",N1969&lt;=14,"8-14 days",N1969&lt;=30,"15-30 days",N1969&lt;=60,"31-60 days",TRUE,"61+ days")</f>
        <v>15-30 days</v>
      </c>
      <c r="P1969" t="s">
        <v>35</v>
      </c>
      <c r="Q1969" t="s">
        <v>21</v>
      </c>
      <c r="R1969">
        <v>0</v>
      </c>
      <c r="S1969" t="str">
        <f>IF(Table1[prior_dna_count]&gt;=1,"Has prior DNA history","No prior DNA history")</f>
        <v>No prior DNA history</v>
      </c>
      <c r="T1969" t="s">
        <v>22</v>
      </c>
      <c r="U1969" t="str">
        <f t="shared" si="30"/>
        <v>1</v>
      </c>
      <c r="V1969" t="str">
        <f>IF(Table1[appointment_status]="Attended","1","0")</f>
        <v>1</v>
      </c>
      <c r="W1969" t="str">
        <f>IF(Table1[appointment_status]="Cancelled","1","0")</f>
        <v>0</v>
      </c>
    </row>
    <row r="1970" spans="1:23">
      <c r="A1970" t="s">
        <v>3134</v>
      </c>
      <c r="B1970" t="s">
        <v>2214</v>
      </c>
      <c r="C1970">
        <v>37</v>
      </c>
      <c r="D1970" t="str" cm="1">
        <f t="array" ref="D1970">_xlfn.IFS(Table1[[#This Row],[age]]&lt;=17,"0-17",C1970&lt;=29,"18-29",C1970&lt;=44,"30-44",C1970&lt;=59,"45-59",C1970&lt;=74,"60-74",TRUE,"75+")</f>
        <v>30-44</v>
      </c>
      <c r="E1970" t="s">
        <v>29</v>
      </c>
      <c r="F1970">
        <v>1</v>
      </c>
      <c r="G1970" t="str" cm="1">
        <f t="array" ref="G1970">_xlfn.IFS(_xlfn.SINGLE(Table1[imd_decile])&lt;=3,"Most Deprived",F1970&lt;=7,"Moderately Deprived",F1970&lt;=10,"Least Deprived")</f>
        <v>Most Deprived</v>
      </c>
      <c r="H1970">
        <v>8.8000000000000007</v>
      </c>
      <c r="I1970" t="s">
        <v>25</v>
      </c>
      <c r="J1970" t="s">
        <v>19</v>
      </c>
      <c r="K1970" s="1">
        <v>45874</v>
      </c>
      <c r="L1970" s="1">
        <v>45930</v>
      </c>
      <c r="M1970" s="1" t="str">
        <f>TEXT(Table1[[#This Row],[appointment_date]],"MM/YYYY")</f>
        <v>09/2025</v>
      </c>
      <c r="N1970">
        <v>56</v>
      </c>
      <c r="O1970" t="str" cm="1">
        <f t="array" ref="O1970">_xlfn.IFS(Table1[[#This Row],[lead_time_days]]&lt;=7,"0-7 days",N1970&lt;=14,"8-14 days",N1970&lt;=30,"15-30 days",N1970&lt;=60,"31-60 days",TRUE,"61+ days")</f>
        <v>31-60 days</v>
      </c>
      <c r="P1970" t="s">
        <v>71</v>
      </c>
      <c r="Q1970" t="s">
        <v>21</v>
      </c>
      <c r="R1970">
        <v>0</v>
      </c>
      <c r="S1970" t="str">
        <f>IF(Table1[prior_dna_count]&gt;=1,"Has prior DNA history","No prior DNA history")</f>
        <v>No prior DNA history</v>
      </c>
      <c r="T1970" t="s">
        <v>22</v>
      </c>
      <c r="U1970" t="str">
        <f t="shared" si="30"/>
        <v>1</v>
      </c>
      <c r="V1970" t="str">
        <f>IF(Table1[appointment_status]="Attended","1","0")</f>
        <v>1</v>
      </c>
      <c r="W1970" t="str">
        <f>IF(Table1[appointment_status]="Cancelled","1","0")</f>
        <v>0</v>
      </c>
    </row>
    <row r="1971" spans="1:23">
      <c r="A1971" t="s">
        <v>3135</v>
      </c>
      <c r="B1971" t="s">
        <v>298</v>
      </c>
      <c r="C1971">
        <v>29</v>
      </c>
      <c r="D1971" t="str" cm="1">
        <f t="array" ref="D1971">_xlfn.IFS(Table1[[#This Row],[age]]&lt;=17,"0-17",C1971&lt;=29,"18-29",C1971&lt;=44,"30-44",C1971&lt;=59,"45-59",C1971&lt;=74,"60-74",TRUE,"75+")</f>
        <v>18-29</v>
      </c>
      <c r="E1971" t="s">
        <v>17</v>
      </c>
      <c r="F1971">
        <v>1</v>
      </c>
      <c r="G1971" t="str" cm="1">
        <f t="array" ref="G1971">_xlfn.IFS(_xlfn.SINGLE(Table1[imd_decile])&lt;=3,"Most Deprived",F1971&lt;=7,"Moderately Deprived",F1971&lt;=10,"Least Deprived")</f>
        <v>Most Deprived</v>
      </c>
      <c r="H1971">
        <v>5.9</v>
      </c>
      <c r="I1971" t="s">
        <v>91</v>
      </c>
      <c r="J1971" t="s">
        <v>19</v>
      </c>
      <c r="K1971" s="1">
        <v>45893</v>
      </c>
      <c r="L1971" s="1">
        <v>45930</v>
      </c>
      <c r="M1971" s="1" t="str">
        <f>TEXT(Table1[[#This Row],[appointment_date]],"MM/YYYY")</f>
        <v>09/2025</v>
      </c>
      <c r="N1971">
        <v>37</v>
      </c>
      <c r="O1971" t="str" cm="1">
        <f t="array" ref="O1971">_xlfn.IFS(Table1[[#This Row],[lead_time_days]]&lt;=7,"0-7 days",N1971&lt;=14,"8-14 days",N1971&lt;=30,"15-30 days",N1971&lt;=60,"31-60 days",TRUE,"61+ days")</f>
        <v>31-60 days</v>
      </c>
      <c r="P1971" t="s">
        <v>71</v>
      </c>
      <c r="Q1971" t="s">
        <v>21</v>
      </c>
      <c r="R1971">
        <v>1</v>
      </c>
      <c r="S1971" t="str">
        <f>IF(Table1[prior_dna_count]&gt;=1,"Has prior DNA history","No prior DNA history")</f>
        <v>Has prior DNA history</v>
      </c>
      <c r="T1971" t="s">
        <v>39</v>
      </c>
      <c r="U1971" t="str">
        <f t="shared" si="30"/>
        <v>1</v>
      </c>
      <c r="V1971" t="str">
        <f>IF(Table1[appointment_status]="Attended","1","0")</f>
        <v>0</v>
      </c>
      <c r="W1971" t="str">
        <f>IF(Table1[appointment_status]="Cancelled","1","0")</f>
        <v>0</v>
      </c>
    </row>
    <row r="1972" spans="1:23">
      <c r="A1972" t="s">
        <v>3136</v>
      </c>
      <c r="B1972" t="s">
        <v>3137</v>
      </c>
      <c r="C1972">
        <v>25</v>
      </c>
      <c r="D1972" t="str" cm="1">
        <f t="array" ref="D1972">_xlfn.IFS(Table1[[#This Row],[age]]&lt;=17,"0-17",C1972&lt;=29,"18-29",C1972&lt;=44,"30-44",C1972&lt;=59,"45-59",C1972&lt;=74,"60-74",TRUE,"75+")</f>
        <v>18-29</v>
      </c>
      <c r="E1972" t="s">
        <v>17</v>
      </c>
      <c r="F1972">
        <v>10</v>
      </c>
      <c r="G1972" t="str" cm="1">
        <f t="array" ref="G1972">_xlfn.IFS(_xlfn.SINGLE(Table1[imd_decile])&lt;=3,"Most Deprived",F1972&lt;=7,"Moderately Deprived",F1972&lt;=10,"Least Deprived")</f>
        <v>Least Deprived</v>
      </c>
      <c r="H1972">
        <v>14.3</v>
      </c>
      <c r="I1972" t="s">
        <v>45</v>
      </c>
      <c r="J1972" t="s">
        <v>19</v>
      </c>
      <c r="K1972" s="1">
        <v>45905</v>
      </c>
      <c r="L1972" s="1">
        <v>45930</v>
      </c>
      <c r="M1972" s="1" t="str">
        <f>TEXT(Table1[[#This Row],[appointment_date]],"MM/YYYY")</f>
        <v>09/2025</v>
      </c>
      <c r="N1972">
        <v>25</v>
      </c>
      <c r="O1972" t="str" cm="1">
        <f t="array" ref="O1972">_xlfn.IFS(Table1[[#This Row],[lead_time_days]]&lt;=7,"0-7 days",N1972&lt;=14,"8-14 days",N1972&lt;=30,"15-30 days",N1972&lt;=60,"31-60 days",TRUE,"61+ days")</f>
        <v>15-30 days</v>
      </c>
      <c r="P1972" t="s">
        <v>71</v>
      </c>
      <c r="Q1972" t="s">
        <v>21</v>
      </c>
      <c r="R1972">
        <v>0</v>
      </c>
      <c r="S1972" t="str">
        <f>IF(Table1[prior_dna_count]&gt;=1,"Has prior DNA history","No prior DNA history")</f>
        <v>No prior DNA history</v>
      </c>
      <c r="T1972" t="s">
        <v>39</v>
      </c>
      <c r="U1972" t="str">
        <f t="shared" si="30"/>
        <v>0</v>
      </c>
      <c r="V1972" t="str">
        <f>IF(Table1[appointment_status]="Attended","1","0")</f>
        <v>0</v>
      </c>
      <c r="W1972" t="str">
        <f>IF(Table1[appointment_status]="Cancelled","1","0")</f>
        <v>0</v>
      </c>
    </row>
    <row r="1973" spans="1:23">
      <c r="A1973" t="s">
        <v>3138</v>
      </c>
      <c r="B1973" t="s">
        <v>3139</v>
      </c>
      <c r="C1973">
        <v>82</v>
      </c>
      <c r="D1973" t="str" cm="1">
        <f t="array" ref="D1973">_xlfn.IFS(Table1[[#This Row],[age]]&lt;=17,"0-17",C1973&lt;=29,"18-29",C1973&lt;=44,"30-44",C1973&lt;=59,"45-59",C1973&lt;=74,"60-74",TRUE,"75+")</f>
        <v>75+</v>
      </c>
      <c r="E1973" t="s">
        <v>17</v>
      </c>
      <c r="F1973">
        <v>7</v>
      </c>
      <c r="G1973" t="str" cm="1">
        <f t="array" ref="G1973">_xlfn.IFS(_xlfn.SINGLE(Table1[imd_decile])&lt;=3,"Most Deprived",F1973&lt;=7,"Moderately Deprived",F1973&lt;=10,"Least Deprived")</f>
        <v>Moderately Deprived</v>
      </c>
      <c r="H1973">
        <v>3.6</v>
      </c>
      <c r="I1973" t="s">
        <v>58</v>
      </c>
      <c r="J1973" t="s">
        <v>26</v>
      </c>
      <c r="K1973" s="1">
        <v>45923</v>
      </c>
      <c r="L1973" s="1">
        <v>45930</v>
      </c>
      <c r="M1973" s="1" t="str">
        <f>TEXT(Table1[[#This Row],[appointment_date]],"MM/YYYY")</f>
        <v>09/2025</v>
      </c>
      <c r="N1973">
        <v>7</v>
      </c>
      <c r="O1973" t="str" cm="1">
        <f t="array" ref="O1973">_xlfn.IFS(Table1[[#This Row],[lead_time_days]]&lt;=7,"0-7 days",N1973&lt;=14,"8-14 days",N1973&lt;=30,"15-30 days",N1973&lt;=60,"31-60 days",TRUE,"61+ days")</f>
        <v>0-7 days</v>
      </c>
      <c r="P1973" t="s">
        <v>71</v>
      </c>
      <c r="Q1973" t="s">
        <v>32</v>
      </c>
      <c r="R1973">
        <v>0</v>
      </c>
      <c r="S1973" t="str">
        <f>IF(Table1[prior_dna_count]&gt;=1,"Has prior DNA history","No prior DNA history")</f>
        <v>No prior DNA history</v>
      </c>
      <c r="T1973" t="s">
        <v>22</v>
      </c>
      <c r="U1973" t="str">
        <f t="shared" si="30"/>
        <v>0</v>
      </c>
      <c r="V1973" t="str">
        <f>IF(Table1[appointment_status]="Attended","1","0")</f>
        <v>1</v>
      </c>
      <c r="W1973" t="str">
        <f>IF(Table1[appointment_status]="Cancelled","1","0")</f>
        <v>0</v>
      </c>
    </row>
    <row r="1974" spans="1:23">
      <c r="A1974" t="s">
        <v>3140</v>
      </c>
      <c r="B1974" t="s">
        <v>596</v>
      </c>
      <c r="C1974">
        <v>85</v>
      </c>
      <c r="D1974" t="str" cm="1">
        <f t="array" ref="D1974">_xlfn.IFS(Table1[[#This Row],[age]]&lt;=17,"0-17",C1974&lt;=29,"18-29",C1974&lt;=44,"30-44",C1974&lt;=59,"45-59",C1974&lt;=74,"60-74",TRUE,"75+")</f>
        <v>75+</v>
      </c>
      <c r="E1974" t="s">
        <v>29</v>
      </c>
      <c r="F1974">
        <v>1</v>
      </c>
      <c r="G1974" t="str" cm="1">
        <f t="array" ref="G1974">_xlfn.IFS(_xlfn.SINGLE(Table1[imd_decile])&lt;=3,"Most Deprived",F1974&lt;=7,"Moderately Deprived",F1974&lt;=10,"Least Deprived")</f>
        <v>Most Deprived</v>
      </c>
      <c r="H1974">
        <v>5.0999999999999996</v>
      </c>
      <c r="I1974" t="s">
        <v>38</v>
      </c>
      <c r="J1974" t="s">
        <v>19</v>
      </c>
      <c r="K1974" s="1">
        <v>45915</v>
      </c>
      <c r="L1974" s="1">
        <v>45930</v>
      </c>
      <c r="M1974" s="1" t="str">
        <f>TEXT(Table1[[#This Row],[appointment_date]],"MM/YYYY")</f>
        <v>09/2025</v>
      </c>
      <c r="N1974">
        <v>15</v>
      </c>
      <c r="O1974" t="str" cm="1">
        <f t="array" ref="O1974">_xlfn.IFS(Table1[[#This Row],[lead_time_days]]&lt;=7,"0-7 days",N1974&lt;=14,"8-14 days",N1974&lt;=30,"15-30 days",N1974&lt;=60,"31-60 days",TRUE,"61+ days")</f>
        <v>15-30 days</v>
      </c>
      <c r="P1974" t="s">
        <v>71</v>
      </c>
      <c r="Q1974" t="s">
        <v>21</v>
      </c>
      <c r="R1974">
        <v>0</v>
      </c>
      <c r="S1974" t="str">
        <f>IF(Table1[prior_dna_count]&gt;=1,"Has prior DNA history","No prior DNA history")</f>
        <v>No prior DNA history</v>
      </c>
      <c r="T1974" t="s">
        <v>22</v>
      </c>
      <c r="U1974" t="str">
        <f t="shared" si="30"/>
        <v>1</v>
      </c>
      <c r="V1974" t="str">
        <f>IF(Table1[appointment_status]="Attended","1","0")</f>
        <v>1</v>
      </c>
      <c r="W1974" t="str">
        <f>IF(Table1[appointment_status]="Cancelled","1","0")</f>
        <v>0</v>
      </c>
    </row>
    <row r="1975" spans="1:23">
      <c r="A1975" t="s">
        <v>3141</v>
      </c>
      <c r="B1975" t="s">
        <v>3142</v>
      </c>
      <c r="C1975">
        <v>48</v>
      </c>
      <c r="D1975" t="str" cm="1">
        <f t="array" ref="D1975">_xlfn.IFS(Table1[[#This Row],[age]]&lt;=17,"0-17",C1975&lt;=29,"18-29",C1975&lt;=44,"30-44",C1975&lt;=59,"45-59",C1975&lt;=74,"60-74",TRUE,"75+")</f>
        <v>45-59</v>
      </c>
      <c r="E1975" t="s">
        <v>29</v>
      </c>
      <c r="F1975">
        <v>7</v>
      </c>
      <c r="G1975" t="str" cm="1">
        <f t="array" ref="G1975">_xlfn.IFS(_xlfn.SINGLE(Table1[imd_decile])&lt;=3,"Most Deprived",F1975&lt;=7,"Moderately Deprived",F1975&lt;=10,"Least Deprived")</f>
        <v>Moderately Deprived</v>
      </c>
      <c r="H1975">
        <v>7.1</v>
      </c>
      <c r="I1975" t="s">
        <v>25</v>
      </c>
      <c r="J1975" t="s">
        <v>19</v>
      </c>
      <c r="K1975" s="1">
        <v>45926</v>
      </c>
      <c r="L1975" s="1">
        <v>45930</v>
      </c>
      <c r="M1975" s="1" t="str">
        <f>TEXT(Table1[[#This Row],[appointment_date]],"MM/YYYY")</f>
        <v>09/2025</v>
      </c>
      <c r="N1975">
        <v>4</v>
      </c>
      <c r="O1975" t="str" cm="1">
        <f t="array" ref="O1975">_xlfn.IFS(Table1[[#This Row],[lead_time_days]]&lt;=7,"0-7 days",N1975&lt;=14,"8-14 days",N1975&lt;=30,"15-30 days",N1975&lt;=60,"31-60 days",TRUE,"61+ days")</f>
        <v>0-7 days</v>
      </c>
      <c r="P1975" t="s">
        <v>71</v>
      </c>
      <c r="Q1975" t="s">
        <v>21</v>
      </c>
      <c r="R1975">
        <v>0</v>
      </c>
      <c r="S1975" t="str">
        <f>IF(Table1[prior_dna_count]&gt;=1,"Has prior DNA history","No prior DNA history")</f>
        <v>No prior DNA history</v>
      </c>
      <c r="T1975" t="s">
        <v>22</v>
      </c>
      <c r="U1975" t="str">
        <f t="shared" si="30"/>
        <v>1</v>
      </c>
      <c r="V1975" t="str">
        <f>IF(Table1[appointment_status]="Attended","1","0")</f>
        <v>1</v>
      </c>
      <c r="W1975" t="str">
        <f>IF(Table1[appointment_status]="Cancelled","1","0")</f>
        <v>0</v>
      </c>
    </row>
    <row r="1976" spans="1:23">
      <c r="A1976" t="s">
        <v>3143</v>
      </c>
      <c r="B1976" t="s">
        <v>1178</v>
      </c>
      <c r="C1976">
        <v>43</v>
      </c>
      <c r="D1976" t="str" cm="1">
        <f t="array" ref="D1976">_xlfn.IFS(Table1[[#This Row],[age]]&lt;=17,"0-17",C1976&lt;=29,"18-29",C1976&lt;=44,"30-44",C1976&lt;=59,"45-59",C1976&lt;=74,"60-74",TRUE,"75+")</f>
        <v>30-44</v>
      </c>
      <c r="E1976" t="s">
        <v>29</v>
      </c>
      <c r="F1976">
        <v>10</v>
      </c>
      <c r="G1976" t="str" cm="1">
        <f t="array" ref="G1976">_xlfn.IFS(_xlfn.SINGLE(Table1[imd_decile])&lt;=3,"Most Deprived",F1976&lt;=7,"Moderately Deprived",F1976&lt;=10,"Least Deprived")</f>
        <v>Least Deprived</v>
      </c>
      <c r="H1976">
        <v>7.7</v>
      </c>
      <c r="I1976" t="s">
        <v>42</v>
      </c>
      <c r="J1976" t="s">
        <v>19</v>
      </c>
      <c r="K1976" s="1">
        <v>45901</v>
      </c>
      <c r="L1976" s="1">
        <v>45930</v>
      </c>
      <c r="M1976" s="1" t="str">
        <f>TEXT(Table1[[#This Row],[appointment_date]],"MM/YYYY")</f>
        <v>09/2025</v>
      </c>
      <c r="N1976">
        <v>29</v>
      </c>
      <c r="O1976" t="str" cm="1">
        <f t="array" ref="O1976">_xlfn.IFS(Table1[[#This Row],[lead_time_days]]&lt;=7,"0-7 days",N1976&lt;=14,"8-14 days",N1976&lt;=30,"15-30 days",N1976&lt;=60,"31-60 days",TRUE,"61+ days")</f>
        <v>15-30 days</v>
      </c>
      <c r="P1976" t="s">
        <v>71</v>
      </c>
      <c r="Q1976" t="s">
        <v>21</v>
      </c>
      <c r="R1976">
        <v>0</v>
      </c>
      <c r="S1976" t="str">
        <f>IF(Table1[prior_dna_count]&gt;=1,"Has prior DNA history","No prior DNA history")</f>
        <v>No prior DNA history</v>
      </c>
      <c r="T1976" t="s">
        <v>22</v>
      </c>
      <c r="U1976" t="str">
        <f t="shared" si="30"/>
        <v>1</v>
      </c>
      <c r="V1976" t="str">
        <f>IF(Table1[appointment_status]="Attended","1","0")</f>
        <v>1</v>
      </c>
      <c r="W1976" t="str">
        <f>IF(Table1[appointment_status]="Cancelled","1","0")</f>
        <v>0</v>
      </c>
    </row>
    <row r="1977" spans="1:23">
      <c r="A1977" t="s">
        <v>3144</v>
      </c>
      <c r="B1977" t="s">
        <v>251</v>
      </c>
      <c r="C1977">
        <v>56</v>
      </c>
      <c r="D1977" t="str" cm="1">
        <f t="array" ref="D1977">_xlfn.IFS(Table1[[#This Row],[age]]&lt;=17,"0-17",C1977&lt;=29,"18-29",C1977&lt;=44,"30-44",C1977&lt;=59,"45-59",C1977&lt;=74,"60-74",TRUE,"75+")</f>
        <v>45-59</v>
      </c>
      <c r="E1977" t="s">
        <v>17</v>
      </c>
      <c r="F1977">
        <v>2</v>
      </c>
      <c r="G1977" t="str" cm="1">
        <f t="array" ref="G1977">_xlfn.IFS(_xlfn.SINGLE(Table1[imd_decile])&lt;=3,"Most Deprived",F1977&lt;=7,"Moderately Deprived",F1977&lt;=10,"Least Deprived")</f>
        <v>Most Deprived</v>
      </c>
      <c r="H1977">
        <v>11.3</v>
      </c>
      <c r="I1977" t="s">
        <v>42</v>
      </c>
      <c r="J1977" t="s">
        <v>19</v>
      </c>
      <c r="K1977" s="1">
        <v>45915</v>
      </c>
      <c r="L1977" s="1">
        <v>45931</v>
      </c>
      <c r="M1977" s="1" t="str">
        <f>TEXT(Table1[[#This Row],[appointment_date]],"MM/YYYY")</f>
        <v>10/2025</v>
      </c>
      <c r="N1977">
        <v>16</v>
      </c>
      <c r="O1977" t="str" cm="1">
        <f t="array" ref="O1977">_xlfn.IFS(Table1[[#This Row],[lead_time_days]]&lt;=7,"0-7 days",N1977&lt;=14,"8-14 days",N1977&lt;=30,"15-30 days",N1977&lt;=60,"31-60 days",TRUE,"61+ days")</f>
        <v>15-30 days</v>
      </c>
      <c r="P1977" t="s">
        <v>80</v>
      </c>
      <c r="Q1977" t="s">
        <v>21</v>
      </c>
      <c r="R1977">
        <v>0</v>
      </c>
      <c r="S1977" t="str">
        <f>IF(Table1[prior_dna_count]&gt;=1,"Has prior DNA history","No prior DNA history")</f>
        <v>No prior DNA history</v>
      </c>
      <c r="T1977" t="s">
        <v>22</v>
      </c>
      <c r="U1977" t="str">
        <f t="shared" si="30"/>
        <v>1</v>
      </c>
      <c r="V1977" t="str">
        <f>IF(Table1[appointment_status]="Attended","1","0")</f>
        <v>1</v>
      </c>
      <c r="W1977" t="str">
        <f>IF(Table1[appointment_status]="Cancelled","1","0")</f>
        <v>0</v>
      </c>
    </row>
    <row r="1978" spans="1:23">
      <c r="A1978" t="s">
        <v>3145</v>
      </c>
      <c r="B1978" t="s">
        <v>3146</v>
      </c>
      <c r="C1978">
        <v>28</v>
      </c>
      <c r="D1978" t="str" cm="1">
        <f t="array" ref="D1978">_xlfn.IFS(Table1[[#This Row],[age]]&lt;=17,"0-17",C1978&lt;=29,"18-29",C1978&lt;=44,"30-44",C1978&lt;=59,"45-59",C1978&lt;=74,"60-74",TRUE,"75+")</f>
        <v>18-29</v>
      </c>
      <c r="E1978" t="s">
        <v>17</v>
      </c>
      <c r="F1978">
        <v>9</v>
      </c>
      <c r="G1978" t="str" cm="1">
        <f t="array" ref="G1978">_xlfn.IFS(_xlfn.SINGLE(Table1[imd_decile])&lt;=3,"Most Deprived",F1978&lt;=7,"Moderately Deprived",F1978&lt;=10,"Least Deprived")</f>
        <v>Least Deprived</v>
      </c>
      <c r="H1978">
        <v>4.8</v>
      </c>
      <c r="I1978" t="s">
        <v>58</v>
      </c>
      <c r="J1978" t="s">
        <v>19</v>
      </c>
      <c r="K1978" s="1">
        <v>45904</v>
      </c>
      <c r="L1978" s="1">
        <v>45931</v>
      </c>
      <c r="M1978" s="1" t="str">
        <f>TEXT(Table1[[#This Row],[appointment_date]],"MM/YYYY")</f>
        <v>10/2025</v>
      </c>
      <c r="N1978">
        <v>27</v>
      </c>
      <c r="O1978" t="str" cm="1">
        <f t="array" ref="O1978">_xlfn.IFS(Table1[[#This Row],[lead_time_days]]&lt;=7,"0-7 days",N1978&lt;=14,"8-14 days",N1978&lt;=30,"15-30 days",N1978&lt;=60,"31-60 days",TRUE,"61+ days")</f>
        <v>15-30 days</v>
      </c>
      <c r="P1978" t="s">
        <v>80</v>
      </c>
      <c r="Q1978" t="s">
        <v>21</v>
      </c>
      <c r="R1978">
        <v>0</v>
      </c>
      <c r="S1978" t="str">
        <f>IF(Table1[prior_dna_count]&gt;=1,"Has prior DNA history","No prior DNA history")</f>
        <v>No prior DNA history</v>
      </c>
      <c r="T1978" t="s">
        <v>22</v>
      </c>
      <c r="U1978" t="str">
        <f t="shared" si="30"/>
        <v>1</v>
      </c>
      <c r="V1978" t="str">
        <f>IF(Table1[appointment_status]="Attended","1","0")</f>
        <v>1</v>
      </c>
      <c r="W1978" t="str">
        <f>IF(Table1[appointment_status]="Cancelled","1","0")</f>
        <v>0</v>
      </c>
    </row>
    <row r="1979" spans="1:23">
      <c r="A1979" t="s">
        <v>3147</v>
      </c>
      <c r="B1979" t="s">
        <v>1940</v>
      </c>
      <c r="C1979">
        <v>43</v>
      </c>
      <c r="D1979" t="str" cm="1">
        <f t="array" ref="D1979">_xlfn.IFS(Table1[[#This Row],[age]]&lt;=17,"0-17",C1979&lt;=29,"18-29",C1979&lt;=44,"30-44",C1979&lt;=59,"45-59",C1979&lt;=74,"60-74",TRUE,"75+")</f>
        <v>30-44</v>
      </c>
      <c r="E1979" t="s">
        <v>17</v>
      </c>
      <c r="F1979">
        <v>5</v>
      </c>
      <c r="G1979" t="str" cm="1">
        <f t="array" ref="G1979">_xlfn.IFS(_xlfn.SINGLE(Table1[imd_decile])&lt;=3,"Most Deprived",F1979&lt;=7,"Moderately Deprived",F1979&lt;=10,"Least Deprived")</f>
        <v>Moderately Deprived</v>
      </c>
      <c r="H1979">
        <v>23.9</v>
      </c>
      <c r="I1979" t="s">
        <v>91</v>
      </c>
      <c r="J1979" t="s">
        <v>19</v>
      </c>
      <c r="K1979" s="1">
        <v>45911</v>
      </c>
      <c r="L1979" s="1">
        <v>45931</v>
      </c>
      <c r="M1979" s="1" t="str">
        <f>TEXT(Table1[[#This Row],[appointment_date]],"MM/YYYY")</f>
        <v>10/2025</v>
      </c>
      <c r="N1979">
        <v>20</v>
      </c>
      <c r="O1979" t="str" cm="1">
        <f t="array" ref="O1979">_xlfn.IFS(Table1[[#This Row],[lead_time_days]]&lt;=7,"0-7 days",N1979&lt;=14,"8-14 days",N1979&lt;=30,"15-30 days",N1979&lt;=60,"31-60 days",TRUE,"61+ days")</f>
        <v>15-30 days</v>
      </c>
      <c r="P1979" t="s">
        <v>80</v>
      </c>
      <c r="Q1979" t="s">
        <v>21</v>
      </c>
      <c r="R1979">
        <v>0</v>
      </c>
      <c r="S1979" t="str">
        <f>IF(Table1[prior_dna_count]&gt;=1,"Has prior DNA history","No prior DNA history")</f>
        <v>No prior DNA history</v>
      </c>
      <c r="T1979" t="s">
        <v>22</v>
      </c>
      <c r="U1979" t="str">
        <f t="shared" si="30"/>
        <v>1</v>
      </c>
      <c r="V1979" t="str">
        <f>IF(Table1[appointment_status]="Attended","1","0")</f>
        <v>1</v>
      </c>
      <c r="W1979" t="str">
        <f>IF(Table1[appointment_status]="Cancelled","1","0")</f>
        <v>0</v>
      </c>
    </row>
    <row r="1980" spans="1:23">
      <c r="A1980" t="s">
        <v>3148</v>
      </c>
      <c r="B1980" t="s">
        <v>3149</v>
      </c>
      <c r="C1980">
        <v>44</v>
      </c>
      <c r="D1980" t="str" cm="1">
        <f t="array" ref="D1980">_xlfn.IFS(Table1[[#This Row],[age]]&lt;=17,"0-17",C1980&lt;=29,"18-29",C1980&lt;=44,"30-44",C1980&lt;=59,"45-59",C1980&lt;=74,"60-74",TRUE,"75+")</f>
        <v>30-44</v>
      </c>
      <c r="E1980" t="s">
        <v>29</v>
      </c>
      <c r="F1980">
        <v>7</v>
      </c>
      <c r="G1980" t="str" cm="1">
        <f t="array" ref="G1980">_xlfn.IFS(_xlfn.SINGLE(Table1[imd_decile])&lt;=3,"Most Deprived",F1980&lt;=7,"Moderately Deprived",F1980&lt;=10,"Least Deprived")</f>
        <v>Moderately Deprived</v>
      </c>
      <c r="H1980">
        <v>4.3</v>
      </c>
      <c r="I1980" t="s">
        <v>91</v>
      </c>
      <c r="J1980" t="s">
        <v>26</v>
      </c>
      <c r="K1980" s="1">
        <v>45919</v>
      </c>
      <c r="L1980" s="1">
        <v>45931</v>
      </c>
      <c r="M1980" s="1" t="str">
        <f>TEXT(Table1[[#This Row],[appointment_date]],"MM/YYYY")</f>
        <v>10/2025</v>
      </c>
      <c r="N1980">
        <v>12</v>
      </c>
      <c r="O1980" t="str" cm="1">
        <f t="array" ref="O1980">_xlfn.IFS(Table1[[#This Row],[lead_time_days]]&lt;=7,"0-7 days",N1980&lt;=14,"8-14 days",N1980&lt;=30,"15-30 days",N1980&lt;=60,"31-60 days",TRUE,"61+ days")</f>
        <v>8-14 days</v>
      </c>
      <c r="P1980" t="s">
        <v>80</v>
      </c>
      <c r="Q1980" t="s">
        <v>21</v>
      </c>
      <c r="R1980">
        <v>0</v>
      </c>
      <c r="S1980" t="str">
        <f>IF(Table1[prior_dna_count]&gt;=1,"Has prior DNA history","No prior DNA history")</f>
        <v>No prior DNA history</v>
      </c>
      <c r="T1980" t="s">
        <v>22</v>
      </c>
      <c r="U1980" t="str">
        <f t="shared" si="30"/>
        <v>1</v>
      </c>
      <c r="V1980" t="str">
        <f>IF(Table1[appointment_status]="Attended","1","0")</f>
        <v>1</v>
      </c>
      <c r="W1980" t="str">
        <f>IF(Table1[appointment_status]="Cancelled","1","0")</f>
        <v>0</v>
      </c>
    </row>
    <row r="1981" spans="1:23">
      <c r="A1981" t="s">
        <v>3150</v>
      </c>
      <c r="B1981" t="s">
        <v>243</v>
      </c>
      <c r="C1981">
        <v>66</v>
      </c>
      <c r="D1981" t="str" cm="1">
        <f t="array" ref="D1981">_xlfn.IFS(Table1[[#This Row],[age]]&lt;=17,"0-17",C1981&lt;=29,"18-29",C1981&lt;=44,"30-44",C1981&lt;=59,"45-59",C1981&lt;=74,"60-74",TRUE,"75+")</f>
        <v>60-74</v>
      </c>
      <c r="E1981" t="s">
        <v>29</v>
      </c>
      <c r="F1981">
        <v>1</v>
      </c>
      <c r="G1981" t="str" cm="1">
        <f t="array" ref="G1981">_xlfn.IFS(_xlfn.SINGLE(Table1[imd_decile])&lt;=3,"Most Deprived",F1981&lt;=7,"Moderately Deprived",F1981&lt;=10,"Least Deprived")</f>
        <v>Most Deprived</v>
      </c>
      <c r="H1981">
        <v>5.7</v>
      </c>
      <c r="I1981" t="s">
        <v>45</v>
      </c>
      <c r="J1981" t="s">
        <v>19</v>
      </c>
      <c r="K1981" s="1">
        <v>45864</v>
      </c>
      <c r="L1981" s="1">
        <v>45931</v>
      </c>
      <c r="M1981" s="1" t="str">
        <f>TEXT(Table1[[#This Row],[appointment_date]],"MM/YYYY")</f>
        <v>10/2025</v>
      </c>
      <c r="N1981">
        <v>67</v>
      </c>
      <c r="O1981" t="str" cm="1">
        <f t="array" ref="O1981">_xlfn.IFS(Table1[[#This Row],[lead_time_days]]&lt;=7,"0-7 days",N1981&lt;=14,"8-14 days",N1981&lt;=30,"15-30 days",N1981&lt;=60,"31-60 days",TRUE,"61+ days")</f>
        <v>61+ days</v>
      </c>
      <c r="P1981" t="s">
        <v>80</v>
      </c>
      <c r="Q1981" t="s">
        <v>21</v>
      </c>
      <c r="R1981">
        <v>0</v>
      </c>
      <c r="S1981" t="str">
        <f>IF(Table1[prior_dna_count]&gt;=1,"Has prior DNA history","No prior DNA history")</f>
        <v>No prior DNA history</v>
      </c>
      <c r="T1981" t="s">
        <v>39</v>
      </c>
      <c r="U1981" t="str">
        <f t="shared" si="30"/>
        <v>1</v>
      </c>
      <c r="V1981" t="str">
        <f>IF(Table1[appointment_status]="Attended","1","0")</f>
        <v>0</v>
      </c>
      <c r="W1981" t="str">
        <f>IF(Table1[appointment_status]="Cancelled","1","0")</f>
        <v>0</v>
      </c>
    </row>
    <row r="1982" spans="1:23">
      <c r="A1982" t="s">
        <v>3151</v>
      </c>
      <c r="B1982" t="s">
        <v>3152</v>
      </c>
      <c r="C1982">
        <v>62</v>
      </c>
      <c r="D1982" t="str" cm="1">
        <f t="array" ref="D1982">_xlfn.IFS(Table1[[#This Row],[age]]&lt;=17,"0-17",C1982&lt;=29,"18-29",C1982&lt;=44,"30-44",C1982&lt;=59,"45-59",C1982&lt;=74,"60-74",TRUE,"75+")</f>
        <v>60-74</v>
      </c>
      <c r="E1982" t="s">
        <v>29</v>
      </c>
      <c r="F1982">
        <v>7</v>
      </c>
      <c r="G1982" t="str" cm="1">
        <f t="array" ref="G1982">_xlfn.IFS(_xlfn.SINGLE(Table1[imd_decile])&lt;=3,"Most Deprived",F1982&lt;=7,"Moderately Deprived",F1982&lt;=10,"Least Deprived")</f>
        <v>Moderately Deprived</v>
      </c>
      <c r="H1982">
        <v>7.2</v>
      </c>
      <c r="I1982" t="s">
        <v>91</v>
      </c>
      <c r="J1982" t="s">
        <v>19</v>
      </c>
      <c r="K1982" s="1">
        <v>45904</v>
      </c>
      <c r="L1982" s="1">
        <v>45931</v>
      </c>
      <c r="M1982" s="1" t="str">
        <f>TEXT(Table1[[#This Row],[appointment_date]],"MM/YYYY")</f>
        <v>10/2025</v>
      </c>
      <c r="N1982">
        <v>27</v>
      </c>
      <c r="O1982" t="str" cm="1">
        <f t="array" ref="O1982">_xlfn.IFS(Table1[[#This Row],[lead_time_days]]&lt;=7,"0-7 days",N1982&lt;=14,"8-14 days",N1982&lt;=30,"15-30 days",N1982&lt;=60,"31-60 days",TRUE,"61+ days")</f>
        <v>15-30 days</v>
      </c>
      <c r="P1982" t="s">
        <v>80</v>
      </c>
      <c r="Q1982" t="s">
        <v>32</v>
      </c>
      <c r="R1982">
        <v>0</v>
      </c>
      <c r="S1982" t="str">
        <f>IF(Table1[prior_dna_count]&gt;=1,"Has prior DNA history","No prior DNA history")</f>
        <v>No prior DNA history</v>
      </c>
      <c r="T1982" t="s">
        <v>39</v>
      </c>
      <c r="U1982" t="str">
        <f t="shared" si="30"/>
        <v>0</v>
      </c>
      <c r="V1982" t="str">
        <f>IF(Table1[appointment_status]="Attended","1","0")</f>
        <v>0</v>
      </c>
      <c r="W1982" t="str">
        <f>IF(Table1[appointment_status]="Cancelled","1","0")</f>
        <v>0</v>
      </c>
    </row>
    <row r="1983" spans="1:23">
      <c r="A1983" t="s">
        <v>3153</v>
      </c>
      <c r="B1983" t="s">
        <v>2426</v>
      </c>
      <c r="C1983">
        <v>52</v>
      </c>
      <c r="D1983" t="str" cm="1">
        <f t="array" ref="D1983">_xlfn.IFS(Table1[[#This Row],[age]]&lt;=17,"0-17",C1983&lt;=29,"18-29",C1983&lt;=44,"30-44",C1983&lt;=59,"45-59",C1983&lt;=74,"60-74",TRUE,"75+")</f>
        <v>45-59</v>
      </c>
      <c r="E1983" t="s">
        <v>29</v>
      </c>
      <c r="F1983">
        <v>1</v>
      </c>
      <c r="G1983" t="str" cm="1">
        <f t="array" ref="G1983">_xlfn.IFS(_xlfn.SINGLE(Table1[imd_decile])&lt;=3,"Most Deprived",F1983&lt;=7,"Moderately Deprived",F1983&lt;=10,"Least Deprived")</f>
        <v>Most Deprived</v>
      </c>
      <c r="H1983">
        <v>12.6</v>
      </c>
      <c r="I1983" t="s">
        <v>155</v>
      </c>
      <c r="J1983" t="s">
        <v>19</v>
      </c>
      <c r="K1983" s="1">
        <v>45873</v>
      </c>
      <c r="L1983" s="1">
        <v>45931</v>
      </c>
      <c r="M1983" s="1" t="str">
        <f>TEXT(Table1[[#This Row],[appointment_date]],"MM/YYYY")</f>
        <v>10/2025</v>
      </c>
      <c r="N1983">
        <v>58</v>
      </c>
      <c r="O1983" t="str" cm="1">
        <f t="array" ref="O1983">_xlfn.IFS(Table1[[#This Row],[lead_time_days]]&lt;=7,"0-7 days",N1983&lt;=14,"8-14 days",N1983&lt;=30,"15-30 days",N1983&lt;=60,"31-60 days",TRUE,"61+ days")</f>
        <v>31-60 days</v>
      </c>
      <c r="P1983" t="s">
        <v>80</v>
      </c>
      <c r="Q1983" t="s">
        <v>21</v>
      </c>
      <c r="R1983">
        <v>0</v>
      </c>
      <c r="S1983" t="str">
        <f>IF(Table1[prior_dna_count]&gt;=1,"Has prior DNA history","No prior DNA history")</f>
        <v>No prior DNA history</v>
      </c>
      <c r="T1983" t="s">
        <v>22</v>
      </c>
      <c r="U1983" t="str">
        <f t="shared" si="30"/>
        <v>0</v>
      </c>
      <c r="V1983" t="str">
        <f>IF(Table1[appointment_status]="Attended","1","0")</f>
        <v>1</v>
      </c>
      <c r="W1983" t="str">
        <f>IF(Table1[appointment_status]="Cancelled","1","0")</f>
        <v>0</v>
      </c>
    </row>
    <row r="1984" spans="1:23">
      <c r="A1984" t="s">
        <v>3154</v>
      </c>
      <c r="B1984" t="s">
        <v>1001</v>
      </c>
      <c r="C1984">
        <v>5</v>
      </c>
      <c r="D1984" t="str" cm="1">
        <f t="array" ref="D1984">_xlfn.IFS(Table1[[#This Row],[age]]&lt;=17,"0-17",C1984&lt;=29,"18-29",C1984&lt;=44,"30-44",C1984&lt;=59,"45-59",C1984&lt;=74,"60-74",TRUE,"75+")</f>
        <v>0-17</v>
      </c>
      <c r="E1984" t="s">
        <v>29</v>
      </c>
      <c r="F1984">
        <v>1</v>
      </c>
      <c r="G1984" t="str" cm="1">
        <f t="array" ref="G1984">_xlfn.IFS(_xlfn.SINGLE(Table1[imd_decile])&lt;=3,"Most Deprived",F1984&lt;=7,"Moderately Deprived",F1984&lt;=10,"Least Deprived")</f>
        <v>Most Deprived</v>
      </c>
      <c r="H1984">
        <v>2.6</v>
      </c>
      <c r="I1984" t="s">
        <v>155</v>
      </c>
      <c r="J1984" t="s">
        <v>19</v>
      </c>
      <c r="K1984" s="1">
        <v>45902</v>
      </c>
      <c r="L1984" s="1">
        <v>45931</v>
      </c>
      <c r="M1984" s="1" t="str">
        <f>TEXT(Table1[[#This Row],[appointment_date]],"MM/YYYY")</f>
        <v>10/2025</v>
      </c>
      <c r="N1984">
        <v>29</v>
      </c>
      <c r="O1984" t="str" cm="1">
        <f t="array" ref="O1984">_xlfn.IFS(Table1[[#This Row],[lead_time_days]]&lt;=7,"0-7 days",N1984&lt;=14,"8-14 days",N1984&lt;=30,"15-30 days",N1984&lt;=60,"31-60 days",TRUE,"61+ days")</f>
        <v>15-30 days</v>
      </c>
      <c r="P1984" t="s">
        <v>80</v>
      </c>
      <c r="Q1984" t="s">
        <v>32</v>
      </c>
      <c r="R1984">
        <v>0</v>
      </c>
      <c r="S1984" t="str">
        <f>IF(Table1[prior_dna_count]&gt;=1,"Has prior DNA history","No prior DNA history")</f>
        <v>No prior DNA history</v>
      </c>
      <c r="T1984" t="s">
        <v>22</v>
      </c>
      <c r="U1984" t="str">
        <f t="shared" si="30"/>
        <v>1</v>
      </c>
      <c r="V1984" t="str">
        <f>IF(Table1[appointment_status]="Attended","1","0")</f>
        <v>1</v>
      </c>
      <c r="W1984" t="str">
        <f>IF(Table1[appointment_status]="Cancelled","1","0")</f>
        <v>0</v>
      </c>
    </row>
    <row r="1985" spans="1:23">
      <c r="A1985" t="s">
        <v>3155</v>
      </c>
      <c r="B1985" t="s">
        <v>861</v>
      </c>
      <c r="C1985">
        <v>87</v>
      </c>
      <c r="D1985" t="str" cm="1">
        <f t="array" ref="D1985">_xlfn.IFS(Table1[[#This Row],[age]]&lt;=17,"0-17",C1985&lt;=29,"18-29",C1985&lt;=44,"30-44",C1985&lt;=59,"45-59",C1985&lt;=74,"60-74",TRUE,"75+")</f>
        <v>75+</v>
      </c>
      <c r="E1985" t="s">
        <v>17</v>
      </c>
      <c r="F1985">
        <v>1</v>
      </c>
      <c r="G1985" t="str" cm="1">
        <f t="array" ref="G1985">_xlfn.IFS(_xlfn.SINGLE(Table1[imd_decile])&lt;=3,"Most Deprived",F1985&lt;=7,"Moderately Deprived",F1985&lt;=10,"Least Deprived")</f>
        <v>Most Deprived</v>
      </c>
      <c r="H1985">
        <v>11.5</v>
      </c>
      <c r="I1985" t="s">
        <v>91</v>
      </c>
      <c r="J1985" t="s">
        <v>19</v>
      </c>
      <c r="K1985" s="1">
        <v>45921</v>
      </c>
      <c r="L1985" s="1">
        <v>45932</v>
      </c>
      <c r="M1985" s="1" t="str">
        <f>TEXT(Table1[[#This Row],[appointment_date]],"MM/YYYY")</f>
        <v>10/2025</v>
      </c>
      <c r="N1985">
        <v>11</v>
      </c>
      <c r="O1985" t="str" cm="1">
        <f t="array" ref="O1985">_xlfn.IFS(Table1[[#This Row],[lead_time_days]]&lt;=7,"0-7 days",N1985&lt;=14,"8-14 days",N1985&lt;=30,"15-30 days",N1985&lt;=60,"31-60 days",TRUE,"61+ days")</f>
        <v>8-14 days</v>
      </c>
      <c r="P1985" t="s">
        <v>20</v>
      </c>
      <c r="Q1985" t="s">
        <v>32</v>
      </c>
      <c r="R1985">
        <v>0</v>
      </c>
      <c r="S1985" t="str">
        <f>IF(Table1[prior_dna_count]&gt;=1,"Has prior DNA history","No prior DNA history")</f>
        <v>No prior DNA history</v>
      </c>
      <c r="T1985" t="s">
        <v>46</v>
      </c>
      <c r="U1985" t="str">
        <f t="shared" si="30"/>
        <v>1</v>
      </c>
      <c r="V1985" t="str">
        <f>IF(Table1[appointment_status]="Attended","1","0")</f>
        <v>0</v>
      </c>
      <c r="W1985" t="str">
        <f>IF(Table1[appointment_status]="Cancelled","1","0")</f>
        <v>1</v>
      </c>
    </row>
    <row r="1986" spans="1:23">
      <c r="A1986" t="s">
        <v>3156</v>
      </c>
      <c r="B1986" t="s">
        <v>1890</v>
      </c>
      <c r="C1986">
        <v>27</v>
      </c>
      <c r="D1986" t="str" cm="1">
        <f t="array" ref="D1986">_xlfn.IFS(Table1[[#This Row],[age]]&lt;=17,"0-17",C1986&lt;=29,"18-29",C1986&lt;=44,"30-44",C1986&lt;=59,"45-59",C1986&lt;=74,"60-74",TRUE,"75+")</f>
        <v>18-29</v>
      </c>
      <c r="E1986" t="s">
        <v>17</v>
      </c>
      <c r="F1986">
        <v>10</v>
      </c>
      <c r="G1986" t="str" cm="1">
        <f t="array" ref="G1986">_xlfn.IFS(_xlfn.SINGLE(Table1[imd_decile])&lt;=3,"Most Deprived",F1986&lt;=7,"Moderately Deprived",F1986&lt;=10,"Least Deprived")</f>
        <v>Least Deprived</v>
      </c>
      <c r="H1986">
        <v>6.8</v>
      </c>
      <c r="I1986" t="s">
        <v>30</v>
      </c>
      <c r="J1986" t="s">
        <v>19</v>
      </c>
      <c r="K1986" s="1">
        <v>45906</v>
      </c>
      <c r="L1986" s="1">
        <v>45932</v>
      </c>
      <c r="M1986" s="1" t="str">
        <f>TEXT(Table1[[#This Row],[appointment_date]],"MM/YYYY")</f>
        <v>10/2025</v>
      </c>
      <c r="N1986">
        <v>26</v>
      </c>
      <c r="O1986" t="str" cm="1">
        <f t="array" ref="O1986">_xlfn.IFS(Table1[[#This Row],[lead_time_days]]&lt;=7,"0-7 days",N1986&lt;=14,"8-14 days",N1986&lt;=30,"15-30 days",N1986&lt;=60,"31-60 days",TRUE,"61+ days")</f>
        <v>15-30 days</v>
      </c>
      <c r="P1986" t="s">
        <v>20</v>
      </c>
      <c r="Q1986" t="s">
        <v>32</v>
      </c>
      <c r="R1986">
        <v>0</v>
      </c>
      <c r="S1986" t="str">
        <f>IF(Table1[prior_dna_count]&gt;=1,"Has prior DNA history","No prior DNA history")</f>
        <v>No prior DNA history</v>
      </c>
      <c r="T1986" t="s">
        <v>22</v>
      </c>
      <c r="U1986" t="str">
        <f t="shared" ref="U1986:U2049" si="31">V1985</f>
        <v>0</v>
      </c>
      <c r="V1986" t="str">
        <f>IF(Table1[appointment_status]="Attended","1","0")</f>
        <v>1</v>
      </c>
      <c r="W1986" t="str">
        <f>IF(Table1[appointment_status]="Cancelled","1","0")</f>
        <v>0</v>
      </c>
    </row>
    <row r="1987" spans="1:23">
      <c r="A1987" t="s">
        <v>3157</v>
      </c>
      <c r="B1987" t="s">
        <v>2116</v>
      </c>
      <c r="C1987">
        <v>20</v>
      </c>
      <c r="D1987" t="str" cm="1">
        <f t="array" ref="D1987">_xlfn.IFS(Table1[[#This Row],[age]]&lt;=17,"0-17",C1987&lt;=29,"18-29",C1987&lt;=44,"30-44",C1987&lt;=59,"45-59",C1987&lt;=74,"60-74",TRUE,"75+")</f>
        <v>18-29</v>
      </c>
      <c r="E1987" t="s">
        <v>29</v>
      </c>
      <c r="F1987">
        <v>5</v>
      </c>
      <c r="G1987" t="str" cm="1">
        <f t="array" ref="G1987">_xlfn.IFS(_xlfn.SINGLE(Table1[imd_decile])&lt;=3,"Most Deprived",F1987&lt;=7,"Moderately Deprived",F1987&lt;=10,"Least Deprived")</f>
        <v>Moderately Deprived</v>
      </c>
      <c r="H1987">
        <v>16.7</v>
      </c>
      <c r="I1987" t="s">
        <v>45</v>
      </c>
      <c r="J1987" t="s">
        <v>26</v>
      </c>
      <c r="K1987" s="1">
        <v>45908</v>
      </c>
      <c r="L1987" s="1">
        <v>45932</v>
      </c>
      <c r="M1987" s="1" t="str">
        <f>TEXT(Table1[[#This Row],[appointment_date]],"MM/YYYY")</f>
        <v>10/2025</v>
      </c>
      <c r="N1987">
        <v>24</v>
      </c>
      <c r="O1987" t="str" cm="1">
        <f t="array" ref="O1987">_xlfn.IFS(Table1[[#This Row],[lead_time_days]]&lt;=7,"0-7 days",N1987&lt;=14,"8-14 days",N1987&lt;=30,"15-30 days",N1987&lt;=60,"31-60 days",TRUE,"61+ days")</f>
        <v>15-30 days</v>
      </c>
      <c r="P1987" t="s">
        <v>20</v>
      </c>
      <c r="Q1987" t="s">
        <v>21</v>
      </c>
      <c r="R1987">
        <v>0</v>
      </c>
      <c r="S1987" t="str">
        <f>IF(Table1[prior_dna_count]&gt;=1,"Has prior DNA history","No prior DNA history")</f>
        <v>No prior DNA history</v>
      </c>
      <c r="T1987" t="s">
        <v>22</v>
      </c>
      <c r="U1987" t="str">
        <f t="shared" si="31"/>
        <v>1</v>
      </c>
      <c r="V1987" t="str">
        <f>IF(Table1[appointment_status]="Attended","1","0")</f>
        <v>1</v>
      </c>
      <c r="W1987" t="str">
        <f>IF(Table1[appointment_status]="Cancelled","1","0")</f>
        <v>0</v>
      </c>
    </row>
    <row r="1988" spans="1:23">
      <c r="A1988" t="s">
        <v>3158</v>
      </c>
      <c r="B1988" t="s">
        <v>3159</v>
      </c>
      <c r="C1988">
        <v>32</v>
      </c>
      <c r="D1988" t="str" cm="1">
        <f t="array" ref="D1988">_xlfn.IFS(Table1[[#This Row],[age]]&lt;=17,"0-17",C1988&lt;=29,"18-29",C1988&lt;=44,"30-44",C1988&lt;=59,"45-59",C1988&lt;=74,"60-74",TRUE,"75+")</f>
        <v>30-44</v>
      </c>
      <c r="E1988" t="s">
        <v>17</v>
      </c>
      <c r="F1988">
        <v>5</v>
      </c>
      <c r="G1988" t="str" cm="1">
        <f t="array" ref="G1988">_xlfn.IFS(_xlfn.SINGLE(Table1[imd_decile])&lt;=3,"Most Deprived",F1988&lt;=7,"Moderately Deprived",F1988&lt;=10,"Least Deprived")</f>
        <v>Moderately Deprived</v>
      </c>
      <c r="H1988">
        <v>5.5</v>
      </c>
      <c r="I1988" t="s">
        <v>42</v>
      </c>
      <c r="J1988" t="s">
        <v>19</v>
      </c>
      <c r="K1988" s="1">
        <v>45894</v>
      </c>
      <c r="L1988" s="1">
        <v>45932</v>
      </c>
      <c r="M1988" s="1" t="str">
        <f>TEXT(Table1[[#This Row],[appointment_date]],"MM/YYYY")</f>
        <v>10/2025</v>
      </c>
      <c r="N1988">
        <v>38</v>
      </c>
      <c r="O1988" t="str" cm="1">
        <f t="array" ref="O1988">_xlfn.IFS(Table1[[#This Row],[lead_time_days]]&lt;=7,"0-7 days",N1988&lt;=14,"8-14 days",N1988&lt;=30,"15-30 days",N1988&lt;=60,"31-60 days",TRUE,"61+ days")</f>
        <v>31-60 days</v>
      </c>
      <c r="P1988" t="s">
        <v>20</v>
      </c>
      <c r="Q1988" t="s">
        <v>21</v>
      </c>
      <c r="R1988">
        <v>0</v>
      </c>
      <c r="S1988" t="str">
        <f>IF(Table1[prior_dna_count]&gt;=1,"Has prior DNA history","No prior DNA history")</f>
        <v>No prior DNA history</v>
      </c>
      <c r="T1988" t="s">
        <v>22</v>
      </c>
      <c r="U1988" t="str">
        <f t="shared" si="31"/>
        <v>1</v>
      </c>
      <c r="V1988" t="str">
        <f>IF(Table1[appointment_status]="Attended","1","0")</f>
        <v>1</v>
      </c>
      <c r="W1988" t="str">
        <f>IF(Table1[appointment_status]="Cancelled","1","0")</f>
        <v>0</v>
      </c>
    </row>
    <row r="1989" spans="1:23">
      <c r="A1989" t="s">
        <v>3160</v>
      </c>
      <c r="B1989" t="s">
        <v>2967</v>
      </c>
      <c r="C1989">
        <v>56</v>
      </c>
      <c r="D1989" t="str" cm="1">
        <f t="array" ref="D1989">_xlfn.IFS(Table1[[#This Row],[age]]&lt;=17,"0-17",C1989&lt;=29,"18-29",C1989&lt;=44,"30-44",C1989&lt;=59,"45-59",C1989&lt;=74,"60-74",TRUE,"75+")</f>
        <v>45-59</v>
      </c>
      <c r="E1989" t="s">
        <v>17</v>
      </c>
      <c r="F1989">
        <v>9</v>
      </c>
      <c r="G1989" t="str" cm="1">
        <f t="array" ref="G1989">_xlfn.IFS(_xlfn.SINGLE(Table1[imd_decile])&lt;=3,"Most Deprived",F1989&lt;=7,"Moderately Deprived",F1989&lt;=10,"Least Deprived")</f>
        <v>Least Deprived</v>
      </c>
      <c r="H1989">
        <v>4.8</v>
      </c>
      <c r="I1989" t="s">
        <v>25</v>
      </c>
      <c r="J1989" t="s">
        <v>19</v>
      </c>
      <c r="K1989" s="1">
        <v>45883</v>
      </c>
      <c r="L1989" s="1">
        <v>45932</v>
      </c>
      <c r="M1989" s="1" t="str">
        <f>TEXT(Table1[[#This Row],[appointment_date]],"MM/YYYY")</f>
        <v>10/2025</v>
      </c>
      <c r="N1989">
        <v>49</v>
      </c>
      <c r="O1989" t="str" cm="1">
        <f t="array" ref="O1989">_xlfn.IFS(Table1[[#This Row],[lead_time_days]]&lt;=7,"0-7 days",N1989&lt;=14,"8-14 days",N1989&lt;=30,"15-30 days",N1989&lt;=60,"31-60 days",TRUE,"61+ days")</f>
        <v>31-60 days</v>
      </c>
      <c r="P1989" t="s">
        <v>20</v>
      </c>
      <c r="Q1989" t="s">
        <v>32</v>
      </c>
      <c r="R1989">
        <v>0</v>
      </c>
      <c r="S1989" t="str">
        <f>IF(Table1[prior_dna_count]&gt;=1,"Has prior DNA history","No prior DNA history")</f>
        <v>No prior DNA history</v>
      </c>
      <c r="T1989" t="s">
        <v>22</v>
      </c>
      <c r="U1989" t="str">
        <f t="shared" si="31"/>
        <v>1</v>
      </c>
      <c r="V1989" t="str">
        <f>IF(Table1[appointment_status]="Attended","1","0")</f>
        <v>1</v>
      </c>
      <c r="W1989" t="str">
        <f>IF(Table1[appointment_status]="Cancelled","1","0")</f>
        <v>0</v>
      </c>
    </row>
    <row r="1990" spans="1:23">
      <c r="A1990" t="s">
        <v>3161</v>
      </c>
      <c r="B1990" t="s">
        <v>149</v>
      </c>
      <c r="C1990">
        <v>24</v>
      </c>
      <c r="D1990" t="str" cm="1">
        <f t="array" ref="D1990">_xlfn.IFS(Table1[[#This Row],[age]]&lt;=17,"0-17",C1990&lt;=29,"18-29",C1990&lt;=44,"30-44",C1990&lt;=59,"45-59",C1990&lt;=74,"60-74",TRUE,"75+")</f>
        <v>18-29</v>
      </c>
      <c r="E1990" t="s">
        <v>29</v>
      </c>
      <c r="F1990">
        <v>7</v>
      </c>
      <c r="G1990" t="str" cm="1">
        <f t="array" ref="G1990">_xlfn.IFS(_xlfn.SINGLE(Table1[imd_decile])&lt;=3,"Most Deprived",F1990&lt;=7,"Moderately Deprived",F1990&lt;=10,"Least Deprived")</f>
        <v>Moderately Deprived</v>
      </c>
      <c r="H1990">
        <v>15.3</v>
      </c>
      <c r="I1990" t="s">
        <v>58</v>
      </c>
      <c r="J1990" t="s">
        <v>26</v>
      </c>
      <c r="K1990" s="1">
        <v>45922</v>
      </c>
      <c r="L1990" s="1">
        <v>45933</v>
      </c>
      <c r="M1990" s="1" t="str">
        <f>TEXT(Table1[[#This Row],[appointment_date]],"MM/YYYY")</f>
        <v>10/2025</v>
      </c>
      <c r="N1990">
        <v>11</v>
      </c>
      <c r="O1990" t="str" cm="1">
        <f t="array" ref="O1990">_xlfn.IFS(Table1[[#This Row],[lead_time_days]]&lt;=7,"0-7 days",N1990&lt;=14,"8-14 days",N1990&lt;=30,"15-30 days",N1990&lt;=60,"31-60 days",TRUE,"61+ days")</f>
        <v>8-14 days</v>
      </c>
      <c r="P1990" t="s">
        <v>52</v>
      </c>
      <c r="Q1990" t="s">
        <v>21</v>
      </c>
      <c r="R1990">
        <v>0</v>
      </c>
      <c r="S1990" t="str">
        <f>IF(Table1[prior_dna_count]&gt;=1,"Has prior DNA history","No prior DNA history")</f>
        <v>No prior DNA history</v>
      </c>
      <c r="T1990" t="s">
        <v>22</v>
      </c>
      <c r="U1990" t="str">
        <f t="shared" si="31"/>
        <v>1</v>
      </c>
      <c r="V1990" t="str">
        <f>IF(Table1[appointment_status]="Attended","1","0")</f>
        <v>1</v>
      </c>
      <c r="W1990" t="str">
        <f>IF(Table1[appointment_status]="Cancelled","1","0")</f>
        <v>0</v>
      </c>
    </row>
    <row r="1991" spans="1:23">
      <c r="A1991" t="s">
        <v>3162</v>
      </c>
      <c r="B1991" t="s">
        <v>3163</v>
      </c>
      <c r="C1991">
        <v>47</v>
      </c>
      <c r="D1991" t="str" cm="1">
        <f t="array" ref="D1991">_xlfn.IFS(Table1[[#This Row],[age]]&lt;=17,"0-17",C1991&lt;=29,"18-29",C1991&lt;=44,"30-44",C1991&lt;=59,"45-59",C1991&lt;=74,"60-74",TRUE,"75+")</f>
        <v>45-59</v>
      </c>
      <c r="E1991" t="s">
        <v>17</v>
      </c>
      <c r="F1991">
        <v>8</v>
      </c>
      <c r="G1991" t="str" cm="1">
        <f t="array" ref="G1991">_xlfn.IFS(_xlfn.SINGLE(Table1[imd_decile])&lt;=3,"Most Deprived",F1991&lt;=7,"Moderately Deprived",F1991&lt;=10,"Least Deprived")</f>
        <v>Least Deprived</v>
      </c>
      <c r="H1991">
        <v>6</v>
      </c>
      <c r="I1991" t="s">
        <v>30</v>
      </c>
      <c r="J1991" t="s">
        <v>19</v>
      </c>
      <c r="K1991" s="1">
        <v>45870</v>
      </c>
      <c r="L1991" s="1">
        <v>45933</v>
      </c>
      <c r="M1991" s="1" t="str">
        <f>TEXT(Table1[[#This Row],[appointment_date]],"MM/YYYY")</f>
        <v>10/2025</v>
      </c>
      <c r="N1991">
        <v>63</v>
      </c>
      <c r="O1991" t="str" cm="1">
        <f t="array" ref="O1991">_xlfn.IFS(Table1[[#This Row],[lead_time_days]]&lt;=7,"0-7 days",N1991&lt;=14,"8-14 days",N1991&lt;=30,"15-30 days",N1991&lt;=60,"31-60 days",TRUE,"61+ days")</f>
        <v>61+ days</v>
      </c>
      <c r="P1991" t="s">
        <v>52</v>
      </c>
      <c r="Q1991" t="s">
        <v>21</v>
      </c>
      <c r="R1991">
        <v>0</v>
      </c>
      <c r="S1991" t="str">
        <f>IF(Table1[prior_dna_count]&gt;=1,"Has prior DNA history","No prior DNA history")</f>
        <v>No prior DNA history</v>
      </c>
      <c r="T1991" t="s">
        <v>22</v>
      </c>
      <c r="U1991" t="str">
        <f t="shared" si="31"/>
        <v>1</v>
      </c>
      <c r="V1991" t="str">
        <f>IF(Table1[appointment_status]="Attended","1","0")</f>
        <v>1</v>
      </c>
      <c r="W1991" t="str">
        <f>IF(Table1[appointment_status]="Cancelled","1","0")</f>
        <v>0</v>
      </c>
    </row>
    <row r="1992" spans="1:23">
      <c r="A1992" t="s">
        <v>3164</v>
      </c>
      <c r="B1992" t="s">
        <v>1201</v>
      </c>
      <c r="C1992">
        <v>30</v>
      </c>
      <c r="D1992" t="str" cm="1">
        <f t="array" ref="D1992">_xlfn.IFS(Table1[[#This Row],[age]]&lt;=17,"0-17",C1992&lt;=29,"18-29",C1992&lt;=44,"30-44",C1992&lt;=59,"45-59",C1992&lt;=74,"60-74",TRUE,"75+")</f>
        <v>30-44</v>
      </c>
      <c r="E1992" t="s">
        <v>17</v>
      </c>
      <c r="F1992">
        <v>10</v>
      </c>
      <c r="G1992" t="str" cm="1">
        <f t="array" ref="G1992">_xlfn.IFS(_xlfn.SINGLE(Table1[imd_decile])&lt;=3,"Most Deprived",F1992&lt;=7,"Moderately Deprived",F1992&lt;=10,"Least Deprived")</f>
        <v>Least Deprived</v>
      </c>
      <c r="H1992">
        <v>8.6999999999999993</v>
      </c>
      <c r="I1992" t="s">
        <v>42</v>
      </c>
      <c r="J1992" t="s">
        <v>26</v>
      </c>
      <c r="K1992" s="1">
        <v>45904</v>
      </c>
      <c r="L1992" s="1">
        <v>45933</v>
      </c>
      <c r="M1992" s="1" t="str">
        <f>TEXT(Table1[[#This Row],[appointment_date]],"MM/YYYY")</f>
        <v>10/2025</v>
      </c>
      <c r="N1992">
        <v>29</v>
      </c>
      <c r="O1992" t="str" cm="1">
        <f t="array" ref="O1992">_xlfn.IFS(Table1[[#This Row],[lead_time_days]]&lt;=7,"0-7 days",N1992&lt;=14,"8-14 days",N1992&lt;=30,"15-30 days",N1992&lt;=60,"31-60 days",TRUE,"61+ days")</f>
        <v>15-30 days</v>
      </c>
      <c r="P1992" t="s">
        <v>52</v>
      </c>
      <c r="Q1992" t="s">
        <v>21</v>
      </c>
      <c r="R1992">
        <v>0</v>
      </c>
      <c r="S1992" t="str">
        <f>IF(Table1[prior_dna_count]&gt;=1,"Has prior DNA history","No prior DNA history")</f>
        <v>No prior DNA history</v>
      </c>
      <c r="T1992" t="s">
        <v>22</v>
      </c>
      <c r="U1992" t="str">
        <f t="shared" si="31"/>
        <v>1</v>
      </c>
      <c r="V1992" t="str">
        <f>IF(Table1[appointment_status]="Attended","1","0")</f>
        <v>1</v>
      </c>
      <c r="W1992" t="str">
        <f>IF(Table1[appointment_status]="Cancelled","1","0")</f>
        <v>0</v>
      </c>
    </row>
    <row r="1993" spans="1:23">
      <c r="A1993" t="s">
        <v>3165</v>
      </c>
      <c r="B1993" t="s">
        <v>48</v>
      </c>
      <c r="C1993">
        <v>52</v>
      </c>
      <c r="D1993" t="str" cm="1">
        <f t="array" ref="D1993">_xlfn.IFS(Table1[[#This Row],[age]]&lt;=17,"0-17",C1993&lt;=29,"18-29",C1993&lt;=44,"30-44",C1993&lt;=59,"45-59",C1993&lt;=74,"60-74",TRUE,"75+")</f>
        <v>45-59</v>
      </c>
      <c r="E1993" t="s">
        <v>17</v>
      </c>
      <c r="F1993">
        <v>4</v>
      </c>
      <c r="G1993" t="str" cm="1">
        <f t="array" ref="G1993">_xlfn.IFS(_xlfn.SINGLE(Table1[imd_decile])&lt;=3,"Most Deprived",F1993&lt;=7,"Moderately Deprived",F1993&lt;=10,"Least Deprived")</f>
        <v>Moderately Deprived</v>
      </c>
      <c r="H1993">
        <v>6.3</v>
      </c>
      <c r="I1993" t="s">
        <v>25</v>
      </c>
      <c r="J1993" t="s">
        <v>26</v>
      </c>
      <c r="K1993" s="1">
        <v>45913</v>
      </c>
      <c r="L1993" s="1">
        <v>45933</v>
      </c>
      <c r="M1993" s="1" t="str">
        <f>TEXT(Table1[[#This Row],[appointment_date]],"MM/YYYY")</f>
        <v>10/2025</v>
      </c>
      <c r="N1993">
        <v>20</v>
      </c>
      <c r="O1993" t="str" cm="1">
        <f t="array" ref="O1993">_xlfn.IFS(Table1[[#This Row],[lead_time_days]]&lt;=7,"0-7 days",N1993&lt;=14,"8-14 days",N1993&lt;=30,"15-30 days",N1993&lt;=60,"31-60 days",TRUE,"61+ days")</f>
        <v>15-30 days</v>
      </c>
      <c r="P1993" t="s">
        <v>52</v>
      </c>
      <c r="Q1993" t="s">
        <v>21</v>
      </c>
      <c r="R1993">
        <v>0</v>
      </c>
      <c r="S1993" t="str">
        <f>IF(Table1[prior_dna_count]&gt;=1,"Has prior DNA history","No prior DNA history")</f>
        <v>No prior DNA history</v>
      </c>
      <c r="T1993" t="s">
        <v>22</v>
      </c>
      <c r="U1993" t="str">
        <f t="shared" si="31"/>
        <v>1</v>
      </c>
      <c r="V1993" t="str">
        <f>IF(Table1[appointment_status]="Attended","1","0")</f>
        <v>1</v>
      </c>
      <c r="W1993" t="str">
        <f>IF(Table1[appointment_status]="Cancelled","1","0")</f>
        <v>0</v>
      </c>
    </row>
    <row r="1994" spans="1:23">
      <c r="A1994" t="s">
        <v>3166</v>
      </c>
      <c r="B1994" t="s">
        <v>1313</v>
      </c>
      <c r="C1994">
        <v>59</v>
      </c>
      <c r="D1994" t="str" cm="1">
        <f t="array" ref="D1994">_xlfn.IFS(Table1[[#This Row],[age]]&lt;=17,"0-17",C1994&lt;=29,"18-29",C1994&lt;=44,"30-44",C1994&lt;=59,"45-59",C1994&lt;=74,"60-74",TRUE,"75+")</f>
        <v>45-59</v>
      </c>
      <c r="E1994" t="s">
        <v>29</v>
      </c>
      <c r="F1994">
        <v>6</v>
      </c>
      <c r="G1994" t="str" cm="1">
        <f t="array" ref="G1994">_xlfn.IFS(_xlfn.SINGLE(Table1[imd_decile])&lt;=3,"Most Deprived",F1994&lt;=7,"Moderately Deprived",F1994&lt;=10,"Least Deprived")</f>
        <v>Moderately Deprived</v>
      </c>
      <c r="H1994">
        <v>3.6</v>
      </c>
      <c r="I1994" t="s">
        <v>18</v>
      </c>
      <c r="J1994" t="s">
        <v>19</v>
      </c>
      <c r="K1994" s="1">
        <v>45906</v>
      </c>
      <c r="L1994" s="1">
        <v>45933</v>
      </c>
      <c r="M1994" s="1" t="str">
        <f>TEXT(Table1[[#This Row],[appointment_date]],"MM/YYYY")</f>
        <v>10/2025</v>
      </c>
      <c r="N1994">
        <v>27</v>
      </c>
      <c r="O1994" t="str" cm="1">
        <f t="array" ref="O1994">_xlfn.IFS(Table1[[#This Row],[lead_time_days]]&lt;=7,"0-7 days",N1994&lt;=14,"8-14 days",N1994&lt;=30,"15-30 days",N1994&lt;=60,"31-60 days",TRUE,"61+ days")</f>
        <v>15-30 days</v>
      </c>
      <c r="P1994" t="s">
        <v>52</v>
      </c>
      <c r="Q1994" t="s">
        <v>21</v>
      </c>
      <c r="R1994">
        <v>0</v>
      </c>
      <c r="S1994" t="str">
        <f>IF(Table1[prior_dna_count]&gt;=1,"Has prior DNA history","No prior DNA history")</f>
        <v>No prior DNA history</v>
      </c>
      <c r="T1994" t="s">
        <v>22</v>
      </c>
      <c r="U1994" t="str">
        <f t="shared" si="31"/>
        <v>1</v>
      </c>
      <c r="V1994" t="str">
        <f>IF(Table1[appointment_status]="Attended","1","0")</f>
        <v>1</v>
      </c>
      <c r="W1994" t="str">
        <f>IF(Table1[appointment_status]="Cancelled","1","0")</f>
        <v>0</v>
      </c>
    </row>
    <row r="1995" spans="1:23">
      <c r="A1995" t="s">
        <v>3167</v>
      </c>
      <c r="B1995" t="s">
        <v>3071</v>
      </c>
      <c r="C1995">
        <v>48</v>
      </c>
      <c r="D1995" t="str" cm="1">
        <f t="array" ref="D1995">_xlfn.IFS(Table1[[#This Row],[age]]&lt;=17,"0-17",C1995&lt;=29,"18-29",C1995&lt;=44,"30-44",C1995&lt;=59,"45-59",C1995&lt;=74,"60-74",TRUE,"75+")</f>
        <v>45-59</v>
      </c>
      <c r="E1995" t="s">
        <v>17</v>
      </c>
      <c r="F1995">
        <v>9</v>
      </c>
      <c r="G1995" t="str" cm="1">
        <f t="array" ref="G1995">_xlfn.IFS(_xlfn.SINGLE(Table1[imd_decile])&lt;=3,"Most Deprived",F1995&lt;=7,"Moderately Deprived",F1995&lt;=10,"Least Deprived")</f>
        <v>Least Deprived</v>
      </c>
      <c r="H1995">
        <v>6.8</v>
      </c>
      <c r="I1995" t="s">
        <v>155</v>
      </c>
      <c r="J1995" t="s">
        <v>26</v>
      </c>
      <c r="K1995" s="1">
        <v>45921</v>
      </c>
      <c r="L1995" s="1">
        <v>45933</v>
      </c>
      <c r="M1995" s="1" t="str">
        <f>TEXT(Table1[[#This Row],[appointment_date]],"MM/YYYY")</f>
        <v>10/2025</v>
      </c>
      <c r="N1995">
        <v>12</v>
      </c>
      <c r="O1995" t="str" cm="1">
        <f t="array" ref="O1995">_xlfn.IFS(Table1[[#This Row],[lead_time_days]]&lt;=7,"0-7 days",N1995&lt;=14,"8-14 days",N1995&lt;=30,"15-30 days",N1995&lt;=60,"31-60 days",TRUE,"61+ days")</f>
        <v>8-14 days</v>
      </c>
      <c r="P1995" t="s">
        <v>52</v>
      </c>
      <c r="Q1995" t="s">
        <v>21</v>
      </c>
      <c r="R1995">
        <v>0</v>
      </c>
      <c r="S1995" t="str">
        <f>IF(Table1[prior_dna_count]&gt;=1,"Has prior DNA history","No prior DNA history")</f>
        <v>No prior DNA history</v>
      </c>
      <c r="T1995" t="s">
        <v>46</v>
      </c>
      <c r="U1995" t="str">
        <f t="shared" si="31"/>
        <v>1</v>
      </c>
      <c r="V1995" t="str">
        <f>IF(Table1[appointment_status]="Attended","1","0")</f>
        <v>0</v>
      </c>
      <c r="W1995" t="str">
        <f>IF(Table1[appointment_status]="Cancelled","1","0")</f>
        <v>1</v>
      </c>
    </row>
    <row r="1996" spans="1:23">
      <c r="A1996" t="s">
        <v>3168</v>
      </c>
      <c r="B1996" t="s">
        <v>590</v>
      </c>
      <c r="C1996">
        <v>59</v>
      </c>
      <c r="D1996" t="str" cm="1">
        <f t="array" ref="D1996">_xlfn.IFS(Table1[[#This Row],[age]]&lt;=17,"0-17",C1996&lt;=29,"18-29",C1996&lt;=44,"30-44",C1996&lt;=59,"45-59",C1996&lt;=74,"60-74",TRUE,"75+")</f>
        <v>45-59</v>
      </c>
      <c r="E1996" t="s">
        <v>17</v>
      </c>
      <c r="F1996">
        <v>7</v>
      </c>
      <c r="G1996" t="str" cm="1">
        <f t="array" ref="G1996">_xlfn.IFS(_xlfn.SINGLE(Table1[imd_decile])&lt;=3,"Most Deprived",F1996&lt;=7,"Moderately Deprived",F1996&lt;=10,"Least Deprived")</f>
        <v>Moderately Deprived</v>
      </c>
      <c r="H1996">
        <v>6</v>
      </c>
      <c r="I1996" t="s">
        <v>25</v>
      </c>
      <c r="J1996" t="s">
        <v>19</v>
      </c>
      <c r="K1996" s="1">
        <v>45886</v>
      </c>
      <c r="L1996" s="1">
        <v>45933</v>
      </c>
      <c r="M1996" s="1" t="str">
        <f>TEXT(Table1[[#This Row],[appointment_date]],"MM/YYYY")</f>
        <v>10/2025</v>
      </c>
      <c r="N1996">
        <v>47</v>
      </c>
      <c r="O1996" t="str" cm="1">
        <f t="array" ref="O1996">_xlfn.IFS(Table1[[#This Row],[lead_time_days]]&lt;=7,"0-7 days",N1996&lt;=14,"8-14 days",N1996&lt;=30,"15-30 days",N1996&lt;=60,"31-60 days",TRUE,"61+ days")</f>
        <v>31-60 days</v>
      </c>
      <c r="P1996" t="s">
        <v>52</v>
      </c>
      <c r="Q1996" t="s">
        <v>21</v>
      </c>
      <c r="R1996">
        <v>0</v>
      </c>
      <c r="S1996" t="str">
        <f>IF(Table1[prior_dna_count]&gt;=1,"Has prior DNA history","No prior DNA history")</f>
        <v>No prior DNA history</v>
      </c>
      <c r="T1996" t="s">
        <v>22</v>
      </c>
      <c r="U1996" t="str">
        <f t="shared" si="31"/>
        <v>0</v>
      </c>
      <c r="V1996" t="str">
        <f>IF(Table1[appointment_status]="Attended","1","0")</f>
        <v>1</v>
      </c>
      <c r="W1996" t="str">
        <f>IF(Table1[appointment_status]="Cancelled","1","0")</f>
        <v>0</v>
      </c>
    </row>
    <row r="1997" spans="1:23">
      <c r="A1997" t="s">
        <v>3169</v>
      </c>
      <c r="B1997" t="s">
        <v>1946</v>
      </c>
      <c r="C1997">
        <v>41</v>
      </c>
      <c r="D1997" t="str" cm="1">
        <f t="array" ref="D1997">_xlfn.IFS(Table1[[#This Row],[age]]&lt;=17,"0-17",C1997&lt;=29,"18-29",C1997&lt;=44,"30-44",C1997&lt;=59,"45-59",C1997&lt;=74,"60-74",TRUE,"75+")</f>
        <v>30-44</v>
      </c>
      <c r="E1997" t="s">
        <v>17</v>
      </c>
      <c r="F1997">
        <v>8</v>
      </c>
      <c r="G1997" t="str" cm="1">
        <f t="array" ref="G1997">_xlfn.IFS(_xlfn.SINGLE(Table1[imd_decile])&lt;=3,"Most Deprived",F1997&lt;=7,"Moderately Deprived",F1997&lt;=10,"Least Deprived")</f>
        <v>Least Deprived</v>
      </c>
      <c r="H1997">
        <v>9.8000000000000007</v>
      </c>
      <c r="I1997" t="s">
        <v>42</v>
      </c>
      <c r="J1997" t="s">
        <v>19</v>
      </c>
      <c r="K1997" s="1">
        <v>45902</v>
      </c>
      <c r="L1997" s="1">
        <v>45933</v>
      </c>
      <c r="M1997" s="1" t="str">
        <f>TEXT(Table1[[#This Row],[appointment_date]],"MM/YYYY")</f>
        <v>10/2025</v>
      </c>
      <c r="N1997">
        <v>31</v>
      </c>
      <c r="O1997" t="str" cm="1">
        <f t="array" ref="O1997">_xlfn.IFS(Table1[[#This Row],[lead_time_days]]&lt;=7,"0-7 days",N1997&lt;=14,"8-14 days",N1997&lt;=30,"15-30 days",N1997&lt;=60,"31-60 days",TRUE,"61+ days")</f>
        <v>31-60 days</v>
      </c>
      <c r="P1997" t="s">
        <v>52</v>
      </c>
      <c r="Q1997" t="s">
        <v>21</v>
      </c>
      <c r="R1997">
        <v>1</v>
      </c>
      <c r="S1997" t="str">
        <f>IF(Table1[prior_dna_count]&gt;=1,"Has prior DNA history","No prior DNA history")</f>
        <v>Has prior DNA history</v>
      </c>
      <c r="T1997" t="s">
        <v>22</v>
      </c>
      <c r="U1997" t="str">
        <f t="shared" si="31"/>
        <v>1</v>
      </c>
      <c r="V1997" t="str">
        <f>IF(Table1[appointment_status]="Attended","1","0")</f>
        <v>1</v>
      </c>
      <c r="W1997" t="str">
        <f>IF(Table1[appointment_status]="Cancelled","1","0")</f>
        <v>0</v>
      </c>
    </row>
    <row r="1998" spans="1:23">
      <c r="A1998" t="s">
        <v>3170</v>
      </c>
      <c r="B1998" t="s">
        <v>395</v>
      </c>
      <c r="C1998">
        <v>29</v>
      </c>
      <c r="D1998" t="str" cm="1">
        <f t="array" ref="D1998">_xlfn.IFS(Table1[[#This Row],[age]]&lt;=17,"0-17",C1998&lt;=29,"18-29",C1998&lt;=44,"30-44",C1998&lt;=59,"45-59",C1998&lt;=74,"60-74",TRUE,"75+")</f>
        <v>18-29</v>
      </c>
      <c r="E1998" t="s">
        <v>29</v>
      </c>
      <c r="F1998">
        <v>10</v>
      </c>
      <c r="G1998" t="str" cm="1">
        <f t="array" ref="G1998">_xlfn.IFS(_xlfn.SINGLE(Table1[imd_decile])&lt;=3,"Most Deprived",F1998&lt;=7,"Moderately Deprived",F1998&lt;=10,"Least Deprived")</f>
        <v>Least Deprived</v>
      </c>
      <c r="H1998">
        <v>8.9</v>
      </c>
      <c r="I1998" t="s">
        <v>155</v>
      </c>
      <c r="J1998" t="s">
        <v>19</v>
      </c>
      <c r="K1998" s="1">
        <v>45874</v>
      </c>
      <c r="L1998" s="1">
        <v>45933</v>
      </c>
      <c r="M1998" s="1" t="str">
        <f>TEXT(Table1[[#This Row],[appointment_date]],"MM/YYYY")</f>
        <v>10/2025</v>
      </c>
      <c r="N1998">
        <v>59</v>
      </c>
      <c r="O1998" t="str" cm="1">
        <f t="array" ref="O1998">_xlfn.IFS(Table1[[#This Row],[lead_time_days]]&lt;=7,"0-7 days",N1998&lt;=14,"8-14 days",N1998&lt;=30,"15-30 days",N1998&lt;=60,"31-60 days",TRUE,"61+ days")</f>
        <v>31-60 days</v>
      </c>
      <c r="P1998" t="s">
        <v>52</v>
      </c>
      <c r="Q1998" t="s">
        <v>32</v>
      </c>
      <c r="R1998">
        <v>1</v>
      </c>
      <c r="S1998" t="str">
        <f>IF(Table1[prior_dna_count]&gt;=1,"Has prior DNA history","No prior DNA history")</f>
        <v>Has prior DNA history</v>
      </c>
      <c r="T1998" t="s">
        <v>46</v>
      </c>
      <c r="U1998" t="str">
        <f t="shared" si="31"/>
        <v>1</v>
      </c>
      <c r="V1998" t="str">
        <f>IF(Table1[appointment_status]="Attended","1","0")</f>
        <v>0</v>
      </c>
      <c r="W1998" t="str">
        <f>IF(Table1[appointment_status]="Cancelled","1","0")</f>
        <v>1</v>
      </c>
    </row>
    <row r="1999" spans="1:23">
      <c r="A1999" t="s">
        <v>3171</v>
      </c>
      <c r="B1999" t="s">
        <v>2475</v>
      </c>
      <c r="C1999">
        <v>68</v>
      </c>
      <c r="D1999" t="str" cm="1">
        <f t="array" ref="D1999">_xlfn.IFS(Table1[[#This Row],[age]]&lt;=17,"0-17",C1999&lt;=29,"18-29",C1999&lt;=44,"30-44",C1999&lt;=59,"45-59",C1999&lt;=74,"60-74",TRUE,"75+")</f>
        <v>60-74</v>
      </c>
      <c r="E1999" t="s">
        <v>29</v>
      </c>
      <c r="F1999">
        <v>1</v>
      </c>
      <c r="G1999" t="str" cm="1">
        <f t="array" ref="G1999">_xlfn.IFS(_xlfn.SINGLE(Table1[imd_decile])&lt;=3,"Most Deprived",F1999&lt;=7,"Moderately Deprived",F1999&lt;=10,"Least Deprived")</f>
        <v>Most Deprived</v>
      </c>
      <c r="H1999">
        <v>4</v>
      </c>
      <c r="I1999" t="s">
        <v>18</v>
      </c>
      <c r="J1999" t="s">
        <v>26</v>
      </c>
      <c r="K1999" s="1">
        <v>45912</v>
      </c>
      <c r="L1999" s="1">
        <v>45933</v>
      </c>
      <c r="M1999" s="1" t="str">
        <f>TEXT(Table1[[#This Row],[appointment_date]],"MM/YYYY")</f>
        <v>10/2025</v>
      </c>
      <c r="N1999">
        <v>21</v>
      </c>
      <c r="O1999" t="str" cm="1">
        <f t="array" ref="O1999">_xlfn.IFS(Table1[[#This Row],[lead_time_days]]&lt;=7,"0-7 days",N1999&lt;=14,"8-14 days",N1999&lt;=30,"15-30 days",N1999&lt;=60,"31-60 days",TRUE,"61+ days")</f>
        <v>15-30 days</v>
      </c>
      <c r="P1999" t="s">
        <v>52</v>
      </c>
      <c r="Q1999" t="s">
        <v>32</v>
      </c>
      <c r="R1999">
        <v>0</v>
      </c>
      <c r="S1999" t="str">
        <f>IF(Table1[prior_dna_count]&gt;=1,"Has prior DNA history","No prior DNA history")</f>
        <v>No prior DNA history</v>
      </c>
      <c r="T1999" t="s">
        <v>46</v>
      </c>
      <c r="U1999" t="str">
        <f t="shared" si="31"/>
        <v>0</v>
      </c>
      <c r="V1999" t="str">
        <f>IF(Table1[appointment_status]="Attended","1","0")</f>
        <v>0</v>
      </c>
      <c r="W1999" t="str">
        <f>IF(Table1[appointment_status]="Cancelled","1","0")</f>
        <v>1</v>
      </c>
    </row>
    <row r="2000" spans="1:23">
      <c r="A2000" t="s">
        <v>3172</v>
      </c>
      <c r="B2000" t="s">
        <v>1754</v>
      </c>
      <c r="C2000">
        <v>40</v>
      </c>
      <c r="D2000" t="str" cm="1">
        <f t="array" ref="D2000">_xlfn.IFS(Table1[[#This Row],[age]]&lt;=17,"0-17",C2000&lt;=29,"18-29",C2000&lt;=44,"30-44",C2000&lt;=59,"45-59",C2000&lt;=74,"60-74",TRUE,"75+")</f>
        <v>30-44</v>
      </c>
      <c r="E2000" t="s">
        <v>29</v>
      </c>
      <c r="F2000">
        <v>10</v>
      </c>
      <c r="G2000" t="str" cm="1">
        <f t="array" ref="G2000">_xlfn.IFS(_xlfn.SINGLE(Table1[imd_decile])&lt;=3,"Most Deprived",F2000&lt;=7,"Moderately Deprived",F2000&lt;=10,"Least Deprived")</f>
        <v>Least Deprived</v>
      </c>
      <c r="H2000">
        <v>2.2999999999999998</v>
      </c>
      <c r="I2000" t="s">
        <v>45</v>
      </c>
      <c r="J2000" t="s">
        <v>26</v>
      </c>
      <c r="K2000" s="1">
        <v>45917</v>
      </c>
      <c r="L2000" s="1">
        <v>45933</v>
      </c>
      <c r="M2000" s="1" t="str">
        <f>TEXT(Table1[[#This Row],[appointment_date]],"MM/YYYY")</f>
        <v>10/2025</v>
      </c>
      <c r="N2000">
        <v>16</v>
      </c>
      <c r="O2000" t="str" cm="1">
        <f t="array" ref="O2000">_xlfn.IFS(Table1[[#This Row],[lead_time_days]]&lt;=7,"0-7 days",N2000&lt;=14,"8-14 days",N2000&lt;=30,"15-30 days",N2000&lt;=60,"31-60 days",TRUE,"61+ days")</f>
        <v>15-30 days</v>
      </c>
      <c r="P2000" t="s">
        <v>52</v>
      </c>
      <c r="Q2000" t="s">
        <v>21</v>
      </c>
      <c r="R2000">
        <v>1</v>
      </c>
      <c r="S2000" t="str">
        <f>IF(Table1[prior_dna_count]&gt;=1,"Has prior DNA history","No prior DNA history")</f>
        <v>Has prior DNA history</v>
      </c>
      <c r="T2000" t="s">
        <v>22</v>
      </c>
      <c r="U2000" t="str">
        <f t="shared" si="31"/>
        <v>0</v>
      </c>
      <c r="V2000" t="str">
        <f>IF(Table1[appointment_status]="Attended","1","0")</f>
        <v>1</v>
      </c>
      <c r="W2000" t="str">
        <f>IF(Table1[appointment_status]="Cancelled","1","0")</f>
        <v>0</v>
      </c>
    </row>
    <row r="2001" spans="1:23">
      <c r="A2001" t="s">
        <v>3173</v>
      </c>
      <c r="B2001" t="s">
        <v>3174</v>
      </c>
      <c r="C2001">
        <v>40</v>
      </c>
      <c r="D2001" t="str" cm="1">
        <f t="array" ref="D2001">_xlfn.IFS(Table1[[#This Row],[age]]&lt;=17,"0-17",C2001&lt;=29,"18-29",C2001&lt;=44,"30-44",C2001&lt;=59,"45-59",C2001&lt;=74,"60-74",TRUE,"75+")</f>
        <v>30-44</v>
      </c>
      <c r="E2001" t="s">
        <v>29</v>
      </c>
      <c r="F2001">
        <v>9</v>
      </c>
      <c r="G2001" t="str" cm="1">
        <f t="array" ref="G2001">_xlfn.IFS(_xlfn.SINGLE(Table1[imd_decile])&lt;=3,"Most Deprived",F2001&lt;=7,"Moderately Deprived",F2001&lt;=10,"Least Deprived")</f>
        <v>Least Deprived</v>
      </c>
      <c r="H2001">
        <v>5.4</v>
      </c>
      <c r="I2001" t="s">
        <v>49</v>
      </c>
      <c r="J2001" t="s">
        <v>19</v>
      </c>
      <c r="K2001" s="1">
        <v>45901</v>
      </c>
      <c r="L2001" s="1">
        <v>45933</v>
      </c>
      <c r="M2001" s="1" t="str">
        <f>TEXT(Table1[[#This Row],[appointment_date]],"MM/YYYY")</f>
        <v>10/2025</v>
      </c>
      <c r="N2001">
        <v>32</v>
      </c>
      <c r="O2001" t="str" cm="1">
        <f t="array" ref="O2001">_xlfn.IFS(Table1[[#This Row],[lead_time_days]]&lt;=7,"0-7 days",N2001&lt;=14,"8-14 days",N2001&lt;=30,"15-30 days",N2001&lt;=60,"31-60 days",TRUE,"61+ days")</f>
        <v>31-60 days</v>
      </c>
      <c r="P2001" t="s">
        <v>52</v>
      </c>
      <c r="Q2001" t="s">
        <v>21</v>
      </c>
      <c r="R2001">
        <v>0</v>
      </c>
      <c r="S2001" t="str">
        <f>IF(Table1[prior_dna_count]&gt;=1,"Has prior DNA history","No prior DNA history")</f>
        <v>No prior DNA history</v>
      </c>
      <c r="T2001" t="s">
        <v>46</v>
      </c>
      <c r="U2001" t="str">
        <f t="shared" si="31"/>
        <v>1</v>
      </c>
      <c r="V2001" t="str">
        <f>IF(Table1[appointment_status]="Attended","1","0")</f>
        <v>0</v>
      </c>
      <c r="W2001" t="str">
        <f>IF(Table1[appointment_status]="Cancelled","1","0")</f>
        <v>1</v>
      </c>
    </row>
    <row r="2002" spans="1:23">
      <c r="A2002" t="s">
        <v>3175</v>
      </c>
      <c r="B2002" t="s">
        <v>3176</v>
      </c>
      <c r="C2002">
        <v>45</v>
      </c>
      <c r="D2002" t="str" cm="1">
        <f t="array" ref="D2002">_xlfn.IFS(Table1[[#This Row],[age]]&lt;=17,"0-17",C2002&lt;=29,"18-29",C2002&lt;=44,"30-44",C2002&lt;=59,"45-59",C2002&lt;=74,"60-74",TRUE,"75+")</f>
        <v>45-59</v>
      </c>
      <c r="E2002" t="s">
        <v>29</v>
      </c>
      <c r="F2002">
        <v>3</v>
      </c>
      <c r="G2002" t="str" cm="1">
        <f t="array" ref="G2002">_xlfn.IFS(_xlfn.SINGLE(Table1[imd_decile])&lt;=3,"Most Deprived",F2002&lt;=7,"Moderately Deprived",F2002&lt;=10,"Least Deprived")</f>
        <v>Most Deprived</v>
      </c>
      <c r="H2002">
        <v>4.5999999999999996</v>
      </c>
      <c r="I2002" t="s">
        <v>25</v>
      </c>
      <c r="J2002" t="s">
        <v>19</v>
      </c>
      <c r="K2002" s="1">
        <v>45902</v>
      </c>
      <c r="L2002" s="1">
        <v>45934</v>
      </c>
      <c r="M2002" s="1" t="str">
        <f>TEXT(Table1[[#This Row],[appointment_date]],"MM/YYYY")</f>
        <v>10/2025</v>
      </c>
      <c r="N2002">
        <v>32</v>
      </c>
      <c r="O2002" t="str" cm="1">
        <f t="array" ref="O2002">_xlfn.IFS(Table1[[#This Row],[lead_time_days]]&lt;=7,"0-7 days",N2002&lt;=14,"8-14 days",N2002&lt;=30,"15-30 days",N2002&lt;=60,"31-60 days",TRUE,"61+ days")</f>
        <v>31-60 days</v>
      </c>
      <c r="P2002" t="s">
        <v>55</v>
      </c>
      <c r="Q2002" t="s">
        <v>32</v>
      </c>
      <c r="R2002">
        <v>0</v>
      </c>
      <c r="S2002" t="str">
        <f>IF(Table1[prior_dna_count]&gt;=1,"Has prior DNA history","No prior DNA history")</f>
        <v>No prior DNA history</v>
      </c>
      <c r="T2002" t="s">
        <v>39</v>
      </c>
      <c r="U2002" t="str">
        <f t="shared" si="31"/>
        <v>0</v>
      </c>
      <c r="V2002" t="str">
        <f>IF(Table1[appointment_status]="Attended","1","0")</f>
        <v>0</v>
      </c>
      <c r="W2002" t="str">
        <f>IF(Table1[appointment_status]="Cancelled","1","0")</f>
        <v>0</v>
      </c>
    </row>
    <row r="2003" spans="1:23">
      <c r="A2003" t="s">
        <v>3177</v>
      </c>
      <c r="B2003" t="s">
        <v>3178</v>
      </c>
      <c r="C2003">
        <v>64</v>
      </c>
      <c r="D2003" t="str" cm="1">
        <f t="array" ref="D2003">_xlfn.IFS(Table1[[#This Row],[age]]&lt;=17,"0-17",C2003&lt;=29,"18-29",C2003&lt;=44,"30-44",C2003&lt;=59,"45-59",C2003&lt;=74,"60-74",TRUE,"75+")</f>
        <v>60-74</v>
      </c>
      <c r="E2003" t="s">
        <v>29</v>
      </c>
      <c r="F2003">
        <v>9</v>
      </c>
      <c r="G2003" t="str" cm="1">
        <f t="array" ref="G2003">_xlfn.IFS(_xlfn.SINGLE(Table1[imd_decile])&lt;=3,"Most Deprived",F2003&lt;=7,"Moderately Deprived",F2003&lt;=10,"Least Deprived")</f>
        <v>Least Deprived</v>
      </c>
      <c r="H2003">
        <v>10.1</v>
      </c>
      <c r="I2003" t="s">
        <v>30</v>
      </c>
      <c r="J2003" t="s">
        <v>26</v>
      </c>
      <c r="K2003" s="1">
        <v>45916</v>
      </c>
      <c r="L2003" s="1">
        <v>45934</v>
      </c>
      <c r="M2003" s="1" t="str">
        <f>TEXT(Table1[[#This Row],[appointment_date]],"MM/YYYY")</f>
        <v>10/2025</v>
      </c>
      <c r="N2003">
        <v>18</v>
      </c>
      <c r="O2003" t="str" cm="1">
        <f t="array" ref="O2003">_xlfn.IFS(Table1[[#This Row],[lead_time_days]]&lt;=7,"0-7 days",N2003&lt;=14,"8-14 days",N2003&lt;=30,"15-30 days",N2003&lt;=60,"31-60 days",TRUE,"61+ days")</f>
        <v>15-30 days</v>
      </c>
      <c r="P2003" t="s">
        <v>55</v>
      </c>
      <c r="Q2003" t="s">
        <v>21</v>
      </c>
      <c r="R2003">
        <v>0</v>
      </c>
      <c r="S2003" t="str">
        <f>IF(Table1[prior_dna_count]&gt;=1,"Has prior DNA history","No prior DNA history")</f>
        <v>No prior DNA history</v>
      </c>
      <c r="T2003" t="s">
        <v>39</v>
      </c>
      <c r="U2003" t="str">
        <f t="shared" si="31"/>
        <v>0</v>
      </c>
      <c r="V2003" t="str">
        <f>IF(Table1[appointment_status]="Attended","1","0")</f>
        <v>0</v>
      </c>
      <c r="W2003" t="str">
        <f>IF(Table1[appointment_status]="Cancelled","1","0")</f>
        <v>0</v>
      </c>
    </row>
    <row r="2004" spans="1:23">
      <c r="A2004" t="s">
        <v>3179</v>
      </c>
      <c r="B2004" t="s">
        <v>1051</v>
      </c>
      <c r="C2004">
        <v>19</v>
      </c>
      <c r="D2004" t="str" cm="1">
        <f t="array" ref="D2004">_xlfn.IFS(Table1[[#This Row],[age]]&lt;=17,"0-17",C2004&lt;=29,"18-29",C2004&lt;=44,"30-44",C2004&lt;=59,"45-59",C2004&lt;=74,"60-74",TRUE,"75+")</f>
        <v>18-29</v>
      </c>
      <c r="E2004" t="s">
        <v>17</v>
      </c>
      <c r="F2004">
        <v>6</v>
      </c>
      <c r="G2004" t="str" cm="1">
        <f t="array" ref="G2004">_xlfn.IFS(_xlfn.SINGLE(Table1[imd_decile])&lt;=3,"Most Deprived",F2004&lt;=7,"Moderately Deprived",F2004&lt;=10,"Least Deprived")</f>
        <v>Moderately Deprived</v>
      </c>
      <c r="H2004">
        <v>1.9</v>
      </c>
      <c r="I2004" t="s">
        <v>38</v>
      </c>
      <c r="J2004" t="s">
        <v>19</v>
      </c>
      <c r="K2004" s="1">
        <v>45920</v>
      </c>
      <c r="L2004" s="1">
        <v>45934</v>
      </c>
      <c r="M2004" s="1" t="str">
        <f>TEXT(Table1[[#This Row],[appointment_date]],"MM/YYYY")</f>
        <v>10/2025</v>
      </c>
      <c r="N2004">
        <v>14</v>
      </c>
      <c r="O2004" t="str" cm="1">
        <f t="array" ref="O2004">_xlfn.IFS(Table1[[#This Row],[lead_time_days]]&lt;=7,"0-7 days",N2004&lt;=14,"8-14 days",N2004&lt;=30,"15-30 days",N2004&lt;=60,"31-60 days",TRUE,"61+ days")</f>
        <v>8-14 days</v>
      </c>
      <c r="P2004" t="s">
        <v>55</v>
      </c>
      <c r="Q2004" t="s">
        <v>21</v>
      </c>
      <c r="R2004">
        <v>0</v>
      </c>
      <c r="S2004" t="str">
        <f>IF(Table1[prior_dna_count]&gt;=1,"Has prior DNA history","No prior DNA history")</f>
        <v>No prior DNA history</v>
      </c>
      <c r="T2004" t="s">
        <v>22</v>
      </c>
      <c r="U2004" t="str">
        <f t="shared" si="31"/>
        <v>0</v>
      </c>
      <c r="V2004" t="str">
        <f>IF(Table1[appointment_status]="Attended","1","0")</f>
        <v>1</v>
      </c>
      <c r="W2004" t="str">
        <f>IF(Table1[appointment_status]="Cancelled","1","0")</f>
        <v>0</v>
      </c>
    </row>
    <row r="2005" spans="1:23">
      <c r="A2005" t="s">
        <v>3180</v>
      </c>
      <c r="B2005" t="s">
        <v>2715</v>
      </c>
      <c r="C2005">
        <v>34</v>
      </c>
      <c r="D2005" t="str" cm="1">
        <f t="array" ref="D2005">_xlfn.IFS(Table1[[#This Row],[age]]&lt;=17,"0-17",C2005&lt;=29,"18-29",C2005&lt;=44,"30-44",C2005&lt;=59,"45-59",C2005&lt;=74,"60-74",TRUE,"75+")</f>
        <v>30-44</v>
      </c>
      <c r="E2005" t="s">
        <v>17</v>
      </c>
      <c r="F2005">
        <v>1</v>
      </c>
      <c r="G2005" t="str" cm="1">
        <f t="array" ref="G2005">_xlfn.IFS(_xlfn.SINGLE(Table1[imd_decile])&lt;=3,"Most Deprived",F2005&lt;=7,"Moderately Deprived",F2005&lt;=10,"Least Deprived")</f>
        <v>Most Deprived</v>
      </c>
      <c r="H2005">
        <v>10.6</v>
      </c>
      <c r="I2005" t="s">
        <v>91</v>
      </c>
      <c r="J2005" t="s">
        <v>26</v>
      </c>
      <c r="K2005" s="1">
        <v>45882</v>
      </c>
      <c r="L2005" s="1">
        <v>45934</v>
      </c>
      <c r="M2005" s="1" t="str">
        <f>TEXT(Table1[[#This Row],[appointment_date]],"MM/YYYY")</f>
        <v>10/2025</v>
      </c>
      <c r="N2005">
        <v>52</v>
      </c>
      <c r="O2005" t="str" cm="1">
        <f t="array" ref="O2005">_xlfn.IFS(Table1[[#This Row],[lead_time_days]]&lt;=7,"0-7 days",N2005&lt;=14,"8-14 days",N2005&lt;=30,"15-30 days",N2005&lt;=60,"31-60 days",TRUE,"61+ days")</f>
        <v>31-60 days</v>
      </c>
      <c r="P2005" t="s">
        <v>55</v>
      </c>
      <c r="Q2005" t="s">
        <v>21</v>
      </c>
      <c r="R2005">
        <v>0</v>
      </c>
      <c r="S2005" t="str">
        <f>IF(Table1[prior_dna_count]&gt;=1,"Has prior DNA history","No prior DNA history")</f>
        <v>No prior DNA history</v>
      </c>
      <c r="T2005" t="s">
        <v>22</v>
      </c>
      <c r="U2005" t="str">
        <f t="shared" si="31"/>
        <v>1</v>
      </c>
      <c r="V2005" t="str">
        <f>IF(Table1[appointment_status]="Attended","1","0")</f>
        <v>1</v>
      </c>
      <c r="W2005" t="str">
        <f>IF(Table1[appointment_status]="Cancelled","1","0")</f>
        <v>0</v>
      </c>
    </row>
    <row r="2006" spans="1:23">
      <c r="A2006" t="s">
        <v>3181</v>
      </c>
      <c r="B2006" t="s">
        <v>3182</v>
      </c>
      <c r="C2006">
        <v>41</v>
      </c>
      <c r="D2006" t="str" cm="1">
        <f t="array" ref="D2006">_xlfn.IFS(Table1[[#This Row],[age]]&lt;=17,"0-17",C2006&lt;=29,"18-29",C2006&lt;=44,"30-44",C2006&lt;=59,"45-59",C2006&lt;=74,"60-74",TRUE,"75+")</f>
        <v>30-44</v>
      </c>
      <c r="E2006" t="s">
        <v>29</v>
      </c>
      <c r="F2006">
        <v>4</v>
      </c>
      <c r="G2006" t="str" cm="1">
        <f t="array" ref="G2006">_xlfn.IFS(_xlfn.SINGLE(Table1[imd_decile])&lt;=3,"Most Deprived",F2006&lt;=7,"Moderately Deprived",F2006&lt;=10,"Least Deprived")</f>
        <v>Moderately Deprived</v>
      </c>
      <c r="H2006">
        <v>4.5</v>
      </c>
      <c r="I2006" t="s">
        <v>38</v>
      </c>
      <c r="J2006" t="s">
        <v>26</v>
      </c>
      <c r="K2006" s="1">
        <v>45918</v>
      </c>
      <c r="L2006" s="1">
        <v>45934</v>
      </c>
      <c r="M2006" s="1" t="str">
        <f>TEXT(Table1[[#This Row],[appointment_date]],"MM/YYYY")</f>
        <v>10/2025</v>
      </c>
      <c r="N2006">
        <v>16</v>
      </c>
      <c r="O2006" t="str" cm="1">
        <f t="array" ref="O2006">_xlfn.IFS(Table1[[#This Row],[lead_time_days]]&lt;=7,"0-7 days",N2006&lt;=14,"8-14 days",N2006&lt;=30,"15-30 days",N2006&lt;=60,"31-60 days",TRUE,"61+ days")</f>
        <v>15-30 days</v>
      </c>
      <c r="P2006" t="s">
        <v>55</v>
      </c>
      <c r="Q2006" t="s">
        <v>21</v>
      </c>
      <c r="R2006">
        <v>0</v>
      </c>
      <c r="S2006" t="str">
        <f>IF(Table1[prior_dna_count]&gt;=1,"Has prior DNA history","No prior DNA history")</f>
        <v>No prior DNA history</v>
      </c>
      <c r="T2006" t="s">
        <v>22</v>
      </c>
      <c r="U2006" t="str">
        <f t="shared" si="31"/>
        <v>1</v>
      </c>
      <c r="V2006" t="str">
        <f>IF(Table1[appointment_status]="Attended","1","0")</f>
        <v>1</v>
      </c>
      <c r="W2006" t="str">
        <f>IF(Table1[appointment_status]="Cancelled","1","0")</f>
        <v>0</v>
      </c>
    </row>
    <row r="2007" spans="1:23">
      <c r="A2007" t="s">
        <v>3183</v>
      </c>
      <c r="B2007" t="s">
        <v>2672</v>
      </c>
      <c r="C2007">
        <v>45</v>
      </c>
      <c r="D2007" t="str" cm="1">
        <f t="array" ref="D2007">_xlfn.IFS(Table1[[#This Row],[age]]&lt;=17,"0-17",C2007&lt;=29,"18-29",C2007&lt;=44,"30-44",C2007&lt;=59,"45-59",C2007&lt;=74,"60-74",TRUE,"75+")</f>
        <v>45-59</v>
      </c>
      <c r="E2007" t="s">
        <v>29</v>
      </c>
      <c r="F2007">
        <v>8</v>
      </c>
      <c r="G2007" t="str" cm="1">
        <f t="array" ref="G2007">_xlfn.IFS(_xlfn.SINGLE(Table1[imd_decile])&lt;=3,"Most Deprived",F2007&lt;=7,"Moderately Deprived",F2007&lt;=10,"Least Deprived")</f>
        <v>Least Deprived</v>
      </c>
      <c r="H2007">
        <v>7.6</v>
      </c>
      <c r="I2007" t="s">
        <v>49</v>
      </c>
      <c r="J2007" t="s">
        <v>26</v>
      </c>
      <c r="K2007" s="1">
        <v>45900</v>
      </c>
      <c r="L2007" s="1">
        <v>45934</v>
      </c>
      <c r="M2007" s="1" t="str">
        <f>TEXT(Table1[[#This Row],[appointment_date]],"MM/YYYY")</f>
        <v>10/2025</v>
      </c>
      <c r="N2007">
        <v>34</v>
      </c>
      <c r="O2007" t="str" cm="1">
        <f t="array" ref="O2007">_xlfn.IFS(Table1[[#This Row],[lead_time_days]]&lt;=7,"0-7 days",N2007&lt;=14,"8-14 days",N2007&lt;=30,"15-30 days",N2007&lt;=60,"31-60 days",TRUE,"61+ days")</f>
        <v>31-60 days</v>
      </c>
      <c r="P2007" t="s">
        <v>55</v>
      </c>
      <c r="Q2007" t="s">
        <v>21</v>
      </c>
      <c r="R2007">
        <v>0</v>
      </c>
      <c r="S2007" t="str">
        <f>IF(Table1[prior_dna_count]&gt;=1,"Has prior DNA history","No prior DNA history")</f>
        <v>No prior DNA history</v>
      </c>
      <c r="T2007" t="s">
        <v>22</v>
      </c>
      <c r="U2007" t="str">
        <f t="shared" si="31"/>
        <v>1</v>
      </c>
      <c r="V2007" t="str">
        <f>IF(Table1[appointment_status]="Attended","1","0")</f>
        <v>1</v>
      </c>
      <c r="W2007" t="str">
        <f>IF(Table1[appointment_status]="Cancelled","1","0")</f>
        <v>0</v>
      </c>
    </row>
    <row r="2008" spans="1:23">
      <c r="A2008" t="s">
        <v>3184</v>
      </c>
      <c r="B2008" t="s">
        <v>327</v>
      </c>
      <c r="C2008">
        <v>54</v>
      </c>
      <c r="D2008" t="str" cm="1">
        <f t="array" ref="D2008">_xlfn.IFS(Table1[[#This Row],[age]]&lt;=17,"0-17",C2008&lt;=29,"18-29",C2008&lt;=44,"30-44",C2008&lt;=59,"45-59",C2008&lt;=74,"60-74",TRUE,"75+")</f>
        <v>45-59</v>
      </c>
      <c r="E2008" t="s">
        <v>29</v>
      </c>
      <c r="F2008">
        <v>7</v>
      </c>
      <c r="G2008" t="str" cm="1">
        <f t="array" ref="G2008">_xlfn.IFS(_xlfn.SINGLE(Table1[imd_decile])&lt;=3,"Most Deprived",F2008&lt;=7,"Moderately Deprived",F2008&lt;=10,"Least Deprived")</f>
        <v>Moderately Deprived</v>
      </c>
      <c r="H2008">
        <v>0.9</v>
      </c>
      <c r="I2008" t="s">
        <v>30</v>
      </c>
      <c r="J2008" t="s">
        <v>19</v>
      </c>
      <c r="K2008" s="1">
        <v>45897</v>
      </c>
      <c r="L2008" s="1">
        <v>45934</v>
      </c>
      <c r="M2008" s="1" t="str">
        <f>TEXT(Table1[[#This Row],[appointment_date]],"MM/YYYY")</f>
        <v>10/2025</v>
      </c>
      <c r="N2008">
        <v>37</v>
      </c>
      <c r="O2008" t="str" cm="1">
        <f t="array" ref="O2008">_xlfn.IFS(Table1[[#This Row],[lead_time_days]]&lt;=7,"0-7 days",N2008&lt;=14,"8-14 days",N2008&lt;=30,"15-30 days",N2008&lt;=60,"31-60 days",TRUE,"61+ days")</f>
        <v>31-60 days</v>
      </c>
      <c r="P2008" t="s">
        <v>55</v>
      </c>
      <c r="Q2008" t="s">
        <v>32</v>
      </c>
      <c r="R2008">
        <v>0</v>
      </c>
      <c r="S2008" t="str">
        <f>IF(Table1[prior_dna_count]&gt;=1,"Has prior DNA history","No prior DNA history")</f>
        <v>No prior DNA history</v>
      </c>
      <c r="T2008" t="s">
        <v>22</v>
      </c>
      <c r="U2008" t="str">
        <f t="shared" si="31"/>
        <v>1</v>
      </c>
      <c r="V2008" t="str">
        <f>IF(Table1[appointment_status]="Attended","1","0")</f>
        <v>1</v>
      </c>
      <c r="W2008" t="str">
        <f>IF(Table1[appointment_status]="Cancelled","1","0")</f>
        <v>0</v>
      </c>
    </row>
    <row r="2009" spans="1:23">
      <c r="A2009" t="s">
        <v>3185</v>
      </c>
      <c r="B2009" t="s">
        <v>1276</v>
      </c>
      <c r="C2009">
        <v>44</v>
      </c>
      <c r="D2009" t="str" cm="1">
        <f t="array" ref="D2009">_xlfn.IFS(Table1[[#This Row],[age]]&lt;=17,"0-17",C2009&lt;=29,"18-29",C2009&lt;=44,"30-44",C2009&lt;=59,"45-59",C2009&lt;=74,"60-74",TRUE,"75+")</f>
        <v>30-44</v>
      </c>
      <c r="E2009" t="s">
        <v>29</v>
      </c>
      <c r="F2009">
        <v>5</v>
      </c>
      <c r="G2009" t="str" cm="1">
        <f t="array" ref="G2009">_xlfn.IFS(_xlfn.SINGLE(Table1[imd_decile])&lt;=3,"Most Deprived",F2009&lt;=7,"Moderately Deprived",F2009&lt;=10,"Least Deprived")</f>
        <v>Moderately Deprived</v>
      </c>
      <c r="H2009">
        <v>16</v>
      </c>
      <c r="I2009" t="s">
        <v>42</v>
      </c>
      <c r="J2009" t="s">
        <v>19</v>
      </c>
      <c r="K2009" s="1">
        <v>45882</v>
      </c>
      <c r="L2009" s="1">
        <v>45934</v>
      </c>
      <c r="M2009" s="1" t="str">
        <f>TEXT(Table1[[#This Row],[appointment_date]],"MM/YYYY")</f>
        <v>10/2025</v>
      </c>
      <c r="N2009">
        <v>52</v>
      </c>
      <c r="O2009" t="str" cm="1">
        <f t="array" ref="O2009">_xlfn.IFS(Table1[[#This Row],[lead_time_days]]&lt;=7,"0-7 days",N2009&lt;=14,"8-14 days",N2009&lt;=30,"15-30 days",N2009&lt;=60,"31-60 days",TRUE,"61+ days")</f>
        <v>31-60 days</v>
      </c>
      <c r="P2009" t="s">
        <v>55</v>
      </c>
      <c r="Q2009" t="s">
        <v>21</v>
      </c>
      <c r="R2009">
        <v>0</v>
      </c>
      <c r="S2009" t="str">
        <f>IF(Table1[prior_dna_count]&gt;=1,"Has prior DNA history","No prior DNA history")</f>
        <v>No prior DNA history</v>
      </c>
      <c r="T2009" t="s">
        <v>22</v>
      </c>
      <c r="U2009" t="str">
        <f t="shared" si="31"/>
        <v>1</v>
      </c>
      <c r="V2009" t="str">
        <f>IF(Table1[appointment_status]="Attended","1","0")</f>
        <v>1</v>
      </c>
      <c r="W2009" t="str">
        <f>IF(Table1[appointment_status]="Cancelled","1","0")</f>
        <v>0</v>
      </c>
    </row>
    <row r="2010" spans="1:23">
      <c r="A2010" t="s">
        <v>3186</v>
      </c>
      <c r="B2010" t="s">
        <v>3187</v>
      </c>
      <c r="C2010">
        <v>43</v>
      </c>
      <c r="D2010" t="str" cm="1">
        <f t="array" ref="D2010">_xlfn.IFS(Table1[[#This Row],[age]]&lt;=17,"0-17",C2010&lt;=29,"18-29",C2010&lt;=44,"30-44",C2010&lt;=59,"45-59",C2010&lt;=74,"60-74",TRUE,"75+")</f>
        <v>30-44</v>
      </c>
      <c r="E2010" t="s">
        <v>29</v>
      </c>
      <c r="F2010">
        <v>6</v>
      </c>
      <c r="G2010" t="str" cm="1">
        <f t="array" ref="G2010">_xlfn.IFS(_xlfn.SINGLE(Table1[imd_decile])&lt;=3,"Most Deprived",F2010&lt;=7,"Moderately Deprived",F2010&lt;=10,"Least Deprived")</f>
        <v>Moderately Deprived</v>
      </c>
      <c r="H2010">
        <v>9.8000000000000007</v>
      </c>
      <c r="I2010" t="s">
        <v>49</v>
      </c>
      <c r="J2010" t="s">
        <v>19</v>
      </c>
      <c r="K2010" s="1">
        <v>45911</v>
      </c>
      <c r="L2010" s="1">
        <v>45934</v>
      </c>
      <c r="M2010" s="1" t="str">
        <f>TEXT(Table1[[#This Row],[appointment_date]],"MM/YYYY")</f>
        <v>10/2025</v>
      </c>
      <c r="N2010">
        <v>23</v>
      </c>
      <c r="O2010" t="str" cm="1">
        <f t="array" ref="O2010">_xlfn.IFS(Table1[[#This Row],[lead_time_days]]&lt;=7,"0-7 days",N2010&lt;=14,"8-14 days",N2010&lt;=30,"15-30 days",N2010&lt;=60,"31-60 days",TRUE,"61+ days")</f>
        <v>15-30 days</v>
      </c>
      <c r="P2010" t="s">
        <v>55</v>
      </c>
      <c r="Q2010" t="s">
        <v>21</v>
      </c>
      <c r="R2010">
        <v>0</v>
      </c>
      <c r="S2010" t="str">
        <f>IF(Table1[prior_dna_count]&gt;=1,"Has prior DNA history","No prior DNA history")</f>
        <v>No prior DNA history</v>
      </c>
      <c r="T2010" t="s">
        <v>22</v>
      </c>
      <c r="U2010" t="str">
        <f t="shared" si="31"/>
        <v>1</v>
      </c>
      <c r="V2010" t="str">
        <f>IF(Table1[appointment_status]="Attended","1","0")</f>
        <v>1</v>
      </c>
      <c r="W2010" t="str">
        <f>IF(Table1[appointment_status]="Cancelled","1","0")</f>
        <v>0</v>
      </c>
    </row>
    <row r="2011" spans="1:23">
      <c r="A2011" t="s">
        <v>3188</v>
      </c>
      <c r="B2011" t="s">
        <v>115</v>
      </c>
      <c r="C2011">
        <v>2</v>
      </c>
      <c r="D2011" t="str" cm="1">
        <f t="array" ref="D2011">_xlfn.IFS(Table1[[#This Row],[age]]&lt;=17,"0-17",C2011&lt;=29,"18-29",C2011&lt;=44,"30-44",C2011&lt;=59,"45-59",C2011&lt;=74,"60-74",TRUE,"75+")</f>
        <v>0-17</v>
      </c>
      <c r="E2011" t="s">
        <v>17</v>
      </c>
      <c r="F2011">
        <v>5</v>
      </c>
      <c r="G2011" t="str" cm="1">
        <f t="array" ref="G2011">_xlfn.IFS(_xlfn.SINGLE(Table1[imd_decile])&lt;=3,"Most Deprived",F2011&lt;=7,"Moderately Deprived",F2011&lt;=10,"Least Deprived")</f>
        <v>Moderately Deprived</v>
      </c>
      <c r="H2011">
        <v>9.6999999999999993</v>
      </c>
      <c r="I2011" t="s">
        <v>155</v>
      </c>
      <c r="J2011" t="s">
        <v>26</v>
      </c>
      <c r="K2011" s="1">
        <v>45908</v>
      </c>
      <c r="L2011" s="1">
        <v>45934</v>
      </c>
      <c r="M2011" s="1" t="str">
        <f>TEXT(Table1[[#This Row],[appointment_date]],"MM/YYYY")</f>
        <v>10/2025</v>
      </c>
      <c r="N2011">
        <v>26</v>
      </c>
      <c r="O2011" t="str" cm="1">
        <f t="array" ref="O2011">_xlfn.IFS(Table1[[#This Row],[lead_time_days]]&lt;=7,"0-7 days",N2011&lt;=14,"8-14 days",N2011&lt;=30,"15-30 days",N2011&lt;=60,"31-60 days",TRUE,"61+ days")</f>
        <v>15-30 days</v>
      </c>
      <c r="P2011" t="s">
        <v>55</v>
      </c>
      <c r="Q2011" t="s">
        <v>21</v>
      </c>
      <c r="R2011">
        <v>0</v>
      </c>
      <c r="S2011" t="str">
        <f>IF(Table1[prior_dna_count]&gt;=1,"Has prior DNA history","No prior DNA history")</f>
        <v>No prior DNA history</v>
      </c>
      <c r="T2011" t="s">
        <v>22</v>
      </c>
      <c r="U2011" t="str">
        <f t="shared" si="31"/>
        <v>1</v>
      </c>
      <c r="V2011" t="str">
        <f>IF(Table1[appointment_status]="Attended","1","0")</f>
        <v>1</v>
      </c>
      <c r="W2011" t="str">
        <f>IF(Table1[appointment_status]="Cancelled","1","0")</f>
        <v>0</v>
      </c>
    </row>
    <row r="2012" spans="1:23">
      <c r="A2012" t="s">
        <v>3189</v>
      </c>
      <c r="B2012" t="s">
        <v>1027</v>
      </c>
      <c r="C2012">
        <v>31</v>
      </c>
      <c r="D2012" t="str" cm="1">
        <f t="array" ref="D2012">_xlfn.IFS(Table1[[#This Row],[age]]&lt;=17,"0-17",C2012&lt;=29,"18-29",C2012&lt;=44,"30-44",C2012&lt;=59,"45-59",C2012&lt;=74,"60-74",TRUE,"75+")</f>
        <v>30-44</v>
      </c>
      <c r="E2012" t="s">
        <v>29</v>
      </c>
      <c r="F2012">
        <v>3</v>
      </c>
      <c r="G2012" t="str" cm="1">
        <f t="array" ref="G2012">_xlfn.IFS(_xlfn.SINGLE(Table1[imd_decile])&lt;=3,"Most Deprived",F2012&lt;=7,"Moderately Deprived",F2012&lt;=10,"Least Deprived")</f>
        <v>Most Deprived</v>
      </c>
      <c r="H2012">
        <v>14</v>
      </c>
      <c r="I2012" t="s">
        <v>42</v>
      </c>
      <c r="J2012" t="s">
        <v>19</v>
      </c>
      <c r="K2012" s="1">
        <v>45895</v>
      </c>
      <c r="L2012" s="1">
        <v>45934</v>
      </c>
      <c r="M2012" s="1" t="str">
        <f>TEXT(Table1[[#This Row],[appointment_date]],"MM/YYYY")</f>
        <v>10/2025</v>
      </c>
      <c r="N2012">
        <v>39</v>
      </c>
      <c r="O2012" t="str" cm="1">
        <f t="array" ref="O2012">_xlfn.IFS(Table1[[#This Row],[lead_time_days]]&lt;=7,"0-7 days",N2012&lt;=14,"8-14 days",N2012&lt;=30,"15-30 days",N2012&lt;=60,"31-60 days",TRUE,"61+ days")</f>
        <v>31-60 days</v>
      </c>
      <c r="P2012" t="s">
        <v>55</v>
      </c>
      <c r="Q2012" t="s">
        <v>32</v>
      </c>
      <c r="R2012">
        <v>0</v>
      </c>
      <c r="S2012" t="str">
        <f>IF(Table1[prior_dna_count]&gt;=1,"Has prior DNA history","No prior DNA history")</f>
        <v>No prior DNA history</v>
      </c>
      <c r="T2012" t="s">
        <v>22</v>
      </c>
      <c r="U2012" t="str">
        <f t="shared" si="31"/>
        <v>1</v>
      </c>
      <c r="V2012" t="str">
        <f>IF(Table1[appointment_status]="Attended","1","0")</f>
        <v>1</v>
      </c>
      <c r="W2012" t="str">
        <f>IF(Table1[appointment_status]="Cancelled","1","0")</f>
        <v>0</v>
      </c>
    </row>
    <row r="2013" spans="1:23">
      <c r="A2013" t="s">
        <v>3190</v>
      </c>
      <c r="B2013" t="s">
        <v>1904</v>
      </c>
      <c r="C2013">
        <v>47</v>
      </c>
      <c r="D2013" t="str" cm="1">
        <f t="array" ref="D2013">_xlfn.IFS(Table1[[#This Row],[age]]&lt;=17,"0-17",C2013&lt;=29,"18-29",C2013&lt;=44,"30-44",C2013&lt;=59,"45-59",C2013&lt;=74,"60-74",TRUE,"75+")</f>
        <v>45-59</v>
      </c>
      <c r="E2013" t="s">
        <v>29</v>
      </c>
      <c r="F2013">
        <v>5</v>
      </c>
      <c r="G2013" t="str" cm="1">
        <f t="array" ref="G2013">_xlfn.IFS(_xlfn.SINGLE(Table1[imd_decile])&lt;=3,"Most Deprived",F2013&lt;=7,"Moderately Deprived",F2013&lt;=10,"Least Deprived")</f>
        <v>Moderately Deprived</v>
      </c>
      <c r="H2013">
        <v>9</v>
      </c>
      <c r="I2013" t="s">
        <v>45</v>
      </c>
      <c r="J2013" t="s">
        <v>26</v>
      </c>
      <c r="K2013" s="1">
        <v>45912</v>
      </c>
      <c r="L2013" s="1">
        <v>45935</v>
      </c>
      <c r="M2013" s="1" t="str">
        <f>TEXT(Table1[[#This Row],[appointment_date]],"MM/YYYY")</f>
        <v>10/2025</v>
      </c>
      <c r="N2013">
        <v>23</v>
      </c>
      <c r="O2013" t="str" cm="1">
        <f t="array" ref="O2013">_xlfn.IFS(Table1[[#This Row],[lead_time_days]]&lt;=7,"0-7 days",N2013&lt;=14,"8-14 days",N2013&lt;=30,"15-30 days",N2013&lt;=60,"31-60 days",TRUE,"61+ days")</f>
        <v>15-30 days</v>
      </c>
      <c r="P2013" t="s">
        <v>31</v>
      </c>
      <c r="Q2013" t="s">
        <v>21</v>
      </c>
      <c r="R2013">
        <v>0</v>
      </c>
      <c r="S2013" t="str">
        <f>IF(Table1[prior_dna_count]&gt;=1,"Has prior DNA history","No prior DNA history")</f>
        <v>No prior DNA history</v>
      </c>
      <c r="T2013" t="s">
        <v>22</v>
      </c>
      <c r="U2013" t="str">
        <f t="shared" si="31"/>
        <v>1</v>
      </c>
      <c r="V2013" t="str">
        <f>IF(Table1[appointment_status]="Attended","1","0")</f>
        <v>1</v>
      </c>
      <c r="W2013" t="str">
        <f>IF(Table1[appointment_status]="Cancelled","1","0")</f>
        <v>0</v>
      </c>
    </row>
    <row r="2014" spans="1:23">
      <c r="A2014" t="s">
        <v>3191</v>
      </c>
      <c r="B2014" t="s">
        <v>3192</v>
      </c>
      <c r="C2014">
        <v>27</v>
      </c>
      <c r="D2014" t="str" cm="1">
        <f t="array" ref="D2014">_xlfn.IFS(Table1[[#This Row],[age]]&lt;=17,"0-17",C2014&lt;=29,"18-29",C2014&lt;=44,"30-44",C2014&lt;=59,"45-59",C2014&lt;=74,"60-74",TRUE,"75+")</f>
        <v>18-29</v>
      </c>
      <c r="E2014" t="s">
        <v>29</v>
      </c>
      <c r="F2014">
        <v>5</v>
      </c>
      <c r="G2014" t="str" cm="1">
        <f t="array" ref="G2014">_xlfn.IFS(_xlfn.SINGLE(Table1[imd_decile])&lt;=3,"Most Deprived",F2014&lt;=7,"Moderately Deprived",F2014&lt;=10,"Least Deprived")</f>
        <v>Moderately Deprived</v>
      </c>
      <c r="H2014">
        <v>4.4000000000000004</v>
      </c>
      <c r="I2014" t="s">
        <v>58</v>
      </c>
      <c r="J2014" t="s">
        <v>19</v>
      </c>
      <c r="K2014" s="1">
        <v>45913</v>
      </c>
      <c r="L2014" s="1">
        <v>45935</v>
      </c>
      <c r="M2014" s="1" t="str">
        <f>TEXT(Table1[[#This Row],[appointment_date]],"MM/YYYY")</f>
        <v>10/2025</v>
      </c>
      <c r="N2014">
        <v>22</v>
      </c>
      <c r="O2014" t="str" cm="1">
        <f t="array" ref="O2014">_xlfn.IFS(Table1[[#This Row],[lead_time_days]]&lt;=7,"0-7 days",N2014&lt;=14,"8-14 days",N2014&lt;=30,"15-30 days",N2014&lt;=60,"31-60 days",TRUE,"61+ days")</f>
        <v>15-30 days</v>
      </c>
      <c r="P2014" t="s">
        <v>31</v>
      </c>
      <c r="Q2014" t="s">
        <v>21</v>
      </c>
      <c r="R2014">
        <v>0</v>
      </c>
      <c r="S2014" t="str">
        <f>IF(Table1[prior_dna_count]&gt;=1,"Has prior DNA history","No prior DNA history")</f>
        <v>No prior DNA history</v>
      </c>
      <c r="T2014" t="s">
        <v>22</v>
      </c>
      <c r="U2014" t="str">
        <f t="shared" si="31"/>
        <v>1</v>
      </c>
      <c r="V2014" t="str">
        <f>IF(Table1[appointment_status]="Attended","1","0")</f>
        <v>1</v>
      </c>
      <c r="W2014" t="str">
        <f>IF(Table1[appointment_status]="Cancelled","1","0")</f>
        <v>0</v>
      </c>
    </row>
    <row r="2015" spans="1:23">
      <c r="A2015" t="s">
        <v>3193</v>
      </c>
      <c r="B2015" t="s">
        <v>1291</v>
      </c>
      <c r="C2015">
        <v>55</v>
      </c>
      <c r="D2015" t="str" cm="1">
        <f t="array" ref="D2015">_xlfn.IFS(Table1[[#This Row],[age]]&lt;=17,"0-17",C2015&lt;=29,"18-29",C2015&lt;=44,"30-44",C2015&lt;=59,"45-59",C2015&lt;=74,"60-74",TRUE,"75+")</f>
        <v>45-59</v>
      </c>
      <c r="E2015" t="s">
        <v>17</v>
      </c>
      <c r="F2015">
        <v>9</v>
      </c>
      <c r="G2015" t="str" cm="1">
        <f t="array" ref="G2015">_xlfn.IFS(_xlfn.SINGLE(Table1[imd_decile])&lt;=3,"Most Deprived",F2015&lt;=7,"Moderately Deprived",F2015&lt;=10,"Least Deprived")</f>
        <v>Least Deprived</v>
      </c>
      <c r="H2015">
        <v>1.6</v>
      </c>
      <c r="I2015" t="s">
        <v>25</v>
      </c>
      <c r="J2015" t="s">
        <v>19</v>
      </c>
      <c r="K2015" s="1">
        <v>45911</v>
      </c>
      <c r="L2015" s="1">
        <v>45935</v>
      </c>
      <c r="M2015" s="1" t="str">
        <f>TEXT(Table1[[#This Row],[appointment_date]],"MM/YYYY")</f>
        <v>10/2025</v>
      </c>
      <c r="N2015">
        <v>24</v>
      </c>
      <c r="O2015" t="str" cm="1">
        <f t="array" ref="O2015">_xlfn.IFS(Table1[[#This Row],[lead_time_days]]&lt;=7,"0-7 days",N2015&lt;=14,"8-14 days",N2015&lt;=30,"15-30 days",N2015&lt;=60,"31-60 days",TRUE,"61+ days")</f>
        <v>15-30 days</v>
      </c>
      <c r="P2015" t="s">
        <v>31</v>
      </c>
      <c r="Q2015" t="s">
        <v>21</v>
      </c>
      <c r="R2015">
        <v>0</v>
      </c>
      <c r="S2015" t="str">
        <f>IF(Table1[prior_dna_count]&gt;=1,"Has prior DNA history","No prior DNA history")</f>
        <v>No prior DNA history</v>
      </c>
      <c r="T2015" t="s">
        <v>22</v>
      </c>
      <c r="U2015" t="str">
        <f t="shared" si="31"/>
        <v>1</v>
      </c>
      <c r="V2015" t="str">
        <f>IF(Table1[appointment_status]="Attended","1","0")</f>
        <v>1</v>
      </c>
      <c r="W2015" t="str">
        <f>IF(Table1[appointment_status]="Cancelled","1","0")</f>
        <v>0</v>
      </c>
    </row>
    <row r="2016" spans="1:23">
      <c r="A2016" t="s">
        <v>3194</v>
      </c>
      <c r="B2016" t="s">
        <v>1815</v>
      </c>
      <c r="C2016">
        <v>24</v>
      </c>
      <c r="D2016" t="str" cm="1">
        <f t="array" ref="D2016">_xlfn.IFS(Table1[[#This Row],[age]]&lt;=17,"0-17",C2016&lt;=29,"18-29",C2016&lt;=44,"30-44",C2016&lt;=59,"45-59",C2016&lt;=74,"60-74",TRUE,"75+")</f>
        <v>18-29</v>
      </c>
      <c r="E2016" t="s">
        <v>17</v>
      </c>
      <c r="F2016">
        <v>9</v>
      </c>
      <c r="G2016" t="str" cm="1">
        <f t="array" ref="G2016">_xlfn.IFS(_xlfn.SINGLE(Table1[imd_decile])&lt;=3,"Most Deprived",F2016&lt;=7,"Moderately Deprived",F2016&lt;=10,"Least Deprived")</f>
        <v>Least Deprived</v>
      </c>
      <c r="H2016">
        <v>9.1</v>
      </c>
      <c r="I2016" t="s">
        <v>42</v>
      </c>
      <c r="J2016" t="s">
        <v>26</v>
      </c>
      <c r="K2016" s="1">
        <v>45915</v>
      </c>
      <c r="L2016" s="1">
        <v>45935</v>
      </c>
      <c r="M2016" s="1" t="str">
        <f>TEXT(Table1[[#This Row],[appointment_date]],"MM/YYYY")</f>
        <v>10/2025</v>
      </c>
      <c r="N2016">
        <v>20</v>
      </c>
      <c r="O2016" t="str" cm="1">
        <f t="array" ref="O2016">_xlfn.IFS(Table1[[#This Row],[lead_time_days]]&lt;=7,"0-7 days",N2016&lt;=14,"8-14 days",N2016&lt;=30,"15-30 days",N2016&lt;=60,"31-60 days",TRUE,"61+ days")</f>
        <v>15-30 days</v>
      </c>
      <c r="P2016" t="s">
        <v>31</v>
      </c>
      <c r="Q2016" t="s">
        <v>32</v>
      </c>
      <c r="R2016">
        <v>0</v>
      </c>
      <c r="S2016" t="str">
        <f>IF(Table1[prior_dna_count]&gt;=1,"Has prior DNA history","No prior DNA history")</f>
        <v>No prior DNA history</v>
      </c>
      <c r="T2016" t="s">
        <v>22</v>
      </c>
      <c r="U2016" t="str">
        <f t="shared" si="31"/>
        <v>1</v>
      </c>
      <c r="V2016" t="str">
        <f>IF(Table1[appointment_status]="Attended","1","0")</f>
        <v>1</v>
      </c>
      <c r="W2016" t="str">
        <f>IF(Table1[appointment_status]="Cancelled","1","0")</f>
        <v>0</v>
      </c>
    </row>
    <row r="2017" spans="1:23">
      <c r="A2017" t="s">
        <v>3195</v>
      </c>
      <c r="B2017" t="s">
        <v>1443</v>
      </c>
      <c r="C2017">
        <v>28</v>
      </c>
      <c r="D2017" t="str" cm="1">
        <f t="array" ref="D2017">_xlfn.IFS(Table1[[#This Row],[age]]&lt;=17,"0-17",C2017&lt;=29,"18-29",C2017&lt;=44,"30-44",C2017&lt;=59,"45-59",C2017&lt;=74,"60-74",TRUE,"75+")</f>
        <v>18-29</v>
      </c>
      <c r="E2017" t="s">
        <v>17</v>
      </c>
      <c r="F2017">
        <v>9</v>
      </c>
      <c r="G2017" t="str" cm="1">
        <f t="array" ref="G2017">_xlfn.IFS(_xlfn.SINGLE(Table1[imd_decile])&lt;=3,"Most Deprived",F2017&lt;=7,"Moderately Deprived",F2017&lt;=10,"Least Deprived")</f>
        <v>Least Deprived</v>
      </c>
      <c r="H2017">
        <v>6.8</v>
      </c>
      <c r="I2017" t="s">
        <v>38</v>
      </c>
      <c r="J2017" t="s">
        <v>26</v>
      </c>
      <c r="K2017" s="1">
        <v>45931</v>
      </c>
      <c r="L2017" s="1">
        <v>45935</v>
      </c>
      <c r="M2017" s="1" t="str">
        <f>TEXT(Table1[[#This Row],[appointment_date]],"MM/YYYY")</f>
        <v>10/2025</v>
      </c>
      <c r="N2017">
        <v>4</v>
      </c>
      <c r="O2017" t="str" cm="1">
        <f t="array" ref="O2017">_xlfn.IFS(Table1[[#This Row],[lead_time_days]]&lt;=7,"0-7 days",N2017&lt;=14,"8-14 days",N2017&lt;=30,"15-30 days",N2017&lt;=60,"31-60 days",TRUE,"61+ days")</f>
        <v>0-7 days</v>
      </c>
      <c r="P2017" t="s">
        <v>31</v>
      </c>
      <c r="Q2017" t="s">
        <v>32</v>
      </c>
      <c r="R2017">
        <v>0</v>
      </c>
      <c r="S2017" t="str">
        <f>IF(Table1[prior_dna_count]&gt;=1,"Has prior DNA history","No prior DNA history")</f>
        <v>No prior DNA history</v>
      </c>
      <c r="T2017" t="s">
        <v>46</v>
      </c>
      <c r="U2017" t="str">
        <f t="shared" si="31"/>
        <v>1</v>
      </c>
      <c r="V2017" t="str">
        <f>IF(Table1[appointment_status]="Attended","1","0")</f>
        <v>0</v>
      </c>
      <c r="W2017" t="str">
        <f>IF(Table1[appointment_status]="Cancelled","1","0")</f>
        <v>1</v>
      </c>
    </row>
    <row r="2018" spans="1:23">
      <c r="A2018" t="s">
        <v>3196</v>
      </c>
      <c r="B2018" t="s">
        <v>2516</v>
      </c>
      <c r="C2018">
        <v>66</v>
      </c>
      <c r="D2018" t="str" cm="1">
        <f t="array" ref="D2018">_xlfn.IFS(Table1[[#This Row],[age]]&lt;=17,"0-17",C2018&lt;=29,"18-29",C2018&lt;=44,"30-44",C2018&lt;=59,"45-59",C2018&lt;=74,"60-74",TRUE,"75+")</f>
        <v>60-74</v>
      </c>
      <c r="E2018" t="s">
        <v>17</v>
      </c>
      <c r="F2018">
        <v>6</v>
      </c>
      <c r="G2018" t="str" cm="1">
        <f t="array" ref="G2018">_xlfn.IFS(_xlfn.SINGLE(Table1[imd_decile])&lt;=3,"Most Deprived",F2018&lt;=7,"Moderately Deprived",F2018&lt;=10,"Least Deprived")</f>
        <v>Moderately Deprived</v>
      </c>
      <c r="H2018">
        <v>11.6</v>
      </c>
      <c r="I2018" t="s">
        <v>58</v>
      </c>
      <c r="J2018" t="s">
        <v>19</v>
      </c>
      <c r="K2018" s="1">
        <v>45926</v>
      </c>
      <c r="L2018" s="1">
        <v>45935</v>
      </c>
      <c r="M2018" s="1" t="str">
        <f>TEXT(Table1[[#This Row],[appointment_date]],"MM/YYYY")</f>
        <v>10/2025</v>
      </c>
      <c r="N2018">
        <v>9</v>
      </c>
      <c r="O2018" t="str" cm="1">
        <f t="array" ref="O2018">_xlfn.IFS(Table1[[#This Row],[lead_time_days]]&lt;=7,"0-7 days",N2018&lt;=14,"8-14 days",N2018&lt;=30,"15-30 days",N2018&lt;=60,"31-60 days",TRUE,"61+ days")</f>
        <v>8-14 days</v>
      </c>
      <c r="P2018" t="s">
        <v>31</v>
      </c>
      <c r="Q2018" t="s">
        <v>21</v>
      </c>
      <c r="R2018">
        <v>0</v>
      </c>
      <c r="S2018" t="str">
        <f>IF(Table1[prior_dna_count]&gt;=1,"Has prior DNA history","No prior DNA history")</f>
        <v>No prior DNA history</v>
      </c>
      <c r="T2018" t="s">
        <v>22</v>
      </c>
      <c r="U2018" t="str">
        <f t="shared" si="31"/>
        <v>0</v>
      </c>
      <c r="V2018" t="str">
        <f>IF(Table1[appointment_status]="Attended","1","0")</f>
        <v>1</v>
      </c>
      <c r="W2018" t="str">
        <f>IF(Table1[appointment_status]="Cancelled","1","0")</f>
        <v>0</v>
      </c>
    </row>
    <row r="2019" spans="1:23">
      <c r="A2019" t="s">
        <v>3197</v>
      </c>
      <c r="B2019" t="s">
        <v>419</v>
      </c>
      <c r="C2019">
        <v>59</v>
      </c>
      <c r="D2019" t="str" cm="1">
        <f t="array" ref="D2019">_xlfn.IFS(Table1[[#This Row],[age]]&lt;=17,"0-17",C2019&lt;=29,"18-29",C2019&lt;=44,"30-44",C2019&lt;=59,"45-59",C2019&lt;=74,"60-74",TRUE,"75+")</f>
        <v>45-59</v>
      </c>
      <c r="E2019" t="s">
        <v>17</v>
      </c>
      <c r="F2019">
        <v>1</v>
      </c>
      <c r="G2019" t="str" cm="1">
        <f t="array" ref="G2019">_xlfn.IFS(_xlfn.SINGLE(Table1[imd_decile])&lt;=3,"Most Deprived",F2019&lt;=7,"Moderately Deprived",F2019&lt;=10,"Least Deprived")</f>
        <v>Most Deprived</v>
      </c>
      <c r="H2019">
        <v>3.7</v>
      </c>
      <c r="I2019" t="s">
        <v>45</v>
      </c>
      <c r="J2019" t="s">
        <v>26</v>
      </c>
      <c r="K2019" s="1">
        <v>45931</v>
      </c>
      <c r="L2019" s="1">
        <v>45936</v>
      </c>
      <c r="M2019" s="1" t="str">
        <f>TEXT(Table1[[#This Row],[appointment_date]],"MM/YYYY")</f>
        <v>10/2025</v>
      </c>
      <c r="N2019">
        <v>5</v>
      </c>
      <c r="O2019" t="str" cm="1">
        <f t="array" ref="O2019">_xlfn.IFS(Table1[[#This Row],[lead_time_days]]&lt;=7,"0-7 days",N2019&lt;=14,"8-14 days",N2019&lt;=30,"15-30 days",N2019&lt;=60,"31-60 days",TRUE,"61+ days")</f>
        <v>0-7 days</v>
      </c>
      <c r="P2019" t="s">
        <v>35</v>
      </c>
      <c r="Q2019" t="s">
        <v>32</v>
      </c>
      <c r="R2019">
        <v>0</v>
      </c>
      <c r="S2019" t="str">
        <f>IF(Table1[prior_dna_count]&gt;=1,"Has prior DNA history","No prior DNA history")</f>
        <v>No prior DNA history</v>
      </c>
      <c r="T2019" t="s">
        <v>22</v>
      </c>
      <c r="U2019" t="str">
        <f t="shared" si="31"/>
        <v>1</v>
      </c>
      <c r="V2019" t="str">
        <f>IF(Table1[appointment_status]="Attended","1","0")</f>
        <v>1</v>
      </c>
      <c r="W2019" t="str">
        <f>IF(Table1[appointment_status]="Cancelled","1","0")</f>
        <v>0</v>
      </c>
    </row>
    <row r="2020" spans="1:23">
      <c r="A2020" t="s">
        <v>3198</v>
      </c>
      <c r="B2020" t="s">
        <v>1124</v>
      </c>
      <c r="C2020">
        <v>43</v>
      </c>
      <c r="D2020" t="str" cm="1">
        <f t="array" ref="D2020">_xlfn.IFS(Table1[[#This Row],[age]]&lt;=17,"0-17",C2020&lt;=29,"18-29",C2020&lt;=44,"30-44",C2020&lt;=59,"45-59",C2020&lt;=74,"60-74",TRUE,"75+")</f>
        <v>30-44</v>
      </c>
      <c r="E2020" t="s">
        <v>17</v>
      </c>
      <c r="F2020">
        <v>5</v>
      </c>
      <c r="G2020" t="str" cm="1">
        <f t="array" ref="G2020">_xlfn.IFS(_xlfn.SINGLE(Table1[imd_decile])&lt;=3,"Most Deprived",F2020&lt;=7,"Moderately Deprived",F2020&lt;=10,"Least Deprived")</f>
        <v>Moderately Deprived</v>
      </c>
      <c r="H2020">
        <v>6.5</v>
      </c>
      <c r="I2020" t="s">
        <v>30</v>
      </c>
      <c r="J2020" t="s">
        <v>19</v>
      </c>
      <c r="K2020" s="1">
        <v>45923</v>
      </c>
      <c r="L2020" s="1">
        <v>45936</v>
      </c>
      <c r="M2020" s="1" t="str">
        <f>TEXT(Table1[[#This Row],[appointment_date]],"MM/YYYY")</f>
        <v>10/2025</v>
      </c>
      <c r="N2020">
        <v>13</v>
      </c>
      <c r="O2020" t="str" cm="1">
        <f t="array" ref="O2020">_xlfn.IFS(Table1[[#This Row],[lead_time_days]]&lt;=7,"0-7 days",N2020&lt;=14,"8-14 days",N2020&lt;=30,"15-30 days",N2020&lt;=60,"31-60 days",TRUE,"61+ days")</f>
        <v>8-14 days</v>
      </c>
      <c r="P2020" t="s">
        <v>35</v>
      </c>
      <c r="Q2020" t="s">
        <v>32</v>
      </c>
      <c r="R2020">
        <v>0</v>
      </c>
      <c r="S2020" t="str">
        <f>IF(Table1[prior_dna_count]&gt;=1,"Has prior DNA history","No prior DNA history")</f>
        <v>No prior DNA history</v>
      </c>
      <c r="T2020" t="s">
        <v>46</v>
      </c>
      <c r="U2020" t="str">
        <f t="shared" si="31"/>
        <v>1</v>
      </c>
      <c r="V2020" t="str">
        <f>IF(Table1[appointment_status]="Attended","1","0")</f>
        <v>0</v>
      </c>
      <c r="W2020" t="str">
        <f>IF(Table1[appointment_status]="Cancelled","1","0")</f>
        <v>1</v>
      </c>
    </row>
    <row r="2021" spans="1:23">
      <c r="A2021" t="s">
        <v>3199</v>
      </c>
      <c r="B2021" t="s">
        <v>1299</v>
      </c>
      <c r="C2021">
        <v>12</v>
      </c>
      <c r="D2021" t="str" cm="1">
        <f t="array" ref="D2021">_xlfn.IFS(Table1[[#This Row],[age]]&lt;=17,"0-17",C2021&lt;=29,"18-29",C2021&lt;=44,"30-44",C2021&lt;=59,"45-59",C2021&lt;=74,"60-74",TRUE,"75+")</f>
        <v>0-17</v>
      </c>
      <c r="E2021" t="s">
        <v>17</v>
      </c>
      <c r="F2021">
        <v>6</v>
      </c>
      <c r="G2021" t="str" cm="1">
        <f t="array" ref="G2021">_xlfn.IFS(_xlfn.SINGLE(Table1[imd_decile])&lt;=3,"Most Deprived",F2021&lt;=7,"Moderately Deprived",F2021&lt;=10,"Least Deprived")</f>
        <v>Moderately Deprived</v>
      </c>
      <c r="H2021">
        <v>12.3</v>
      </c>
      <c r="I2021" t="s">
        <v>25</v>
      </c>
      <c r="J2021" t="s">
        <v>26</v>
      </c>
      <c r="K2021" s="1">
        <v>45929</v>
      </c>
      <c r="L2021" s="1">
        <v>45936</v>
      </c>
      <c r="M2021" s="1" t="str">
        <f>TEXT(Table1[[#This Row],[appointment_date]],"MM/YYYY")</f>
        <v>10/2025</v>
      </c>
      <c r="N2021">
        <v>7</v>
      </c>
      <c r="O2021" t="str" cm="1">
        <f t="array" ref="O2021">_xlfn.IFS(Table1[[#This Row],[lead_time_days]]&lt;=7,"0-7 days",N2021&lt;=14,"8-14 days",N2021&lt;=30,"15-30 days",N2021&lt;=60,"31-60 days",TRUE,"61+ days")</f>
        <v>0-7 days</v>
      </c>
      <c r="P2021" t="s">
        <v>35</v>
      </c>
      <c r="Q2021" t="s">
        <v>21</v>
      </c>
      <c r="R2021">
        <v>0</v>
      </c>
      <c r="S2021" t="str">
        <f>IF(Table1[prior_dna_count]&gt;=1,"Has prior DNA history","No prior DNA history")</f>
        <v>No prior DNA history</v>
      </c>
      <c r="T2021" t="s">
        <v>22</v>
      </c>
      <c r="U2021" t="str">
        <f t="shared" si="31"/>
        <v>0</v>
      </c>
      <c r="V2021" t="str">
        <f>IF(Table1[appointment_status]="Attended","1","0")</f>
        <v>1</v>
      </c>
      <c r="W2021" t="str">
        <f>IF(Table1[appointment_status]="Cancelled","1","0")</f>
        <v>0</v>
      </c>
    </row>
    <row r="2022" spans="1:23">
      <c r="A2022" t="s">
        <v>3200</v>
      </c>
      <c r="B2022" t="s">
        <v>442</v>
      </c>
      <c r="C2022">
        <v>37</v>
      </c>
      <c r="D2022" t="str" cm="1">
        <f t="array" ref="D2022">_xlfn.IFS(Table1[[#This Row],[age]]&lt;=17,"0-17",C2022&lt;=29,"18-29",C2022&lt;=44,"30-44",C2022&lt;=59,"45-59",C2022&lt;=74,"60-74",TRUE,"75+")</f>
        <v>30-44</v>
      </c>
      <c r="E2022" t="s">
        <v>17</v>
      </c>
      <c r="F2022">
        <v>5</v>
      </c>
      <c r="G2022" t="str" cm="1">
        <f t="array" ref="G2022">_xlfn.IFS(_xlfn.SINGLE(Table1[imd_decile])&lt;=3,"Most Deprived",F2022&lt;=7,"Moderately Deprived",F2022&lt;=10,"Least Deprived")</f>
        <v>Moderately Deprived</v>
      </c>
      <c r="H2022">
        <v>2.6</v>
      </c>
      <c r="I2022" t="s">
        <v>58</v>
      </c>
      <c r="J2022" t="s">
        <v>26</v>
      </c>
      <c r="K2022" s="1">
        <v>45930</v>
      </c>
      <c r="L2022" s="1">
        <v>45936</v>
      </c>
      <c r="M2022" s="1" t="str">
        <f>TEXT(Table1[[#This Row],[appointment_date]],"MM/YYYY")</f>
        <v>10/2025</v>
      </c>
      <c r="N2022">
        <v>6</v>
      </c>
      <c r="O2022" t="str" cm="1">
        <f t="array" ref="O2022">_xlfn.IFS(Table1[[#This Row],[lead_time_days]]&lt;=7,"0-7 days",N2022&lt;=14,"8-14 days",N2022&lt;=30,"15-30 days",N2022&lt;=60,"31-60 days",TRUE,"61+ days")</f>
        <v>0-7 days</v>
      </c>
      <c r="P2022" t="s">
        <v>35</v>
      </c>
      <c r="Q2022" t="s">
        <v>21</v>
      </c>
      <c r="R2022">
        <v>0</v>
      </c>
      <c r="S2022" t="str">
        <f>IF(Table1[prior_dna_count]&gt;=1,"Has prior DNA history","No prior DNA history")</f>
        <v>No prior DNA history</v>
      </c>
      <c r="T2022" t="s">
        <v>22</v>
      </c>
      <c r="U2022" t="str">
        <f t="shared" si="31"/>
        <v>1</v>
      </c>
      <c r="V2022" t="str">
        <f>IF(Table1[appointment_status]="Attended","1","0")</f>
        <v>1</v>
      </c>
      <c r="W2022" t="str">
        <f>IF(Table1[appointment_status]="Cancelled","1","0")</f>
        <v>0</v>
      </c>
    </row>
    <row r="2023" spans="1:23">
      <c r="A2023" t="s">
        <v>3201</v>
      </c>
      <c r="B2023" t="s">
        <v>1911</v>
      </c>
      <c r="C2023">
        <v>44</v>
      </c>
      <c r="D2023" t="str" cm="1">
        <f t="array" ref="D2023">_xlfn.IFS(Table1[[#This Row],[age]]&lt;=17,"0-17",C2023&lt;=29,"18-29",C2023&lt;=44,"30-44",C2023&lt;=59,"45-59",C2023&lt;=74,"60-74",TRUE,"75+")</f>
        <v>30-44</v>
      </c>
      <c r="E2023" t="s">
        <v>17</v>
      </c>
      <c r="F2023">
        <v>7</v>
      </c>
      <c r="G2023" t="str" cm="1">
        <f t="array" ref="G2023">_xlfn.IFS(_xlfn.SINGLE(Table1[imd_decile])&lt;=3,"Most Deprived",F2023&lt;=7,"Moderately Deprived",F2023&lt;=10,"Least Deprived")</f>
        <v>Moderately Deprived</v>
      </c>
      <c r="H2023">
        <v>3.8</v>
      </c>
      <c r="I2023" t="s">
        <v>42</v>
      </c>
      <c r="J2023" t="s">
        <v>19</v>
      </c>
      <c r="K2023" s="1">
        <v>45907</v>
      </c>
      <c r="L2023" s="1">
        <v>45936</v>
      </c>
      <c r="M2023" s="1" t="str">
        <f>TEXT(Table1[[#This Row],[appointment_date]],"MM/YYYY")</f>
        <v>10/2025</v>
      </c>
      <c r="N2023">
        <v>29</v>
      </c>
      <c r="O2023" t="str" cm="1">
        <f t="array" ref="O2023">_xlfn.IFS(Table1[[#This Row],[lead_time_days]]&lt;=7,"0-7 days",N2023&lt;=14,"8-14 days",N2023&lt;=30,"15-30 days",N2023&lt;=60,"31-60 days",TRUE,"61+ days")</f>
        <v>15-30 days</v>
      </c>
      <c r="P2023" t="s">
        <v>35</v>
      </c>
      <c r="Q2023" t="s">
        <v>21</v>
      </c>
      <c r="R2023">
        <v>0</v>
      </c>
      <c r="S2023" t="str">
        <f>IF(Table1[prior_dna_count]&gt;=1,"Has prior DNA history","No prior DNA history")</f>
        <v>No prior DNA history</v>
      </c>
      <c r="T2023" t="s">
        <v>46</v>
      </c>
      <c r="U2023" t="str">
        <f t="shared" si="31"/>
        <v>1</v>
      </c>
      <c r="V2023" t="str">
        <f>IF(Table1[appointment_status]="Attended","1","0")</f>
        <v>0</v>
      </c>
      <c r="W2023" t="str">
        <f>IF(Table1[appointment_status]="Cancelled","1","0")</f>
        <v>1</v>
      </c>
    </row>
    <row r="2024" spans="1:23">
      <c r="A2024" t="s">
        <v>3202</v>
      </c>
      <c r="B2024" t="s">
        <v>793</v>
      </c>
      <c r="C2024">
        <v>54</v>
      </c>
      <c r="D2024" t="str" cm="1">
        <f t="array" ref="D2024">_xlfn.IFS(Table1[[#This Row],[age]]&lt;=17,"0-17",C2024&lt;=29,"18-29",C2024&lt;=44,"30-44",C2024&lt;=59,"45-59",C2024&lt;=74,"60-74",TRUE,"75+")</f>
        <v>45-59</v>
      </c>
      <c r="E2024" t="s">
        <v>29</v>
      </c>
      <c r="F2024">
        <v>9</v>
      </c>
      <c r="G2024" t="str" cm="1">
        <f t="array" ref="G2024">_xlfn.IFS(_xlfn.SINGLE(Table1[imd_decile])&lt;=3,"Most Deprived",F2024&lt;=7,"Moderately Deprived",F2024&lt;=10,"Least Deprived")</f>
        <v>Least Deprived</v>
      </c>
      <c r="H2024">
        <v>5.7</v>
      </c>
      <c r="I2024" t="s">
        <v>42</v>
      </c>
      <c r="J2024" t="s">
        <v>19</v>
      </c>
      <c r="K2024" s="1">
        <v>45903</v>
      </c>
      <c r="L2024" s="1">
        <v>45936</v>
      </c>
      <c r="M2024" s="1" t="str">
        <f>TEXT(Table1[[#This Row],[appointment_date]],"MM/YYYY")</f>
        <v>10/2025</v>
      </c>
      <c r="N2024">
        <v>33</v>
      </c>
      <c r="O2024" t="str" cm="1">
        <f t="array" ref="O2024">_xlfn.IFS(Table1[[#This Row],[lead_time_days]]&lt;=7,"0-7 days",N2024&lt;=14,"8-14 days",N2024&lt;=30,"15-30 days",N2024&lt;=60,"31-60 days",TRUE,"61+ days")</f>
        <v>31-60 days</v>
      </c>
      <c r="P2024" t="s">
        <v>35</v>
      </c>
      <c r="Q2024" t="s">
        <v>21</v>
      </c>
      <c r="R2024">
        <v>0</v>
      </c>
      <c r="S2024" t="str">
        <f>IF(Table1[prior_dna_count]&gt;=1,"Has prior DNA history","No prior DNA history")</f>
        <v>No prior DNA history</v>
      </c>
      <c r="T2024" t="s">
        <v>22</v>
      </c>
      <c r="U2024" t="str">
        <f t="shared" si="31"/>
        <v>0</v>
      </c>
      <c r="V2024" t="str">
        <f>IF(Table1[appointment_status]="Attended","1","0")</f>
        <v>1</v>
      </c>
      <c r="W2024" t="str">
        <f>IF(Table1[appointment_status]="Cancelled","1","0")</f>
        <v>0</v>
      </c>
    </row>
    <row r="2025" spans="1:23">
      <c r="A2025" t="s">
        <v>3203</v>
      </c>
      <c r="B2025" t="s">
        <v>3204</v>
      </c>
      <c r="C2025">
        <v>15</v>
      </c>
      <c r="D2025" t="str" cm="1">
        <f t="array" ref="D2025">_xlfn.IFS(Table1[[#This Row],[age]]&lt;=17,"0-17",C2025&lt;=29,"18-29",C2025&lt;=44,"30-44",C2025&lt;=59,"45-59",C2025&lt;=74,"60-74",TRUE,"75+")</f>
        <v>0-17</v>
      </c>
      <c r="E2025" t="s">
        <v>29</v>
      </c>
      <c r="F2025">
        <v>6</v>
      </c>
      <c r="G2025" t="str" cm="1">
        <f t="array" ref="G2025">_xlfn.IFS(_xlfn.SINGLE(Table1[imd_decile])&lt;=3,"Most Deprived",F2025&lt;=7,"Moderately Deprived",F2025&lt;=10,"Least Deprived")</f>
        <v>Moderately Deprived</v>
      </c>
      <c r="H2025">
        <v>6.7</v>
      </c>
      <c r="I2025" t="s">
        <v>155</v>
      </c>
      <c r="J2025" t="s">
        <v>19</v>
      </c>
      <c r="K2025" s="1">
        <v>45852</v>
      </c>
      <c r="L2025" s="1">
        <v>45937</v>
      </c>
      <c r="M2025" s="1" t="str">
        <f>TEXT(Table1[[#This Row],[appointment_date]],"MM/YYYY")</f>
        <v>10/2025</v>
      </c>
      <c r="N2025">
        <v>85</v>
      </c>
      <c r="O2025" t="str" cm="1">
        <f t="array" ref="O2025">_xlfn.IFS(Table1[[#This Row],[lead_time_days]]&lt;=7,"0-7 days",N2025&lt;=14,"8-14 days",N2025&lt;=30,"15-30 days",N2025&lt;=60,"31-60 days",TRUE,"61+ days")</f>
        <v>61+ days</v>
      </c>
      <c r="P2025" t="s">
        <v>71</v>
      </c>
      <c r="Q2025" t="s">
        <v>21</v>
      </c>
      <c r="R2025">
        <v>0</v>
      </c>
      <c r="S2025" t="str">
        <f>IF(Table1[prior_dna_count]&gt;=1,"Has prior DNA history","No prior DNA history")</f>
        <v>No prior DNA history</v>
      </c>
      <c r="T2025" t="s">
        <v>22</v>
      </c>
      <c r="U2025" t="str">
        <f t="shared" si="31"/>
        <v>1</v>
      </c>
      <c r="V2025" t="str">
        <f>IF(Table1[appointment_status]="Attended","1","0")</f>
        <v>1</v>
      </c>
      <c r="W2025" t="str">
        <f>IF(Table1[appointment_status]="Cancelled","1","0")</f>
        <v>0</v>
      </c>
    </row>
    <row r="2026" spans="1:23">
      <c r="A2026" t="s">
        <v>3205</v>
      </c>
      <c r="B2026" t="s">
        <v>865</v>
      </c>
      <c r="C2026">
        <v>57</v>
      </c>
      <c r="D2026" t="str" cm="1">
        <f t="array" ref="D2026">_xlfn.IFS(Table1[[#This Row],[age]]&lt;=17,"0-17",C2026&lt;=29,"18-29",C2026&lt;=44,"30-44",C2026&lt;=59,"45-59",C2026&lt;=74,"60-74",TRUE,"75+")</f>
        <v>45-59</v>
      </c>
      <c r="E2026" t="s">
        <v>17</v>
      </c>
      <c r="F2026">
        <v>3</v>
      </c>
      <c r="G2026" t="str" cm="1">
        <f t="array" ref="G2026">_xlfn.IFS(_xlfn.SINGLE(Table1[imd_decile])&lt;=3,"Most Deprived",F2026&lt;=7,"Moderately Deprived",F2026&lt;=10,"Least Deprived")</f>
        <v>Most Deprived</v>
      </c>
      <c r="H2026">
        <v>14.3</v>
      </c>
      <c r="I2026" t="s">
        <v>42</v>
      </c>
      <c r="J2026" t="s">
        <v>19</v>
      </c>
      <c r="K2026" s="1">
        <v>45914</v>
      </c>
      <c r="L2026" s="1">
        <v>45937</v>
      </c>
      <c r="M2026" s="1" t="str">
        <f>TEXT(Table1[[#This Row],[appointment_date]],"MM/YYYY")</f>
        <v>10/2025</v>
      </c>
      <c r="N2026">
        <v>23</v>
      </c>
      <c r="O2026" t="str" cm="1">
        <f t="array" ref="O2026">_xlfn.IFS(Table1[[#This Row],[lead_time_days]]&lt;=7,"0-7 days",N2026&lt;=14,"8-14 days",N2026&lt;=30,"15-30 days",N2026&lt;=60,"31-60 days",TRUE,"61+ days")</f>
        <v>15-30 days</v>
      </c>
      <c r="P2026" t="s">
        <v>71</v>
      </c>
      <c r="Q2026" t="s">
        <v>32</v>
      </c>
      <c r="R2026">
        <v>0</v>
      </c>
      <c r="S2026" t="str">
        <f>IF(Table1[prior_dna_count]&gt;=1,"Has prior DNA history","No prior DNA history")</f>
        <v>No prior DNA history</v>
      </c>
      <c r="T2026" t="s">
        <v>39</v>
      </c>
      <c r="U2026" t="str">
        <f t="shared" si="31"/>
        <v>1</v>
      </c>
      <c r="V2026" t="str">
        <f>IF(Table1[appointment_status]="Attended","1","0")</f>
        <v>0</v>
      </c>
      <c r="W2026" t="str">
        <f>IF(Table1[appointment_status]="Cancelled","1","0")</f>
        <v>0</v>
      </c>
    </row>
    <row r="2027" spans="1:23">
      <c r="A2027" t="s">
        <v>3206</v>
      </c>
      <c r="B2027" t="s">
        <v>836</v>
      </c>
      <c r="C2027">
        <v>95</v>
      </c>
      <c r="D2027" t="str" cm="1">
        <f t="array" ref="D2027">_xlfn.IFS(Table1[[#This Row],[age]]&lt;=17,"0-17",C2027&lt;=29,"18-29",C2027&lt;=44,"30-44",C2027&lt;=59,"45-59",C2027&lt;=74,"60-74",TRUE,"75+")</f>
        <v>75+</v>
      </c>
      <c r="E2027" t="s">
        <v>29</v>
      </c>
      <c r="F2027">
        <v>8</v>
      </c>
      <c r="G2027" t="str" cm="1">
        <f t="array" ref="G2027">_xlfn.IFS(_xlfn.SINGLE(Table1[imd_decile])&lt;=3,"Most Deprived",F2027&lt;=7,"Moderately Deprived",F2027&lt;=10,"Least Deprived")</f>
        <v>Least Deprived</v>
      </c>
      <c r="H2027">
        <v>21.1</v>
      </c>
      <c r="I2027" t="s">
        <v>38</v>
      </c>
      <c r="J2027" t="s">
        <v>19</v>
      </c>
      <c r="K2027" s="1">
        <v>45903</v>
      </c>
      <c r="L2027" s="1">
        <v>45937</v>
      </c>
      <c r="M2027" s="1" t="str">
        <f>TEXT(Table1[[#This Row],[appointment_date]],"MM/YYYY")</f>
        <v>10/2025</v>
      </c>
      <c r="N2027">
        <v>34</v>
      </c>
      <c r="O2027" t="str" cm="1">
        <f t="array" ref="O2027">_xlfn.IFS(Table1[[#This Row],[lead_time_days]]&lt;=7,"0-7 days",N2027&lt;=14,"8-14 days",N2027&lt;=30,"15-30 days",N2027&lt;=60,"31-60 days",TRUE,"61+ days")</f>
        <v>31-60 days</v>
      </c>
      <c r="P2027" t="s">
        <v>71</v>
      </c>
      <c r="Q2027" t="s">
        <v>32</v>
      </c>
      <c r="R2027">
        <v>0</v>
      </c>
      <c r="S2027" t="str">
        <f>IF(Table1[prior_dna_count]&gt;=1,"Has prior DNA history","No prior DNA history")</f>
        <v>No prior DNA history</v>
      </c>
      <c r="T2027" t="s">
        <v>22</v>
      </c>
      <c r="U2027" t="str">
        <f t="shared" si="31"/>
        <v>0</v>
      </c>
      <c r="V2027" t="str">
        <f>IF(Table1[appointment_status]="Attended","1","0")</f>
        <v>1</v>
      </c>
      <c r="W2027" t="str">
        <f>IF(Table1[appointment_status]="Cancelled","1","0")</f>
        <v>0</v>
      </c>
    </row>
    <row r="2028" spans="1:23">
      <c r="A2028" t="s">
        <v>3207</v>
      </c>
      <c r="B2028" t="s">
        <v>137</v>
      </c>
      <c r="C2028">
        <v>52</v>
      </c>
      <c r="D2028" t="str" cm="1">
        <f t="array" ref="D2028">_xlfn.IFS(Table1[[#This Row],[age]]&lt;=17,"0-17",C2028&lt;=29,"18-29",C2028&lt;=44,"30-44",C2028&lt;=59,"45-59",C2028&lt;=74,"60-74",TRUE,"75+")</f>
        <v>45-59</v>
      </c>
      <c r="E2028" t="s">
        <v>29</v>
      </c>
      <c r="F2028">
        <v>7</v>
      </c>
      <c r="G2028" t="str" cm="1">
        <f t="array" ref="G2028">_xlfn.IFS(_xlfn.SINGLE(Table1[imd_decile])&lt;=3,"Most Deprived",F2028&lt;=7,"Moderately Deprived",F2028&lt;=10,"Least Deprived")</f>
        <v>Moderately Deprived</v>
      </c>
      <c r="H2028">
        <v>9.4</v>
      </c>
      <c r="I2028" t="s">
        <v>38</v>
      </c>
      <c r="J2028" t="s">
        <v>19</v>
      </c>
      <c r="K2028" s="1">
        <v>45906</v>
      </c>
      <c r="L2028" s="1">
        <v>45938</v>
      </c>
      <c r="M2028" s="1" t="str">
        <f>TEXT(Table1[[#This Row],[appointment_date]],"MM/YYYY")</f>
        <v>10/2025</v>
      </c>
      <c r="N2028">
        <v>32</v>
      </c>
      <c r="O2028" t="str" cm="1">
        <f t="array" ref="O2028">_xlfn.IFS(Table1[[#This Row],[lead_time_days]]&lt;=7,"0-7 days",N2028&lt;=14,"8-14 days",N2028&lt;=30,"15-30 days",N2028&lt;=60,"31-60 days",TRUE,"61+ days")</f>
        <v>31-60 days</v>
      </c>
      <c r="P2028" t="s">
        <v>80</v>
      </c>
      <c r="Q2028" t="s">
        <v>21</v>
      </c>
      <c r="R2028">
        <v>0</v>
      </c>
      <c r="S2028" t="str">
        <f>IF(Table1[prior_dna_count]&gt;=1,"Has prior DNA history","No prior DNA history")</f>
        <v>No prior DNA history</v>
      </c>
      <c r="T2028" t="s">
        <v>22</v>
      </c>
      <c r="U2028" t="str">
        <f t="shared" si="31"/>
        <v>1</v>
      </c>
      <c r="V2028" t="str">
        <f>IF(Table1[appointment_status]="Attended","1","0")</f>
        <v>1</v>
      </c>
      <c r="W2028" t="str">
        <f>IF(Table1[appointment_status]="Cancelled","1","0")</f>
        <v>0</v>
      </c>
    </row>
    <row r="2029" spans="1:23">
      <c r="A2029" t="s">
        <v>3208</v>
      </c>
      <c r="B2029" t="s">
        <v>3209</v>
      </c>
      <c r="C2029">
        <v>62</v>
      </c>
      <c r="D2029" t="str" cm="1">
        <f t="array" ref="D2029">_xlfn.IFS(Table1[[#This Row],[age]]&lt;=17,"0-17",C2029&lt;=29,"18-29",C2029&lt;=44,"30-44",C2029&lt;=59,"45-59",C2029&lt;=74,"60-74",TRUE,"75+")</f>
        <v>60-74</v>
      </c>
      <c r="E2029" t="s">
        <v>29</v>
      </c>
      <c r="F2029">
        <v>7</v>
      </c>
      <c r="G2029" t="str" cm="1">
        <f t="array" ref="G2029">_xlfn.IFS(_xlfn.SINGLE(Table1[imd_decile])&lt;=3,"Most Deprived",F2029&lt;=7,"Moderately Deprived",F2029&lt;=10,"Least Deprived")</f>
        <v>Moderately Deprived</v>
      </c>
      <c r="H2029">
        <v>2.8</v>
      </c>
      <c r="I2029" t="s">
        <v>30</v>
      </c>
      <c r="J2029" t="s">
        <v>19</v>
      </c>
      <c r="K2029" s="1">
        <v>45924</v>
      </c>
      <c r="L2029" s="1">
        <v>45938</v>
      </c>
      <c r="M2029" s="1" t="str">
        <f>TEXT(Table1[[#This Row],[appointment_date]],"MM/YYYY")</f>
        <v>10/2025</v>
      </c>
      <c r="N2029">
        <v>14</v>
      </c>
      <c r="O2029" t="str" cm="1">
        <f t="array" ref="O2029">_xlfn.IFS(Table1[[#This Row],[lead_time_days]]&lt;=7,"0-7 days",N2029&lt;=14,"8-14 days",N2029&lt;=30,"15-30 days",N2029&lt;=60,"31-60 days",TRUE,"61+ days")</f>
        <v>8-14 days</v>
      </c>
      <c r="P2029" t="s">
        <v>80</v>
      </c>
      <c r="Q2029" t="s">
        <v>21</v>
      </c>
      <c r="R2029">
        <v>0</v>
      </c>
      <c r="S2029" t="str">
        <f>IF(Table1[prior_dna_count]&gt;=1,"Has prior DNA history","No prior DNA history")</f>
        <v>No prior DNA history</v>
      </c>
      <c r="T2029" t="s">
        <v>22</v>
      </c>
      <c r="U2029" t="str">
        <f t="shared" si="31"/>
        <v>1</v>
      </c>
      <c r="V2029" t="str">
        <f>IF(Table1[appointment_status]="Attended","1","0")</f>
        <v>1</v>
      </c>
      <c r="W2029" t="str">
        <f>IF(Table1[appointment_status]="Cancelled","1","0")</f>
        <v>0</v>
      </c>
    </row>
    <row r="2030" spans="1:23">
      <c r="A2030" t="s">
        <v>3210</v>
      </c>
      <c r="B2030" t="s">
        <v>762</v>
      </c>
      <c r="C2030">
        <v>29</v>
      </c>
      <c r="D2030" t="str" cm="1">
        <f t="array" ref="D2030">_xlfn.IFS(Table1[[#This Row],[age]]&lt;=17,"0-17",C2030&lt;=29,"18-29",C2030&lt;=44,"30-44",C2030&lt;=59,"45-59",C2030&lt;=74,"60-74",TRUE,"75+")</f>
        <v>18-29</v>
      </c>
      <c r="E2030" t="s">
        <v>29</v>
      </c>
      <c r="F2030">
        <v>3</v>
      </c>
      <c r="G2030" t="str" cm="1">
        <f t="array" ref="G2030">_xlfn.IFS(_xlfn.SINGLE(Table1[imd_decile])&lt;=3,"Most Deprived",F2030&lt;=7,"Moderately Deprived",F2030&lt;=10,"Least Deprived")</f>
        <v>Most Deprived</v>
      </c>
      <c r="H2030">
        <v>5.2</v>
      </c>
      <c r="I2030" t="s">
        <v>58</v>
      </c>
      <c r="J2030" t="s">
        <v>19</v>
      </c>
      <c r="K2030" s="1">
        <v>45899</v>
      </c>
      <c r="L2030" s="1">
        <v>45938</v>
      </c>
      <c r="M2030" s="1" t="str">
        <f>TEXT(Table1[[#This Row],[appointment_date]],"MM/YYYY")</f>
        <v>10/2025</v>
      </c>
      <c r="N2030">
        <v>39</v>
      </c>
      <c r="O2030" t="str" cm="1">
        <f t="array" ref="O2030">_xlfn.IFS(Table1[[#This Row],[lead_time_days]]&lt;=7,"0-7 days",N2030&lt;=14,"8-14 days",N2030&lt;=30,"15-30 days",N2030&lt;=60,"31-60 days",TRUE,"61+ days")</f>
        <v>31-60 days</v>
      </c>
      <c r="P2030" t="s">
        <v>80</v>
      </c>
      <c r="Q2030" t="s">
        <v>21</v>
      </c>
      <c r="R2030">
        <v>0</v>
      </c>
      <c r="S2030" t="str">
        <f>IF(Table1[prior_dna_count]&gt;=1,"Has prior DNA history","No prior DNA history")</f>
        <v>No prior DNA history</v>
      </c>
      <c r="T2030" t="s">
        <v>46</v>
      </c>
      <c r="U2030" t="str">
        <f t="shared" si="31"/>
        <v>1</v>
      </c>
      <c r="V2030" t="str">
        <f>IF(Table1[appointment_status]="Attended","1","0")</f>
        <v>0</v>
      </c>
      <c r="W2030" t="str">
        <f>IF(Table1[appointment_status]="Cancelled","1","0")</f>
        <v>1</v>
      </c>
    </row>
    <row r="2031" spans="1:23">
      <c r="A2031" t="s">
        <v>3211</v>
      </c>
      <c r="B2031" t="s">
        <v>115</v>
      </c>
      <c r="C2031">
        <v>2</v>
      </c>
      <c r="D2031" t="str" cm="1">
        <f t="array" ref="D2031">_xlfn.IFS(Table1[[#This Row],[age]]&lt;=17,"0-17",C2031&lt;=29,"18-29",C2031&lt;=44,"30-44",C2031&lt;=59,"45-59",C2031&lt;=74,"60-74",TRUE,"75+")</f>
        <v>0-17</v>
      </c>
      <c r="E2031" t="s">
        <v>17</v>
      </c>
      <c r="F2031">
        <v>5</v>
      </c>
      <c r="G2031" t="str" cm="1">
        <f t="array" ref="G2031">_xlfn.IFS(_xlfn.SINGLE(Table1[imd_decile])&lt;=3,"Most Deprived",F2031&lt;=7,"Moderately Deprived",F2031&lt;=10,"Least Deprived")</f>
        <v>Moderately Deprived</v>
      </c>
      <c r="H2031">
        <v>9.6999999999999993</v>
      </c>
      <c r="I2031" t="s">
        <v>38</v>
      </c>
      <c r="J2031" t="s">
        <v>19</v>
      </c>
      <c r="K2031" s="1">
        <v>45885</v>
      </c>
      <c r="L2031" s="1">
        <v>45938</v>
      </c>
      <c r="M2031" s="1" t="str">
        <f>TEXT(Table1[[#This Row],[appointment_date]],"MM/YYYY")</f>
        <v>10/2025</v>
      </c>
      <c r="N2031">
        <v>53</v>
      </c>
      <c r="O2031" t="str" cm="1">
        <f t="array" ref="O2031">_xlfn.IFS(Table1[[#This Row],[lead_time_days]]&lt;=7,"0-7 days",N2031&lt;=14,"8-14 days",N2031&lt;=30,"15-30 days",N2031&lt;=60,"31-60 days",TRUE,"61+ days")</f>
        <v>31-60 days</v>
      </c>
      <c r="P2031" t="s">
        <v>80</v>
      </c>
      <c r="Q2031" t="s">
        <v>21</v>
      </c>
      <c r="R2031">
        <v>0</v>
      </c>
      <c r="S2031" t="str">
        <f>IF(Table1[prior_dna_count]&gt;=1,"Has prior DNA history","No prior DNA history")</f>
        <v>No prior DNA history</v>
      </c>
      <c r="T2031" t="s">
        <v>22</v>
      </c>
      <c r="U2031" t="str">
        <f t="shared" si="31"/>
        <v>0</v>
      </c>
      <c r="V2031" t="str">
        <f>IF(Table1[appointment_status]="Attended","1","0")</f>
        <v>1</v>
      </c>
      <c r="W2031" t="str">
        <f>IF(Table1[appointment_status]="Cancelled","1","0")</f>
        <v>0</v>
      </c>
    </row>
    <row r="2032" spans="1:23">
      <c r="A2032" t="s">
        <v>3212</v>
      </c>
      <c r="B2032" t="s">
        <v>1573</v>
      </c>
      <c r="C2032">
        <v>56</v>
      </c>
      <c r="D2032" t="str" cm="1">
        <f t="array" ref="D2032">_xlfn.IFS(Table1[[#This Row],[age]]&lt;=17,"0-17",C2032&lt;=29,"18-29",C2032&lt;=44,"30-44",C2032&lt;=59,"45-59",C2032&lt;=74,"60-74",TRUE,"75+")</f>
        <v>45-59</v>
      </c>
      <c r="E2032" t="s">
        <v>17</v>
      </c>
      <c r="F2032">
        <v>4</v>
      </c>
      <c r="G2032" t="str" cm="1">
        <f t="array" ref="G2032">_xlfn.IFS(_xlfn.SINGLE(Table1[imd_decile])&lt;=3,"Most Deprived",F2032&lt;=7,"Moderately Deprived",F2032&lt;=10,"Least Deprived")</f>
        <v>Moderately Deprived</v>
      </c>
      <c r="H2032">
        <v>21.3</v>
      </c>
      <c r="I2032" t="s">
        <v>58</v>
      </c>
      <c r="J2032" t="s">
        <v>26</v>
      </c>
      <c r="K2032" s="1">
        <v>45933</v>
      </c>
      <c r="L2032" s="1">
        <v>45938</v>
      </c>
      <c r="M2032" s="1" t="str">
        <f>TEXT(Table1[[#This Row],[appointment_date]],"MM/YYYY")</f>
        <v>10/2025</v>
      </c>
      <c r="N2032">
        <v>5</v>
      </c>
      <c r="O2032" t="str" cm="1">
        <f t="array" ref="O2032">_xlfn.IFS(Table1[[#This Row],[lead_time_days]]&lt;=7,"0-7 days",N2032&lt;=14,"8-14 days",N2032&lt;=30,"15-30 days",N2032&lt;=60,"31-60 days",TRUE,"61+ days")</f>
        <v>0-7 days</v>
      </c>
      <c r="P2032" t="s">
        <v>80</v>
      </c>
      <c r="Q2032" t="s">
        <v>21</v>
      </c>
      <c r="R2032">
        <v>1</v>
      </c>
      <c r="S2032" t="str">
        <f>IF(Table1[prior_dna_count]&gt;=1,"Has prior DNA history","No prior DNA history")</f>
        <v>Has prior DNA history</v>
      </c>
      <c r="T2032" t="s">
        <v>22</v>
      </c>
      <c r="U2032" t="str">
        <f t="shared" si="31"/>
        <v>1</v>
      </c>
      <c r="V2032" t="str">
        <f>IF(Table1[appointment_status]="Attended","1","0")</f>
        <v>1</v>
      </c>
      <c r="W2032" t="str">
        <f>IF(Table1[appointment_status]="Cancelled","1","0")</f>
        <v>0</v>
      </c>
    </row>
    <row r="2033" spans="1:23">
      <c r="A2033" t="s">
        <v>3213</v>
      </c>
      <c r="B2033" t="s">
        <v>1445</v>
      </c>
      <c r="C2033">
        <v>32</v>
      </c>
      <c r="D2033" t="str" cm="1">
        <f t="array" ref="D2033">_xlfn.IFS(Table1[[#This Row],[age]]&lt;=17,"0-17",C2033&lt;=29,"18-29",C2033&lt;=44,"30-44",C2033&lt;=59,"45-59",C2033&lt;=74,"60-74",TRUE,"75+")</f>
        <v>30-44</v>
      </c>
      <c r="E2033" t="s">
        <v>29</v>
      </c>
      <c r="F2033">
        <v>2</v>
      </c>
      <c r="G2033" t="str" cm="1">
        <f t="array" ref="G2033">_xlfn.IFS(_xlfn.SINGLE(Table1[imd_decile])&lt;=3,"Most Deprived",F2033&lt;=7,"Moderately Deprived",F2033&lt;=10,"Least Deprived")</f>
        <v>Most Deprived</v>
      </c>
      <c r="H2033">
        <v>17</v>
      </c>
      <c r="I2033" t="s">
        <v>25</v>
      </c>
      <c r="J2033" t="s">
        <v>26</v>
      </c>
      <c r="K2033" s="1">
        <v>45930</v>
      </c>
      <c r="L2033" s="1">
        <v>45938</v>
      </c>
      <c r="M2033" s="1" t="str">
        <f>TEXT(Table1[[#This Row],[appointment_date]],"MM/YYYY")</f>
        <v>10/2025</v>
      </c>
      <c r="N2033">
        <v>8</v>
      </c>
      <c r="O2033" t="str" cm="1">
        <f t="array" ref="O2033">_xlfn.IFS(Table1[[#This Row],[lead_time_days]]&lt;=7,"0-7 days",N2033&lt;=14,"8-14 days",N2033&lt;=30,"15-30 days",N2033&lt;=60,"31-60 days",TRUE,"61+ days")</f>
        <v>8-14 days</v>
      </c>
      <c r="P2033" t="s">
        <v>80</v>
      </c>
      <c r="Q2033" t="s">
        <v>32</v>
      </c>
      <c r="R2033">
        <v>1</v>
      </c>
      <c r="S2033" t="str">
        <f>IF(Table1[prior_dna_count]&gt;=1,"Has prior DNA history","No prior DNA history")</f>
        <v>Has prior DNA history</v>
      </c>
      <c r="T2033" t="s">
        <v>22</v>
      </c>
      <c r="U2033" t="str">
        <f t="shared" si="31"/>
        <v>1</v>
      </c>
      <c r="V2033" t="str">
        <f>IF(Table1[appointment_status]="Attended","1","0")</f>
        <v>1</v>
      </c>
      <c r="W2033" t="str">
        <f>IF(Table1[appointment_status]="Cancelled","1","0")</f>
        <v>0</v>
      </c>
    </row>
    <row r="2034" spans="1:23">
      <c r="A2034" t="s">
        <v>3214</v>
      </c>
      <c r="B2034" t="s">
        <v>1524</v>
      </c>
      <c r="C2034">
        <v>73</v>
      </c>
      <c r="D2034" t="str" cm="1">
        <f t="array" ref="D2034">_xlfn.IFS(Table1[[#This Row],[age]]&lt;=17,"0-17",C2034&lt;=29,"18-29",C2034&lt;=44,"30-44",C2034&lt;=59,"45-59",C2034&lt;=74,"60-74",TRUE,"75+")</f>
        <v>60-74</v>
      </c>
      <c r="E2034" t="s">
        <v>29</v>
      </c>
      <c r="F2034">
        <v>8</v>
      </c>
      <c r="G2034" t="str" cm="1">
        <f t="array" ref="G2034">_xlfn.IFS(_xlfn.SINGLE(Table1[imd_decile])&lt;=3,"Most Deprived",F2034&lt;=7,"Moderately Deprived",F2034&lt;=10,"Least Deprived")</f>
        <v>Least Deprived</v>
      </c>
      <c r="H2034">
        <v>9.6999999999999993</v>
      </c>
      <c r="I2034" t="s">
        <v>155</v>
      </c>
      <c r="J2034" t="s">
        <v>26</v>
      </c>
      <c r="K2034" s="1">
        <v>45934</v>
      </c>
      <c r="L2034" s="1">
        <v>45938</v>
      </c>
      <c r="M2034" s="1" t="str">
        <f>TEXT(Table1[[#This Row],[appointment_date]],"MM/YYYY")</f>
        <v>10/2025</v>
      </c>
      <c r="N2034">
        <v>4</v>
      </c>
      <c r="O2034" t="str" cm="1">
        <f t="array" ref="O2034">_xlfn.IFS(Table1[[#This Row],[lead_time_days]]&lt;=7,"0-7 days",N2034&lt;=14,"8-14 days",N2034&lt;=30,"15-30 days",N2034&lt;=60,"31-60 days",TRUE,"61+ days")</f>
        <v>0-7 days</v>
      </c>
      <c r="P2034" t="s">
        <v>80</v>
      </c>
      <c r="Q2034" t="s">
        <v>21</v>
      </c>
      <c r="R2034">
        <v>0</v>
      </c>
      <c r="S2034" t="str">
        <f>IF(Table1[prior_dna_count]&gt;=1,"Has prior DNA history","No prior DNA history")</f>
        <v>No prior DNA history</v>
      </c>
      <c r="T2034" t="s">
        <v>22</v>
      </c>
      <c r="U2034" t="str">
        <f t="shared" si="31"/>
        <v>1</v>
      </c>
      <c r="V2034" t="str">
        <f>IF(Table1[appointment_status]="Attended","1","0")</f>
        <v>1</v>
      </c>
      <c r="W2034" t="str">
        <f>IF(Table1[appointment_status]="Cancelled","1","0")</f>
        <v>0</v>
      </c>
    </row>
    <row r="2035" spans="1:23">
      <c r="A2035" t="s">
        <v>3215</v>
      </c>
      <c r="B2035" t="s">
        <v>2915</v>
      </c>
      <c r="C2035">
        <v>61</v>
      </c>
      <c r="D2035" t="str" cm="1">
        <f t="array" ref="D2035">_xlfn.IFS(Table1[[#This Row],[age]]&lt;=17,"0-17",C2035&lt;=29,"18-29",C2035&lt;=44,"30-44",C2035&lt;=59,"45-59",C2035&lt;=74,"60-74",TRUE,"75+")</f>
        <v>60-74</v>
      </c>
      <c r="E2035" t="s">
        <v>29</v>
      </c>
      <c r="F2035">
        <v>10</v>
      </c>
      <c r="G2035" t="str" cm="1">
        <f t="array" ref="G2035">_xlfn.IFS(_xlfn.SINGLE(Table1[imd_decile])&lt;=3,"Most Deprived",F2035&lt;=7,"Moderately Deprived",F2035&lt;=10,"Least Deprived")</f>
        <v>Least Deprived</v>
      </c>
      <c r="H2035">
        <v>10.1</v>
      </c>
      <c r="I2035" t="s">
        <v>45</v>
      </c>
      <c r="J2035" t="s">
        <v>19</v>
      </c>
      <c r="K2035" s="1">
        <v>45896</v>
      </c>
      <c r="L2035" s="1">
        <v>45939</v>
      </c>
      <c r="M2035" s="1" t="str">
        <f>TEXT(Table1[[#This Row],[appointment_date]],"MM/YYYY")</f>
        <v>10/2025</v>
      </c>
      <c r="N2035">
        <v>43</v>
      </c>
      <c r="O2035" t="str" cm="1">
        <f t="array" ref="O2035">_xlfn.IFS(Table1[[#This Row],[lead_time_days]]&lt;=7,"0-7 days",N2035&lt;=14,"8-14 days",N2035&lt;=30,"15-30 days",N2035&lt;=60,"31-60 days",TRUE,"61+ days")</f>
        <v>31-60 days</v>
      </c>
      <c r="P2035" t="s">
        <v>20</v>
      </c>
      <c r="Q2035" t="s">
        <v>21</v>
      </c>
      <c r="R2035">
        <v>0</v>
      </c>
      <c r="S2035" t="str">
        <f>IF(Table1[prior_dna_count]&gt;=1,"Has prior DNA history","No prior DNA history")</f>
        <v>No prior DNA history</v>
      </c>
      <c r="T2035" t="s">
        <v>22</v>
      </c>
      <c r="U2035" t="str">
        <f t="shared" si="31"/>
        <v>1</v>
      </c>
      <c r="V2035" t="str">
        <f>IF(Table1[appointment_status]="Attended","1","0")</f>
        <v>1</v>
      </c>
      <c r="W2035" t="str">
        <f>IF(Table1[appointment_status]="Cancelled","1","0")</f>
        <v>0</v>
      </c>
    </row>
    <row r="2036" spans="1:23">
      <c r="A2036" t="s">
        <v>3216</v>
      </c>
      <c r="B2036" t="s">
        <v>1580</v>
      </c>
      <c r="C2036">
        <v>61</v>
      </c>
      <c r="D2036" t="str" cm="1">
        <f t="array" ref="D2036">_xlfn.IFS(Table1[[#This Row],[age]]&lt;=17,"0-17",C2036&lt;=29,"18-29",C2036&lt;=44,"30-44",C2036&lt;=59,"45-59",C2036&lt;=74,"60-74",TRUE,"75+")</f>
        <v>60-74</v>
      </c>
      <c r="E2036" t="s">
        <v>29</v>
      </c>
      <c r="F2036">
        <v>6</v>
      </c>
      <c r="G2036" t="str" cm="1">
        <f t="array" ref="G2036">_xlfn.IFS(_xlfn.SINGLE(Table1[imd_decile])&lt;=3,"Most Deprived",F2036&lt;=7,"Moderately Deprived",F2036&lt;=10,"Least Deprived")</f>
        <v>Moderately Deprived</v>
      </c>
      <c r="H2036">
        <v>9.9</v>
      </c>
      <c r="I2036" t="s">
        <v>42</v>
      </c>
      <c r="J2036" t="s">
        <v>26</v>
      </c>
      <c r="K2036" s="1">
        <v>45934</v>
      </c>
      <c r="L2036" s="1">
        <v>45939</v>
      </c>
      <c r="M2036" s="1" t="str">
        <f>TEXT(Table1[[#This Row],[appointment_date]],"MM/YYYY")</f>
        <v>10/2025</v>
      </c>
      <c r="N2036">
        <v>5</v>
      </c>
      <c r="O2036" t="str" cm="1">
        <f t="array" ref="O2036">_xlfn.IFS(Table1[[#This Row],[lead_time_days]]&lt;=7,"0-7 days",N2036&lt;=14,"8-14 days",N2036&lt;=30,"15-30 days",N2036&lt;=60,"31-60 days",TRUE,"61+ days")</f>
        <v>0-7 days</v>
      </c>
      <c r="P2036" t="s">
        <v>20</v>
      </c>
      <c r="Q2036" t="s">
        <v>32</v>
      </c>
      <c r="R2036">
        <v>1</v>
      </c>
      <c r="S2036" t="str">
        <f>IF(Table1[prior_dna_count]&gt;=1,"Has prior DNA history","No prior DNA history")</f>
        <v>Has prior DNA history</v>
      </c>
      <c r="T2036" t="s">
        <v>39</v>
      </c>
      <c r="U2036" t="str">
        <f t="shared" si="31"/>
        <v>1</v>
      </c>
      <c r="V2036" t="str">
        <f>IF(Table1[appointment_status]="Attended","1","0")</f>
        <v>0</v>
      </c>
      <c r="W2036" t="str">
        <f>IF(Table1[appointment_status]="Cancelled","1","0")</f>
        <v>0</v>
      </c>
    </row>
    <row r="2037" spans="1:23">
      <c r="A2037" t="s">
        <v>3217</v>
      </c>
      <c r="B2037" t="s">
        <v>3032</v>
      </c>
      <c r="C2037">
        <v>42</v>
      </c>
      <c r="D2037" t="str" cm="1">
        <f t="array" ref="D2037">_xlfn.IFS(Table1[[#This Row],[age]]&lt;=17,"0-17",C2037&lt;=29,"18-29",C2037&lt;=44,"30-44",C2037&lt;=59,"45-59",C2037&lt;=74,"60-74",TRUE,"75+")</f>
        <v>30-44</v>
      </c>
      <c r="E2037" t="s">
        <v>17</v>
      </c>
      <c r="F2037">
        <v>9</v>
      </c>
      <c r="G2037" t="str" cm="1">
        <f t="array" ref="G2037">_xlfn.IFS(_xlfn.SINGLE(Table1[imd_decile])&lt;=3,"Most Deprived",F2037&lt;=7,"Moderately Deprived",F2037&lt;=10,"Least Deprived")</f>
        <v>Least Deprived</v>
      </c>
      <c r="H2037">
        <v>12.8</v>
      </c>
      <c r="I2037" t="s">
        <v>42</v>
      </c>
      <c r="J2037" t="s">
        <v>19</v>
      </c>
      <c r="K2037" s="1">
        <v>45901</v>
      </c>
      <c r="L2037" s="1">
        <v>45939</v>
      </c>
      <c r="M2037" s="1" t="str">
        <f>TEXT(Table1[[#This Row],[appointment_date]],"MM/YYYY")</f>
        <v>10/2025</v>
      </c>
      <c r="N2037">
        <v>38</v>
      </c>
      <c r="O2037" t="str" cm="1">
        <f t="array" ref="O2037">_xlfn.IFS(Table1[[#This Row],[lead_time_days]]&lt;=7,"0-7 days",N2037&lt;=14,"8-14 days",N2037&lt;=30,"15-30 days",N2037&lt;=60,"31-60 days",TRUE,"61+ days")</f>
        <v>31-60 days</v>
      </c>
      <c r="P2037" t="s">
        <v>20</v>
      </c>
      <c r="Q2037" t="s">
        <v>32</v>
      </c>
      <c r="R2037">
        <v>0</v>
      </c>
      <c r="S2037" t="str">
        <f>IF(Table1[prior_dna_count]&gt;=1,"Has prior DNA history","No prior DNA history")</f>
        <v>No prior DNA history</v>
      </c>
      <c r="T2037" t="s">
        <v>39</v>
      </c>
      <c r="U2037" t="str">
        <f t="shared" si="31"/>
        <v>0</v>
      </c>
      <c r="V2037" t="str">
        <f>IF(Table1[appointment_status]="Attended","1","0")</f>
        <v>0</v>
      </c>
      <c r="W2037" t="str">
        <f>IF(Table1[appointment_status]="Cancelled","1","0")</f>
        <v>0</v>
      </c>
    </row>
    <row r="2038" spans="1:23">
      <c r="A2038" t="s">
        <v>3218</v>
      </c>
      <c r="B2038" t="s">
        <v>2440</v>
      </c>
      <c r="C2038">
        <v>57</v>
      </c>
      <c r="D2038" t="str" cm="1">
        <f t="array" ref="D2038">_xlfn.IFS(Table1[[#This Row],[age]]&lt;=17,"0-17",C2038&lt;=29,"18-29",C2038&lt;=44,"30-44",C2038&lt;=59,"45-59",C2038&lt;=74,"60-74",TRUE,"75+")</f>
        <v>45-59</v>
      </c>
      <c r="E2038" t="s">
        <v>29</v>
      </c>
      <c r="F2038">
        <v>4</v>
      </c>
      <c r="G2038" t="str" cm="1">
        <f t="array" ref="G2038">_xlfn.IFS(_xlfn.SINGLE(Table1[imd_decile])&lt;=3,"Most Deprived",F2038&lt;=7,"Moderately Deprived",F2038&lt;=10,"Least Deprived")</f>
        <v>Moderately Deprived</v>
      </c>
      <c r="H2038">
        <v>5.8</v>
      </c>
      <c r="I2038" t="s">
        <v>30</v>
      </c>
      <c r="J2038" t="s">
        <v>19</v>
      </c>
      <c r="K2038" s="1">
        <v>45876</v>
      </c>
      <c r="L2038" s="1">
        <v>45939</v>
      </c>
      <c r="M2038" s="1" t="str">
        <f>TEXT(Table1[[#This Row],[appointment_date]],"MM/YYYY")</f>
        <v>10/2025</v>
      </c>
      <c r="N2038">
        <v>63</v>
      </c>
      <c r="O2038" t="str" cm="1">
        <f t="array" ref="O2038">_xlfn.IFS(Table1[[#This Row],[lead_time_days]]&lt;=7,"0-7 days",N2038&lt;=14,"8-14 days",N2038&lt;=30,"15-30 days",N2038&lt;=60,"31-60 days",TRUE,"61+ days")</f>
        <v>61+ days</v>
      </c>
      <c r="P2038" t="s">
        <v>20</v>
      </c>
      <c r="Q2038" t="s">
        <v>21</v>
      </c>
      <c r="R2038">
        <v>0</v>
      </c>
      <c r="S2038" t="str">
        <f>IF(Table1[prior_dna_count]&gt;=1,"Has prior DNA history","No prior DNA history")</f>
        <v>No prior DNA history</v>
      </c>
      <c r="T2038" t="s">
        <v>22</v>
      </c>
      <c r="U2038" t="str">
        <f t="shared" si="31"/>
        <v>0</v>
      </c>
      <c r="V2038" t="str">
        <f>IF(Table1[appointment_status]="Attended","1","0")</f>
        <v>1</v>
      </c>
      <c r="W2038" t="str">
        <f>IF(Table1[appointment_status]="Cancelled","1","0")</f>
        <v>0</v>
      </c>
    </row>
    <row r="2039" spans="1:23">
      <c r="A2039" t="s">
        <v>3219</v>
      </c>
      <c r="B2039" t="s">
        <v>3220</v>
      </c>
      <c r="C2039">
        <v>36</v>
      </c>
      <c r="D2039" t="str" cm="1">
        <f t="array" ref="D2039">_xlfn.IFS(Table1[[#This Row],[age]]&lt;=17,"0-17",C2039&lt;=29,"18-29",C2039&lt;=44,"30-44",C2039&lt;=59,"45-59",C2039&lt;=74,"60-74",TRUE,"75+")</f>
        <v>30-44</v>
      </c>
      <c r="E2039" t="s">
        <v>17</v>
      </c>
      <c r="F2039">
        <v>8</v>
      </c>
      <c r="G2039" t="str" cm="1">
        <f t="array" ref="G2039">_xlfn.IFS(_xlfn.SINGLE(Table1[imd_decile])&lt;=3,"Most Deprived",F2039&lt;=7,"Moderately Deprived",F2039&lt;=10,"Least Deprived")</f>
        <v>Least Deprived</v>
      </c>
      <c r="H2039">
        <v>7.8</v>
      </c>
      <c r="I2039" t="s">
        <v>42</v>
      </c>
      <c r="J2039" t="s">
        <v>26</v>
      </c>
      <c r="K2039" s="1">
        <v>45920</v>
      </c>
      <c r="L2039" s="1">
        <v>45939</v>
      </c>
      <c r="M2039" s="1" t="str">
        <f>TEXT(Table1[[#This Row],[appointment_date]],"MM/YYYY")</f>
        <v>10/2025</v>
      </c>
      <c r="N2039">
        <v>19</v>
      </c>
      <c r="O2039" t="str" cm="1">
        <f t="array" ref="O2039">_xlfn.IFS(Table1[[#This Row],[lead_time_days]]&lt;=7,"0-7 days",N2039&lt;=14,"8-14 days",N2039&lt;=30,"15-30 days",N2039&lt;=60,"31-60 days",TRUE,"61+ days")</f>
        <v>15-30 days</v>
      </c>
      <c r="P2039" t="s">
        <v>20</v>
      </c>
      <c r="Q2039" t="s">
        <v>21</v>
      </c>
      <c r="R2039">
        <v>0</v>
      </c>
      <c r="S2039" t="str">
        <f>IF(Table1[prior_dna_count]&gt;=1,"Has prior DNA history","No prior DNA history")</f>
        <v>No prior DNA history</v>
      </c>
      <c r="T2039" t="s">
        <v>46</v>
      </c>
      <c r="U2039" t="str">
        <f t="shared" si="31"/>
        <v>1</v>
      </c>
      <c r="V2039" t="str">
        <f>IF(Table1[appointment_status]="Attended","1","0")</f>
        <v>0</v>
      </c>
      <c r="W2039" t="str">
        <f>IF(Table1[appointment_status]="Cancelled","1","0")</f>
        <v>1</v>
      </c>
    </row>
    <row r="2040" spans="1:23">
      <c r="A2040" t="s">
        <v>3221</v>
      </c>
      <c r="B2040" t="s">
        <v>359</v>
      </c>
      <c r="C2040">
        <v>45</v>
      </c>
      <c r="D2040" t="str" cm="1">
        <f t="array" ref="D2040">_xlfn.IFS(Table1[[#This Row],[age]]&lt;=17,"0-17",C2040&lt;=29,"18-29",C2040&lt;=44,"30-44",C2040&lt;=59,"45-59",C2040&lt;=74,"60-74",TRUE,"75+")</f>
        <v>45-59</v>
      </c>
      <c r="E2040" t="s">
        <v>17</v>
      </c>
      <c r="F2040">
        <v>3</v>
      </c>
      <c r="G2040" t="str" cm="1">
        <f t="array" ref="G2040">_xlfn.IFS(_xlfn.SINGLE(Table1[imd_decile])&lt;=3,"Most Deprived",F2040&lt;=7,"Moderately Deprived",F2040&lt;=10,"Least Deprived")</f>
        <v>Most Deprived</v>
      </c>
      <c r="H2040">
        <v>5</v>
      </c>
      <c r="I2040" t="s">
        <v>25</v>
      </c>
      <c r="J2040" t="s">
        <v>19</v>
      </c>
      <c r="K2040" s="1">
        <v>45914</v>
      </c>
      <c r="L2040" s="1">
        <v>45939</v>
      </c>
      <c r="M2040" s="1" t="str">
        <f>TEXT(Table1[[#This Row],[appointment_date]],"MM/YYYY")</f>
        <v>10/2025</v>
      </c>
      <c r="N2040">
        <v>25</v>
      </c>
      <c r="O2040" t="str" cm="1">
        <f t="array" ref="O2040">_xlfn.IFS(Table1[[#This Row],[lead_time_days]]&lt;=7,"0-7 days",N2040&lt;=14,"8-14 days",N2040&lt;=30,"15-30 days",N2040&lt;=60,"31-60 days",TRUE,"61+ days")</f>
        <v>15-30 days</v>
      </c>
      <c r="P2040" t="s">
        <v>20</v>
      </c>
      <c r="Q2040" t="s">
        <v>21</v>
      </c>
      <c r="R2040">
        <v>0</v>
      </c>
      <c r="S2040" t="str">
        <f>IF(Table1[prior_dna_count]&gt;=1,"Has prior DNA history","No prior DNA history")</f>
        <v>No prior DNA history</v>
      </c>
      <c r="T2040" t="s">
        <v>22</v>
      </c>
      <c r="U2040" t="str">
        <f t="shared" si="31"/>
        <v>0</v>
      </c>
      <c r="V2040" t="str">
        <f>IF(Table1[appointment_status]="Attended","1","0")</f>
        <v>1</v>
      </c>
      <c r="W2040" t="str">
        <f>IF(Table1[appointment_status]="Cancelled","1","0")</f>
        <v>0</v>
      </c>
    </row>
    <row r="2041" spans="1:23">
      <c r="A2041" t="s">
        <v>3222</v>
      </c>
      <c r="B2041" t="s">
        <v>3223</v>
      </c>
      <c r="C2041">
        <v>37</v>
      </c>
      <c r="D2041" t="str" cm="1">
        <f t="array" ref="D2041">_xlfn.IFS(Table1[[#This Row],[age]]&lt;=17,"0-17",C2041&lt;=29,"18-29",C2041&lt;=44,"30-44",C2041&lt;=59,"45-59",C2041&lt;=74,"60-74",TRUE,"75+")</f>
        <v>30-44</v>
      </c>
      <c r="E2041" t="s">
        <v>29</v>
      </c>
      <c r="F2041">
        <v>4</v>
      </c>
      <c r="G2041" t="str" cm="1">
        <f t="array" ref="G2041">_xlfn.IFS(_xlfn.SINGLE(Table1[imd_decile])&lt;=3,"Most Deprived",F2041&lt;=7,"Moderately Deprived",F2041&lt;=10,"Least Deprived")</f>
        <v>Moderately Deprived</v>
      </c>
      <c r="H2041">
        <v>14.4</v>
      </c>
      <c r="I2041" t="s">
        <v>30</v>
      </c>
      <c r="J2041" t="s">
        <v>19</v>
      </c>
      <c r="K2041" s="1">
        <v>45844</v>
      </c>
      <c r="L2041" s="1">
        <v>45939</v>
      </c>
      <c r="M2041" s="1" t="str">
        <f>TEXT(Table1[[#This Row],[appointment_date]],"MM/YYYY")</f>
        <v>10/2025</v>
      </c>
      <c r="N2041">
        <v>95</v>
      </c>
      <c r="O2041" t="str" cm="1">
        <f t="array" ref="O2041">_xlfn.IFS(Table1[[#This Row],[lead_time_days]]&lt;=7,"0-7 days",N2041&lt;=14,"8-14 days",N2041&lt;=30,"15-30 days",N2041&lt;=60,"31-60 days",TRUE,"61+ days")</f>
        <v>61+ days</v>
      </c>
      <c r="P2041" t="s">
        <v>20</v>
      </c>
      <c r="Q2041" t="s">
        <v>32</v>
      </c>
      <c r="R2041">
        <v>0</v>
      </c>
      <c r="S2041" t="str">
        <f>IF(Table1[prior_dna_count]&gt;=1,"Has prior DNA history","No prior DNA history")</f>
        <v>No prior DNA history</v>
      </c>
      <c r="T2041" t="s">
        <v>39</v>
      </c>
      <c r="U2041" t="str">
        <f t="shared" si="31"/>
        <v>1</v>
      </c>
      <c r="V2041" t="str">
        <f>IF(Table1[appointment_status]="Attended","1","0")</f>
        <v>0</v>
      </c>
      <c r="W2041" t="str">
        <f>IF(Table1[appointment_status]="Cancelled","1","0")</f>
        <v>0</v>
      </c>
    </row>
    <row r="2042" spans="1:23">
      <c r="A2042" t="s">
        <v>3224</v>
      </c>
      <c r="B2042" t="s">
        <v>1631</v>
      </c>
      <c r="C2042">
        <v>58</v>
      </c>
      <c r="D2042" t="str" cm="1">
        <f t="array" ref="D2042">_xlfn.IFS(Table1[[#This Row],[age]]&lt;=17,"0-17",C2042&lt;=29,"18-29",C2042&lt;=44,"30-44",C2042&lt;=59,"45-59",C2042&lt;=74,"60-74",TRUE,"75+")</f>
        <v>45-59</v>
      </c>
      <c r="E2042" t="s">
        <v>17</v>
      </c>
      <c r="F2042">
        <v>9</v>
      </c>
      <c r="G2042" t="str" cm="1">
        <f t="array" ref="G2042">_xlfn.IFS(_xlfn.SINGLE(Table1[imd_decile])&lt;=3,"Most Deprived",F2042&lt;=7,"Moderately Deprived",F2042&lt;=10,"Least Deprived")</f>
        <v>Least Deprived</v>
      </c>
      <c r="H2042">
        <v>19</v>
      </c>
      <c r="I2042" t="s">
        <v>25</v>
      </c>
      <c r="J2042" t="s">
        <v>26</v>
      </c>
      <c r="K2042" s="1">
        <v>45903</v>
      </c>
      <c r="L2042" s="1">
        <v>45939</v>
      </c>
      <c r="M2042" s="1" t="str">
        <f>TEXT(Table1[[#This Row],[appointment_date]],"MM/YYYY")</f>
        <v>10/2025</v>
      </c>
      <c r="N2042">
        <v>36</v>
      </c>
      <c r="O2042" t="str" cm="1">
        <f t="array" ref="O2042">_xlfn.IFS(Table1[[#This Row],[lead_time_days]]&lt;=7,"0-7 days",N2042&lt;=14,"8-14 days",N2042&lt;=30,"15-30 days",N2042&lt;=60,"31-60 days",TRUE,"61+ days")</f>
        <v>31-60 days</v>
      </c>
      <c r="P2042" t="s">
        <v>20</v>
      </c>
      <c r="Q2042" t="s">
        <v>21</v>
      </c>
      <c r="R2042">
        <v>0</v>
      </c>
      <c r="S2042" t="str">
        <f>IF(Table1[prior_dna_count]&gt;=1,"Has prior DNA history","No prior DNA history")</f>
        <v>No prior DNA history</v>
      </c>
      <c r="T2042" t="s">
        <v>22</v>
      </c>
      <c r="U2042" t="str">
        <f t="shared" si="31"/>
        <v>0</v>
      </c>
      <c r="V2042" t="str">
        <f>IF(Table1[appointment_status]="Attended","1","0")</f>
        <v>1</v>
      </c>
      <c r="W2042" t="str">
        <f>IF(Table1[appointment_status]="Cancelled","1","0")</f>
        <v>0</v>
      </c>
    </row>
    <row r="2043" spans="1:23">
      <c r="A2043" t="s">
        <v>3225</v>
      </c>
      <c r="B2043" t="s">
        <v>2060</v>
      </c>
      <c r="C2043">
        <v>37</v>
      </c>
      <c r="D2043" t="str" cm="1">
        <f t="array" ref="D2043">_xlfn.IFS(Table1[[#This Row],[age]]&lt;=17,"0-17",C2043&lt;=29,"18-29",C2043&lt;=44,"30-44",C2043&lt;=59,"45-59",C2043&lt;=74,"60-74",TRUE,"75+")</f>
        <v>30-44</v>
      </c>
      <c r="E2043" t="s">
        <v>29</v>
      </c>
      <c r="F2043">
        <v>10</v>
      </c>
      <c r="G2043" t="str" cm="1">
        <f t="array" ref="G2043">_xlfn.IFS(_xlfn.SINGLE(Table1[imd_decile])&lt;=3,"Most Deprived",F2043&lt;=7,"Moderately Deprived",F2043&lt;=10,"Least Deprived")</f>
        <v>Least Deprived</v>
      </c>
      <c r="H2043">
        <v>1.3</v>
      </c>
      <c r="I2043" t="s">
        <v>42</v>
      </c>
      <c r="J2043" t="s">
        <v>19</v>
      </c>
      <c r="K2043" s="1">
        <v>45920</v>
      </c>
      <c r="L2043" s="1">
        <v>45939</v>
      </c>
      <c r="M2043" s="1" t="str">
        <f>TEXT(Table1[[#This Row],[appointment_date]],"MM/YYYY")</f>
        <v>10/2025</v>
      </c>
      <c r="N2043">
        <v>19</v>
      </c>
      <c r="O2043" t="str" cm="1">
        <f t="array" ref="O2043">_xlfn.IFS(Table1[[#This Row],[lead_time_days]]&lt;=7,"0-7 days",N2043&lt;=14,"8-14 days",N2043&lt;=30,"15-30 days",N2043&lt;=60,"31-60 days",TRUE,"61+ days")</f>
        <v>15-30 days</v>
      </c>
      <c r="P2043" t="s">
        <v>20</v>
      </c>
      <c r="Q2043" t="s">
        <v>21</v>
      </c>
      <c r="R2043">
        <v>0</v>
      </c>
      <c r="S2043" t="str">
        <f>IF(Table1[prior_dna_count]&gt;=1,"Has prior DNA history","No prior DNA history")</f>
        <v>No prior DNA history</v>
      </c>
      <c r="T2043" t="s">
        <v>22</v>
      </c>
      <c r="U2043" t="str">
        <f t="shared" si="31"/>
        <v>1</v>
      </c>
      <c r="V2043" t="str">
        <f>IF(Table1[appointment_status]="Attended","1","0")</f>
        <v>1</v>
      </c>
      <c r="W2043" t="str">
        <f>IF(Table1[appointment_status]="Cancelled","1","0")</f>
        <v>0</v>
      </c>
    </row>
    <row r="2044" spans="1:23">
      <c r="A2044" t="s">
        <v>3226</v>
      </c>
      <c r="B2044" t="s">
        <v>3227</v>
      </c>
      <c r="C2044">
        <v>60</v>
      </c>
      <c r="D2044" t="str" cm="1">
        <f t="array" ref="D2044">_xlfn.IFS(Table1[[#This Row],[age]]&lt;=17,"0-17",C2044&lt;=29,"18-29",C2044&lt;=44,"30-44",C2044&lt;=59,"45-59",C2044&lt;=74,"60-74",TRUE,"75+")</f>
        <v>60-74</v>
      </c>
      <c r="E2044" t="s">
        <v>17</v>
      </c>
      <c r="F2044">
        <v>3</v>
      </c>
      <c r="G2044" t="str" cm="1">
        <f t="array" ref="G2044">_xlfn.IFS(_xlfn.SINGLE(Table1[imd_decile])&lt;=3,"Most Deprived",F2044&lt;=7,"Moderately Deprived",F2044&lt;=10,"Least Deprived")</f>
        <v>Most Deprived</v>
      </c>
      <c r="H2044">
        <v>1.3</v>
      </c>
      <c r="I2044" t="s">
        <v>58</v>
      </c>
      <c r="J2044" t="s">
        <v>19</v>
      </c>
      <c r="K2044" s="1">
        <v>45911</v>
      </c>
      <c r="L2044" s="1">
        <v>45939</v>
      </c>
      <c r="M2044" s="1" t="str">
        <f>TEXT(Table1[[#This Row],[appointment_date]],"MM/YYYY")</f>
        <v>10/2025</v>
      </c>
      <c r="N2044">
        <v>28</v>
      </c>
      <c r="O2044" t="str" cm="1">
        <f t="array" ref="O2044">_xlfn.IFS(Table1[[#This Row],[lead_time_days]]&lt;=7,"0-7 days",N2044&lt;=14,"8-14 days",N2044&lt;=30,"15-30 days",N2044&lt;=60,"31-60 days",TRUE,"61+ days")</f>
        <v>15-30 days</v>
      </c>
      <c r="P2044" t="s">
        <v>20</v>
      </c>
      <c r="Q2044" t="s">
        <v>21</v>
      </c>
      <c r="R2044">
        <v>0</v>
      </c>
      <c r="S2044" t="str">
        <f>IF(Table1[prior_dna_count]&gt;=1,"Has prior DNA history","No prior DNA history")</f>
        <v>No prior DNA history</v>
      </c>
      <c r="T2044" t="s">
        <v>22</v>
      </c>
      <c r="U2044" t="str">
        <f t="shared" si="31"/>
        <v>1</v>
      </c>
      <c r="V2044" t="str">
        <f>IF(Table1[appointment_status]="Attended","1","0")</f>
        <v>1</v>
      </c>
      <c r="W2044" t="str">
        <f>IF(Table1[appointment_status]="Cancelled","1","0")</f>
        <v>0</v>
      </c>
    </row>
    <row r="2045" spans="1:23">
      <c r="A2045" t="s">
        <v>3228</v>
      </c>
      <c r="B2045" t="s">
        <v>1783</v>
      </c>
      <c r="C2045">
        <v>38</v>
      </c>
      <c r="D2045" t="str" cm="1">
        <f t="array" ref="D2045">_xlfn.IFS(Table1[[#This Row],[age]]&lt;=17,"0-17",C2045&lt;=29,"18-29",C2045&lt;=44,"30-44",C2045&lt;=59,"45-59",C2045&lt;=74,"60-74",TRUE,"75+")</f>
        <v>30-44</v>
      </c>
      <c r="E2045" t="s">
        <v>29</v>
      </c>
      <c r="F2045">
        <v>9</v>
      </c>
      <c r="G2045" t="str" cm="1">
        <f t="array" ref="G2045">_xlfn.IFS(_xlfn.SINGLE(Table1[imd_decile])&lt;=3,"Most Deprived",F2045&lt;=7,"Moderately Deprived",F2045&lt;=10,"Least Deprived")</f>
        <v>Least Deprived</v>
      </c>
      <c r="H2045">
        <v>5.3</v>
      </c>
      <c r="I2045" t="s">
        <v>42</v>
      </c>
      <c r="J2045" t="s">
        <v>19</v>
      </c>
      <c r="K2045" s="1">
        <v>45901</v>
      </c>
      <c r="L2045" s="1">
        <v>45939</v>
      </c>
      <c r="M2045" s="1" t="str">
        <f>TEXT(Table1[[#This Row],[appointment_date]],"MM/YYYY")</f>
        <v>10/2025</v>
      </c>
      <c r="N2045">
        <v>38</v>
      </c>
      <c r="O2045" t="str" cm="1">
        <f t="array" ref="O2045">_xlfn.IFS(Table1[[#This Row],[lead_time_days]]&lt;=7,"0-7 days",N2045&lt;=14,"8-14 days",N2045&lt;=30,"15-30 days",N2045&lt;=60,"31-60 days",TRUE,"61+ days")</f>
        <v>31-60 days</v>
      </c>
      <c r="P2045" t="s">
        <v>20</v>
      </c>
      <c r="Q2045" t="s">
        <v>21</v>
      </c>
      <c r="R2045">
        <v>0</v>
      </c>
      <c r="S2045" t="str">
        <f>IF(Table1[prior_dna_count]&gt;=1,"Has prior DNA history","No prior DNA history")</f>
        <v>No prior DNA history</v>
      </c>
      <c r="T2045" t="s">
        <v>46</v>
      </c>
      <c r="U2045" t="str">
        <f t="shared" si="31"/>
        <v>1</v>
      </c>
      <c r="V2045" t="str">
        <f>IF(Table1[appointment_status]="Attended","1","0")</f>
        <v>0</v>
      </c>
      <c r="W2045" t="str">
        <f>IF(Table1[appointment_status]="Cancelled","1","0")</f>
        <v>1</v>
      </c>
    </row>
    <row r="2046" spans="1:23">
      <c r="A2046" t="s">
        <v>3229</v>
      </c>
      <c r="B2046" t="s">
        <v>64</v>
      </c>
      <c r="C2046">
        <v>73</v>
      </c>
      <c r="D2046" t="str" cm="1">
        <f t="array" ref="D2046">_xlfn.IFS(Table1[[#This Row],[age]]&lt;=17,"0-17",C2046&lt;=29,"18-29",C2046&lt;=44,"30-44",C2046&lt;=59,"45-59",C2046&lt;=74,"60-74",TRUE,"75+")</f>
        <v>60-74</v>
      </c>
      <c r="E2046" t="s">
        <v>17</v>
      </c>
      <c r="F2046">
        <v>2</v>
      </c>
      <c r="G2046" t="str" cm="1">
        <f t="array" ref="G2046">_xlfn.IFS(_xlfn.SINGLE(Table1[imd_decile])&lt;=3,"Most Deprived",F2046&lt;=7,"Moderately Deprived",F2046&lt;=10,"Least Deprived")</f>
        <v>Most Deprived</v>
      </c>
      <c r="H2046">
        <v>19.7</v>
      </c>
      <c r="I2046" t="s">
        <v>25</v>
      </c>
      <c r="J2046" t="s">
        <v>26</v>
      </c>
      <c r="K2046" s="1">
        <v>45935</v>
      </c>
      <c r="L2046" s="1">
        <v>45940</v>
      </c>
      <c r="M2046" s="1" t="str">
        <f>TEXT(Table1[[#This Row],[appointment_date]],"MM/YYYY")</f>
        <v>10/2025</v>
      </c>
      <c r="N2046">
        <v>5</v>
      </c>
      <c r="O2046" t="str" cm="1">
        <f t="array" ref="O2046">_xlfn.IFS(Table1[[#This Row],[lead_time_days]]&lt;=7,"0-7 days",N2046&lt;=14,"8-14 days",N2046&lt;=30,"15-30 days",N2046&lt;=60,"31-60 days",TRUE,"61+ days")</f>
        <v>0-7 days</v>
      </c>
      <c r="P2046" t="s">
        <v>52</v>
      </c>
      <c r="Q2046" t="s">
        <v>21</v>
      </c>
      <c r="R2046">
        <v>0</v>
      </c>
      <c r="S2046" t="str">
        <f>IF(Table1[prior_dna_count]&gt;=1,"Has prior DNA history","No prior DNA history")</f>
        <v>No prior DNA history</v>
      </c>
      <c r="T2046" t="s">
        <v>22</v>
      </c>
      <c r="U2046" t="str">
        <f t="shared" si="31"/>
        <v>0</v>
      </c>
      <c r="V2046" t="str">
        <f>IF(Table1[appointment_status]="Attended","1","0")</f>
        <v>1</v>
      </c>
      <c r="W2046" t="str">
        <f>IF(Table1[appointment_status]="Cancelled","1","0")</f>
        <v>0</v>
      </c>
    </row>
    <row r="2047" spans="1:23">
      <c r="A2047" t="s">
        <v>3230</v>
      </c>
      <c r="B2047" t="s">
        <v>3231</v>
      </c>
      <c r="C2047">
        <v>47</v>
      </c>
      <c r="D2047" t="str" cm="1">
        <f t="array" ref="D2047">_xlfn.IFS(Table1[[#This Row],[age]]&lt;=17,"0-17",C2047&lt;=29,"18-29",C2047&lt;=44,"30-44",C2047&lt;=59,"45-59",C2047&lt;=74,"60-74",TRUE,"75+")</f>
        <v>45-59</v>
      </c>
      <c r="E2047" t="s">
        <v>29</v>
      </c>
      <c r="F2047">
        <v>2</v>
      </c>
      <c r="G2047" t="str" cm="1">
        <f t="array" ref="G2047">_xlfn.IFS(_xlfn.SINGLE(Table1[imd_decile])&lt;=3,"Most Deprived",F2047&lt;=7,"Moderately Deprived",F2047&lt;=10,"Least Deprived")</f>
        <v>Most Deprived</v>
      </c>
      <c r="H2047">
        <v>7.1</v>
      </c>
      <c r="I2047" t="s">
        <v>38</v>
      </c>
      <c r="J2047" t="s">
        <v>26</v>
      </c>
      <c r="K2047" s="1">
        <v>45918</v>
      </c>
      <c r="L2047" s="1">
        <v>45940</v>
      </c>
      <c r="M2047" s="1" t="str">
        <f>TEXT(Table1[[#This Row],[appointment_date]],"MM/YYYY")</f>
        <v>10/2025</v>
      </c>
      <c r="N2047">
        <v>22</v>
      </c>
      <c r="O2047" t="str" cm="1">
        <f t="array" ref="O2047">_xlfn.IFS(Table1[[#This Row],[lead_time_days]]&lt;=7,"0-7 days",N2047&lt;=14,"8-14 days",N2047&lt;=30,"15-30 days",N2047&lt;=60,"31-60 days",TRUE,"61+ days")</f>
        <v>15-30 days</v>
      </c>
      <c r="P2047" t="s">
        <v>52</v>
      </c>
      <c r="Q2047" t="s">
        <v>21</v>
      </c>
      <c r="R2047">
        <v>0</v>
      </c>
      <c r="S2047" t="str">
        <f>IF(Table1[prior_dna_count]&gt;=1,"Has prior DNA history","No prior DNA history")</f>
        <v>No prior DNA history</v>
      </c>
      <c r="T2047" t="s">
        <v>22</v>
      </c>
      <c r="U2047" t="str">
        <f t="shared" si="31"/>
        <v>1</v>
      </c>
      <c r="V2047" t="str">
        <f>IF(Table1[appointment_status]="Attended","1","0")</f>
        <v>1</v>
      </c>
      <c r="W2047" t="str">
        <f>IF(Table1[appointment_status]="Cancelled","1","0")</f>
        <v>0</v>
      </c>
    </row>
    <row r="2048" spans="1:23">
      <c r="A2048" t="s">
        <v>3232</v>
      </c>
      <c r="B2048" t="s">
        <v>3233</v>
      </c>
      <c r="C2048">
        <v>60</v>
      </c>
      <c r="D2048" t="str" cm="1">
        <f t="array" ref="D2048">_xlfn.IFS(Table1[[#This Row],[age]]&lt;=17,"0-17",C2048&lt;=29,"18-29",C2048&lt;=44,"30-44",C2048&lt;=59,"45-59",C2048&lt;=74,"60-74",TRUE,"75+")</f>
        <v>60-74</v>
      </c>
      <c r="E2048" t="s">
        <v>29</v>
      </c>
      <c r="F2048">
        <v>3</v>
      </c>
      <c r="G2048" t="str" cm="1">
        <f t="array" ref="G2048">_xlfn.IFS(_xlfn.SINGLE(Table1[imd_decile])&lt;=3,"Most Deprived",F2048&lt;=7,"Moderately Deprived",F2048&lt;=10,"Least Deprived")</f>
        <v>Most Deprived</v>
      </c>
      <c r="H2048">
        <v>0.9</v>
      </c>
      <c r="I2048" t="s">
        <v>38</v>
      </c>
      <c r="J2048" t="s">
        <v>26</v>
      </c>
      <c r="K2048" s="1">
        <v>45926</v>
      </c>
      <c r="L2048" s="1">
        <v>45940</v>
      </c>
      <c r="M2048" s="1" t="str">
        <f>TEXT(Table1[[#This Row],[appointment_date]],"MM/YYYY")</f>
        <v>10/2025</v>
      </c>
      <c r="N2048">
        <v>14</v>
      </c>
      <c r="O2048" t="str" cm="1">
        <f t="array" ref="O2048">_xlfn.IFS(Table1[[#This Row],[lead_time_days]]&lt;=7,"0-7 days",N2048&lt;=14,"8-14 days",N2048&lt;=30,"15-30 days",N2048&lt;=60,"31-60 days",TRUE,"61+ days")</f>
        <v>8-14 days</v>
      </c>
      <c r="P2048" t="s">
        <v>52</v>
      </c>
      <c r="Q2048" t="s">
        <v>32</v>
      </c>
      <c r="R2048">
        <v>0</v>
      </c>
      <c r="S2048" t="str">
        <f>IF(Table1[prior_dna_count]&gt;=1,"Has prior DNA history","No prior DNA history")</f>
        <v>No prior DNA history</v>
      </c>
      <c r="T2048" t="s">
        <v>22</v>
      </c>
      <c r="U2048" t="str">
        <f t="shared" si="31"/>
        <v>1</v>
      </c>
      <c r="V2048" t="str">
        <f>IF(Table1[appointment_status]="Attended","1","0")</f>
        <v>1</v>
      </c>
      <c r="W2048" t="str">
        <f>IF(Table1[appointment_status]="Cancelled","1","0")</f>
        <v>0</v>
      </c>
    </row>
    <row r="2049" spans="1:23">
      <c r="A2049" t="s">
        <v>3234</v>
      </c>
      <c r="B2049" t="s">
        <v>103</v>
      </c>
      <c r="C2049">
        <v>31</v>
      </c>
      <c r="D2049" t="str" cm="1">
        <f t="array" ref="D2049">_xlfn.IFS(Table1[[#This Row],[age]]&lt;=17,"0-17",C2049&lt;=29,"18-29",C2049&lt;=44,"30-44",C2049&lt;=59,"45-59",C2049&lt;=74,"60-74",TRUE,"75+")</f>
        <v>30-44</v>
      </c>
      <c r="E2049" t="s">
        <v>29</v>
      </c>
      <c r="F2049">
        <v>9</v>
      </c>
      <c r="G2049" t="str" cm="1">
        <f t="array" ref="G2049">_xlfn.IFS(_xlfn.SINGLE(Table1[imd_decile])&lt;=3,"Most Deprived",F2049&lt;=7,"Moderately Deprived",F2049&lt;=10,"Least Deprived")</f>
        <v>Least Deprived</v>
      </c>
      <c r="H2049">
        <v>6.4</v>
      </c>
      <c r="I2049" t="s">
        <v>42</v>
      </c>
      <c r="J2049" t="s">
        <v>19</v>
      </c>
      <c r="K2049" s="1">
        <v>45925</v>
      </c>
      <c r="L2049" s="1">
        <v>45940</v>
      </c>
      <c r="M2049" s="1" t="str">
        <f>TEXT(Table1[[#This Row],[appointment_date]],"MM/YYYY")</f>
        <v>10/2025</v>
      </c>
      <c r="N2049">
        <v>15</v>
      </c>
      <c r="O2049" t="str" cm="1">
        <f t="array" ref="O2049">_xlfn.IFS(Table1[[#This Row],[lead_time_days]]&lt;=7,"0-7 days",N2049&lt;=14,"8-14 days",N2049&lt;=30,"15-30 days",N2049&lt;=60,"31-60 days",TRUE,"61+ days")</f>
        <v>15-30 days</v>
      </c>
      <c r="P2049" t="s">
        <v>52</v>
      </c>
      <c r="Q2049" t="s">
        <v>32</v>
      </c>
      <c r="R2049">
        <v>1</v>
      </c>
      <c r="S2049" t="str">
        <f>IF(Table1[prior_dna_count]&gt;=1,"Has prior DNA history","No prior DNA history")</f>
        <v>Has prior DNA history</v>
      </c>
      <c r="T2049" t="s">
        <v>22</v>
      </c>
      <c r="U2049" t="str">
        <f t="shared" si="31"/>
        <v>1</v>
      </c>
      <c r="V2049" t="str">
        <f>IF(Table1[appointment_status]="Attended","1","0")</f>
        <v>1</v>
      </c>
      <c r="W2049" t="str">
        <f>IF(Table1[appointment_status]="Cancelled","1","0")</f>
        <v>0</v>
      </c>
    </row>
    <row r="2050" spans="1:23">
      <c r="A2050" t="s">
        <v>3235</v>
      </c>
      <c r="B2050" t="s">
        <v>3236</v>
      </c>
      <c r="C2050">
        <v>63</v>
      </c>
      <c r="D2050" t="str" cm="1">
        <f t="array" ref="D2050">_xlfn.IFS(Table1[[#This Row],[age]]&lt;=17,"0-17",C2050&lt;=29,"18-29",C2050&lt;=44,"30-44",C2050&lt;=59,"45-59",C2050&lt;=74,"60-74",TRUE,"75+")</f>
        <v>60-74</v>
      </c>
      <c r="E2050" t="s">
        <v>29</v>
      </c>
      <c r="F2050">
        <v>4</v>
      </c>
      <c r="G2050" t="str" cm="1">
        <f t="array" ref="G2050">_xlfn.IFS(_xlfn.SINGLE(Table1[imd_decile])&lt;=3,"Most Deprived",F2050&lt;=7,"Moderately Deprived",F2050&lt;=10,"Least Deprived")</f>
        <v>Moderately Deprived</v>
      </c>
      <c r="H2050">
        <v>11.4</v>
      </c>
      <c r="I2050" t="s">
        <v>91</v>
      </c>
      <c r="J2050" t="s">
        <v>19</v>
      </c>
      <c r="K2050" s="1">
        <v>45877</v>
      </c>
      <c r="L2050" s="1">
        <v>45940</v>
      </c>
      <c r="M2050" s="1" t="str">
        <f>TEXT(Table1[[#This Row],[appointment_date]],"MM/YYYY")</f>
        <v>10/2025</v>
      </c>
      <c r="N2050">
        <v>63</v>
      </c>
      <c r="O2050" t="str" cm="1">
        <f t="array" ref="O2050">_xlfn.IFS(Table1[[#This Row],[lead_time_days]]&lt;=7,"0-7 days",N2050&lt;=14,"8-14 days",N2050&lt;=30,"15-30 days",N2050&lt;=60,"31-60 days",TRUE,"61+ days")</f>
        <v>61+ days</v>
      </c>
      <c r="P2050" t="s">
        <v>52</v>
      </c>
      <c r="Q2050" t="s">
        <v>21</v>
      </c>
      <c r="R2050">
        <v>0</v>
      </c>
      <c r="S2050" t="str">
        <f>IF(Table1[prior_dna_count]&gt;=1,"Has prior DNA history","No prior DNA history")</f>
        <v>No prior DNA history</v>
      </c>
      <c r="T2050" t="s">
        <v>22</v>
      </c>
      <c r="U2050" t="str">
        <f t="shared" ref="U2050:U2113" si="32">V2049</f>
        <v>1</v>
      </c>
      <c r="V2050" t="str">
        <f>IF(Table1[appointment_status]="Attended","1","0")</f>
        <v>1</v>
      </c>
      <c r="W2050" t="str">
        <f>IF(Table1[appointment_status]="Cancelled","1","0")</f>
        <v>0</v>
      </c>
    </row>
    <row r="2051" spans="1:23">
      <c r="A2051" t="s">
        <v>3237</v>
      </c>
      <c r="B2051" t="s">
        <v>3238</v>
      </c>
      <c r="C2051">
        <v>40</v>
      </c>
      <c r="D2051" t="str" cm="1">
        <f t="array" ref="D2051">_xlfn.IFS(Table1[[#This Row],[age]]&lt;=17,"0-17",C2051&lt;=29,"18-29",C2051&lt;=44,"30-44",C2051&lt;=59,"45-59",C2051&lt;=74,"60-74",TRUE,"75+")</f>
        <v>30-44</v>
      </c>
      <c r="E2051" t="s">
        <v>29</v>
      </c>
      <c r="F2051">
        <v>1</v>
      </c>
      <c r="G2051" t="str" cm="1">
        <f t="array" ref="G2051">_xlfn.IFS(_xlfn.SINGLE(Table1[imd_decile])&lt;=3,"Most Deprived",F2051&lt;=7,"Moderately Deprived",F2051&lt;=10,"Least Deprived")</f>
        <v>Most Deprived</v>
      </c>
      <c r="H2051">
        <v>3.9</v>
      </c>
      <c r="I2051" t="s">
        <v>49</v>
      </c>
      <c r="J2051" t="s">
        <v>19</v>
      </c>
      <c r="K2051" s="1">
        <v>45930</v>
      </c>
      <c r="L2051" s="1">
        <v>45940</v>
      </c>
      <c r="M2051" s="1" t="str">
        <f>TEXT(Table1[[#This Row],[appointment_date]],"MM/YYYY")</f>
        <v>10/2025</v>
      </c>
      <c r="N2051">
        <v>10</v>
      </c>
      <c r="O2051" t="str" cm="1">
        <f t="array" ref="O2051">_xlfn.IFS(Table1[[#This Row],[lead_time_days]]&lt;=7,"0-7 days",N2051&lt;=14,"8-14 days",N2051&lt;=30,"15-30 days",N2051&lt;=60,"31-60 days",TRUE,"61+ days")</f>
        <v>8-14 days</v>
      </c>
      <c r="P2051" t="s">
        <v>52</v>
      </c>
      <c r="Q2051" t="s">
        <v>32</v>
      </c>
      <c r="R2051">
        <v>0</v>
      </c>
      <c r="S2051" t="str">
        <f>IF(Table1[prior_dna_count]&gt;=1,"Has prior DNA history","No prior DNA history")</f>
        <v>No prior DNA history</v>
      </c>
      <c r="T2051" t="s">
        <v>22</v>
      </c>
      <c r="U2051" t="str">
        <f t="shared" si="32"/>
        <v>1</v>
      </c>
      <c r="V2051" t="str">
        <f>IF(Table1[appointment_status]="Attended","1","0")</f>
        <v>1</v>
      </c>
      <c r="W2051" t="str">
        <f>IF(Table1[appointment_status]="Cancelled","1","0")</f>
        <v>0</v>
      </c>
    </row>
    <row r="2052" spans="1:23">
      <c r="A2052" t="s">
        <v>3239</v>
      </c>
      <c r="B2052" t="s">
        <v>1271</v>
      </c>
      <c r="C2052">
        <v>47</v>
      </c>
      <c r="D2052" t="str" cm="1">
        <f t="array" ref="D2052">_xlfn.IFS(Table1[[#This Row],[age]]&lt;=17,"0-17",C2052&lt;=29,"18-29",C2052&lt;=44,"30-44",C2052&lt;=59,"45-59",C2052&lt;=74,"60-74",TRUE,"75+")</f>
        <v>45-59</v>
      </c>
      <c r="E2052" t="s">
        <v>29</v>
      </c>
      <c r="F2052">
        <v>10</v>
      </c>
      <c r="G2052" t="str" cm="1">
        <f t="array" ref="G2052">_xlfn.IFS(_xlfn.SINGLE(Table1[imd_decile])&lt;=3,"Most Deprived",F2052&lt;=7,"Moderately Deprived",F2052&lt;=10,"Least Deprived")</f>
        <v>Least Deprived</v>
      </c>
      <c r="H2052">
        <v>7.5</v>
      </c>
      <c r="I2052" t="s">
        <v>49</v>
      </c>
      <c r="J2052" t="s">
        <v>26</v>
      </c>
      <c r="K2052" s="1">
        <v>45919</v>
      </c>
      <c r="L2052" s="1">
        <v>45940</v>
      </c>
      <c r="M2052" s="1" t="str">
        <f>TEXT(Table1[[#This Row],[appointment_date]],"MM/YYYY")</f>
        <v>10/2025</v>
      </c>
      <c r="N2052">
        <v>21</v>
      </c>
      <c r="O2052" t="str" cm="1">
        <f t="array" ref="O2052">_xlfn.IFS(Table1[[#This Row],[lead_time_days]]&lt;=7,"0-7 days",N2052&lt;=14,"8-14 days",N2052&lt;=30,"15-30 days",N2052&lt;=60,"31-60 days",TRUE,"61+ days")</f>
        <v>15-30 days</v>
      </c>
      <c r="P2052" t="s">
        <v>52</v>
      </c>
      <c r="Q2052" t="s">
        <v>21</v>
      </c>
      <c r="R2052">
        <v>0</v>
      </c>
      <c r="S2052" t="str">
        <f>IF(Table1[prior_dna_count]&gt;=1,"Has prior DNA history","No prior DNA history")</f>
        <v>No prior DNA history</v>
      </c>
      <c r="T2052" t="s">
        <v>22</v>
      </c>
      <c r="U2052" t="str">
        <f t="shared" si="32"/>
        <v>1</v>
      </c>
      <c r="V2052" t="str">
        <f>IF(Table1[appointment_status]="Attended","1","0")</f>
        <v>1</v>
      </c>
      <c r="W2052" t="str">
        <f>IF(Table1[appointment_status]="Cancelled","1","0")</f>
        <v>0</v>
      </c>
    </row>
    <row r="2053" spans="1:23">
      <c r="A2053" t="s">
        <v>3240</v>
      </c>
      <c r="B2053" t="s">
        <v>2577</v>
      </c>
      <c r="C2053">
        <v>65</v>
      </c>
      <c r="D2053" t="str" cm="1">
        <f t="array" ref="D2053">_xlfn.IFS(Table1[[#This Row],[age]]&lt;=17,"0-17",C2053&lt;=29,"18-29",C2053&lt;=44,"30-44",C2053&lt;=59,"45-59",C2053&lt;=74,"60-74",TRUE,"75+")</f>
        <v>60-74</v>
      </c>
      <c r="E2053" t="s">
        <v>29</v>
      </c>
      <c r="F2053">
        <v>8</v>
      </c>
      <c r="G2053" t="str" cm="1">
        <f t="array" ref="G2053">_xlfn.IFS(_xlfn.SINGLE(Table1[imd_decile])&lt;=3,"Most Deprived",F2053&lt;=7,"Moderately Deprived",F2053&lt;=10,"Least Deprived")</f>
        <v>Least Deprived</v>
      </c>
      <c r="H2053">
        <v>1.7</v>
      </c>
      <c r="I2053" t="s">
        <v>45</v>
      </c>
      <c r="J2053" t="s">
        <v>26</v>
      </c>
      <c r="K2053" s="1">
        <v>45923</v>
      </c>
      <c r="L2053" s="1">
        <v>45941</v>
      </c>
      <c r="M2053" s="1" t="str">
        <f>TEXT(Table1[[#This Row],[appointment_date]],"MM/YYYY")</f>
        <v>10/2025</v>
      </c>
      <c r="N2053">
        <v>18</v>
      </c>
      <c r="O2053" t="str" cm="1">
        <f t="array" ref="O2053">_xlfn.IFS(Table1[[#This Row],[lead_time_days]]&lt;=7,"0-7 days",N2053&lt;=14,"8-14 days",N2053&lt;=30,"15-30 days",N2053&lt;=60,"31-60 days",TRUE,"61+ days")</f>
        <v>15-30 days</v>
      </c>
      <c r="P2053" t="s">
        <v>55</v>
      </c>
      <c r="Q2053" t="s">
        <v>32</v>
      </c>
      <c r="R2053">
        <v>0</v>
      </c>
      <c r="S2053" t="str">
        <f>IF(Table1[prior_dna_count]&gt;=1,"Has prior DNA history","No prior DNA history")</f>
        <v>No prior DNA history</v>
      </c>
      <c r="T2053" t="s">
        <v>22</v>
      </c>
      <c r="U2053" t="str">
        <f t="shared" si="32"/>
        <v>1</v>
      </c>
      <c r="V2053" t="str">
        <f>IF(Table1[appointment_status]="Attended","1","0")</f>
        <v>1</v>
      </c>
      <c r="W2053" t="str">
        <f>IF(Table1[appointment_status]="Cancelled","1","0")</f>
        <v>0</v>
      </c>
    </row>
    <row r="2054" spans="1:23">
      <c r="A2054" t="s">
        <v>3241</v>
      </c>
      <c r="B2054" t="s">
        <v>905</v>
      </c>
      <c r="C2054">
        <v>55</v>
      </c>
      <c r="D2054" t="str" cm="1">
        <f t="array" ref="D2054">_xlfn.IFS(Table1[[#This Row],[age]]&lt;=17,"0-17",C2054&lt;=29,"18-29",C2054&lt;=44,"30-44",C2054&lt;=59,"45-59",C2054&lt;=74,"60-74",TRUE,"75+")</f>
        <v>45-59</v>
      </c>
      <c r="E2054" t="s">
        <v>17</v>
      </c>
      <c r="F2054">
        <v>9</v>
      </c>
      <c r="G2054" t="str" cm="1">
        <f t="array" ref="G2054">_xlfn.IFS(_xlfn.SINGLE(Table1[imd_decile])&lt;=3,"Most Deprived",F2054&lt;=7,"Moderately Deprived",F2054&lt;=10,"Least Deprived")</f>
        <v>Least Deprived</v>
      </c>
      <c r="H2054">
        <v>7.1</v>
      </c>
      <c r="I2054" t="s">
        <v>155</v>
      </c>
      <c r="J2054" t="s">
        <v>26</v>
      </c>
      <c r="K2054" s="1">
        <v>45933</v>
      </c>
      <c r="L2054" s="1">
        <v>45941</v>
      </c>
      <c r="M2054" s="1" t="str">
        <f>TEXT(Table1[[#This Row],[appointment_date]],"MM/YYYY")</f>
        <v>10/2025</v>
      </c>
      <c r="N2054">
        <v>8</v>
      </c>
      <c r="O2054" t="str" cm="1">
        <f t="array" ref="O2054">_xlfn.IFS(Table1[[#This Row],[lead_time_days]]&lt;=7,"0-7 days",N2054&lt;=14,"8-14 days",N2054&lt;=30,"15-30 days",N2054&lt;=60,"31-60 days",TRUE,"61+ days")</f>
        <v>8-14 days</v>
      </c>
      <c r="P2054" t="s">
        <v>55</v>
      </c>
      <c r="Q2054" t="s">
        <v>21</v>
      </c>
      <c r="R2054">
        <v>0</v>
      </c>
      <c r="S2054" t="str">
        <f>IF(Table1[prior_dna_count]&gt;=1,"Has prior DNA history","No prior DNA history")</f>
        <v>No prior DNA history</v>
      </c>
      <c r="T2054" t="s">
        <v>22</v>
      </c>
      <c r="U2054" t="str">
        <f t="shared" si="32"/>
        <v>1</v>
      </c>
      <c r="V2054" t="str">
        <f>IF(Table1[appointment_status]="Attended","1","0")</f>
        <v>1</v>
      </c>
      <c r="W2054" t="str">
        <f>IF(Table1[appointment_status]="Cancelled","1","0")</f>
        <v>0</v>
      </c>
    </row>
    <row r="2055" spans="1:23">
      <c r="A2055" t="s">
        <v>3242</v>
      </c>
      <c r="B2055" t="s">
        <v>1529</v>
      </c>
      <c r="C2055">
        <v>1</v>
      </c>
      <c r="D2055" t="str" cm="1">
        <f t="array" ref="D2055">_xlfn.IFS(Table1[[#This Row],[age]]&lt;=17,"0-17",C2055&lt;=29,"18-29",C2055&lt;=44,"30-44",C2055&lt;=59,"45-59",C2055&lt;=74,"60-74",TRUE,"75+")</f>
        <v>0-17</v>
      </c>
      <c r="E2055" t="s">
        <v>29</v>
      </c>
      <c r="F2055">
        <v>2</v>
      </c>
      <c r="G2055" t="str" cm="1">
        <f t="array" ref="G2055">_xlfn.IFS(_xlfn.SINGLE(Table1[imd_decile])&lt;=3,"Most Deprived",F2055&lt;=7,"Moderately Deprived",F2055&lt;=10,"Least Deprived")</f>
        <v>Most Deprived</v>
      </c>
      <c r="H2055">
        <v>4.2</v>
      </c>
      <c r="I2055" t="s">
        <v>155</v>
      </c>
      <c r="J2055" t="s">
        <v>19</v>
      </c>
      <c r="K2055" s="1">
        <v>45935</v>
      </c>
      <c r="L2055" s="1">
        <v>45941</v>
      </c>
      <c r="M2055" s="1" t="str">
        <f>TEXT(Table1[[#This Row],[appointment_date]],"MM/YYYY")</f>
        <v>10/2025</v>
      </c>
      <c r="N2055">
        <v>6</v>
      </c>
      <c r="O2055" t="str" cm="1">
        <f t="array" ref="O2055">_xlfn.IFS(Table1[[#This Row],[lead_time_days]]&lt;=7,"0-7 days",N2055&lt;=14,"8-14 days",N2055&lt;=30,"15-30 days",N2055&lt;=60,"31-60 days",TRUE,"61+ days")</f>
        <v>0-7 days</v>
      </c>
      <c r="P2055" t="s">
        <v>55</v>
      </c>
      <c r="Q2055" t="s">
        <v>21</v>
      </c>
      <c r="R2055">
        <v>0</v>
      </c>
      <c r="S2055" t="str">
        <f>IF(Table1[prior_dna_count]&gt;=1,"Has prior DNA history","No prior DNA history")</f>
        <v>No prior DNA history</v>
      </c>
      <c r="T2055" t="s">
        <v>22</v>
      </c>
      <c r="U2055" t="str">
        <f t="shared" si="32"/>
        <v>1</v>
      </c>
      <c r="V2055" t="str">
        <f>IF(Table1[appointment_status]="Attended","1","0")</f>
        <v>1</v>
      </c>
      <c r="W2055" t="str">
        <f>IF(Table1[appointment_status]="Cancelled","1","0")</f>
        <v>0</v>
      </c>
    </row>
    <row r="2056" spans="1:23">
      <c r="A2056" t="s">
        <v>3243</v>
      </c>
      <c r="B2056" t="s">
        <v>3244</v>
      </c>
      <c r="C2056">
        <v>27</v>
      </c>
      <c r="D2056" t="str" cm="1">
        <f t="array" ref="D2056">_xlfn.IFS(Table1[[#This Row],[age]]&lt;=17,"0-17",C2056&lt;=29,"18-29",C2056&lt;=44,"30-44",C2056&lt;=59,"45-59",C2056&lt;=74,"60-74",TRUE,"75+")</f>
        <v>18-29</v>
      </c>
      <c r="E2056" t="s">
        <v>17</v>
      </c>
      <c r="F2056">
        <v>9</v>
      </c>
      <c r="G2056" t="str" cm="1">
        <f t="array" ref="G2056">_xlfn.IFS(_xlfn.SINGLE(Table1[imd_decile])&lt;=3,"Most Deprived",F2056&lt;=7,"Moderately Deprived",F2056&lt;=10,"Least Deprived")</f>
        <v>Least Deprived</v>
      </c>
      <c r="H2056">
        <v>5.8</v>
      </c>
      <c r="I2056" t="s">
        <v>49</v>
      </c>
      <c r="J2056" t="s">
        <v>19</v>
      </c>
      <c r="K2056" s="1">
        <v>45907</v>
      </c>
      <c r="L2056" s="1">
        <v>45941</v>
      </c>
      <c r="M2056" s="1" t="str">
        <f>TEXT(Table1[[#This Row],[appointment_date]],"MM/YYYY")</f>
        <v>10/2025</v>
      </c>
      <c r="N2056">
        <v>34</v>
      </c>
      <c r="O2056" t="str" cm="1">
        <f t="array" ref="O2056">_xlfn.IFS(Table1[[#This Row],[lead_time_days]]&lt;=7,"0-7 days",N2056&lt;=14,"8-14 days",N2056&lt;=30,"15-30 days",N2056&lt;=60,"31-60 days",TRUE,"61+ days")</f>
        <v>31-60 days</v>
      </c>
      <c r="P2056" t="s">
        <v>55</v>
      </c>
      <c r="Q2056" t="s">
        <v>21</v>
      </c>
      <c r="R2056">
        <v>0</v>
      </c>
      <c r="S2056" t="str">
        <f>IF(Table1[prior_dna_count]&gt;=1,"Has prior DNA history","No prior DNA history")</f>
        <v>No prior DNA history</v>
      </c>
      <c r="T2056" t="s">
        <v>22</v>
      </c>
      <c r="U2056" t="str">
        <f t="shared" si="32"/>
        <v>1</v>
      </c>
      <c r="V2056" t="str">
        <f>IF(Table1[appointment_status]="Attended","1","0")</f>
        <v>1</v>
      </c>
      <c r="W2056" t="str">
        <f>IF(Table1[appointment_status]="Cancelled","1","0")</f>
        <v>0</v>
      </c>
    </row>
    <row r="2057" spans="1:23">
      <c r="A2057" t="s">
        <v>3245</v>
      </c>
      <c r="B2057" t="s">
        <v>3246</v>
      </c>
      <c r="C2057">
        <v>59</v>
      </c>
      <c r="D2057" t="str" cm="1">
        <f t="array" ref="D2057">_xlfn.IFS(Table1[[#This Row],[age]]&lt;=17,"0-17",C2057&lt;=29,"18-29",C2057&lt;=44,"30-44",C2057&lt;=59,"45-59",C2057&lt;=74,"60-74",TRUE,"75+")</f>
        <v>45-59</v>
      </c>
      <c r="E2057" t="s">
        <v>29</v>
      </c>
      <c r="F2057">
        <v>10</v>
      </c>
      <c r="G2057" t="str" cm="1">
        <f t="array" ref="G2057">_xlfn.IFS(_xlfn.SINGLE(Table1[imd_decile])&lt;=3,"Most Deprived",F2057&lt;=7,"Moderately Deprived",F2057&lt;=10,"Least Deprived")</f>
        <v>Least Deprived</v>
      </c>
      <c r="H2057">
        <v>6.4</v>
      </c>
      <c r="I2057" t="s">
        <v>38</v>
      </c>
      <c r="J2057" t="s">
        <v>19</v>
      </c>
      <c r="K2057" s="1">
        <v>45868</v>
      </c>
      <c r="L2057" s="1">
        <v>45941</v>
      </c>
      <c r="M2057" s="1" t="str">
        <f>TEXT(Table1[[#This Row],[appointment_date]],"MM/YYYY")</f>
        <v>10/2025</v>
      </c>
      <c r="N2057">
        <v>73</v>
      </c>
      <c r="O2057" t="str" cm="1">
        <f t="array" ref="O2057">_xlfn.IFS(Table1[[#This Row],[lead_time_days]]&lt;=7,"0-7 days",N2057&lt;=14,"8-14 days",N2057&lt;=30,"15-30 days",N2057&lt;=60,"31-60 days",TRUE,"61+ days")</f>
        <v>61+ days</v>
      </c>
      <c r="P2057" t="s">
        <v>55</v>
      </c>
      <c r="Q2057" t="s">
        <v>32</v>
      </c>
      <c r="R2057">
        <v>0</v>
      </c>
      <c r="S2057" t="str">
        <f>IF(Table1[prior_dna_count]&gt;=1,"Has prior DNA history","No prior DNA history")</f>
        <v>No prior DNA history</v>
      </c>
      <c r="T2057" t="s">
        <v>22</v>
      </c>
      <c r="U2057" t="str">
        <f t="shared" si="32"/>
        <v>1</v>
      </c>
      <c r="V2057" t="str">
        <f>IF(Table1[appointment_status]="Attended","1","0")</f>
        <v>1</v>
      </c>
      <c r="W2057" t="str">
        <f>IF(Table1[appointment_status]="Cancelled","1","0")</f>
        <v>0</v>
      </c>
    </row>
    <row r="2058" spans="1:23">
      <c r="A2058" t="s">
        <v>3247</v>
      </c>
      <c r="B2058" t="s">
        <v>3248</v>
      </c>
      <c r="C2058">
        <v>82</v>
      </c>
      <c r="D2058" t="str" cm="1">
        <f t="array" ref="D2058">_xlfn.IFS(Table1[[#This Row],[age]]&lt;=17,"0-17",C2058&lt;=29,"18-29",C2058&lt;=44,"30-44",C2058&lt;=59,"45-59",C2058&lt;=74,"60-74",TRUE,"75+")</f>
        <v>75+</v>
      </c>
      <c r="E2058" t="s">
        <v>17</v>
      </c>
      <c r="F2058">
        <v>6</v>
      </c>
      <c r="G2058" t="str" cm="1">
        <f t="array" ref="G2058">_xlfn.IFS(_xlfn.SINGLE(Table1[imd_decile])&lt;=3,"Most Deprived",F2058&lt;=7,"Moderately Deprived",F2058&lt;=10,"Least Deprived")</f>
        <v>Moderately Deprived</v>
      </c>
      <c r="H2058">
        <v>12.1</v>
      </c>
      <c r="I2058" t="s">
        <v>30</v>
      </c>
      <c r="J2058" t="s">
        <v>26</v>
      </c>
      <c r="K2058" s="1">
        <v>45886</v>
      </c>
      <c r="L2058" s="1">
        <v>45942</v>
      </c>
      <c r="M2058" s="1" t="str">
        <f>TEXT(Table1[[#This Row],[appointment_date]],"MM/YYYY")</f>
        <v>10/2025</v>
      </c>
      <c r="N2058">
        <v>56</v>
      </c>
      <c r="O2058" t="str" cm="1">
        <f t="array" ref="O2058">_xlfn.IFS(Table1[[#This Row],[lead_time_days]]&lt;=7,"0-7 days",N2058&lt;=14,"8-14 days",N2058&lt;=30,"15-30 days",N2058&lt;=60,"31-60 days",TRUE,"61+ days")</f>
        <v>31-60 days</v>
      </c>
      <c r="P2058" t="s">
        <v>31</v>
      </c>
      <c r="Q2058" t="s">
        <v>32</v>
      </c>
      <c r="R2058">
        <v>0</v>
      </c>
      <c r="S2058" t="str">
        <f>IF(Table1[prior_dna_count]&gt;=1,"Has prior DNA history","No prior DNA history")</f>
        <v>No prior DNA history</v>
      </c>
      <c r="T2058" t="s">
        <v>22</v>
      </c>
      <c r="U2058" t="str">
        <f t="shared" si="32"/>
        <v>1</v>
      </c>
      <c r="V2058" t="str">
        <f>IF(Table1[appointment_status]="Attended","1","0")</f>
        <v>1</v>
      </c>
      <c r="W2058" t="str">
        <f>IF(Table1[appointment_status]="Cancelled","1","0")</f>
        <v>0</v>
      </c>
    </row>
    <row r="2059" spans="1:23">
      <c r="A2059" t="s">
        <v>3249</v>
      </c>
      <c r="B2059" t="s">
        <v>1502</v>
      </c>
      <c r="C2059">
        <v>52</v>
      </c>
      <c r="D2059" t="str" cm="1">
        <f t="array" ref="D2059">_xlfn.IFS(Table1[[#This Row],[age]]&lt;=17,"0-17",C2059&lt;=29,"18-29",C2059&lt;=44,"30-44",C2059&lt;=59,"45-59",C2059&lt;=74,"60-74",TRUE,"75+")</f>
        <v>45-59</v>
      </c>
      <c r="E2059" t="s">
        <v>17</v>
      </c>
      <c r="F2059">
        <v>4</v>
      </c>
      <c r="G2059" t="str" cm="1">
        <f t="array" ref="G2059">_xlfn.IFS(_xlfn.SINGLE(Table1[imd_decile])&lt;=3,"Most Deprived",F2059&lt;=7,"Moderately Deprived",F2059&lt;=10,"Least Deprived")</f>
        <v>Moderately Deprived</v>
      </c>
      <c r="H2059">
        <v>9.1</v>
      </c>
      <c r="I2059" t="s">
        <v>91</v>
      </c>
      <c r="J2059" t="s">
        <v>19</v>
      </c>
      <c r="K2059" s="1">
        <v>45916</v>
      </c>
      <c r="L2059" s="1">
        <v>45942</v>
      </c>
      <c r="M2059" s="1" t="str">
        <f>TEXT(Table1[[#This Row],[appointment_date]],"MM/YYYY")</f>
        <v>10/2025</v>
      </c>
      <c r="N2059">
        <v>26</v>
      </c>
      <c r="O2059" t="str" cm="1">
        <f t="array" ref="O2059">_xlfn.IFS(Table1[[#This Row],[lead_time_days]]&lt;=7,"0-7 days",N2059&lt;=14,"8-14 days",N2059&lt;=30,"15-30 days",N2059&lt;=60,"31-60 days",TRUE,"61+ days")</f>
        <v>15-30 days</v>
      </c>
      <c r="P2059" t="s">
        <v>31</v>
      </c>
      <c r="Q2059" t="s">
        <v>21</v>
      </c>
      <c r="R2059">
        <v>0</v>
      </c>
      <c r="S2059" t="str">
        <f>IF(Table1[prior_dna_count]&gt;=1,"Has prior DNA history","No prior DNA history")</f>
        <v>No prior DNA history</v>
      </c>
      <c r="T2059" t="s">
        <v>46</v>
      </c>
      <c r="U2059" t="str">
        <f t="shared" si="32"/>
        <v>1</v>
      </c>
      <c r="V2059" t="str">
        <f>IF(Table1[appointment_status]="Attended","1","0")</f>
        <v>0</v>
      </c>
      <c r="W2059" t="str">
        <f>IF(Table1[appointment_status]="Cancelled","1","0")</f>
        <v>1</v>
      </c>
    </row>
    <row r="2060" spans="1:23">
      <c r="A2060" t="s">
        <v>3250</v>
      </c>
      <c r="B2060" t="s">
        <v>3251</v>
      </c>
      <c r="C2060">
        <v>21</v>
      </c>
      <c r="D2060" t="str" cm="1">
        <f t="array" ref="D2060">_xlfn.IFS(Table1[[#This Row],[age]]&lt;=17,"0-17",C2060&lt;=29,"18-29",C2060&lt;=44,"30-44",C2060&lt;=59,"45-59",C2060&lt;=74,"60-74",TRUE,"75+")</f>
        <v>18-29</v>
      </c>
      <c r="E2060" t="s">
        <v>17</v>
      </c>
      <c r="F2060">
        <v>1</v>
      </c>
      <c r="G2060" t="str" cm="1">
        <f t="array" ref="G2060">_xlfn.IFS(_xlfn.SINGLE(Table1[imd_decile])&lt;=3,"Most Deprived",F2060&lt;=7,"Moderately Deprived",F2060&lt;=10,"Least Deprived")</f>
        <v>Most Deprived</v>
      </c>
      <c r="H2060">
        <v>9.6999999999999993</v>
      </c>
      <c r="I2060" t="s">
        <v>38</v>
      </c>
      <c r="J2060" t="s">
        <v>19</v>
      </c>
      <c r="K2060" s="1">
        <v>45920</v>
      </c>
      <c r="L2060" s="1">
        <v>45942</v>
      </c>
      <c r="M2060" s="1" t="str">
        <f>TEXT(Table1[[#This Row],[appointment_date]],"MM/YYYY")</f>
        <v>10/2025</v>
      </c>
      <c r="N2060">
        <v>22</v>
      </c>
      <c r="O2060" t="str" cm="1">
        <f t="array" ref="O2060">_xlfn.IFS(Table1[[#This Row],[lead_time_days]]&lt;=7,"0-7 days",N2060&lt;=14,"8-14 days",N2060&lt;=30,"15-30 days",N2060&lt;=60,"31-60 days",TRUE,"61+ days")</f>
        <v>15-30 days</v>
      </c>
      <c r="P2060" t="s">
        <v>31</v>
      </c>
      <c r="Q2060" t="s">
        <v>21</v>
      </c>
      <c r="R2060">
        <v>0</v>
      </c>
      <c r="S2060" t="str">
        <f>IF(Table1[prior_dna_count]&gt;=1,"Has prior DNA history","No prior DNA history")</f>
        <v>No prior DNA history</v>
      </c>
      <c r="T2060" t="s">
        <v>22</v>
      </c>
      <c r="U2060" t="str">
        <f t="shared" si="32"/>
        <v>0</v>
      </c>
      <c r="V2060" t="str">
        <f>IF(Table1[appointment_status]="Attended","1","0")</f>
        <v>1</v>
      </c>
      <c r="W2060" t="str">
        <f>IF(Table1[appointment_status]="Cancelled","1","0")</f>
        <v>0</v>
      </c>
    </row>
    <row r="2061" spans="1:23">
      <c r="A2061" t="s">
        <v>3252</v>
      </c>
      <c r="B2061" t="s">
        <v>1974</v>
      </c>
      <c r="C2061">
        <v>71</v>
      </c>
      <c r="D2061" t="str" cm="1">
        <f t="array" ref="D2061">_xlfn.IFS(Table1[[#This Row],[age]]&lt;=17,"0-17",C2061&lt;=29,"18-29",C2061&lt;=44,"30-44",C2061&lt;=59,"45-59",C2061&lt;=74,"60-74",TRUE,"75+")</f>
        <v>60-74</v>
      </c>
      <c r="E2061" t="s">
        <v>29</v>
      </c>
      <c r="F2061">
        <v>6</v>
      </c>
      <c r="G2061" t="str" cm="1">
        <f t="array" ref="G2061">_xlfn.IFS(_xlfn.SINGLE(Table1[imd_decile])&lt;=3,"Most Deprived",F2061&lt;=7,"Moderately Deprived",F2061&lt;=10,"Least Deprived")</f>
        <v>Moderately Deprived</v>
      </c>
      <c r="H2061">
        <v>5.7</v>
      </c>
      <c r="I2061" t="s">
        <v>49</v>
      </c>
      <c r="J2061" t="s">
        <v>19</v>
      </c>
      <c r="K2061" s="1">
        <v>45922</v>
      </c>
      <c r="L2061" s="1">
        <v>45942</v>
      </c>
      <c r="M2061" s="1" t="str">
        <f>TEXT(Table1[[#This Row],[appointment_date]],"MM/YYYY")</f>
        <v>10/2025</v>
      </c>
      <c r="N2061">
        <v>20</v>
      </c>
      <c r="O2061" t="str" cm="1">
        <f t="array" ref="O2061">_xlfn.IFS(Table1[[#This Row],[lead_time_days]]&lt;=7,"0-7 days",N2061&lt;=14,"8-14 days",N2061&lt;=30,"15-30 days",N2061&lt;=60,"31-60 days",TRUE,"61+ days")</f>
        <v>15-30 days</v>
      </c>
      <c r="P2061" t="s">
        <v>31</v>
      </c>
      <c r="Q2061" t="s">
        <v>21</v>
      </c>
      <c r="R2061">
        <v>0</v>
      </c>
      <c r="S2061" t="str">
        <f>IF(Table1[prior_dna_count]&gt;=1,"Has prior DNA history","No prior DNA history")</f>
        <v>No prior DNA history</v>
      </c>
      <c r="T2061" t="s">
        <v>46</v>
      </c>
      <c r="U2061" t="str">
        <f t="shared" si="32"/>
        <v>1</v>
      </c>
      <c r="V2061" t="str">
        <f>IF(Table1[appointment_status]="Attended","1","0")</f>
        <v>0</v>
      </c>
      <c r="W2061" t="str">
        <f>IF(Table1[appointment_status]="Cancelled","1","0")</f>
        <v>1</v>
      </c>
    </row>
    <row r="2062" spans="1:23">
      <c r="A2062" t="s">
        <v>3253</v>
      </c>
      <c r="B2062" t="s">
        <v>2680</v>
      </c>
      <c r="C2062">
        <v>43</v>
      </c>
      <c r="D2062" t="str" cm="1">
        <f t="array" ref="D2062">_xlfn.IFS(Table1[[#This Row],[age]]&lt;=17,"0-17",C2062&lt;=29,"18-29",C2062&lt;=44,"30-44",C2062&lt;=59,"45-59",C2062&lt;=74,"60-74",TRUE,"75+")</f>
        <v>30-44</v>
      </c>
      <c r="E2062" t="s">
        <v>17</v>
      </c>
      <c r="F2062">
        <v>5</v>
      </c>
      <c r="G2062" t="str" cm="1">
        <f t="array" ref="G2062">_xlfn.IFS(_xlfn.SINGLE(Table1[imd_decile])&lt;=3,"Most Deprived",F2062&lt;=7,"Moderately Deprived",F2062&lt;=10,"Least Deprived")</f>
        <v>Moderately Deprived</v>
      </c>
      <c r="H2062">
        <v>22.9</v>
      </c>
      <c r="I2062" t="s">
        <v>25</v>
      </c>
      <c r="J2062" t="s">
        <v>19</v>
      </c>
      <c r="K2062" s="1">
        <v>45869</v>
      </c>
      <c r="L2062" s="1">
        <v>45942</v>
      </c>
      <c r="M2062" s="1" t="str">
        <f>TEXT(Table1[[#This Row],[appointment_date]],"MM/YYYY")</f>
        <v>10/2025</v>
      </c>
      <c r="N2062">
        <v>73</v>
      </c>
      <c r="O2062" t="str" cm="1">
        <f t="array" ref="O2062">_xlfn.IFS(Table1[[#This Row],[lead_time_days]]&lt;=7,"0-7 days",N2062&lt;=14,"8-14 days",N2062&lt;=30,"15-30 days",N2062&lt;=60,"31-60 days",TRUE,"61+ days")</f>
        <v>61+ days</v>
      </c>
      <c r="P2062" t="s">
        <v>31</v>
      </c>
      <c r="Q2062" t="s">
        <v>21</v>
      </c>
      <c r="R2062">
        <v>0</v>
      </c>
      <c r="S2062" t="str">
        <f>IF(Table1[prior_dna_count]&gt;=1,"Has prior DNA history","No prior DNA history")</f>
        <v>No prior DNA history</v>
      </c>
      <c r="T2062" t="s">
        <v>22</v>
      </c>
      <c r="U2062" t="str">
        <f t="shared" si="32"/>
        <v>0</v>
      </c>
      <c r="V2062" t="str">
        <f>IF(Table1[appointment_status]="Attended","1","0")</f>
        <v>1</v>
      </c>
      <c r="W2062" t="str">
        <f>IF(Table1[appointment_status]="Cancelled","1","0")</f>
        <v>0</v>
      </c>
    </row>
    <row r="2063" spans="1:23">
      <c r="A2063" t="s">
        <v>3254</v>
      </c>
      <c r="B2063" t="s">
        <v>1631</v>
      </c>
      <c r="C2063">
        <v>58</v>
      </c>
      <c r="D2063" t="str" cm="1">
        <f t="array" ref="D2063">_xlfn.IFS(Table1[[#This Row],[age]]&lt;=17,"0-17",C2063&lt;=29,"18-29",C2063&lt;=44,"30-44",C2063&lt;=59,"45-59",C2063&lt;=74,"60-74",TRUE,"75+")</f>
        <v>45-59</v>
      </c>
      <c r="E2063" t="s">
        <v>17</v>
      </c>
      <c r="F2063">
        <v>9</v>
      </c>
      <c r="G2063" t="str" cm="1">
        <f t="array" ref="G2063">_xlfn.IFS(_xlfn.SINGLE(Table1[imd_decile])&lt;=3,"Most Deprived",F2063&lt;=7,"Moderately Deprived",F2063&lt;=10,"Least Deprived")</f>
        <v>Least Deprived</v>
      </c>
      <c r="H2063">
        <v>19</v>
      </c>
      <c r="I2063" t="s">
        <v>42</v>
      </c>
      <c r="J2063" t="s">
        <v>19</v>
      </c>
      <c r="K2063" s="1">
        <v>45885</v>
      </c>
      <c r="L2063" s="1">
        <v>45942</v>
      </c>
      <c r="M2063" s="1" t="str">
        <f>TEXT(Table1[[#This Row],[appointment_date]],"MM/YYYY")</f>
        <v>10/2025</v>
      </c>
      <c r="N2063">
        <v>57</v>
      </c>
      <c r="O2063" t="str" cm="1">
        <f t="array" ref="O2063">_xlfn.IFS(Table1[[#This Row],[lead_time_days]]&lt;=7,"0-7 days",N2063&lt;=14,"8-14 days",N2063&lt;=30,"15-30 days",N2063&lt;=60,"31-60 days",TRUE,"61+ days")</f>
        <v>31-60 days</v>
      </c>
      <c r="P2063" t="s">
        <v>31</v>
      </c>
      <c r="Q2063" t="s">
        <v>21</v>
      </c>
      <c r="R2063">
        <v>0</v>
      </c>
      <c r="S2063" t="str">
        <f>IF(Table1[prior_dna_count]&gt;=1,"Has prior DNA history","No prior DNA history")</f>
        <v>No prior DNA history</v>
      </c>
      <c r="T2063" t="s">
        <v>22</v>
      </c>
      <c r="U2063" t="str">
        <f t="shared" si="32"/>
        <v>1</v>
      </c>
      <c r="V2063" t="str">
        <f>IF(Table1[appointment_status]="Attended","1","0")</f>
        <v>1</v>
      </c>
      <c r="W2063" t="str">
        <f>IF(Table1[appointment_status]="Cancelled","1","0")</f>
        <v>0</v>
      </c>
    </row>
    <row r="2064" spans="1:23">
      <c r="A2064" t="s">
        <v>3255</v>
      </c>
      <c r="B2064" t="s">
        <v>623</v>
      </c>
      <c r="C2064">
        <v>34</v>
      </c>
      <c r="D2064" t="str" cm="1">
        <f t="array" ref="D2064">_xlfn.IFS(Table1[[#This Row],[age]]&lt;=17,"0-17",C2064&lt;=29,"18-29",C2064&lt;=44,"30-44",C2064&lt;=59,"45-59",C2064&lt;=74,"60-74",TRUE,"75+")</f>
        <v>30-44</v>
      </c>
      <c r="E2064" t="s">
        <v>17</v>
      </c>
      <c r="F2064">
        <v>8</v>
      </c>
      <c r="G2064" t="str" cm="1">
        <f t="array" ref="G2064">_xlfn.IFS(_xlfn.SINGLE(Table1[imd_decile])&lt;=3,"Most Deprived",F2064&lt;=7,"Moderately Deprived",F2064&lt;=10,"Least Deprived")</f>
        <v>Least Deprived</v>
      </c>
      <c r="H2064">
        <v>10</v>
      </c>
      <c r="I2064" t="s">
        <v>91</v>
      </c>
      <c r="J2064" t="s">
        <v>19</v>
      </c>
      <c r="K2064" s="1">
        <v>45874</v>
      </c>
      <c r="L2064" s="1">
        <v>45943</v>
      </c>
      <c r="M2064" s="1" t="str">
        <f>TEXT(Table1[[#This Row],[appointment_date]],"MM/YYYY")</f>
        <v>10/2025</v>
      </c>
      <c r="N2064">
        <v>69</v>
      </c>
      <c r="O2064" t="str" cm="1">
        <f t="array" ref="O2064">_xlfn.IFS(Table1[[#This Row],[lead_time_days]]&lt;=7,"0-7 days",N2064&lt;=14,"8-14 days",N2064&lt;=30,"15-30 days",N2064&lt;=60,"31-60 days",TRUE,"61+ days")</f>
        <v>61+ days</v>
      </c>
      <c r="P2064" t="s">
        <v>35</v>
      </c>
      <c r="Q2064" t="s">
        <v>21</v>
      </c>
      <c r="R2064">
        <v>0</v>
      </c>
      <c r="S2064" t="str">
        <f>IF(Table1[prior_dna_count]&gt;=1,"Has prior DNA history","No prior DNA history")</f>
        <v>No prior DNA history</v>
      </c>
      <c r="T2064" t="s">
        <v>22</v>
      </c>
      <c r="U2064" t="str">
        <f t="shared" si="32"/>
        <v>1</v>
      </c>
      <c r="V2064" t="str">
        <f>IF(Table1[appointment_status]="Attended","1","0")</f>
        <v>1</v>
      </c>
      <c r="W2064" t="str">
        <f>IF(Table1[appointment_status]="Cancelled","1","0")</f>
        <v>0</v>
      </c>
    </row>
    <row r="2065" spans="1:23">
      <c r="A2065" t="s">
        <v>3256</v>
      </c>
      <c r="B2065" t="s">
        <v>3257</v>
      </c>
      <c r="C2065">
        <v>1</v>
      </c>
      <c r="D2065" t="str" cm="1">
        <f t="array" ref="D2065">_xlfn.IFS(Table1[[#This Row],[age]]&lt;=17,"0-17",C2065&lt;=29,"18-29",C2065&lt;=44,"30-44",C2065&lt;=59,"45-59",C2065&lt;=74,"60-74",TRUE,"75+")</f>
        <v>0-17</v>
      </c>
      <c r="E2065" t="s">
        <v>17</v>
      </c>
      <c r="F2065">
        <v>6</v>
      </c>
      <c r="G2065" t="str" cm="1">
        <f t="array" ref="G2065">_xlfn.IFS(_xlfn.SINGLE(Table1[imd_decile])&lt;=3,"Most Deprived",F2065&lt;=7,"Moderately Deprived",F2065&lt;=10,"Least Deprived")</f>
        <v>Moderately Deprived</v>
      </c>
      <c r="H2065">
        <v>6.7</v>
      </c>
      <c r="I2065" t="s">
        <v>45</v>
      </c>
      <c r="J2065" t="s">
        <v>19</v>
      </c>
      <c r="K2065" s="1">
        <v>45870</v>
      </c>
      <c r="L2065" s="1">
        <v>45943</v>
      </c>
      <c r="M2065" s="1" t="str">
        <f>TEXT(Table1[[#This Row],[appointment_date]],"MM/YYYY")</f>
        <v>10/2025</v>
      </c>
      <c r="N2065">
        <v>73</v>
      </c>
      <c r="O2065" t="str" cm="1">
        <f t="array" ref="O2065">_xlfn.IFS(Table1[[#This Row],[lead_time_days]]&lt;=7,"0-7 days",N2065&lt;=14,"8-14 days",N2065&lt;=30,"15-30 days",N2065&lt;=60,"31-60 days",TRUE,"61+ days")</f>
        <v>61+ days</v>
      </c>
      <c r="P2065" t="s">
        <v>35</v>
      </c>
      <c r="Q2065" t="s">
        <v>21</v>
      </c>
      <c r="R2065">
        <v>0</v>
      </c>
      <c r="S2065" t="str">
        <f>IF(Table1[prior_dna_count]&gt;=1,"Has prior DNA history","No prior DNA history")</f>
        <v>No prior DNA history</v>
      </c>
      <c r="T2065" t="s">
        <v>39</v>
      </c>
      <c r="U2065" t="str">
        <f t="shared" si="32"/>
        <v>1</v>
      </c>
      <c r="V2065" t="str">
        <f>IF(Table1[appointment_status]="Attended","1","0")</f>
        <v>0</v>
      </c>
      <c r="W2065" t="str">
        <f>IF(Table1[appointment_status]="Cancelled","1","0")</f>
        <v>0</v>
      </c>
    </row>
    <row r="2066" spans="1:23">
      <c r="A2066" t="s">
        <v>3258</v>
      </c>
      <c r="B2066" t="s">
        <v>2035</v>
      </c>
      <c r="C2066">
        <v>42</v>
      </c>
      <c r="D2066" t="str" cm="1">
        <f t="array" ref="D2066">_xlfn.IFS(Table1[[#This Row],[age]]&lt;=17,"0-17",C2066&lt;=29,"18-29",C2066&lt;=44,"30-44",C2066&lt;=59,"45-59",C2066&lt;=74,"60-74",TRUE,"75+")</f>
        <v>30-44</v>
      </c>
      <c r="E2066" t="s">
        <v>17</v>
      </c>
      <c r="F2066">
        <v>10</v>
      </c>
      <c r="G2066" t="str" cm="1">
        <f t="array" ref="G2066">_xlfn.IFS(_xlfn.SINGLE(Table1[imd_decile])&lt;=3,"Most Deprived",F2066&lt;=7,"Moderately Deprived",F2066&lt;=10,"Least Deprived")</f>
        <v>Least Deprived</v>
      </c>
      <c r="H2066">
        <v>6.9</v>
      </c>
      <c r="I2066" t="s">
        <v>91</v>
      </c>
      <c r="J2066" t="s">
        <v>26</v>
      </c>
      <c r="K2066" s="1">
        <v>45936</v>
      </c>
      <c r="L2066" s="1">
        <v>45943</v>
      </c>
      <c r="M2066" s="1" t="str">
        <f>TEXT(Table1[[#This Row],[appointment_date]],"MM/YYYY")</f>
        <v>10/2025</v>
      </c>
      <c r="N2066">
        <v>7</v>
      </c>
      <c r="O2066" t="str" cm="1">
        <f t="array" ref="O2066">_xlfn.IFS(Table1[[#This Row],[lead_time_days]]&lt;=7,"0-7 days",N2066&lt;=14,"8-14 days",N2066&lt;=30,"15-30 days",N2066&lt;=60,"31-60 days",TRUE,"61+ days")</f>
        <v>0-7 days</v>
      </c>
      <c r="P2066" t="s">
        <v>35</v>
      </c>
      <c r="Q2066" t="s">
        <v>21</v>
      </c>
      <c r="R2066">
        <v>0</v>
      </c>
      <c r="S2066" t="str">
        <f>IF(Table1[prior_dna_count]&gt;=1,"Has prior DNA history","No prior DNA history")</f>
        <v>No prior DNA history</v>
      </c>
      <c r="T2066" t="s">
        <v>22</v>
      </c>
      <c r="U2066" t="str">
        <f t="shared" si="32"/>
        <v>0</v>
      </c>
      <c r="V2066" t="str">
        <f>IF(Table1[appointment_status]="Attended","1","0")</f>
        <v>1</v>
      </c>
      <c r="W2066" t="str">
        <f>IF(Table1[appointment_status]="Cancelled","1","0")</f>
        <v>0</v>
      </c>
    </row>
    <row r="2067" spans="1:23">
      <c r="A2067" t="s">
        <v>3259</v>
      </c>
      <c r="B2067" t="s">
        <v>1305</v>
      </c>
      <c r="C2067">
        <v>53</v>
      </c>
      <c r="D2067" t="str" cm="1">
        <f t="array" ref="D2067">_xlfn.IFS(Table1[[#This Row],[age]]&lt;=17,"0-17",C2067&lt;=29,"18-29",C2067&lt;=44,"30-44",C2067&lt;=59,"45-59",C2067&lt;=74,"60-74",TRUE,"75+")</f>
        <v>45-59</v>
      </c>
      <c r="E2067" t="s">
        <v>29</v>
      </c>
      <c r="F2067">
        <v>10</v>
      </c>
      <c r="G2067" t="str" cm="1">
        <f t="array" ref="G2067">_xlfn.IFS(_xlfn.SINGLE(Table1[imd_decile])&lt;=3,"Most Deprived",F2067&lt;=7,"Moderately Deprived",F2067&lt;=10,"Least Deprived")</f>
        <v>Least Deprived</v>
      </c>
      <c r="H2067">
        <v>2.6</v>
      </c>
      <c r="I2067" t="s">
        <v>30</v>
      </c>
      <c r="J2067" t="s">
        <v>26</v>
      </c>
      <c r="K2067" s="1">
        <v>45939</v>
      </c>
      <c r="L2067" s="1">
        <v>45943</v>
      </c>
      <c r="M2067" s="1" t="str">
        <f>TEXT(Table1[[#This Row],[appointment_date]],"MM/YYYY")</f>
        <v>10/2025</v>
      </c>
      <c r="N2067">
        <v>4</v>
      </c>
      <c r="O2067" t="str" cm="1">
        <f t="array" ref="O2067">_xlfn.IFS(Table1[[#This Row],[lead_time_days]]&lt;=7,"0-7 days",N2067&lt;=14,"8-14 days",N2067&lt;=30,"15-30 days",N2067&lt;=60,"31-60 days",TRUE,"61+ days")</f>
        <v>0-7 days</v>
      </c>
      <c r="P2067" t="s">
        <v>35</v>
      </c>
      <c r="Q2067" t="s">
        <v>21</v>
      </c>
      <c r="R2067">
        <v>0</v>
      </c>
      <c r="S2067" t="str">
        <f>IF(Table1[prior_dna_count]&gt;=1,"Has prior DNA history","No prior DNA history")</f>
        <v>No prior DNA history</v>
      </c>
      <c r="T2067" t="s">
        <v>22</v>
      </c>
      <c r="U2067" t="str">
        <f t="shared" si="32"/>
        <v>1</v>
      </c>
      <c r="V2067" t="str">
        <f>IF(Table1[appointment_status]="Attended","1","0")</f>
        <v>1</v>
      </c>
      <c r="W2067" t="str">
        <f>IF(Table1[appointment_status]="Cancelled","1","0")</f>
        <v>0</v>
      </c>
    </row>
    <row r="2068" spans="1:23">
      <c r="A2068" t="s">
        <v>3260</v>
      </c>
      <c r="B2068" t="s">
        <v>165</v>
      </c>
      <c r="C2068">
        <v>53</v>
      </c>
      <c r="D2068" t="str" cm="1">
        <f t="array" ref="D2068">_xlfn.IFS(Table1[[#This Row],[age]]&lt;=17,"0-17",C2068&lt;=29,"18-29",C2068&lt;=44,"30-44",C2068&lt;=59,"45-59",C2068&lt;=74,"60-74",TRUE,"75+")</f>
        <v>45-59</v>
      </c>
      <c r="E2068" t="s">
        <v>29</v>
      </c>
      <c r="F2068">
        <v>4</v>
      </c>
      <c r="G2068" t="str" cm="1">
        <f t="array" ref="G2068">_xlfn.IFS(_xlfn.SINGLE(Table1[imd_decile])&lt;=3,"Most Deprived",F2068&lt;=7,"Moderately Deprived",F2068&lt;=10,"Least Deprived")</f>
        <v>Moderately Deprived</v>
      </c>
      <c r="H2068">
        <v>8.6999999999999993</v>
      </c>
      <c r="I2068" t="s">
        <v>58</v>
      </c>
      <c r="J2068" t="s">
        <v>19</v>
      </c>
      <c r="K2068" s="1">
        <v>45897</v>
      </c>
      <c r="L2068" s="1">
        <v>45943</v>
      </c>
      <c r="M2068" s="1" t="str">
        <f>TEXT(Table1[[#This Row],[appointment_date]],"MM/YYYY")</f>
        <v>10/2025</v>
      </c>
      <c r="N2068">
        <v>46</v>
      </c>
      <c r="O2068" t="str" cm="1">
        <f t="array" ref="O2068">_xlfn.IFS(Table1[[#This Row],[lead_time_days]]&lt;=7,"0-7 days",N2068&lt;=14,"8-14 days",N2068&lt;=30,"15-30 days",N2068&lt;=60,"31-60 days",TRUE,"61+ days")</f>
        <v>31-60 days</v>
      </c>
      <c r="P2068" t="s">
        <v>35</v>
      </c>
      <c r="Q2068" t="s">
        <v>32</v>
      </c>
      <c r="R2068">
        <v>0</v>
      </c>
      <c r="S2068" t="str">
        <f>IF(Table1[prior_dna_count]&gt;=1,"Has prior DNA history","No prior DNA history")</f>
        <v>No prior DNA history</v>
      </c>
      <c r="T2068" t="s">
        <v>39</v>
      </c>
      <c r="U2068" t="str">
        <f t="shared" si="32"/>
        <v>1</v>
      </c>
      <c r="V2068" t="str">
        <f>IF(Table1[appointment_status]="Attended","1","0")</f>
        <v>0</v>
      </c>
      <c r="W2068" t="str">
        <f>IF(Table1[appointment_status]="Cancelled","1","0")</f>
        <v>0</v>
      </c>
    </row>
    <row r="2069" spans="1:23">
      <c r="A2069" t="s">
        <v>3261</v>
      </c>
      <c r="B2069" t="s">
        <v>3262</v>
      </c>
      <c r="C2069">
        <v>66</v>
      </c>
      <c r="D2069" t="str" cm="1">
        <f t="array" ref="D2069">_xlfn.IFS(Table1[[#This Row],[age]]&lt;=17,"0-17",C2069&lt;=29,"18-29",C2069&lt;=44,"30-44",C2069&lt;=59,"45-59",C2069&lt;=74,"60-74",TRUE,"75+")</f>
        <v>60-74</v>
      </c>
      <c r="E2069" t="s">
        <v>29</v>
      </c>
      <c r="F2069">
        <v>3</v>
      </c>
      <c r="G2069" t="str" cm="1">
        <f t="array" ref="G2069">_xlfn.IFS(_xlfn.SINGLE(Table1[imd_decile])&lt;=3,"Most Deprived",F2069&lt;=7,"Moderately Deprived",F2069&lt;=10,"Least Deprived")</f>
        <v>Most Deprived</v>
      </c>
      <c r="H2069">
        <v>3.3</v>
      </c>
      <c r="I2069" t="s">
        <v>25</v>
      </c>
      <c r="J2069" t="s">
        <v>26</v>
      </c>
      <c r="K2069" s="1">
        <v>45915</v>
      </c>
      <c r="L2069" s="1">
        <v>45943</v>
      </c>
      <c r="M2069" s="1" t="str">
        <f>TEXT(Table1[[#This Row],[appointment_date]],"MM/YYYY")</f>
        <v>10/2025</v>
      </c>
      <c r="N2069">
        <v>28</v>
      </c>
      <c r="O2069" t="str" cm="1">
        <f t="array" ref="O2069">_xlfn.IFS(Table1[[#This Row],[lead_time_days]]&lt;=7,"0-7 days",N2069&lt;=14,"8-14 days",N2069&lt;=30,"15-30 days",N2069&lt;=60,"31-60 days",TRUE,"61+ days")</f>
        <v>15-30 days</v>
      </c>
      <c r="P2069" t="s">
        <v>35</v>
      </c>
      <c r="Q2069" t="s">
        <v>21</v>
      </c>
      <c r="R2069">
        <v>0</v>
      </c>
      <c r="S2069" t="str">
        <f>IF(Table1[prior_dna_count]&gt;=1,"Has prior DNA history","No prior DNA history")</f>
        <v>No prior DNA history</v>
      </c>
      <c r="T2069" t="s">
        <v>22</v>
      </c>
      <c r="U2069" t="str">
        <f t="shared" si="32"/>
        <v>0</v>
      </c>
      <c r="V2069" t="str">
        <f>IF(Table1[appointment_status]="Attended","1","0")</f>
        <v>1</v>
      </c>
      <c r="W2069" t="str">
        <f>IF(Table1[appointment_status]="Cancelled","1","0")</f>
        <v>0</v>
      </c>
    </row>
    <row r="2070" spans="1:23">
      <c r="A2070" t="s">
        <v>3263</v>
      </c>
      <c r="B2070" t="s">
        <v>1986</v>
      </c>
      <c r="C2070">
        <v>51</v>
      </c>
      <c r="D2070" t="str" cm="1">
        <f t="array" ref="D2070">_xlfn.IFS(Table1[[#This Row],[age]]&lt;=17,"0-17",C2070&lt;=29,"18-29",C2070&lt;=44,"30-44",C2070&lt;=59,"45-59",C2070&lt;=74,"60-74",TRUE,"75+")</f>
        <v>45-59</v>
      </c>
      <c r="E2070" t="s">
        <v>29</v>
      </c>
      <c r="F2070">
        <v>3</v>
      </c>
      <c r="G2070" t="str" cm="1">
        <f t="array" ref="G2070">_xlfn.IFS(_xlfn.SINGLE(Table1[imd_decile])&lt;=3,"Most Deprived",F2070&lt;=7,"Moderately Deprived",F2070&lt;=10,"Least Deprived")</f>
        <v>Most Deprived</v>
      </c>
      <c r="H2070">
        <v>5.8</v>
      </c>
      <c r="I2070" t="s">
        <v>30</v>
      </c>
      <c r="J2070" t="s">
        <v>19</v>
      </c>
      <c r="K2070" s="1">
        <v>45886</v>
      </c>
      <c r="L2070" s="1">
        <v>45943</v>
      </c>
      <c r="M2070" s="1" t="str">
        <f>TEXT(Table1[[#This Row],[appointment_date]],"MM/YYYY")</f>
        <v>10/2025</v>
      </c>
      <c r="N2070">
        <v>57</v>
      </c>
      <c r="O2070" t="str" cm="1">
        <f t="array" ref="O2070">_xlfn.IFS(Table1[[#This Row],[lead_time_days]]&lt;=7,"0-7 days",N2070&lt;=14,"8-14 days",N2070&lt;=30,"15-30 days",N2070&lt;=60,"31-60 days",TRUE,"61+ days")</f>
        <v>31-60 days</v>
      </c>
      <c r="P2070" t="s">
        <v>35</v>
      </c>
      <c r="Q2070" t="s">
        <v>21</v>
      </c>
      <c r="R2070">
        <v>0</v>
      </c>
      <c r="S2070" t="str">
        <f>IF(Table1[prior_dna_count]&gt;=1,"Has prior DNA history","No prior DNA history")</f>
        <v>No prior DNA history</v>
      </c>
      <c r="T2070" t="s">
        <v>22</v>
      </c>
      <c r="U2070" t="str">
        <f t="shared" si="32"/>
        <v>1</v>
      </c>
      <c r="V2070" t="str">
        <f>IF(Table1[appointment_status]="Attended","1","0")</f>
        <v>1</v>
      </c>
      <c r="W2070" t="str">
        <f>IF(Table1[appointment_status]="Cancelled","1","0")</f>
        <v>0</v>
      </c>
    </row>
    <row r="2071" spans="1:23">
      <c r="A2071" t="s">
        <v>3264</v>
      </c>
      <c r="B2071" t="s">
        <v>2949</v>
      </c>
      <c r="C2071">
        <v>46</v>
      </c>
      <c r="D2071" t="str" cm="1">
        <f t="array" ref="D2071">_xlfn.IFS(Table1[[#This Row],[age]]&lt;=17,"0-17",C2071&lt;=29,"18-29",C2071&lt;=44,"30-44",C2071&lt;=59,"45-59",C2071&lt;=74,"60-74",TRUE,"75+")</f>
        <v>45-59</v>
      </c>
      <c r="E2071" t="s">
        <v>29</v>
      </c>
      <c r="F2071">
        <v>8</v>
      </c>
      <c r="G2071" t="str" cm="1">
        <f t="array" ref="G2071">_xlfn.IFS(_xlfn.SINGLE(Table1[imd_decile])&lt;=3,"Most Deprived",F2071&lt;=7,"Moderately Deprived",F2071&lt;=10,"Least Deprived")</f>
        <v>Least Deprived</v>
      </c>
      <c r="H2071">
        <v>3.8</v>
      </c>
      <c r="I2071" t="s">
        <v>25</v>
      </c>
      <c r="J2071" t="s">
        <v>19</v>
      </c>
      <c r="K2071" s="1">
        <v>45910</v>
      </c>
      <c r="L2071" s="1">
        <v>45943</v>
      </c>
      <c r="M2071" s="1" t="str">
        <f>TEXT(Table1[[#This Row],[appointment_date]],"MM/YYYY")</f>
        <v>10/2025</v>
      </c>
      <c r="N2071">
        <v>33</v>
      </c>
      <c r="O2071" t="str" cm="1">
        <f t="array" ref="O2071">_xlfn.IFS(Table1[[#This Row],[lead_time_days]]&lt;=7,"0-7 days",N2071&lt;=14,"8-14 days",N2071&lt;=30,"15-30 days",N2071&lt;=60,"31-60 days",TRUE,"61+ days")</f>
        <v>31-60 days</v>
      </c>
      <c r="P2071" t="s">
        <v>35</v>
      </c>
      <c r="Q2071" t="s">
        <v>21</v>
      </c>
      <c r="R2071">
        <v>0</v>
      </c>
      <c r="S2071" t="str">
        <f>IF(Table1[prior_dna_count]&gt;=1,"Has prior DNA history","No prior DNA history")</f>
        <v>No prior DNA history</v>
      </c>
      <c r="T2071" t="s">
        <v>22</v>
      </c>
      <c r="U2071" t="str">
        <f t="shared" si="32"/>
        <v>1</v>
      </c>
      <c r="V2071" t="str">
        <f>IF(Table1[appointment_status]="Attended","1","0")</f>
        <v>1</v>
      </c>
      <c r="W2071" t="str">
        <f>IF(Table1[appointment_status]="Cancelled","1","0")</f>
        <v>0</v>
      </c>
    </row>
    <row r="2072" spans="1:23">
      <c r="A2072" t="s">
        <v>3265</v>
      </c>
      <c r="B2072" t="s">
        <v>3266</v>
      </c>
      <c r="C2072">
        <v>60</v>
      </c>
      <c r="D2072" t="str" cm="1">
        <f t="array" ref="D2072">_xlfn.IFS(Table1[[#This Row],[age]]&lt;=17,"0-17",C2072&lt;=29,"18-29",C2072&lt;=44,"30-44",C2072&lt;=59,"45-59",C2072&lt;=74,"60-74",TRUE,"75+")</f>
        <v>60-74</v>
      </c>
      <c r="E2072" t="s">
        <v>29</v>
      </c>
      <c r="F2072">
        <v>6</v>
      </c>
      <c r="G2072" t="str" cm="1">
        <f t="array" ref="G2072">_xlfn.IFS(_xlfn.SINGLE(Table1[imd_decile])&lt;=3,"Most Deprived",F2072&lt;=7,"Moderately Deprived",F2072&lt;=10,"Least Deprived")</f>
        <v>Moderately Deprived</v>
      </c>
      <c r="H2072">
        <v>7.1</v>
      </c>
      <c r="I2072" t="s">
        <v>45</v>
      </c>
      <c r="J2072" t="s">
        <v>19</v>
      </c>
      <c r="K2072" s="1">
        <v>45929</v>
      </c>
      <c r="L2072" s="1">
        <v>45944</v>
      </c>
      <c r="M2072" s="1" t="str">
        <f>TEXT(Table1[[#This Row],[appointment_date]],"MM/YYYY")</f>
        <v>10/2025</v>
      </c>
      <c r="N2072">
        <v>15</v>
      </c>
      <c r="O2072" t="str" cm="1">
        <f t="array" ref="O2072">_xlfn.IFS(Table1[[#This Row],[lead_time_days]]&lt;=7,"0-7 days",N2072&lt;=14,"8-14 days",N2072&lt;=30,"15-30 days",N2072&lt;=60,"31-60 days",TRUE,"61+ days")</f>
        <v>15-30 days</v>
      </c>
      <c r="P2072" t="s">
        <v>71</v>
      </c>
      <c r="Q2072" t="s">
        <v>21</v>
      </c>
      <c r="R2072">
        <v>0</v>
      </c>
      <c r="S2072" t="str">
        <f>IF(Table1[prior_dna_count]&gt;=1,"Has prior DNA history","No prior DNA history")</f>
        <v>No prior DNA history</v>
      </c>
      <c r="T2072" t="s">
        <v>22</v>
      </c>
      <c r="U2072" t="str">
        <f t="shared" si="32"/>
        <v>1</v>
      </c>
      <c r="V2072" t="str">
        <f>IF(Table1[appointment_status]="Attended","1","0")</f>
        <v>1</v>
      </c>
      <c r="W2072" t="str">
        <f>IF(Table1[appointment_status]="Cancelled","1","0")</f>
        <v>0</v>
      </c>
    </row>
    <row r="2073" spans="1:23">
      <c r="A2073" t="s">
        <v>3267</v>
      </c>
      <c r="B2073" t="s">
        <v>3268</v>
      </c>
      <c r="C2073">
        <v>76</v>
      </c>
      <c r="D2073" t="str" cm="1">
        <f t="array" ref="D2073">_xlfn.IFS(Table1[[#This Row],[age]]&lt;=17,"0-17",C2073&lt;=29,"18-29",C2073&lt;=44,"30-44",C2073&lt;=59,"45-59",C2073&lt;=74,"60-74",TRUE,"75+")</f>
        <v>75+</v>
      </c>
      <c r="E2073" t="s">
        <v>17</v>
      </c>
      <c r="F2073">
        <v>2</v>
      </c>
      <c r="G2073" t="str" cm="1">
        <f t="array" ref="G2073">_xlfn.IFS(_xlfn.SINGLE(Table1[imd_decile])&lt;=3,"Most Deprived",F2073&lt;=7,"Moderately Deprived",F2073&lt;=10,"Least Deprived")</f>
        <v>Most Deprived</v>
      </c>
      <c r="H2073">
        <v>20.5</v>
      </c>
      <c r="I2073" t="s">
        <v>18</v>
      </c>
      <c r="J2073" t="s">
        <v>19</v>
      </c>
      <c r="K2073" s="1">
        <v>45921</v>
      </c>
      <c r="L2073" s="1">
        <v>45944</v>
      </c>
      <c r="M2073" s="1" t="str">
        <f>TEXT(Table1[[#This Row],[appointment_date]],"MM/YYYY")</f>
        <v>10/2025</v>
      </c>
      <c r="N2073">
        <v>23</v>
      </c>
      <c r="O2073" t="str" cm="1">
        <f t="array" ref="O2073">_xlfn.IFS(Table1[[#This Row],[lead_time_days]]&lt;=7,"0-7 days",N2073&lt;=14,"8-14 days",N2073&lt;=30,"15-30 days",N2073&lt;=60,"31-60 days",TRUE,"61+ days")</f>
        <v>15-30 days</v>
      </c>
      <c r="P2073" t="s">
        <v>71</v>
      </c>
      <c r="Q2073" t="s">
        <v>21</v>
      </c>
      <c r="R2073">
        <v>0</v>
      </c>
      <c r="S2073" t="str">
        <f>IF(Table1[prior_dna_count]&gt;=1,"Has prior DNA history","No prior DNA history")</f>
        <v>No prior DNA history</v>
      </c>
      <c r="T2073" t="s">
        <v>22</v>
      </c>
      <c r="U2073" t="str">
        <f t="shared" si="32"/>
        <v>1</v>
      </c>
      <c r="V2073" t="str">
        <f>IF(Table1[appointment_status]="Attended","1","0")</f>
        <v>1</v>
      </c>
      <c r="W2073" t="str">
        <f>IF(Table1[appointment_status]="Cancelled","1","0")</f>
        <v>0</v>
      </c>
    </row>
    <row r="2074" spans="1:23">
      <c r="A2074" t="s">
        <v>3269</v>
      </c>
      <c r="B2074" t="s">
        <v>2146</v>
      </c>
      <c r="C2074">
        <v>36</v>
      </c>
      <c r="D2074" t="str" cm="1">
        <f t="array" ref="D2074">_xlfn.IFS(Table1[[#This Row],[age]]&lt;=17,"0-17",C2074&lt;=29,"18-29",C2074&lt;=44,"30-44",C2074&lt;=59,"45-59",C2074&lt;=74,"60-74",TRUE,"75+")</f>
        <v>30-44</v>
      </c>
      <c r="E2074" t="s">
        <v>29</v>
      </c>
      <c r="F2074">
        <v>3</v>
      </c>
      <c r="G2074" t="str" cm="1">
        <f t="array" ref="G2074">_xlfn.IFS(_xlfn.SINGLE(Table1[imd_decile])&lt;=3,"Most Deprived",F2074&lt;=7,"Moderately Deprived",F2074&lt;=10,"Least Deprived")</f>
        <v>Most Deprived</v>
      </c>
      <c r="H2074">
        <v>4.0999999999999996</v>
      </c>
      <c r="I2074" t="s">
        <v>49</v>
      </c>
      <c r="J2074" t="s">
        <v>26</v>
      </c>
      <c r="K2074" s="1">
        <v>45927</v>
      </c>
      <c r="L2074" s="1">
        <v>45944</v>
      </c>
      <c r="M2074" s="1" t="str">
        <f>TEXT(Table1[[#This Row],[appointment_date]],"MM/YYYY")</f>
        <v>10/2025</v>
      </c>
      <c r="N2074">
        <v>17</v>
      </c>
      <c r="O2074" t="str" cm="1">
        <f t="array" ref="O2074">_xlfn.IFS(Table1[[#This Row],[lead_time_days]]&lt;=7,"0-7 days",N2074&lt;=14,"8-14 days",N2074&lt;=30,"15-30 days",N2074&lt;=60,"31-60 days",TRUE,"61+ days")</f>
        <v>15-30 days</v>
      </c>
      <c r="P2074" t="s">
        <v>71</v>
      </c>
      <c r="Q2074" t="s">
        <v>21</v>
      </c>
      <c r="R2074">
        <v>0</v>
      </c>
      <c r="S2074" t="str">
        <f>IF(Table1[prior_dna_count]&gt;=1,"Has prior DNA history","No prior DNA history")</f>
        <v>No prior DNA history</v>
      </c>
      <c r="T2074" t="s">
        <v>22</v>
      </c>
      <c r="U2074" t="str">
        <f t="shared" si="32"/>
        <v>1</v>
      </c>
      <c r="V2074" t="str">
        <f>IF(Table1[appointment_status]="Attended","1","0")</f>
        <v>1</v>
      </c>
      <c r="W2074" t="str">
        <f>IF(Table1[appointment_status]="Cancelled","1","0")</f>
        <v>0</v>
      </c>
    </row>
    <row r="2075" spans="1:23">
      <c r="A2075" t="s">
        <v>3270</v>
      </c>
      <c r="B2075" t="s">
        <v>783</v>
      </c>
      <c r="C2075">
        <v>37</v>
      </c>
      <c r="D2075" t="str" cm="1">
        <f t="array" ref="D2075">_xlfn.IFS(Table1[[#This Row],[age]]&lt;=17,"0-17",C2075&lt;=29,"18-29",C2075&lt;=44,"30-44",C2075&lt;=59,"45-59",C2075&lt;=74,"60-74",TRUE,"75+")</f>
        <v>30-44</v>
      </c>
      <c r="E2075" t="s">
        <v>29</v>
      </c>
      <c r="F2075">
        <v>5</v>
      </c>
      <c r="G2075" t="str" cm="1">
        <f t="array" ref="G2075">_xlfn.IFS(_xlfn.SINGLE(Table1[imd_decile])&lt;=3,"Most Deprived",F2075&lt;=7,"Moderately Deprived",F2075&lt;=10,"Least Deprived")</f>
        <v>Moderately Deprived</v>
      </c>
      <c r="H2075">
        <v>4.4000000000000004</v>
      </c>
      <c r="I2075" t="s">
        <v>25</v>
      </c>
      <c r="J2075" t="s">
        <v>19</v>
      </c>
      <c r="K2075" s="1">
        <v>45899</v>
      </c>
      <c r="L2075" s="1">
        <v>45944</v>
      </c>
      <c r="M2075" s="1" t="str">
        <f>TEXT(Table1[[#This Row],[appointment_date]],"MM/YYYY")</f>
        <v>10/2025</v>
      </c>
      <c r="N2075">
        <v>45</v>
      </c>
      <c r="O2075" t="str" cm="1">
        <f t="array" ref="O2075">_xlfn.IFS(Table1[[#This Row],[lead_time_days]]&lt;=7,"0-7 days",N2075&lt;=14,"8-14 days",N2075&lt;=30,"15-30 days",N2075&lt;=60,"31-60 days",TRUE,"61+ days")</f>
        <v>31-60 days</v>
      </c>
      <c r="P2075" t="s">
        <v>71</v>
      </c>
      <c r="Q2075" t="s">
        <v>21</v>
      </c>
      <c r="R2075">
        <v>0</v>
      </c>
      <c r="S2075" t="str">
        <f>IF(Table1[prior_dna_count]&gt;=1,"Has prior DNA history","No prior DNA history")</f>
        <v>No prior DNA history</v>
      </c>
      <c r="T2075" t="s">
        <v>22</v>
      </c>
      <c r="U2075" t="str">
        <f t="shared" si="32"/>
        <v>1</v>
      </c>
      <c r="V2075" t="str">
        <f>IF(Table1[appointment_status]="Attended","1","0")</f>
        <v>1</v>
      </c>
      <c r="W2075" t="str">
        <f>IF(Table1[appointment_status]="Cancelled","1","0")</f>
        <v>0</v>
      </c>
    </row>
    <row r="2076" spans="1:23">
      <c r="A2076" t="s">
        <v>3271</v>
      </c>
      <c r="B2076" t="s">
        <v>3272</v>
      </c>
      <c r="C2076">
        <v>51</v>
      </c>
      <c r="D2076" t="str" cm="1">
        <f t="array" ref="D2076">_xlfn.IFS(Table1[[#This Row],[age]]&lt;=17,"0-17",C2076&lt;=29,"18-29",C2076&lt;=44,"30-44",C2076&lt;=59,"45-59",C2076&lt;=74,"60-74",TRUE,"75+")</f>
        <v>45-59</v>
      </c>
      <c r="E2076" t="s">
        <v>29</v>
      </c>
      <c r="F2076">
        <v>6</v>
      </c>
      <c r="G2076" t="str" cm="1">
        <f t="array" ref="G2076">_xlfn.IFS(_xlfn.SINGLE(Table1[imd_decile])&lt;=3,"Most Deprived",F2076&lt;=7,"Moderately Deprived",F2076&lt;=10,"Least Deprived")</f>
        <v>Moderately Deprived</v>
      </c>
      <c r="H2076">
        <v>5.4</v>
      </c>
      <c r="I2076" t="s">
        <v>42</v>
      </c>
      <c r="J2076" t="s">
        <v>19</v>
      </c>
      <c r="K2076" s="1">
        <v>45878</v>
      </c>
      <c r="L2076" s="1">
        <v>45944</v>
      </c>
      <c r="M2076" s="1" t="str">
        <f>TEXT(Table1[[#This Row],[appointment_date]],"MM/YYYY")</f>
        <v>10/2025</v>
      </c>
      <c r="N2076">
        <v>66</v>
      </c>
      <c r="O2076" t="str" cm="1">
        <f t="array" ref="O2076">_xlfn.IFS(Table1[[#This Row],[lead_time_days]]&lt;=7,"0-7 days",N2076&lt;=14,"8-14 days",N2076&lt;=30,"15-30 days",N2076&lt;=60,"31-60 days",TRUE,"61+ days")</f>
        <v>61+ days</v>
      </c>
      <c r="P2076" t="s">
        <v>71</v>
      </c>
      <c r="Q2076" t="s">
        <v>21</v>
      </c>
      <c r="R2076">
        <v>0</v>
      </c>
      <c r="S2076" t="str">
        <f>IF(Table1[prior_dna_count]&gt;=1,"Has prior DNA history","No prior DNA history")</f>
        <v>No prior DNA history</v>
      </c>
      <c r="T2076" t="s">
        <v>22</v>
      </c>
      <c r="U2076" t="str">
        <f t="shared" si="32"/>
        <v>1</v>
      </c>
      <c r="V2076" t="str">
        <f>IF(Table1[appointment_status]="Attended","1","0")</f>
        <v>1</v>
      </c>
      <c r="W2076" t="str">
        <f>IF(Table1[appointment_status]="Cancelled","1","0")</f>
        <v>0</v>
      </c>
    </row>
    <row r="2077" spans="1:23">
      <c r="A2077" t="s">
        <v>3273</v>
      </c>
      <c r="B2077" t="s">
        <v>3274</v>
      </c>
      <c r="C2077">
        <v>1</v>
      </c>
      <c r="D2077" t="str" cm="1">
        <f t="array" ref="D2077">_xlfn.IFS(Table1[[#This Row],[age]]&lt;=17,"0-17",C2077&lt;=29,"18-29",C2077&lt;=44,"30-44",C2077&lt;=59,"45-59",C2077&lt;=74,"60-74",TRUE,"75+")</f>
        <v>0-17</v>
      </c>
      <c r="E2077" t="s">
        <v>29</v>
      </c>
      <c r="F2077">
        <v>7</v>
      </c>
      <c r="G2077" t="str" cm="1">
        <f t="array" ref="G2077">_xlfn.IFS(_xlfn.SINGLE(Table1[imd_decile])&lt;=3,"Most Deprived",F2077&lt;=7,"Moderately Deprived",F2077&lt;=10,"Least Deprived")</f>
        <v>Moderately Deprived</v>
      </c>
      <c r="H2077">
        <v>5</v>
      </c>
      <c r="I2077" t="s">
        <v>49</v>
      </c>
      <c r="J2077" t="s">
        <v>19</v>
      </c>
      <c r="K2077" s="1">
        <v>45902</v>
      </c>
      <c r="L2077" s="1">
        <v>45944</v>
      </c>
      <c r="M2077" s="1" t="str">
        <f>TEXT(Table1[[#This Row],[appointment_date]],"MM/YYYY")</f>
        <v>10/2025</v>
      </c>
      <c r="N2077">
        <v>42</v>
      </c>
      <c r="O2077" t="str" cm="1">
        <f t="array" ref="O2077">_xlfn.IFS(Table1[[#This Row],[lead_time_days]]&lt;=7,"0-7 days",N2077&lt;=14,"8-14 days",N2077&lt;=30,"15-30 days",N2077&lt;=60,"31-60 days",TRUE,"61+ days")</f>
        <v>31-60 days</v>
      </c>
      <c r="P2077" t="s">
        <v>71</v>
      </c>
      <c r="Q2077" t="s">
        <v>32</v>
      </c>
      <c r="R2077">
        <v>0</v>
      </c>
      <c r="S2077" t="str">
        <f>IF(Table1[prior_dna_count]&gt;=1,"Has prior DNA history","No prior DNA history")</f>
        <v>No prior DNA history</v>
      </c>
      <c r="T2077" t="s">
        <v>39</v>
      </c>
      <c r="U2077" t="str">
        <f t="shared" si="32"/>
        <v>1</v>
      </c>
      <c r="V2077" t="str">
        <f>IF(Table1[appointment_status]="Attended","1","0")</f>
        <v>0</v>
      </c>
      <c r="W2077" t="str">
        <f>IF(Table1[appointment_status]="Cancelled","1","0")</f>
        <v>0</v>
      </c>
    </row>
    <row r="2078" spans="1:23">
      <c r="A2078" t="s">
        <v>3275</v>
      </c>
      <c r="B2078" t="s">
        <v>899</v>
      </c>
      <c r="C2078">
        <v>54</v>
      </c>
      <c r="D2078" t="str" cm="1">
        <f t="array" ref="D2078">_xlfn.IFS(Table1[[#This Row],[age]]&lt;=17,"0-17",C2078&lt;=29,"18-29",C2078&lt;=44,"30-44",C2078&lt;=59,"45-59",C2078&lt;=74,"60-74",TRUE,"75+")</f>
        <v>45-59</v>
      </c>
      <c r="E2078" t="s">
        <v>17</v>
      </c>
      <c r="F2078">
        <v>8</v>
      </c>
      <c r="G2078" t="str" cm="1">
        <f t="array" ref="G2078">_xlfn.IFS(_xlfn.SINGLE(Table1[imd_decile])&lt;=3,"Most Deprived",F2078&lt;=7,"Moderately Deprived",F2078&lt;=10,"Least Deprived")</f>
        <v>Least Deprived</v>
      </c>
      <c r="H2078">
        <v>3.5</v>
      </c>
      <c r="I2078" t="s">
        <v>42</v>
      </c>
      <c r="J2078" t="s">
        <v>19</v>
      </c>
      <c r="K2078" s="1">
        <v>45918</v>
      </c>
      <c r="L2078" s="1">
        <v>45944</v>
      </c>
      <c r="M2078" s="1" t="str">
        <f>TEXT(Table1[[#This Row],[appointment_date]],"MM/YYYY")</f>
        <v>10/2025</v>
      </c>
      <c r="N2078">
        <v>26</v>
      </c>
      <c r="O2078" t="str" cm="1">
        <f t="array" ref="O2078">_xlfn.IFS(Table1[[#This Row],[lead_time_days]]&lt;=7,"0-7 days",N2078&lt;=14,"8-14 days",N2078&lt;=30,"15-30 days",N2078&lt;=60,"31-60 days",TRUE,"61+ days")</f>
        <v>15-30 days</v>
      </c>
      <c r="P2078" t="s">
        <v>71</v>
      </c>
      <c r="Q2078" t="s">
        <v>32</v>
      </c>
      <c r="R2078">
        <v>0</v>
      </c>
      <c r="S2078" t="str">
        <f>IF(Table1[prior_dna_count]&gt;=1,"Has prior DNA history","No prior DNA history")</f>
        <v>No prior DNA history</v>
      </c>
      <c r="T2078" t="s">
        <v>22</v>
      </c>
      <c r="U2078" t="str">
        <f t="shared" si="32"/>
        <v>0</v>
      </c>
      <c r="V2078" t="str">
        <f>IF(Table1[appointment_status]="Attended","1","0")</f>
        <v>1</v>
      </c>
      <c r="W2078" t="str">
        <f>IF(Table1[appointment_status]="Cancelled","1","0")</f>
        <v>0</v>
      </c>
    </row>
    <row r="2079" spans="1:23">
      <c r="A2079" t="s">
        <v>3276</v>
      </c>
      <c r="B2079" t="s">
        <v>1352</v>
      </c>
      <c r="C2079">
        <v>30</v>
      </c>
      <c r="D2079" t="str" cm="1">
        <f t="array" ref="D2079">_xlfn.IFS(Table1[[#This Row],[age]]&lt;=17,"0-17",C2079&lt;=29,"18-29",C2079&lt;=44,"30-44",C2079&lt;=59,"45-59",C2079&lt;=74,"60-74",TRUE,"75+")</f>
        <v>30-44</v>
      </c>
      <c r="E2079" t="s">
        <v>29</v>
      </c>
      <c r="F2079">
        <v>6</v>
      </c>
      <c r="G2079" t="str" cm="1">
        <f t="array" ref="G2079">_xlfn.IFS(_xlfn.SINGLE(Table1[imd_decile])&lt;=3,"Most Deprived",F2079&lt;=7,"Moderately Deprived",F2079&lt;=10,"Least Deprived")</f>
        <v>Moderately Deprived</v>
      </c>
      <c r="H2079">
        <v>10.8</v>
      </c>
      <c r="I2079" t="s">
        <v>30</v>
      </c>
      <c r="J2079" t="s">
        <v>19</v>
      </c>
      <c r="K2079" s="1">
        <v>45915</v>
      </c>
      <c r="L2079" s="1">
        <v>45944</v>
      </c>
      <c r="M2079" s="1" t="str">
        <f>TEXT(Table1[[#This Row],[appointment_date]],"MM/YYYY")</f>
        <v>10/2025</v>
      </c>
      <c r="N2079">
        <v>29</v>
      </c>
      <c r="O2079" t="str" cm="1">
        <f t="array" ref="O2079">_xlfn.IFS(Table1[[#This Row],[lead_time_days]]&lt;=7,"0-7 days",N2079&lt;=14,"8-14 days",N2079&lt;=30,"15-30 days",N2079&lt;=60,"31-60 days",TRUE,"61+ days")</f>
        <v>15-30 days</v>
      </c>
      <c r="P2079" t="s">
        <v>71</v>
      </c>
      <c r="Q2079" t="s">
        <v>32</v>
      </c>
      <c r="R2079">
        <v>0</v>
      </c>
      <c r="S2079" t="str">
        <f>IF(Table1[prior_dna_count]&gt;=1,"Has prior DNA history","No prior DNA history")</f>
        <v>No prior DNA history</v>
      </c>
      <c r="T2079" t="s">
        <v>22</v>
      </c>
      <c r="U2079" t="str">
        <f t="shared" si="32"/>
        <v>1</v>
      </c>
      <c r="V2079" t="str">
        <f>IF(Table1[appointment_status]="Attended","1","0")</f>
        <v>1</v>
      </c>
      <c r="W2079" t="str">
        <f>IF(Table1[appointment_status]="Cancelled","1","0")</f>
        <v>0</v>
      </c>
    </row>
    <row r="2080" spans="1:23">
      <c r="A2080" t="s">
        <v>3277</v>
      </c>
      <c r="B2080" t="s">
        <v>423</v>
      </c>
      <c r="C2080">
        <v>53</v>
      </c>
      <c r="D2080" t="str" cm="1">
        <f t="array" ref="D2080">_xlfn.IFS(Table1[[#This Row],[age]]&lt;=17,"0-17",C2080&lt;=29,"18-29",C2080&lt;=44,"30-44",C2080&lt;=59,"45-59",C2080&lt;=74,"60-74",TRUE,"75+")</f>
        <v>45-59</v>
      </c>
      <c r="E2080" t="s">
        <v>17</v>
      </c>
      <c r="F2080">
        <v>4</v>
      </c>
      <c r="G2080" t="str" cm="1">
        <f t="array" ref="G2080">_xlfn.IFS(_xlfn.SINGLE(Table1[imd_decile])&lt;=3,"Most Deprived",F2080&lt;=7,"Moderately Deprived",F2080&lt;=10,"Least Deprived")</f>
        <v>Moderately Deprived</v>
      </c>
      <c r="H2080">
        <v>3.8</v>
      </c>
      <c r="I2080" t="s">
        <v>30</v>
      </c>
      <c r="J2080" t="s">
        <v>26</v>
      </c>
      <c r="K2080" s="1">
        <v>45929</v>
      </c>
      <c r="L2080" s="1">
        <v>45944</v>
      </c>
      <c r="M2080" s="1" t="str">
        <f>TEXT(Table1[[#This Row],[appointment_date]],"MM/YYYY")</f>
        <v>10/2025</v>
      </c>
      <c r="N2080">
        <v>15</v>
      </c>
      <c r="O2080" t="str" cm="1">
        <f t="array" ref="O2080">_xlfn.IFS(Table1[[#This Row],[lead_time_days]]&lt;=7,"0-7 days",N2080&lt;=14,"8-14 days",N2080&lt;=30,"15-30 days",N2080&lt;=60,"31-60 days",TRUE,"61+ days")</f>
        <v>15-30 days</v>
      </c>
      <c r="P2080" t="s">
        <v>71</v>
      </c>
      <c r="Q2080" t="s">
        <v>21</v>
      </c>
      <c r="R2080">
        <v>0</v>
      </c>
      <c r="S2080" t="str">
        <f>IF(Table1[prior_dna_count]&gt;=1,"Has prior DNA history","No prior DNA history")</f>
        <v>No prior DNA history</v>
      </c>
      <c r="T2080" t="s">
        <v>22</v>
      </c>
      <c r="U2080" t="str">
        <f t="shared" si="32"/>
        <v>1</v>
      </c>
      <c r="V2080" t="str">
        <f>IF(Table1[appointment_status]="Attended","1","0")</f>
        <v>1</v>
      </c>
      <c r="W2080" t="str">
        <f>IF(Table1[appointment_status]="Cancelled","1","0")</f>
        <v>0</v>
      </c>
    </row>
    <row r="2081" spans="1:23">
      <c r="A2081" t="s">
        <v>3278</v>
      </c>
      <c r="B2081" t="s">
        <v>3279</v>
      </c>
      <c r="C2081">
        <v>91</v>
      </c>
      <c r="D2081" t="str" cm="1">
        <f t="array" ref="D2081">_xlfn.IFS(Table1[[#This Row],[age]]&lt;=17,"0-17",C2081&lt;=29,"18-29",C2081&lt;=44,"30-44",C2081&lt;=59,"45-59",C2081&lt;=74,"60-74",TRUE,"75+")</f>
        <v>75+</v>
      </c>
      <c r="E2081" t="s">
        <v>29</v>
      </c>
      <c r="F2081">
        <v>1</v>
      </c>
      <c r="G2081" t="str" cm="1">
        <f t="array" ref="G2081">_xlfn.IFS(_xlfn.SINGLE(Table1[imd_decile])&lt;=3,"Most Deprived",F2081&lt;=7,"Moderately Deprived",F2081&lt;=10,"Least Deprived")</f>
        <v>Most Deprived</v>
      </c>
      <c r="H2081">
        <v>24.1</v>
      </c>
      <c r="I2081" t="s">
        <v>25</v>
      </c>
      <c r="J2081" t="s">
        <v>26</v>
      </c>
      <c r="K2081" s="1">
        <v>45926</v>
      </c>
      <c r="L2081" s="1">
        <v>45944</v>
      </c>
      <c r="M2081" s="1" t="str">
        <f>TEXT(Table1[[#This Row],[appointment_date]],"MM/YYYY")</f>
        <v>10/2025</v>
      </c>
      <c r="N2081">
        <v>18</v>
      </c>
      <c r="O2081" t="str" cm="1">
        <f t="array" ref="O2081">_xlfn.IFS(Table1[[#This Row],[lead_time_days]]&lt;=7,"0-7 days",N2081&lt;=14,"8-14 days",N2081&lt;=30,"15-30 days",N2081&lt;=60,"31-60 days",TRUE,"61+ days")</f>
        <v>15-30 days</v>
      </c>
      <c r="P2081" t="s">
        <v>71</v>
      </c>
      <c r="Q2081" t="s">
        <v>21</v>
      </c>
      <c r="R2081">
        <v>0</v>
      </c>
      <c r="S2081" t="str">
        <f>IF(Table1[prior_dna_count]&gt;=1,"Has prior DNA history","No prior DNA history")</f>
        <v>No prior DNA history</v>
      </c>
      <c r="T2081" t="s">
        <v>22</v>
      </c>
      <c r="U2081" t="str">
        <f t="shared" si="32"/>
        <v>1</v>
      </c>
      <c r="V2081" t="str">
        <f>IF(Table1[appointment_status]="Attended","1","0")</f>
        <v>1</v>
      </c>
      <c r="W2081" t="str">
        <f>IF(Table1[appointment_status]="Cancelled","1","0")</f>
        <v>0</v>
      </c>
    </row>
    <row r="2082" spans="1:23">
      <c r="A2082" t="s">
        <v>3280</v>
      </c>
      <c r="B2082" t="s">
        <v>3281</v>
      </c>
      <c r="C2082">
        <v>55</v>
      </c>
      <c r="D2082" t="str" cm="1">
        <f t="array" ref="D2082">_xlfn.IFS(Table1[[#This Row],[age]]&lt;=17,"0-17",C2082&lt;=29,"18-29",C2082&lt;=44,"30-44",C2082&lt;=59,"45-59",C2082&lt;=74,"60-74",TRUE,"75+")</f>
        <v>45-59</v>
      </c>
      <c r="E2082" t="s">
        <v>17</v>
      </c>
      <c r="F2082">
        <v>2</v>
      </c>
      <c r="G2082" t="str" cm="1">
        <f t="array" ref="G2082">_xlfn.IFS(_xlfn.SINGLE(Table1[imd_decile])&lt;=3,"Most Deprived",F2082&lt;=7,"Moderately Deprived",F2082&lt;=10,"Least Deprived")</f>
        <v>Most Deprived</v>
      </c>
      <c r="H2082">
        <v>10.199999999999999</v>
      </c>
      <c r="I2082" t="s">
        <v>42</v>
      </c>
      <c r="J2082" t="s">
        <v>19</v>
      </c>
      <c r="K2082" s="1">
        <v>45909</v>
      </c>
      <c r="L2082" s="1">
        <v>45945</v>
      </c>
      <c r="M2082" s="1" t="str">
        <f>TEXT(Table1[[#This Row],[appointment_date]],"MM/YYYY")</f>
        <v>10/2025</v>
      </c>
      <c r="N2082">
        <v>36</v>
      </c>
      <c r="O2082" t="str" cm="1">
        <f t="array" ref="O2082">_xlfn.IFS(Table1[[#This Row],[lead_time_days]]&lt;=7,"0-7 days",N2082&lt;=14,"8-14 days",N2082&lt;=30,"15-30 days",N2082&lt;=60,"31-60 days",TRUE,"61+ days")</f>
        <v>31-60 days</v>
      </c>
      <c r="P2082" t="s">
        <v>80</v>
      </c>
      <c r="Q2082" t="s">
        <v>21</v>
      </c>
      <c r="R2082">
        <v>0</v>
      </c>
      <c r="S2082" t="str">
        <f>IF(Table1[prior_dna_count]&gt;=1,"Has prior DNA history","No prior DNA history")</f>
        <v>No prior DNA history</v>
      </c>
      <c r="T2082" t="s">
        <v>22</v>
      </c>
      <c r="U2082" t="str">
        <f t="shared" si="32"/>
        <v>1</v>
      </c>
      <c r="V2082" t="str">
        <f>IF(Table1[appointment_status]="Attended","1","0")</f>
        <v>1</v>
      </c>
      <c r="W2082" t="str">
        <f>IF(Table1[appointment_status]="Cancelled","1","0")</f>
        <v>0</v>
      </c>
    </row>
    <row r="2083" spans="1:23">
      <c r="A2083" t="s">
        <v>3282</v>
      </c>
      <c r="B2083" t="s">
        <v>909</v>
      </c>
      <c r="C2083">
        <v>31</v>
      </c>
      <c r="D2083" t="str" cm="1">
        <f t="array" ref="D2083">_xlfn.IFS(Table1[[#This Row],[age]]&lt;=17,"0-17",C2083&lt;=29,"18-29",C2083&lt;=44,"30-44",C2083&lt;=59,"45-59",C2083&lt;=74,"60-74",TRUE,"75+")</f>
        <v>30-44</v>
      </c>
      <c r="E2083" t="s">
        <v>29</v>
      </c>
      <c r="F2083">
        <v>3</v>
      </c>
      <c r="G2083" t="str" cm="1">
        <f t="array" ref="G2083">_xlfn.IFS(_xlfn.SINGLE(Table1[imd_decile])&lt;=3,"Most Deprived",F2083&lt;=7,"Moderately Deprived",F2083&lt;=10,"Least Deprived")</f>
        <v>Most Deprived</v>
      </c>
      <c r="H2083">
        <v>2.7</v>
      </c>
      <c r="I2083" t="s">
        <v>42</v>
      </c>
      <c r="J2083" t="s">
        <v>19</v>
      </c>
      <c r="K2083" s="1">
        <v>45908</v>
      </c>
      <c r="L2083" s="1">
        <v>45945</v>
      </c>
      <c r="M2083" s="1" t="str">
        <f>TEXT(Table1[[#This Row],[appointment_date]],"MM/YYYY")</f>
        <v>10/2025</v>
      </c>
      <c r="N2083">
        <v>37</v>
      </c>
      <c r="O2083" t="str" cm="1">
        <f t="array" ref="O2083">_xlfn.IFS(Table1[[#This Row],[lead_time_days]]&lt;=7,"0-7 days",N2083&lt;=14,"8-14 days",N2083&lt;=30,"15-30 days",N2083&lt;=60,"31-60 days",TRUE,"61+ days")</f>
        <v>31-60 days</v>
      </c>
      <c r="P2083" t="s">
        <v>80</v>
      </c>
      <c r="Q2083" t="s">
        <v>21</v>
      </c>
      <c r="R2083">
        <v>0</v>
      </c>
      <c r="S2083" t="str">
        <f>IF(Table1[prior_dna_count]&gt;=1,"Has prior DNA history","No prior DNA history")</f>
        <v>No prior DNA history</v>
      </c>
      <c r="T2083" t="s">
        <v>39</v>
      </c>
      <c r="U2083" t="str">
        <f t="shared" si="32"/>
        <v>1</v>
      </c>
      <c r="V2083" t="str">
        <f>IF(Table1[appointment_status]="Attended","1","0")</f>
        <v>0</v>
      </c>
      <c r="W2083" t="str">
        <f>IF(Table1[appointment_status]="Cancelled","1","0")</f>
        <v>0</v>
      </c>
    </row>
    <row r="2084" spans="1:23">
      <c r="A2084" t="s">
        <v>3283</v>
      </c>
      <c r="B2084" t="s">
        <v>3284</v>
      </c>
      <c r="C2084">
        <v>63</v>
      </c>
      <c r="D2084" t="str" cm="1">
        <f t="array" ref="D2084">_xlfn.IFS(Table1[[#This Row],[age]]&lt;=17,"0-17",C2084&lt;=29,"18-29",C2084&lt;=44,"30-44",C2084&lt;=59,"45-59",C2084&lt;=74,"60-74",TRUE,"75+")</f>
        <v>60-74</v>
      </c>
      <c r="E2084" t="s">
        <v>29</v>
      </c>
      <c r="F2084">
        <v>8</v>
      </c>
      <c r="G2084" t="str" cm="1">
        <f t="array" ref="G2084">_xlfn.IFS(_xlfn.SINGLE(Table1[imd_decile])&lt;=3,"Most Deprived",F2084&lt;=7,"Moderately Deprived",F2084&lt;=10,"Least Deprived")</f>
        <v>Least Deprived</v>
      </c>
      <c r="H2084">
        <v>0.5</v>
      </c>
      <c r="I2084" t="s">
        <v>45</v>
      </c>
      <c r="J2084" t="s">
        <v>26</v>
      </c>
      <c r="K2084" s="1">
        <v>45923</v>
      </c>
      <c r="L2084" s="1">
        <v>45945</v>
      </c>
      <c r="M2084" s="1" t="str">
        <f>TEXT(Table1[[#This Row],[appointment_date]],"MM/YYYY")</f>
        <v>10/2025</v>
      </c>
      <c r="N2084">
        <v>22</v>
      </c>
      <c r="O2084" t="str" cm="1">
        <f t="array" ref="O2084">_xlfn.IFS(Table1[[#This Row],[lead_time_days]]&lt;=7,"0-7 days",N2084&lt;=14,"8-14 days",N2084&lt;=30,"15-30 days",N2084&lt;=60,"31-60 days",TRUE,"61+ days")</f>
        <v>15-30 days</v>
      </c>
      <c r="P2084" t="s">
        <v>80</v>
      </c>
      <c r="Q2084" t="s">
        <v>32</v>
      </c>
      <c r="R2084">
        <v>0</v>
      </c>
      <c r="S2084" t="str">
        <f>IF(Table1[prior_dna_count]&gt;=1,"Has prior DNA history","No prior DNA history")</f>
        <v>No prior DNA history</v>
      </c>
      <c r="T2084" t="s">
        <v>22</v>
      </c>
      <c r="U2084" t="str">
        <f t="shared" si="32"/>
        <v>0</v>
      </c>
      <c r="V2084" t="str">
        <f>IF(Table1[appointment_status]="Attended","1","0")</f>
        <v>1</v>
      </c>
      <c r="W2084" t="str">
        <f>IF(Table1[appointment_status]="Cancelled","1","0")</f>
        <v>0</v>
      </c>
    </row>
    <row r="2085" spans="1:23">
      <c r="A2085" t="s">
        <v>3285</v>
      </c>
      <c r="B2085" t="s">
        <v>1315</v>
      </c>
      <c r="C2085">
        <v>40</v>
      </c>
      <c r="D2085" t="str" cm="1">
        <f t="array" ref="D2085">_xlfn.IFS(Table1[[#This Row],[age]]&lt;=17,"0-17",C2085&lt;=29,"18-29",C2085&lt;=44,"30-44",C2085&lt;=59,"45-59",C2085&lt;=74,"60-74",TRUE,"75+")</f>
        <v>30-44</v>
      </c>
      <c r="E2085" t="s">
        <v>29</v>
      </c>
      <c r="F2085">
        <v>2</v>
      </c>
      <c r="G2085" t="str" cm="1">
        <f t="array" ref="G2085">_xlfn.IFS(_xlfn.SINGLE(Table1[imd_decile])&lt;=3,"Most Deprived",F2085&lt;=7,"Moderately Deprived",F2085&lt;=10,"Least Deprived")</f>
        <v>Most Deprived</v>
      </c>
      <c r="H2085">
        <v>11.8</v>
      </c>
      <c r="I2085" t="s">
        <v>18</v>
      </c>
      <c r="J2085" t="s">
        <v>19</v>
      </c>
      <c r="K2085" s="1">
        <v>45928</v>
      </c>
      <c r="L2085" s="1">
        <v>45945</v>
      </c>
      <c r="M2085" s="1" t="str">
        <f>TEXT(Table1[[#This Row],[appointment_date]],"MM/YYYY")</f>
        <v>10/2025</v>
      </c>
      <c r="N2085">
        <v>17</v>
      </c>
      <c r="O2085" t="str" cm="1">
        <f t="array" ref="O2085">_xlfn.IFS(Table1[[#This Row],[lead_time_days]]&lt;=7,"0-7 days",N2085&lt;=14,"8-14 days",N2085&lt;=30,"15-30 days",N2085&lt;=60,"31-60 days",TRUE,"61+ days")</f>
        <v>15-30 days</v>
      </c>
      <c r="P2085" t="s">
        <v>80</v>
      </c>
      <c r="Q2085" t="s">
        <v>21</v>
      </c>
      <c r="R2085">
        <v>0</v>
      </c>
      <c r="S2085" t="str">
        <f>IF(Table1[prior_dna_count]&gt;=1,"Has prior DNA history","No prior DNA history")</f>
        <v>No prior DNA history</v>
      </c>
      <c r="T2085" t="s">
        <v>39</v>
      </c>
      <c r="U2085" t="str">
        <f t="shared" si="32"/>
        <v>1</v>
      </c>
      <c r="V2085" t="str">
        <f>IF(Table1[appointment_status]="Attended","1","0")</f>
        <v>0</v>
      </c>
      <c r="W2085" t="str">
        <f>IF(Table1[appointment_status]="Cancelled","1","0")</f>
        <v>0</v>
      </c>
    </row>
    <row r="2086" spans="1:23">
      <c r="A2086" t="s">
        <v>3286</v>
      </c>
      <c r="B2086" t="s">
        <v>1838</v>
      </c>
      <c r="C2086">
        <v>37</v>
      </c>
      <c r="D2086" t="str" cm="1">
        <f t="array" ref="D2086">_xlfn.IFS(Table1[[#This Row],[age]]&lt;=17,"0-17",C2086&lt;=29,"18-29",C2086&lt;=44,"30-44",C2086&lt;=59,"45-59",C2086&lt;=74,"60-74",TRUE,"75+")</f>
        <v>30-44</v>
      </c>
      <c r="E2086" t="s">
        <v>29</v>
      </c>
      <c r="F2086">
        <v>2</v>
      </c>
      <c r="G2086" t="str" cm="1">
        <f t="array" ref="G2086">_xlfn.IFS(_xlfn.SINGLE(Table1[imd_decile])&lt;=3,"Most Deprived",F2086&lt;=7,"Moderately Deprived",F2086&lt;=10,"Least Deprived")</f>
        <v>Most Deprived</v>
      </c>
      <c r="H2086">
        <v>7.5</v>
      </c>
      <c r="I2086" t="s">
        <v>58</v>
      </c>
      <c r="J2086" t="s">
        <v>19</v>
      </c>
      <c r="K2086" s="1">
        <v>45926</v>
      </c>
      <c r="L2086" s="1">
        <v>45945</v>
      </c>
      <c r="M2086" s="1" t="str">
        <f>TEXT(Table1[[#This Row],[appointment_date]],"MM/YYYY")</f>
        <v>10/2025</v>
      </c>
      <c r="N2086">
        <v>19</v>
      </c>
      <c r="O2086" t="str" cm="1">
        <f t="array" ref="O2086">_xlfn.IFS(Table1[[#This Row],[lead_time_days]]&lt;=7,"0-7 days",N2086&lt;=14,"8-14 days",N2086&lt;=30,"15-30 days",N2086&lt;=60,"31-60 days",TRUE,"61+ days")</f>
        <v>15-30 days</v>
      </c>
      <c r="P2086" t="s">
        <v>80</v>
      </c>
      <c r="Q2086" t="s">
        <v>21</v>
      </c>
      <c r="R2086">
        <v>0</v>
      </c>
      <c r="S2086" t="str">
        <f>IF(Table1[prior_dna_count]&gt;=1,"Has prior DNA history","No prior DNA history")</f>
        <v>No prior DNA history</v>
      </c>
      <c r="T2086" t="s">
        <v>22</v>
      </c>
      <c r="U2086" t="str">
        <f t="shared" si="32"/>
        <v>0</v>
      </c>
      <c r="V2086" t="str">
        <f>IF(Table1[appointment_status]="Attended","1","0")</f>
        <v>1</v>
      </c>
      <c r="W2086" t="str">
        <f>IF(Table1[appointment_status]="Cancelled","1","0")</f>
        <v>0</v>
      </c>
    </row>
    <row r="2087" spans="1:23">
      <c r="A2087" t="s">
        <v>3287</v>
      </c>
      <c r="B2087" t="s">
        <v>1596</v>
      </c>
      <c r="C2087">
        <v>63</v>
      </c>
      <c r="D2087" t="str" cm="1">
        <f t="array" ref="D2087">_xlfn.IFS(Table1[[#This Row],[age]]&lt;=17,"0-17",C2087&lt;=29,"18-29",C2087&lt;=44,"30-44",C2087&lt;=59,"45-59",C2087&lt;=74,"60-74",TRUE,"75+")</f>
        <v>60-74</v>
      </c>
      <c r="E2087" t="s">
        <v>17</v>
      </c>
      <c r="F2087">
        <v>7</v>
      </c>
      <c r="G2087" t="str" cm="1">
        <f t="array" ref="G2087">_xlfn.IFS(_xlfn.SINGLE(Table1[imd_decile])&lt;=3,"Most Deprived",F2087&lt;=7,"Moderately Deprived",F2087&lt;=10,"Least Deprived")</f>
        <v>Moderately Deprived</v>
      </c>
      <c r="H2087">
        <v>4</v>
      </c>
      <c r="I2087" t="s">
        <v>30</v>
      </c>
      <c r="J2087" t="s">
        <v>26</v>
      </c>
      <c r="K2087" s="1">
        <v>45932</v>
      </c>
      <c r="L2087" s="1">
        <v>45945</v>
      </c>
      <c r="M2087" s="1" t="str">
        <f>TEXT(Table1[[#This Row],[appointment_date]],"MM/YYYY")</f>
        <v>10/2025</v>
      </c>
      <c r="N2087">
        <v>13</v>
      </c>
      <c r="O2087" t="str" cm="1">
        <f t="array" ref="O2087">_xlfn.IFS(Table1[[#This Row],[lead_time_days]]&lt;=7,"0-7 days",N2087&lt;=14,"8-14 days",N2087&lt;=30,"15-30 days",N2087&lt;=60,"31-60 days",TRUE,"61+ days")</f>
        <v>8-14 days</v>
      </c>
      <c r="P2087" t="s">
        <v>80</v>
      </c>
      <c r="Q2087" t="s">
        <v>21</v>
      </c>
      <c r="R2087">
        <v>0</v>
      </c>
      <c r="S2087" t="str">
        <f>IF(Table1[prior_dna_count]&gt;=1,"Has prior DNA history","No prior DNA history")</f>
        <v>No prior DNA history</v>
      </c>
      <c r="T2087" t="s">
        <v>22</v>
      </c>
      <c r="U2087" t="str">
        <f t="shared" si="32"/>
        <v>1</v>
      </c>
      <c r="V2087" t="str">
        <f>IF(Table1[appointment_status]="Attended","1","0")</f>
        <v>1</v>
      </c>
      <c r="W2087" t="str">
        <f>IF(Table1[appointment_status]="Cancelled","1","0")</f>
        <v>0</v>
      </c>
    </row>
    <row r="2088" spans="1:23">
      <c r="A2088" t="s">
        <v>3288</v>
      </c>
      <c r="B2088" t="s">
        <v>710</v>
      </c>
      <c r="C2088">
        <v>38</v>
      </c>
      <c r="D2088" t="str" cm="1">
        <f t="array" ref="D2088">_xlfn.IFS(Table1[[#This Row],[age]]&lt;=17,"0-17",C2088&lt;=29,"18-29",C2088&lt;=44,"30-44",C2088&lt;=59,"45-59",C2088&lt;=74,"60-74",TRUE,"75+")</f>
        <v>30-44</v>
      </c>
      <c r="E2088" t="s">
        <v>29</v>
      </c>
      <c r="F2088">
        <v>4</v>
      </c>
      <c r="G2088" t="str" cm="1">
        <f t="array" ref="G2088">_xlfn.IFS(_xlfn.SINGLE(Table1[imd_decile])&lt;=3,"Most Deprived",F2088&lt;=7,"Moderately Deprived",F2088&lt;=10,"Least Deprived")</f>
        <v>Moderately Deprived</v>
      </c>
      <c r="H2088">
        <v>8</v>
      </c>
      <c r="I2088" t="s">
        <v>91</v>
      </c>
      <c r="J2088" t="s">
        <v>19</v>
      </c>
      <c r="K2088" s="1">
        <v>45928</v>
      </c>
      <c r="L2088" s="1">
        <v>45946</v>
      </c>
      <c r="M2088" s="1" t="str">
        <f>TEXT(Table1[[#This Row],[appointment_date]],"MM/YYYY")</f>
        <v>10/2025</v>
      </c>
      <c r="N2088">
        <v>18</v>
      </c>
      <c r="O2088" t="str" cm="1">
        <f t="array" ref="O2088">_xlfn.IFS(Table1[[#This Row],[lead_time_days]]&lt;=7,"0-7 days",N2088&lt;=14,"8-14 days",N2088&lt;=30,"15-30 days",N2088&lt;=60,"31-60 days",TRUE,"61+ days")</f>
        <v>15-30 days</v>
      </c>
      <c r="P2088" t="s">
        <v>20</v>
      </c>
      <c r="Q2088" t="s">
        <v>21</v>
      </c>
      <c r="R2088">
        <v>0</v>
      </c>
      <c r="S2088" t="str">
        <f>IF(Table1[prior_dna_count]&gt;=1,"Has prior DNA history","No prior DNA history")</f>
        <v>No prior DNA history</v>
      </c>
      <c r="T2088" t="s">
        <v>22</v>
      </c>
      <c r="U2088" t="str">
        <f t="shared" si="32"/>
        <v>1</v>
      </c>
      <c r="V2088" t="str">
        <f>IF(Table1[appointment_status]="Attended","1","0")</f>
        <v>1</v>
      </c>
      <c r="W2088" t="str">
        <f>IF(Table1[appointment_status]="Cancelled","1","0")</f>
        <v>0</v>
      </c>
    </row>
    <row r="2089" spans="1:23">
      <c r="A2089" t="s">
        <v>3289</v>
      </c>
      <c r="B2089" t="s">
        <v>3290</v>
      </c>
      <c r="C2089">
        <v>54</v>
      </c>
      <c r="D2089" t="str" cm="1">
        <f t="array" ref="D2089">_xlfn.IFS(Table1[[#This Row],[age]]&lt;=17,"0-17",C2089&lt;=29,"18-29",C2089&lt;=44,"30-44",C2089&lt;=59,"45-59",C2089&lt;=74,"60-74",TRUE,"75+")</f>
        <v>45-59</v>
      </c>
      <c r="E2089" t="s">
        <v>17</v>
      </c>
      <c r="F2089">
        <v>7</v>
      </c>
      <c r="G2089" t="str" cm="1">
        <f t="array" ref="G2089">_xlfn.IFS(_xlfn.SINGLE(Table1[imd_decile])&lt;=3,"Most Deprived",F2089&lt;=7,"Moderately Deprived",F2089&lt;=10,"Least Deprived")</f>
        <v>Moderately Deprived</v>
      </c>
      <c r="H2089">
        <v>4.2</v>
      </c>
      <c r="I2089" t="s">
        <v>45</v>
      </c>
      <c r="J2089" t="s">
        <v>26</v>
      </c>
      <c r="K2089" s="1">
        <v>45939</v>
      </c>
      <c r="L2089" s="1">
        <v>45946</v>
      </c>
      <c r="M2089" s="1" t="str">
        <f>TEXT(Table1[[#This Row],[appointment_date]],"MM/YYYY")</f>
        <v>10/2025</v>
      </c>
      <c r="N2089">
        <v>7</v>
      </c>
      <c r="O2089" t="str" cm="1">
        <f t="array" ref="O2089">_xlfn.IFS(Table1[[#This Row],[lead_time_days]]&lt;=7,"0-7 days",N2089&lt;=14,"8-14 days",N2089&lt;=30,"15-30 days",N2089&lt;=60,"31-60 days",TRUE,"61+ days")</f>
        <v>0-7 days</v>
      </c>
      <c r="P2089" t="s">
        <v>20</v>
      </c>
      <c r="Q2089" t="s">
        <v>21</v>
      </c>
      <c r="R2089">
        <v>0</v>
      </c>
      <c r="S2089" t="str">
        <f>IF(Table1[prior_dna_count]&gt;=1,"Has prior DNA history","No prior DNA history")</f>
        <v>No prior DNA history</v>
      </c>
      <c r="T2089" t="s">
        <v>22</v>
      </c>
      <c r="U2089" t="str">
        <f t="shared" si="32"/>
        <v>1</v>
      </c>
      <c r="V2089" t="str">
        <f>IF(Table1[appointment_status]="Attended","1","0")</f>
        <v>1</v>
      </c>
      <c r="W2089" t="str">
        <f>IF(Table1[appointment_status]="Cancelled","1","0")</f>
        <v>0</v>
      </c>
    </row>
    <row r="2090" spans="1:23">
      <c r="A2090" t="s">
        <v>3291</v>
      </c>
      <c r="B2090" t="s">
        <v>3292</v>
      </c>
      <c r="C2090">
        <v>68</v>
      </c>
      <c r="D2090" t="str" cm="1">
        <f t="array" ref="D2090">_xlfn.IFS(Table1[[#This Row],[age]]&lt;=17,"0-17",C2090&lt;=29,"18-29",C2090&lt;=44,"30-44",C2090&lt;=59,"45-59",C2090&lt;=74,"60-74",TRUE,"75+")</f>
        <v>60-74</v>
      </c>
      <c r="E2090" t="s">
        <v>29</v>
      </c>
      <c r="F2090">
        <v>5</v>
      </c>
      <c r="G2090" t="str" cm="1">
        <f t="array" ref="G2090">_xlfn.IFS(_xlfn.SINGLE(Table1[imd_decile])&lt;=3,"Most Deprived",F2090&lt;=7,"Moderately Deprived",F2090&lt;=10,"Least Deprived")</f>
        <v>Moderately Deprived</v>
      </c>
      <c r="H2090">
        <v>6.8</v>
      </c>
      <c r="I2090" t="s">
        <v>30</v>
      </c>
      <c r="J2090" t="s">
        <v>26</v>
      </c>
      <c r="K2090" s="1">
        <v>45929</v>
      </c>
      <c r="L2090" s="1">
        <v>45946</v>
      </c>
      <c r="M2090" s="1" t="str">
        <f>TEXT(Table1[[#This Row],[appointment_date]],"MM/YYYY")</f>
        <v>10/2025</v>
      </c>
      <c r="N2090">
        <v>17</v>
      </c>
      <c r="O2090" t="str" cm="1">
        <f t="array" ref="O2090">_xlfn.IFS(Table1[[#This Row],[lead_time_days]]&lt;=7,"0-7 days",N2090&lt;=14,"8-14 days",N2090&lt;=30,"15-30 days",N2090&lt;=60,"31-60 days",TRUE,"61+ days")</f>
        <v>15-30 days</v>
      </c>
      <c r="P2090" t="s">
        <v>20</v>
      </c>
      <c r="Q2090" t="s">
        <v>21</v>
      </c>
      <c r="R2090">
        <v>0</v>
      </c>
      <c r="S2090" t="str">
        <f>IF(Table1[prior_dna_count]&gt;=1,"Has prior DNA history","No prior DNA history")</f>
        <v>No prior DNA history</v>
      </c>
      <c r="T2090" t="s">
        <v>46</v>
      </c>
      <c r="U2090" t="str">
        <f t="shared" si="32"/>
        <v>1</v>
      </c>
      <c r="V2090" t="str">
        <f>IF(Table1[appointment_status]="Attended","1","0")</f>
        <v>0</v>
      </c>
      <c r="W2090" t="str">
        <f>IF(Table1[appointment_status]="Cancelled","1","0")</f>
        <v>1</v>
      </c>
    </row>
    <row r="2091" spans="1:23">
      <c r="A2091" t="s">
        <v>3293</v>
      </c>
      <c r="B2091" t="s">
        <v>3294</v>
      </c>
      <c r="C2091">
        <v>20</v>
      </c>
      <c r="D2091" t="str" cm="1">
        <f t="array" ref="D2091">_xlfn.IFS(Table1[[#This Row],[age]]&lt;=17,"0-17",C2091&lt;=29,"18-29",C2091&lt;=44,"30-44",C2091&lt;=59,"45-59",C2091&lt;=74,"60-74",TRUE,"75+")</f>
        <v>18-29</v>
      </c>
      <c r="E2091" t="s">
        <v>29</v>
      </c>
      <c r="F2091">
        <v>10</v>
      </c>
      <c r="G2091" t="str" cm="1">
        <f t="array" ref="G2091">_xlfn.IFS(_xlfn.SINGLE(Table1[imd_decile])&lt;=3,"Most Deprived",F2091&lt;=7,"Moderately Deprived",F2091&lt;=10,"Least Deprived")</f>
        <v>Least Deprived</v>
      </c>
      <c r="H2091">
        <v>15.3</v>
      </c>
      <c r="I2091" t="s">
        <v>30</v>
      </c>
      <c r="J2091" t="s">
        <v>26</v>
      </c>
      <c r="K2091" s="1">
        <v>45928</v>
      </c>
      <c r="L2091" s="1">
        <v>45946</v>
      </c>
      <c r="M2091" s="1" t="str">
        <f>TEXT(Table1[[#This Row],[appointment_date]],"MM/YYYY")</f>
        <v>10/2025</v>
      </c>
      <c r="N2091">
        <v>18</v>
      </c>
      <c r="O2091" t="str" cm="1">
        <f t="array" ref="O2091">_xlfn.IFS(Table1[[#This Row],[lead_time_days]]&lt;=7,"0-7 days",N2091&lt;=14,"8-14 days",N2091&lt;=30,"15-30 days",N2091&lt;=60,"31-60 days",TRUE,"61+ days")</f>
        <v>15-30 days</v>
      </c>
      <c r="P2091" t="s">
        <v>20</v>
      </c>
      <c r="Q2091" t="s">
        <v>21</v>
      </c>
      <c r="R2091">
        <v>0</v>
      </c>
      <c r="S2091" t="str">
        <f>IF(Table1[prior_dna_count]&gt;=1,"Has prior DNA history","No prior DNA history")</f>
        <v>No prior DNA history</v>
      </c>
      <c r="T2091" t="s">
        <v>22</v>
      </c>
      <c r="U2091" t="str">
        <f t="shared" si="32"/>
        <v>0</v>
      </c>
      <c r="V2091" t="str">
        <f>IF(Table1[appointment_status]="Attended","1","0")</f>
        <v>1</v>
      </c>
      <c r="W2091" t="str">
        <f>IF(Table1[appointment_status]="Cancelled","1","0")</f>
        <v>0</v>
      </c>
    </row>
    <row r="2092" spans="1:23">
      <c r="A2092" t="s">
        <v>3295</v>
      </c>
      <c r="B2092" t="s">
        <v>2473</v>
      </c>
      <c r="C2092">
        <v>55</v>
      </c>
      <c r="D2092" t="str" cm="1">
        <f t="array" ref="D2092">_xlfn.IFS(Table1[[#This Row],[age]]&lt;=17,"0-17",C2092&lt;=29,"18-29",C2092&lt;=44,"30-44",C2092&lt;=59,"45-59",C2092&lt;=74,"60-74",TRUE,"75+")</f>
        <v>45-59</v>
      </c>
      <c r="E2092" t="s">
        <v>29</v>
      </c>
      <c r="F2092">
        <v>7</v>
      </c>
      <c r="G2092" t="str" cm="1">
        <f t="array" ref="G2092">_xlfn.IFS(_xlfn.SINGLE(Table1[imd_decile])&lt;=3,"Most Deprived",F2092&lt;=7,"Moderately Deprived",F2092&lt;=10,"Least Deprived")</f>
        <v>Moderately Deprived</v>
      </c>
      <c r="H2092">
        <v>7.2</v>
      </c>
      <c r="I2092" t="s">
        <v>42</v>
      </c>
      <c r="J2092" t="s">
        <v>19</v>
      </c>
      <c r="K2092" s="1">
        <v>45923</v>
      </c>
      <c r="L2092" s="1">
        <v>45946</v>
      </c>
      <c r="M2092" s="1" t="str">
        <f>TEXT(Table1[[#This Row],[appointment_date]],"MM/YYYY")</f>
        <v>10/2025</v>
      </c>
      <c r="N2092">
        <v>23</v>
      </c>
      <c r="O2092" t="str" cm="1">
        <f t="array" ref="O2092">_xlfn.IFS(Table1[[#This Row],[lead_time_days]]&lt;=7,"0-7 days",N2092&lt;=14,"8-14 days",N2092&lt;=30,"15-30 days",N2092&lt;=60,"31-60 days",TRUE,"61+ days")</f>
        <v>15-30 days</v>
      </c>
      <c r="P2092" t="s">
        <v>20</v>
      </c>
      <c r="Q2092" t="s">
        <v>32</v>
      </c>
      <c r="R2092">
        <v>0</v>
      </c>
      <c r="S2092" t="str">
        <f>IF(Table1[prior_dna_count]&gt;=1,"Has prior DNA history","No prior DNA history")</f>
        <v>No prior DNA history</v>
      </c>
      <c r="T2092" t="s">
        <v>39</v>
      </c>
      <c r="U2092" t="str">
        <f t="shared" si="32"/>
        <v>1</v>
      </c>
      <c r="V2092" t="str">
        <f>IF(Table1[appointment_status]="Attended","1","0")</f>
        <v>0</v>
      </c>
      <c r="W2092" t="str">
        <f>IF(Table1[appointment_status]="Cancelled","1","0")</f>
        <v>0</v>
      </c>
    </row>
    <row r="2093" spans="1:23">
      <c r="A2093" t="s">
        <v>3296</v>
      </c>
      <c r="B2093" t="s">
        <v>2072</v>
      </c>
      <c r="C2093">
        <v>54</v>
      </c>
      <c r="D2093" t="str" cm="1">
        <f t="array" ref="D2093">_xlfn.IFS(Table1[[#This Row],[age]]&lt;=17,"0-17",C2093&lt;=29,"18-29",C2093&lt;=44,"30-44",C2093&lt;=59,"45-59",C2093&lt;=74,"60-74",TRUE,"75+")</f>
        <v>45-59</v>
      </c>
      <c r="E2093" t="s">
        <v>17</v>
      </c>
      <c r="F2093">
        <v>10</v>
      </c>
      <c r="G2093" t="str" cm="1">
        <f t="array" ref="G2093">_xlfn.IFS(_xlfn.SINGLE(Table1[imd_decile])&lt;=3,"Most Deprived",F2093&lt;=7,"Moderately Deprived",F2093&lt;=10,"Least Deprived")</f>
        <v>Least Deprived</v>
      </c>
      <c r="H2093">
        <v>13.5</v>
      </c>
      <c r="I2093" t="s">
        <v>42</v>
      </c>
      <c r="J2093" t="s">
        <v>26</v>
      </c>
      <c r="K2093" s="1">
        <v>45904</v>
      </c>
      <c r="L2093" s="1">
        <v>45946</v>
      </c>
      <c r="M2093" s="1" t="str">
        <f>TEXT(Table1[[#This Row],[appointment_date]],"MM/YYYY")</f>
        <v>10/2025</v>
      </c>
      <c r="N2093">
        <v>42</v>
      </c>
      <c r="O2093" t="str" cm="1">
        <f t="array" ref="O2093">_xlfn.IFS(Table1[[#This Row],[lead_time_days]]&lt;=7,"0-7 days",N2093&lt;=14,"8-14 days",N2093&lt;=30,"15-30 days",N2093&lt;=60,"31-60 days",TRUE,"61+ days")</f>
        <v>31-60 days</v>
      </c>
      <c r="P2093" t="s">
        <v>20</v>
      </c>
      <c r="Q2093" t="s">
        <v>32</v>
      </c>
      <c r="R2093">
        <v>0</v>
      </c>
      <c r="S2093" t="str">
        <f>IF(Table1[prior_dna_count]&gt;=1,"Has prior DNA history","No prior DNA history")</f>
        <v>No prior DNA history</v>
      </c>
      <c r="T2093" t="s">
        <v>22</v>
      </c>
      <c r="U2093" t="str">
        <f t="shared" si="32"/>
        <v>0</v>
      </c>
      <c r="V2093" t="str">
        <f>IF(Table1[appointment_status]="Attended","1","0")</f>
        <v>1</v>
      </c>
      <c r="W2093" t="str">
        <f>IF(Table1[appointment_status]="Cancelled","1","0")</f>
        <v>0</v>
      </c>
    </row>
    <row r="2094" spans="1:23">
      <c r="A2094" t="s">
        <v>3297</v>
      </c>
      <c r="B2094" t="s">
        <v>145</v>
      </c>
      <c r="C2094">
        <v>39</v>
      </c>
      <c r="D2094" t="str" cm="1">
        <f t="array" ref="D2094">_xlfn.IFS(Table1[[#This Row],[age]]&lt;=17,"0-17",C2094&lt;=29,"18-29",C2094&lt;=44,"30-44",C2094&lt;=59,"45-59",C2094&lt;=74,"60-74",TRUE,"75+")</f>
        <v>30-44</v>
      </c>
      <c r="E2094" t="s">
        <v>29</v>
      </c>
      <c r="F2094">
        <v>4</v>
      </c>
      <c r="G2094" t="str" cm="1">
        <f t="array" ref="G2094">_xlfn.IFS(_xlfn.SINGLE(Table1[imd_decile])&lt;=3,"Most Deprived",F2094&lt;=7,"Moderately Deprived",F2094&lt;=10,"Least Deprived")</f>
        <v>Moderately Deprived</v>
      </c>
      <c r="H2094">
        <v>16.399999999999999</v>
      </c>
      <c r="I2094" t="s">
        <v>30</v>
      </c>
      <c r="J2094" t="s">
        <v>19</v>
      </c>
      <c r="K2094" s="1">
        <v>45934</v>
      </c>
      <c r="L2094" s="1">
        <v>45946</v>
      </c>
      <c r="M2094" s="1" t="str">
        <f>TEXT(Table1[[#This Row],[appointment_date]],"MM/YYYY")</f>
        <v>10/2025</v>
      </c>
      <c r="N2094">
        <v>12</v>
      </c>
      <c r="O2094" t="str" cm="1">
        <f t="array" ref="O2094">_xlfn.IFS(Table1[[#This Row],[lead_time_days]]&lt;=7,"0-7 days",N2094&lt;=14,"8-14 days",N2094&lt;=30,"15-30 days",N2094&lt;=60,"31-60 days",TRUE,"61+ days")</f>
        <v>8-14 days</v>
      </c>
      <c r="P2094" t="s">
        <v>20</v>
      </c>
      <c r="Q2094" t="s">
        <v>21</v>
      </c>
      <c r="R2094">
        <v>0</v>
      </c>
      <c r="S2094" t="str">
        <f>IF(Table1[prior_dna_count]&gt;=1,"Has prior DNA history","No prior DNA history")</f>
        <v>No prior DNA history</v>
      </c>
      <c r="T2094" t="s">
        <v>22</v>
      </c>
      <c r="U2094" t="str">
        <f t="shared" si="32"/>
        <v>1</v>
      </c>
      <c r="V2094" t="str">
        <f>IF(Table1[appointment_status]="Attended","1","0")</f>
        <v>1</v>
      </c>
      <c r="W2094" t="str">
        <f>IF(Table1[appointment_status]="Cancelled","1","0")</f>
        <v>0</v>
      </c>
    </row>
    <row r="2095" spans="1:23">
      <c r="A2095" t="s">
        <v>3298</v>
      </c>
      <c r="B2095" t="s">
        <v>3231</v>
      </c>
      <c r="C2095">
        <v>47</v>
      </c>
      <c r="D2095" t="str" cm="1">
        <f t="array" ref="D2095">_xlfn.IFS(Table1[[#This Row],[age]]&lt;=17,"0-17",C2095&lt;=29,"18-29",C2095&lt;=44,"30-44",C2095&lt;=59,"45-59",C2095&lt;=74,"60-74",TRUE,"75+")</f>
        <v>45-59</v>
      </c>
      <c r="E2095" t="s">
        <v>29</v>
      </c>
      <c r="F2095">
        <v>2</v>
      </c>
      <c r="G2095" t="str" cm="1">
        <f t="array" ref="G2095">_xlfn.IFS(_xlfn.SINGLE(Table1[imd_decile])&lt;=3,"Most Deprived",F2095&lt;=7,"Moderately Deprived",F2095&lt;=10,"Least Deprived")</f>
        <v>Most Deprived</v>
      </c>
      <c r="H2095">
        <v>7.1</v>
      </c>
      <c r="I2095" t="s">
        <v>30</v>
      </c>
      <c r="J2095" t="s">
        <v>19</v>
      </c>
      <c r="K2095" s="1">
        <v>45928</v>
      </c>
      <c r="L2095" s="1">
        <v>45946</v>
      </c>
      <c r="M2095" s="1" t="str">
        <f>TEXT(Table1[[#This Row],[appointment_date]],"MM/YYYY")</f>
        <v>10/2025</v>
      </c>
      <c r="N2095">
        <v>18</v>
      </c>
      <c r="O2095" t="str" cm="1">
        <f t="array" ref="O2095">_xlfn.IFS(Table1[[#This Row],[lead_time_days]]&lt;=7,"0-7 days",N2095&lt;=14,"8-14 days",N2095&lt;=30,"15-30 days",N2095&lt;=60,"31-60 days",TRUE,"61+ days")</f>
        <v>15-30 days</v>
      </c>
      <c r="P2095" t="s">
        <v>20</v>
      </c>
      <c r="Q2095" t="s">
        <v>32</v>
      </c>
      <c r="R2095">
        <v>0</v>
      </c>
      <c r="S2095" t="str">
        <f>IF(Table1[prior_dna_count]&gt;=1,"Has prior DNA history","No prior DNA history")</f>
        <v>No prior DNA history</v>
      </c>
      <c r="T2095" t="s">
        <v>39</v>
      </c>
      <c r="U2095" t="str">
        <f t="shared" si="32"/>
        <v>1</v>
      </c>
      <c r="V2095" t="str">
        <f>IF(Table1[appointment_status]="Attended","1","0")</f>
        <v>0</v>
      </c>
      <c r="W2095" t="str">
        <f>IF(Table1[appointment_status]="Cancelled","1","0")</f>
        <v>0</v>
      </c>
    </row>
    <row r="2096" spans="1:23">
      <c r="A2096" t="s">
        <v>3299</v>
      </c>
      <c r="B2096" t="s">
        <v>329</v>
      </c>
      <c r="C2096">
        <v>64</v>
      </c>
      <c r="D2096" t="str" cm="1">
        <f t="array" ref="D2096">_xlfn.IFS(Table1[[#This Row],[age]]&lt;=17,"0-17",C2096&lt;=29,"18-29",C2096&lt;=44,"30-44",C2096&lt;=59,"45-59",C2096&lt;=74,"60-74",TRUE,"75+")</f>
        <v>60-74</v>
      </c>
      <c r="E2096" t="s">
        <v>17</v>
      </c>
      <c r="F2096">
        <v>7</v>
      </c>
      <c r="G2096" t="str" cm="1">
        <f t="array" ref="G2096">_xlfn.IFS(_xlfn.SINGLE(Table1[imd_decile])&lt;=3,"Most Deprived",F2096&lt;=7,"Moderately Deprived",F2096&lt;=10,"Least Deprived")</f>
        <v>Moderately Deprived</v>
      </c>
      <c r="H2096">
        <v>8.8000000000000007</v>
      </c>
      <c r="I2096" t="s">
        <v>42</v>
      </c>
      <c r="J2096" t="s">
        <v>19</v>
      </c>
      <c r="K2096" s="1">
        <v>45922</v>
      </c>
      <c r="L2096" s="1">
        <v>45946</v>
      </c>
      <c r="M2096" s="1" t="str">
        <f>TEXT(Table1[[#This Row],[appointment_date]],"MM/YYYY")</f>
        <v>10/2025</v>
      </c>
      <c r="N2096">
        <v>24</v>
      </c>
      <c r="O2096" t="str" cm="1">
        <f t="array" ref="O2096">_xlfn.IFS(Table1[[#This Row],[lead_time_days]]&lt;=7,"0-7 days",N2096&lt;=14,"8-14 days",N2096&lt;=30,"15-30 days",N2096&lt;=60,"31-60 days",TRUE,"61+ days")</f>
        <v>15-30 days</v>
      </c>
      <c r="P2096" t="s">
        <v>20</v>
      </c>
      <c r="Q2096" t="s">
        <v>21</v>
      </c>
      <c r="R2096">
        <v>0</v>
      </c>
      <c r="S2096" t="str">
        <f>IF(Table1[prior_dna_count]&gt;=1,"Has prior DNA history","No prior DNA history")</f>
        <v>No prior DNA history</v>
      </c>
      <c r="T2096" t="s">
        <v>22</v>
      </c>
      <c r="U2096" t="str">
        <f t="shared" si="32"/>
        <v>0</v>
      </c>
      <c r="V2096" t="str">
        <f>IF(Table1[appointment_status]="Attended","1","0")</f>
        <v>1</v>
      </c>
      <c r="W2096" t="str">
        <f>IF(Table1[appointment_status]="Cancelled","1","0")</f>
        <v>0</v>
      </c>
    </row>
    <row r="2097" spans="1:23">
      <c r="A2097" t="s">
        <v>3300</v>
      </c>
      <c r="B2097" t="s">
        <v>2803</v>
      </c>
      <c r="C2097">
        <v>63</v>
      </c>
      <c r="D2097" t="str" cm="1">
        <f t="array" ref="D2097">_xlfn.IFS(Table1[[#This Row],[age]]&lt;=17,"0-17",C2097&lt;=29,"18-29",C2097&lt;=44,"30-44",C2097&lt;=59,"45-59",C2097&lt;=74,"60-74",TRUE,"75+")</f>
        <v>60-74</v>
      </c>
      <c r="E2097" t="s">
        <v>29</v>
      </c>
      <c r="F2097">
        <v>3</v>
      </c>
      <c r="G2097" t="str" cm="1">
        <f t="array" ref="G2097">_xlfn.IFS(_xlfn.SINGLE(Table1[imd_decile])&lt;=3,"Most Deprived",F2097&lt;=7,"Moderately Deprived",F2097&lt;=10,"Least Deprived")</f>
        <v>Most Deprived</v>
      </c>
      <c r="H2097">
        <v>1.9</v>
      </c>
      <c r="I2097" t="s">
        <v>38</v>
      </c>
      <c r="J2097" t="s">
        <v>19</v>
      </c>
      <c r="K2097" s="1">
        <v>45922</v>
      </c>
      <c r="L2097" s="1">
        <v>45946</v>
      </c>
      <c r="M2097" s="1" t="str">
        <f>TEXT(Table1[[#This Row],[appointment_date]],"MM/YYYY")</f>
        <v>10/2025</v>
      </c>
      <c r="N2097">
        <v>24</v>
      </c>
      <c r="O2097" t="str" cm="1">
        <f t="array" ref="O2097">_xlfn.IFS(Table1[[#This Row],[lead_time_days]]&lt;=7,"0-7 days",N2097&lt;=14,"8-14 days",N2097&lt;=30,"15-30 days",N2097&lt;=60,"31-60 days",TRUE,"61+ days")</f>
        <v>15-30 days</v>
      </c>
      <c r="P2097" t="s">
        <v>20</v>
      </c>
      <c r="Q2097" t="s">
        <v>32</v>
      </c>
      <c r="R2097">
        <v>1</v>
      </c>
      <c r="S2097" t="str">
        <f>IF(Table1[prior_dna_count]&gt;=1,"Has prior DNA history","No prior DNA history")</f>
        <v>Has prior DNA history</v>
      </c>
      <c r="T2097" t="s">
        <v>22</v>
      </c>
      <c r="U2097" t="str">
        <f t="shared" si="32"/>
        <v>1</v>
      </c>
      <c r="V2097" t="str">
        <f>IF(Table1[appointment_status]="Attended","1","0")</f>
        <v>1</v>
      </c>
      <c r="W2097" t="str">
        <f>IF(Table1[appointment_status]="Cancelled","1","0")</f>
        <v>0</v>
      </c>
    </row>
    <row r="2098" spans="1:23">
      <c r="A2098" t="s">
        <v>3301</v>
      </c>
      <c r="B2098" t="s">
        <v>3001</v>
      </c>
      <c r="C2098">
        <v>18</v>
      </c>
      <c r="D2098" t="str" cm="1">
        <f t="array" ref="D2098">_xlfn.IFS(Table1[[#This Row],[age]]&lt;=17,"0-17",C2098&lt;=29,"18-29",C2098&lt;=44,"30-44",C2098&lt;=59,"45-59",C2098&lt;=74,"60-74",TRUE,"75+")</f>
        <v>18-29</v>
      </c>
      <c r="E2098" t="s">
        <v>29</v>
      </c>
      <c r="F2098">
        <v>5</v>
      </c>
      <c r="G2098" t="str" cm="1">
        <f t="array" ref="G2098">_xlfn.IFS(_xlfn.SINGLE(Table1[imd_decile])&lt;=3,"Most Deprived",F2098&lt;=7,"Moderately Deprived",F2098&lt;=10,"Least Deprived")</f>
        <v>Moderately Deprived</v>
      </c>
      <c r="H2098">
        <v>1.2</v>
      </c>
      <c r="I2098" t="s">
        <v>25</v>
      </c>
      <c r="J2098" t="s">
        <v>19</v>
      </c>
      <c r="K2098" s="1">
        <v>45936</v>
      </c>
      <c r="L2098" s="1">
        <v>45947</v>
      </c>
      <c r="M2098" s="1" t="str">
        <f>TEXT(Table1[[#This Row],[appointment_date]],"MM/YYYY")</f>
        <v>10/2025</v>
      </c>
      <c r="N2098">
        <v>11</v>
      </c>
      <c r="O2098" t="str" cm="1">
        <f t="array" ref="O2098">_xlfn.IFS(Table1[[#This Row],[lead_time_days]]&lt;=7,"0-7 days",N2098&lt;=14,"8-14 days",N2098&lt;=30,"15-30 days",N2098&lt;=60,"31-60 days",TRUE,"61+ days")</f>
        <v>8-14 days</v>
      </c>
      <c r="P2098" t="s">
        <v>52</v>
      </c>
      <c r="Q2098" t="s">
        <v>21</v>
      </c>
      <c r="R2098">
        <v>0</v>
      </c>
      <c r="S2098" t="str">
        <f>IF(Table1[prior_dna_count]&gt;=1,"Has prior DNA history","No prior DNA history")</f>
        <v>No prior DNA history</v>
      </c>
      <c r="T2098" t="s">
        <v>22</v>
      </c>
      <c r="U2098" t="str">
        <f t="shared" si="32"/>
        <v>1</v>
      </c>
      <c r="V2098" t="str">
        <f>IF(Table1[appointment_status]="Attended","1","0")</f>
        <v>1</v>
      </c>
      <c r="W2098" t="str">
        <f>IF(Table1[appointment_status]="Cancelled","1","0")</f>
        <v>0</v>
      </c>
    </row>
    <row r="2099" spans="1:23">
      <c r="A2099" t="s">
        <v>3302</v>
      </c>
      <c r="B2099" t="s">
        <v>1611</v>
      </c>
      <c r="C2099">
        <v>62</v>
      </c>
      <c r="D2099" t="str" cm="1">
        <f t="array" ref="D2099">_xlfn.IFS(Table1[[#This Row],[age]]&lt;=17,"0-17",C2099&lt;=29,"18-29",C2099&lt;=44,"30-44",C2099&lt;=59,"45-59",C2099&lt;=74,"60-74",TRUE,"75+")</f>
        <v>60-74</v>
      </c>
      <c r="E2099" t="s">
        <v>29</v>
      </c>
      <c r="F2099">
        <v>3</v>
      </c>
      <c r="G2099" t="str" cm="1">
        <f t="array" ref="G2099">_xlfn.IFS(_xlfn.SINGLE(Table1[imd_decile])&lt;=3,"Most Deprived",F2099&lt;=7,"Moderately Deprived",F2099&lt;=10,"Least Deprived")</f>
        <v>Most Deprived</v>
      </c>
      <c r="H2099">
        <v>3.6</v>
      </c>
      <c r="I2099" t="s">
        <v>45</v>
      </c>
      <c r="J2099" t="s">
        <v>26</v>
      </c>
      <c r="K2099" s="1">
        <v>45921</v>
      </c>
      <c r="L2099" s="1">
        <v>45947</v>
      </c>
      <c r="M2099" s="1" t="str">
        <f>TEXT(Table1[[#This Row],[appointment_date]],"MM/YYYY")</f>
        <v>10/2025</v>
      </c>
      <c r="N2099">
        <v>26</v>
      </c>
      <c r="O2099" t="str" cm="1">
        <f t="array" ref="O2099">_xlfn.IFS(Table1[[#This Row],[lead_time_days]]&lt;=7,"0-7 days",N2099&lt;=14,"8-14 days",N2099&lt;=30,"15-30 days",N2099&lt;=60,"31-60 days",TRUE,"61+ days")</f>
        <v>15-30 days</v>
      </c>
      <c r="P2099" t="s">
        <v>52</v>
      </c>
      <c r="Q2099" t="s">
        <v>21</v>
      </c>
      <c r="R2099">
        <v>0</v>
      </c>
      <c r="S2099" t="str">
        <f>IF(Table1[prior_dna_count]&gt;=1,"Has prior DNA history","No prior DNA history")</f>
        <v>No prior DNA history</v>
      </c>
      <c r="T2099" t="s">
        <v>22</v>
      </c>
      <c r="U2099" t="str">
        <f t="shared" si="32"/>
        <v>1</v>
      </c>
      <c r="V2099" t="str">
        <f>IF(Table1[appointment_status]="Attended","1","0")</f>
        <v>1</v>
      </c>
      <c r="W2099" t="str">
        <f>IF(Table1[appointment_status]="Cancelled","1","0")</f>
        <v>0</v>
      </c>
    </row>
    <row r="2100" spans="1:23">
      <c r="A2100" t="s">
        <v>3303</v>
      </c>
      <c r="B2100" t="s">
        <v>403</v>
      </c>
      <c r="C2100">
        <v>57</v>
      </c>
      <c r="D2100" t="str" cm="1">
        <f t="array" ref="D2100">_xlfn.IFS(Table1[[#This Row],[age]]&lt;=17,"0-17",C2100&lt;=29,"18-29",C2100&lt;=44,"30-44",C2100&lt;=59,"45-59",C2100&lt;=74,"60-74",TRUE,"75+")</f>
        <v>45-59</v>
      </c>
      <c r="E2100" t="s">
        <v>17</v>
      </c>
      <c r="F2100">
        <v>4</v>
      </c>
      <c r="G2100" t="str" cm="1">
        <f t="array" ref="G2100">_xlfn.IFS(_xlfn.SINGLE(Table1[imd_decile])&lt;=3,"Most Deprived",F2100&lt;=7,"Moderately Deprived",F2100&lt;=10,"Least Deprived")</f>
        <v>Moderately Deprived</v>
      </c>
      <c r="H2100">
        <v>1.5</v>
      </c>
      <c r="I2100" t="s">
        <v>30</v>
      </c>
      <c r="J2100" t="s">
        <v>19</v>
      </c>
      <c r="K2100" s="1">
        <v>45902</v>
      </c>
      <c r="L2100" s="1">
        <v>45947</v>
      </c>
      <c r="M2100" s="1" t="str">
        <f>TEXT(Table1[[#This Row],[appointment_date]],"MM/YYYY")</f>
        <v>10/2025</v>
      </c>
      <c r="N2100">
        <v>45</v>
      </c>
      <c r="O2100" t="str" cm="1">
        <f t="array" ref="O2100">_xlfn.IFS(Table1[[#This Row],[lead_time_days]]&lt;=7,"0-7 days",N2100&lt;=14,"8-14 days",N2100&lt;=30,"15-30 days",N2100&lt;=60,"31-60 days",TRUE,"61+ days")</f>
        <v>31-60 days</v>
      </c>
      <c r="P2100" t="s">
        <v>52</v>
      </c>
      <c r="Q2100" t="s">
        <v>21</v>
      </c>
      <c r="R2100">
        <v>0</v>
      </c>
      <c r="S2100" t="str">
        <f>IF(Table1[prior_dna_count]&gt;=1,"Has prior DNA history","No prior DNA history")</f>
        <v>No prior DNA history</v>
      </c>
      <c r="T2100" t="s">
        <v>22</v>
      </c>
      <c r="U2100" t="str">
        <f t="shared" si="32"/>
        <v>1</v>
      </c>
      <c r="V2100" t="str">
        <f>IF(Table1[appointment_status]="Attended","1","0")</f>
        <v>1</v>
      </c>
      <c r="W2100" t="str">
        <f>IF(Table1[appointment_status]="Cancelled","1","0")</f>
        <v>0</v>
      </c>
    </row>
    <row r="2101" spans="1:23">
      <c r="A2101" t="s">
        <v>3304</v>
      </c>
      <c r="B2101" t="s">
        <v>1330</v>
      </c>
      <c r="C2101">
        <v>56</v>
      </c>
      <c r="D2101" t="str" cm="1">
        <f t="array" ref="D2101">_xlfn.IFS(Table1[[#This Row],[age]]&lt;=17,"0-17",C2101&lt;=29,"18-29",C2101&lt;=44,"30-44",C2101&lt;=59,"45-59",C2101&lt;=74,"60-74",TRUE,"75+")</f>
        <v>45-59</v>
      </c>
      <c r="E2101" t="s">
        <v>29</v>
      </c>
      <c r="F2101">
        <v>3</v>
      </c>
      <c r="G2101" t="str" cm="1">
        <f t="array" ref="G2101">_xlfn.IFS(_xlfn.SINGLE(Table1[imd_decile])&lt;=3,"Most Deprived",F2101&lt;=7,"Moderately Deprived",F2101&lt;=10,"Least Deprived")</f>
        <v>Most Deprived</v>
      </c>
      <c r="H2101">
        <v>6.4</v>
      </c>
      <c r="I2101" t="s">
        <v>42</v>
      </c>
      <c r="J2101" t="s">
        <v>26</v>
      </c>
      <c r="K2101" s="1">
        <v>45925</v>
      </c>
      <c r="L2101" s="1">
        <v>45947</v>
      </c>
      <c r="M2101" s="1" t="str">
        <f>TEXT(Table1[[#This Row],[appointment_date]],"MM/YYYY")</f>
        <v>10/2025</v>
      </c>
      <c r="N2101">
        <v>22</v>
      </c>
      <c r="O2101" t="str" cm="1">
        <f t="array" ref="O2101">_xlfn.IFS(Table1[[#This Row],[lead_time_days]]&lt;=7,"0-7 days",N2101&lt;=14,"8-14 days",N2101&lt;=30,"15-30 days",N2101&lt;=60,"31-60 days",TRUE,"61+ days")</f>
        <v>15-30 days</v>
      </c>
      <c r="P2101" t="s">
        <v>52</v>
      </c>
      <c r="Q2101" t="s">
        <v>32</v>
      </c>
      <c r="R2101">
        <v>1</v>
      </c>
      <c r="S2101" t="str">
        <f>IF(Table1[prior_dna_count]&gt;=1,"Has prior DNA history","No prior DNA history")</f>
        <v>Has prior DNA history</v>
      </c>
      <c r="T2101" t="s">
        <v>22</v>
      </c>
      <c r="U2101" t="str">
        <f t="shared" si="32"/>
        <v>1</v>
      </c>
      <c r="V2101" t="str">
        <f>IF(Table1[appointment_status]="Attended","1","0")</f>
        <v>1</v>
      </c>
      <c r="W2101" t="str">
        <f>IF(Table1[appointment_status]="Cancelled","1","0")</f>
        <v>0</v>
      </c>
    </row>
    <row r="2102" spans="1:23">
      <c r="A2102" t="s">
        <v>3305</v>
      </c>
      <c r="B2102" t="s">
        <v>3204</v>
      </c>
      <c r="C2102">
        <v>15</v>
      </c>
      <c r="D2102" t="str" cm="1">
        <f t="array" ref="D2102">_xlfn.IFS(Table1[[#This Row],[age]]&lt;=17,"0-17",C2102&lt;=29,"18-29",C2102&lt;=44,"30-44",C2102&lt;=59,"45-59",C2102&lt;=74,"60-74",TRUE,"75+")</f>
        <v>0-17</v>
      </c>
      <c r="E2102" t="s">
        <v>29</v>
      </c>
      <c r="F2102">
        <v>6</v>
      </c>
      <c r="G2102" t="str" cm="1">
        <f t="array" ref="G2102">_xlfn.IFS(_xlfn.SINGLE(Table1[imd_decile])&lt;=3,"Most Deprived",F2102&lt;=7,"Moderately Deprived",F2102&lt;=10,"Least Deprived")</f>
        <v>Moderately Deprived</v>
      </c>
      <c r="H2102">
        <v>6.7</v>
      </c>
      <c r="I2102" t="s">
        <v>42</v>
      </c>
      <c r="J2102" t="s">
        <v>19</v>
      </c>
      <c r="K2102" s="1">
        <v>45908</v>
      </c>
      <c r="L2102" s="1">
        <v>45948</v>
      </c>
      <c r="M2102" s="1" t="str">
        <f>TEXT(Table1[[#This Row],[appointment_date]],"MM/YYYY")</f>
        <v>10/2025</v>
      </c>
      <c r="N2102">
        <v>40</v>
      </c>
      <c r="O2102" t="str" cm="1">
        <f t="array" ref="O2102">_xlfn.IFS(Table1[[#This Row],[lead_time_days]]&lt;=7,"0-7 days",N2102&lt;=14,"8-14 days",N2102&lt;=30,"15-30 days",N2102&lt;=60,"31-60 days",TRUE,"61+ days")</f>
        <v>31-60 days</v>
      </c>
      <c r="P2102" t="s">
        <v>55</v>
      </c>
      <c r="Q2102" t="s">
        <v>21</v>
      </c>
      <c r="R2102">
        <v>0</v>
      </c>
      <c r="S2102" t="str">
        <f>IF(Table1[prior_dna_count]&gt;=1,"Has prior DNA history","No prior DNA history")</f>
        <v>No prior DNA history</v>
      </c>
      <c r="T2102" t="s">
        <v>22</v>
      </c>
      <c r="U2102" t="str">
        <f t="shared" si="32"/>
        <v>1</v>
      </c>
      <c r="V2102" t="str">
        <f>IF(Table1[appointment_status]="Attended","1","0")</f>
        <v>1</v>
      </c>
      <c r="W2102" t="str">
        <f>IF(Table1[appointment_status]="Cancelled","1","0")</f>
        <v>0</v>
      </c>
    </row>
    <row r="2103" spans="1:23">
      <c r="A2103" t="s">
        <v>3306</v>
      </c>
      <c r="B2103" t="s">
        <v>1536</v>
      </c>
      <c r="C2103">
        <v>60</v>
      </c>
      <c r="D2103" t="str" cm="1">
        <f t="array" ref="D2103">_xlfn.IFS(Table1[[#This Row],[age]]&lt;=17,"0-17",C2103&lt;=29,"18-29",C2103&lt;=44,"30-44",C2103&lt;=59,"45-59",C2103&lt;=74,"60-74",TRUE,"75+")</f>
        <v>60-74</v>
      </c>
      <c r="E2103" t="s">
        <v>17</v>
      </c>
      <c r="F2103">
        <v>9</v>
      </c>
      <c r="G2103" t="str" cm="1">
        <f t="array" ref="G2103">_xlfn.IFS(_xlfn.SINGLE(Table1[imd_decile])&lt;=3,"Most Deprived",F2103&lt;=7,"Moderately Deprived",F2103&lt;=10,"Least Deprived")</f>
        <v>Least Deprived</v>
      </c>
      <c r="H2103">
        <v>10.1</v>
      </c>
      <c r="I2103" t="s">
        <v>45</v>
      </c>
      <c r="J2103" t="s">
        <v>19</v>
      </c>
      <c r="K2103" s="1">
        <v>45893</v>
      </c>
      <c r="L2103" s="1">
        <v>45948</v>
      </c>
      <c r="M2103" s="1" t="str">
        <f>TEXT(Table1[[#This Row],[appointment_date]],"MM/YYYY")</f>
        <v>10/2025</v>
      </c>
      <c r="N2103">
        <v>55</v>
      </c>
      <c r="O2103" t="str" cm="1">
        <f t="array" ref="O2103">_xlfn.IFS(Table1[[#This Row],[lead_time_days]]&lt;=7,"0-7 days",N2103&lt;=14,"8-14 days",N2103&lt;=30,"15-30 days",N2103&lt;=60,"31-60 days",TRUE,"61+ days")</f>
        <v>31-60 days</v>
      </c>
      <c r="P2103" t="s">
        <v>55</v>
      </c>
      <c r="Q2103" t="s">
        <v>21</v>
      </c>
      <c r="R2103">
        <v>0</v>
      </c>
      <c r="S2103" t="str">
        <f>IF(Table1[prior_dna_count]&gt;=1,"Has prior DNA history","No prior DNA history")</f>
        <v>No prior DNA history</v>
      </c>
      <c r="T2103" t="s">
        <v>22</v>
      </c>
      <c r="U2103" t="str">
        <f t="shared" si="32"/>
        <v>1</v>
      </c>
      <c r="V2103" t="str">
        <f>IF(Table1[appointment_status]="Attended","1","0")</f>
        <v>1</v>
      </c>
      <c r="W2103" t="str">
        <f>IF(Table1[appointment_status]="Cancelled","1","0")</f>
        <v>0</v>
      </c>
    </row>
    <row r="2104" spans="1:23">
      <c r="A2104" t="s">
        <v>3307</v>
      </c>
      <c r="B2104" t="s">
        <v>3129</v>
      </c>
      <c r="C2104">
        <v>64</v>
      </c>
      <c r="D2104" t="str" cm="1">
        <f t="array" ref="D2104">_xlfn.IFS(Table1[[#This Row],[age]]&lt;=17,"0-17",C2104&lt;=29,"18-29",C2104&lt;=44,"30-44",C2104&lt;=59,"45-59",C2104&lt;=74,"60-74",TRUE,"75+")</f>
        <v>60-74</v>
      </c>
      <c r="E2104" t="s">
        <v>17</v>
      </c>
      <c r="F2104">
        <v>10</v>
      </c>
      <c r="G2104" t="str" cm="1">
        <f t="array" ref="G2104">_xlfn.IFS(_xlfn.SINGLE(Table1[imd_decile])&lt;=3,"Most Deprived",F2104&lt;=7,"Moderately Deprived",F2104&lt;=10,"Least Deprived")</f>
        <v>Least Deprived</v>
      </c>
      <c r="H2104">
        <v>4</v>
      </c>
      <c r="I2104" t="s">
        <v>155</v>
      </c>
      <c r="J2104" t="s">
        <v>26</v>
      </c>
      <c r="K2104" s="1">
        <v>45935</v>
      </c>
      <c r="L2104" s="1">
        <v>45948</v>
      </c>
      <c r="M2104" s="1" t="str">
        <f>TEXT(Table1[[#This Row],[appointment_date]],"MM/YYYY")</f>
        <v>10/2025</v>
      </c>
      <c r="N2104">
        <v>13</v>
      </c>
      <c r="O2104" t="str" cm="1">
        <f t="array" ref="O2104">_xlfn.IFS(Table1[[#This Row],[lead_time_days]]&lt;=7,"0-7 days",N2104&lt;=14,"8-14 days",N2104&lt;=30,"15-30 days",N2104&lt;=60,"31-60 days",TRUE,"61+ days")</f>
        <v>8-14 days</v>
      </c>
      <c r="P2104" t="s">
        <v>55</v>
      </c>
      <c r="Q2104" t="s">
        <v>21</v>
      </c>
      <c r="R2104">
        <v>0</v>
      </c>
      <c r="S2104" t="str">
        <f>IF(Table1[prior_dna_count]&gt;=1,"Has prior DNA history","No prior DNA history")</f>
        <v>No prior DNA history</v>
      </c>
      <c r="T2104" t="s">
        <v>22</v>
      </c>
      <c r="U2104" t="str">
        <f t="shared" si="32"/>
        <v>1</v>
      </c>
      <c r="V2104" t="str">
        <f>IF(Table1[appointment_status]="Attended","1","0")</f>
        <v>1</v>
      </c>
      <c r="W2104" t="str">
        <f>IF(Table1[appointment_status]="Cancelled","1","0")</f>
        <v>0</v>
      </c>
    </row>
    <row r="2105" spans="1:23">
      <c r="A2105" t="s">
        <v>3308</v>
      </c>
      <c r="B2105" t="s">
        <v>3014</v>
      </c>
      <c r="C2105">
        <v>83</v>
      </c>
      <c r="D2105" t="str" cm="1">
        <f t="array" ref="D2105">_xlfn.IFS(Table1[[#This Row],[age]]&lt;=17,"0-17",C2105&lt;=29,"18-29",C2105&lt;=44,"30-44",C2105&lt;=59,"45-59",C2105&lt;=74,"60-74",TRUE,"75+")</f>
        <v>75+</v>
      </c>
      <c r="E2105" t="s">
        <v>29</v>
      </c>
      <c r="F2105">
        <v>7</v>
      </c>
      <c r="G2105" t="str" cm="1">
        <f t="array" ref="G2105">_xlfn.IFS(_xlfn.SINGLE(Table1[imd_decile])&lt;=3,"Most Deprived",F2105&lt;=7,"Moderately Deprived",F2105&lt;=10,"Least Deprived")</f>
        <v>Moderately Deprived</v>
      </c>
      <c r="H2105">
        <v>5.0999999999999996</v>
      </c>
      <c r="I2105" t="s">
        <v>38</v>
      </c>
      <c r="J2105" t="s">
        <v>19</v>
      </c>
      <c r="K2105" s="1">
        <v>45907</v>
      </c>
      <c r="L2105" s="1">
        <v>45948</v>
      </c>
      <c r="M2105" s="1" t="str">
        <f>TEXT(Table1[[#This Row],[appointment_date]],"MM/YYYY")</f>
        <v>10/2025</v>
      </c>
      <c r="N2105">
        <v>41</v>
      </c>
      <c r="O2105" t="str" cm="1">
        <f t="array" ref="O2105">_xlfn.IFS(Table1[[#This Row],[lead_time_days]]&lt;=7,"0-7 days",N2105&lt;=14,"8-14 days",N2105&lt;=30,"15-30 days",N2105&lt;=60,"31-60 days",TRUE,"61+ days")</f>
        <v>31-60 days</v>
      </c>
      <c r="P2105" t="s">
        <v>55</v>
      </c>
      <c r="Q2105" t="s">
        <v>21</v>
      </c>
      <c r="R2105">
        <v>0</v>
      </c>
      <c r="S2105" t="str">
        <f>IF(Table1[prior_dna_count]&gt;=1,"Has prior DNA history","No prior DNA history")</f>
        <v>No prior DNA history</v>
      </c>
      <c r="T2105" t="s">
        <v>22</v>
      </c>
      <c r="U2105" t="str">
        <f t="shared" si="32"/>
        <v>1</v>
      </c>
      <c r="V2105" t="str">
        <f>IF(Table1[appointment_status]="Attended","1","0")</f>
        <v>1</v>
      </c>
      <c r="W2105" t="str">
        <f>IF(Table1[appointment_status]="Cancelled","1","0")</f>
        <v>0</v>
      </c>
    </row>
    <row r="2106" spans="1:23">
      <c r="A2106" t="s">
        <v>3309</v>
      </c>
      <c r="B2106" t="s">
        <v>3310</v>
      </c>
      <c r="C2106">
        <v>55</v>
      </c>
      <c r="D2106" t="str" cm="1">
        <f t="array" ref="D2106">_xlfn.IFS(Table1[[#This Row],[age]]&lt;=17,"0-17",C2106&lt;=29,"18-29",C2106&lt;=44,"30-44",C2106&lt;=59,"45-59",C2106&lt;=74,"60-74",TRUE,"75+")</f>
        <v>45-59</v>
      </c>
      <c r="E2106" t="s">
        <v>17</v>
      </c>
      <c r="F2106">
        <v>9</v>
      </c>
      <c r="G2106" t="str" cm="1">
        <f t="array" ref="G2106">_xlfn.IFS(_xlfn.SINGLE(Table1[imd_decile])&lt;=3,"Most Deprived",F2106&lt;=7,"Moderately Deprived",F2106&lt;=10,"Least Deprived")</f>
        <v>Least Deprived</v>
      </c>
      <c r="H2106">
        <v>7</v>
      </c>
      <c r="I2106" t="s">
        <v>155</v>
      </c>
      <c r="J2106" t="s">
        <v>19</v>
      </c>
      <c r="K2106" s="1">
        <v>45871</v>
      </c>
      <c r="L2106" s="1">
        <v>45948</v>
      </c>
      <c r="M2106" s="1" t="str">
        <f>TEXT(Table1[[#This Row],[appointment_date]],"MM/YYYY")</f>
        <v>10/2025</v>
      </c>
      <c r="N2106">
        <v>77</v>
      </c>
      <c r="O2106" t="str" cm="1">
        <f t="array" ref="O2106">_xlfn.IFS(Table1[[#This Row],[lead_time_days]]&lt;=7,"0-7 days",N2106&lt;=14,"8-14 days",N2106&lt;=30,"15-30 days",N2106&lt;=60,"31-60 days",TRUE,"61+ days")</f>
        <v>61+ days</v>
      </c>
      <c r="P2106" t="s">
        <v>55</v>
      </c>
      <c r="Q2106" t="s">
        <v>32</v>
      </c>
      <c r="R2106">
        <v>0</v>
      </c>
      <c r="S2106" t="str">
        <f>IF(Table1[prior_dna_count]&gt;=1,"Has prior DNA history","No prior DNA history")</f>
        <v>No prior DNA history</v>
      </c>
      <c r="T2106" t="s">
        <v>39</v>
      </c>
      <c r="U2106" t="str">
        <f t="shared" si="32"/>
        <v>1</v>
      </c>
      <c r="V2106" t="str">
        <f>IF(Table1[appointment_status]="Attended","1","0")</f>
        <v>0</v>
      </c>
      <c r="W2106" t="str">
        <f>IF(Table1[appointment_status]="Cancelled","1","0")</f>
        <v>0</v>
      </c>
    </row>
    <row r="2107" spans="1:23">
      <c r="A2107" t="s">
        <v>3311</v>
      </c>
      <c r="B2107" t="s">
        <v>3312</v>
      </c>
      <c r="C2107">
        <v>27</v>
      </c>
      <c r="D2107" t="str" cm="1">
        <f t="array" ref="D2107">_xlfn.IFS(Table1[[#This Row],[age]]&lt;=17,"0-17",C2107&lt;=29,"18-29",C2107&lt;=44,"30-44",C2107&lt;=59,"45-59",C2107&lt;=74,"60-74",TRUE,"75+")</f>
        <v>18-29</v>
      </c>
      <c r="E2107" t="s">
        <v>17</v>
      </c>
      <c r="F2107">
        <v>1</v>
      </c>
      <c r="G2107" t="str" cm="1">
        <f t="array" ref="G2107">_xlfn.IFS(_xlfn.SINGLE(Table1[imd_decile])&lt;=3,"Most Deprived",F2107&lt;=7,"Moderately Deprived",F2107&lt;=10,"Least Deprived")</f>
        <v>Most Deprived</v>
      </c>
      <c r="H2107">
        <v>22.8</v>
      </c>
      <c r="I2107" t="s">
        <v>91</v>
      </c>
      <c r="J2107" t="s">
        <v>26</v>
      </c>
      <c r="K2107" s="1">
        <v>45888</v>
      </c>
      <c r="L2107" s="1">
        <v>45948</v>
      </c>
      <c r="M2107" s="1" t="str">
        <f>TEXT(Table1[[#This Row],[appointment_date]],"MM/YYYY")</f>
        <v>10/2025</v>
      </c>
      <c r="N2107">
        <v>60</v>
      </c>
      <c r="O2107" t="str" cm="1">
        <f t="array" ref="O2107">_xlfn.IFS(Table1[[#This Row],[lead_time_days]]&lt;=7,"0-7 days",N2107&lt;=14,"8-14 days",N2107&lt;=30,"15-30 days",N2107&lt;=60,"31-60 days",TRUE,"61+ days")</f>
        <v>31-60 days</v>
      </c>
      <c r="P2107" t="s">
        <v>55</v>
      </c>
      <c r="Q2107" t="s">
        <v>21</v>
      </c>
      <c r="R2107">
        <v>0</v>
      </c>
      <c r="S2107" t="str">
        <f>IF(Table1[prior_dna_count]&gt;=1,"Has prior DNA history","No prior DNA history")</f>
        <v>No prior DNA history</v>
      </c>
      <c r="T2107" t="s">
        <v>22</v>
      </c>
      <c r="U2107" t="str">
        <f t="shared" si="32"/>
        <v>0</v>
      </c>
      <c r="V2107" t="str">
        <f>IF(Table1[appointment_status]="Attended","1","0")</f>
        <v>1</v>
      </c>
      <c r="W2107" t="str">
        <f>IF(Table1[appointment_status]="Cancelled","1","0")</f>
        <v>0</v>
      </c>
    </row>
    <row r="2108" spans="1:23">
      <c r="A2108" t="s">
        <v>3313</v>
      </c>
      <c r="B2108" t="s">
        <v>3314</v>
      </c>
      <c r="C2108">
        <v>71</v>
      </c>
      <c r="D2108" t="str" cm="1">
        <f t="array" ref="D2108">_xlfn.IFS(Table1[[#This Row],[age]]&lt;=17,"0-17",C2108&lt;=29,"18-29",C2108&lt;=44,"30-44",C2108&lt;=59,"45-59",C2108&lt;=74,"60-74",TRUE,"75+")</f>
        <v>60-74</v>
      </c>
      <c r="E2108" t="s">
        <v>29</v>
      </c>
      <c r="F2108">
        <v>7</v>
      </c>
      <c r="G2108" t="str" cm="1">
        <f t="array" ref="G2108">_xlfn.IFS(_xlfn.SINGLE(Table1[imd_decile])&lt;=3,"Most Deprived",F2108&lt;=7,"Moderately Deprived",F2108&lt;=10,"Least Deprived")</f>
        <v>Moderately Deprived</v>
      </c>
      <c r="H2108">
        <v>12.4</v>
      </c>
      <c r="I2108" t="s">
        <v>30</v>
      </c>
      <c r="J2108" t="s">
        <v>26</v>
      </c>
      <c r="K2108" s="1">
        <v>45931</v>
      </c>
      <c r="L2108" s="1">
        <v>45948</v>
      </c>
      <c r="M2108" s="1" t="str">
        <f>TEXT(Table1[[#This Row],[appointment_date]],"MM/YYYY")</f>
        <v>10/2025</v>
      </c>
      <c r="N2108">
        <v>17</v>
      </c>
      <c r="O2108" t="str" cm="1">
        <f t="array" ref="O2108">_xlfn.IFS(Table1[[#This Row],[lead_time_days]]&lt;=7,"0-7 days",N2108&lt;=14,"8-14 days",N2108&lt;=30,"15-30 days",N2108&lt;=60,"31-60 days",TRUE,"61+ days")</f>
        <v>15-30 days</v>
      </c>
      <c r="P2108" t="s">
        <v>55</v>
      </c>
      <c r="Q2108" t="s">
        <v>32</v>
      </c>
      <c r="R2108">
        <v>0</v>
      </c>
      <c r="S2108" t="str">
        <f>IF(Table1[prior_dna_count]&gt;=1,"Has prior DNA history","No prior DNA history")</f>
        <v>No prior DNA history</v>
      </c>
      <c r="T2108" t="s">
        <v>22</v>
      </c>
      <c r="U2108" t="str">
        <f t="shared" si="32"/>
        <v>1</v>
      </c>
      <c r="V2108" t="str">
        <f>IF(Table1[appointment_status]="Attended","1","0")</f>
        <v>1</v>
      </c>
      <c r="W2108" t="str">
        <f>IF(Table1[appointment_status]="Cancelled","1","0")</f>
        <v>0</v>
      </c>
    </row>
    <row r="2109" spans="1:23">
      <c r="A2109" t="s">
        <v>3315</v>
      </c>
      <c r="B2109" t="s">
        <v>1946</v>
      </c>
      <c r="C2109">
        <v>41</v>
      </c>
      <c r="D2109" t="str" cm="1">
        <f t="array" ref="D2109">_xlfn.IFS(Table1[[#This Row],[age]]&lt;=17,"0-17",C2109&lt;=29,"18-29",C2109&lt;=44,"30-44",C2109&lt;=59,"45-59",C2109&lt;=74,"60-74",TRUE,"75+")</f>
        <v>30-44</v>
      </c>
      <c r="E2109" t="s">
        <v>17</v>
      </c>
      <c r="F2109">
        <v>8</v>
      </c>
      <c r="G2109" t="str" cm="1">
        <f t="array" ref="G2109">_xlfn.IFS(_xlfn.SINGLE(Table1[imd_decile])&lt;=3,"Most Deprived",F2109&lt;=7,"Moderately Deprived",F2109&lt;=10,"Least Deprived")</f>
        <v>Least Deprived</v>
      </c>
      <c r="H2109">
        <v>9.8000000000000007</v>
      </c>
      <c r="I2109" t="s">
        <v>42</v>
      </c>
      <c r="J2109" t="s">
        <v>26</v>
      </c>
      <c r="K2109" s="1">
        <v>45942</v>
      </c>
      <c r="L2109" s="1">
        <v>45948</v>
      </c>
      <c r="M2109" s="1" t="str">
        <f>TEXT(Table1[[#This Row],[appointment_date]],"MM/YYYY")</f>
        <v>10/2025</v>
      </c>
      <c r="N2109">
        <v>6</v>
      </c>
      <c r="O2109" t="str" cm="1">
        <f t="array" ref="O2109">_xlfn.IFS(Table1[[#This Row],[lead_time_days]]&lt;=7,"0-7 days",N2109&lt;=14,"8-14 days",N2109&lt;=30,"15-30 days",N2109&lt;=60,"31-60 days",TRUE,"61+ days")</f>
        <v>0-7 days</v>
      </c>
      <c r="P2109" t="s">
        <v>55</v>
      </c>
      <c r="Q2109" t="s">
        <v>21</v>
      </c>
      <c r="R2109">
        <v>1</v>
      </c>
      <c r="S2109" t="str">
        <f>IF(Table1[prior_dna_count]&gt;=1,"Has prior DNA history","No prior DNA history")</f>
        <v>Has prior DNA history</v>
      </c>
      <c r="T2109" t="s">
        <v>22</v>
      </c>
      <c r="U2109" t="str">
        <f t="shared" si="32"/>
        <v>1</v>
      </c>
      <c r="V2109" t="str">
        <f>IF(Table1[appointment_status]="Attended","1","0")</f>
        <v>1</v>
      </c>
      <c r="W2109" t="str">
        <f>IF(Table1[appointment_status]="Cancelled","1","0")</f>
        <v>0</v>
      </c>
    </row>
    <row r="2110" spans="1:23">
      <c r="A2110" t="s">
        <v>3316</v>
      </c>
      <c r="B2110" t="s">
        <v>1027</v>
      </c>
      <c r="C2110">
        <v>31</v>
      </c>
      <c r="D2110" t="str" cm="1">
        <f t="array" ref="D2110">_xlfn.IFS(Table1[[#This Row],[age]]&lt;=17,"0-17",C2110&lt;=29,"18-29",C2110&lt;=44,"30-44",C2110&lt;=59,"45-59",C2110&lt;=74,"60-74",TRUE,"75+")</f>
        <v>30-44</v>
      </c>
      <c r="E2110" t="s">
        <v>29</v>
      </c>
      <c r="F2110">
        <v>3</v>
      </c>
      <c r="G2110" t="str" cm="1">
        <f t="array" ref="G2110">_xlfn.IFS(_xlfn.SINGLE(Table1[imd_decile])&lt;=3,"Most Deprived",F2110&lt;=7,"Moderately Deprived",F2110&lt;=10,"Least Deprived")</f>
        <v>Most Deprived</v>
      </c>
      <c r="H2110">
        <v>14</v>
      </c>
      <c r="I2110" t="s">
        <v>42</v>
      </c>
      <c r="J2110" t="s">
        <v>19</v>
      </c>
      <c r="K2110" s="1">
        <v>45930</v>
      </c>
      <c r="L2110" s="1">
        <v>45948</v>
      </c>
      <c r="M2110" s="1" t="str">
        <f>TEXT(Table1[[#This Row],[appointment_date]],"MM/YYYY")</f>
        <v>10/2025</v>
      </c>
      <c r="N2110">
        <v>18</v>
      </c>
      <c r="O2110" t="str" cm="1">
        <f t="array" ref="O2110">_xlfn.IFS(Table1[[#This Row],[lead_time_days]]&lt;=7,"0-7 days",N2110&lt;=14,"8-14 days",N2110&lt;=30,"15-30 days",N2110&lt;=60,"31-60 days",TRUE,"61+ days")</f>
        <v>15-30 days</v>
      </c>
      <c r="P2110" t="s">
        <v>55</v>
      </c>
      <c r="Q2110" t="s">
        <v>21</v>
      </c>
      <c r="R2110">
        <v>0</v>
      </c>
      <c r="S2110" t="str">
        <f>IF(Table1[prior_dna_count]&gt;=1,"Has prior DNA history","No prior DNA history")</f>
        <v>No prior DNA history</v>
      </c>
      <c r="T2110" t="s">
        <v>22</v>
      </c>
      <c r="U2110" t="str">
        <f t="shared" si="32"/>
        <v>1</v>
      </c>
      <c r="V2110" t="str">
        <f>IF(Table1[appointment_status]="Attended","1","0")</f>
        <v>1</v>
      </c>
      <c r="W2110" t="str">
        <f>IF(Table1[appointment_status]="Cancelled","1","0")</f>
        <v>0</v>
      </c>
    </row>
    <row r="2111" spans="1:23">
      <c r="A2111" t="s">
        <v>3317</v>
      </c>
      <c r="B2111" t="s">
        <v>3318</v>
      </c>
      <c r="C2111">
        <v>40</v>
      </c>
      <c r="D2111" t="str" cm="1">
        <f t="array" ref="D2111">_xlfn.IFS(Table1[[#This Row],[age]]&lt;=17,"0-17",C2111&lt;=29,"18-29",C2111&lt;=44,"30-44",C2111&lt;=59,"45-59",C2111&lt;=74,"60-74",TRUE,"75+")</f>
        <v>30-44</v>
      </c>
      <c r="E2111" t="s">
        <v>29</v>
      </c>
      <c r="F2111">
        <v>3</v>
      </c>
      <c r="G2111" t="str" cm="1">
        <f t="array" ref="G2111">_xlfn.IFS(_xlfn.SINGLE(Table1[imd_decile])&lt;=3,"Most Deprived",F2111&lt;=7,"Moderately Deprived",F2111&lt;=10,"Least Deprived")</f>
        <v>Most Deprived</v>
      </c>
      <c r="H2111">
        <v>5.2</v>
      </c>
      <c r="I2111" t="s">
        <v>42</v>
      </c>
      <c r="J2111" t="s">
        <v>19</v>
      </c>
      <c r="K2111" s="1">
        <v>45929</v>
      </c>
      <c r="L2111" s="1">
        <v>45948</v>
      </c>
      <c r="M2111" s="1" t="str">
        <f>TEXT(Table1[[#This Row],[appointment_date]],"MM/YYYY")</f>
        <v>10/2025</v>
      </c>
      <c r="N2111">
        <v>19</v>
      </c>
      <c r="O2111" t="str" cm="1">
        <f t="array" ref="O2111">_xlfn.IFS(Table1[[#This Row],[lead_time_days]]&lt;=7,"0-7 days",N2111&lt;=14,"8-14 days",N2111&lt;=30,"15-30 days",N2111&lt;=60,"31-60 days",TRUE,"61+ days")</f>
        <v>15-30 days</v>
      </c>
      <c r="P2111" t="s">
        <v>55</v>
      </c>
      <c r="Q2111" t="s">
        <v>21</v>
      </c>
      <c r="R2111">
        <v>0</v>
      </c>
      <c r="S2111" t="str">
        <f>IF(Table1[prior_dna_count]&gt;=1,"Has prior DNA history","No prior DNA history")</f>
        <v>No prior DNA history</v>
      </c>
      <c r="T2111" t="s">
        <v>46</v>
      </c>
      <c r="U2111" t="str">
        <f t="shared" si="32"/>
        <v>1</v>
      </c>
      <c r="V2111" t="str">
        <f>IF(Table1[appointment_status]="Attended","1","0")</f>
        <v>0</v>
      </c>
      <c r="W2111" t="str">
        <f>IF(Table1[appointment_status]="Cancelled","1","0")</f>
        <v>1</v>
      </c>
    </row>
    <row r="2112" spans="1:23">
      <c r="A2112" t="s">
        <v>3319</v>
      </c>
      <c r="B2112" t="s">
        <v>2353</v>
      </c>
      <c r="C2112">
        <v>76</v>
      </c>
      <c r="D2112" t="str" cm="1">
        <f t="array" ref="D2112">_xlfn.IFS(Table1[[#This Row],[age]]&lt;=17,"0-17",C2112&lt;=29,"18-29",C2112&lt;=44,"30-44",C2112&lt;=59,"45-59",C2112&lt;=74,"60-74",TRUE,"75+")</f>
        <v>75+</v>
      </c>
      <c r="E2112" t="s">
        <v>17</v>
      </c>
      <c r="F2112">
        <v>3</v>
      </c>
      <c r="G2112" t="str" cm="1">
        <f t="array" ref="G2112">_xlfn.IFS(_xlfn.SINGLE(Table1[imd_decile])&lt;=3,"Most Deprived",F2112&lt;=7,"Moderately Deprived",F2112&lt;=10,"Least Deprived")</f>
        <v>Most Deprived</v>
      </c>
      <c r="H2112">
        <v>8.6</v>
      </c>
      <c r="I2112" t="s">
        <v>58</v>
      </c>
      <c r="J2112" t="s">
        <v>19</v>
      </c>
      <c r="K2112" s="1">
        <v>45907</v>
      </c>
      <c r="L2112" s="1">
        <v>45948</v>
      </c>
      <c r="M2112" s="1" t="str">
        <f>TEXT(Table1[[#This Row],[appointment_date]],"MM/YYYY")</f>
        <v>10/2025</v>
      </c>
      <c r="N2112">
        <v>41</v>
      </c>
      <c r="O2112" t="str" cm="1">
        <f t="array" ref="O2112">_xlfn.IFS(Table1[[#This Row],[lead_time_days]]&lt;=7,"0-7 days",N2112&lt;=14,"8-14 days",N2112&lt;=30,"15-30 days",N2112&lt;=60,"31-60 days",TRUE,"61+ days")</f>
        <v>31-60 days</v>
      </c>
      <c r="P2112" t="s">
        <v>55</v>
      </c>
      <c r="Q2112" t="s">
        <v>21</v>
      </c>
      <c r="R2112">
        <v>0</v>
      </c>
      <c r="S2112" t="str">
        <f>IF(Table1[prior_dna_count]&gt;=1,"Has prior DNA history","No prior DNA history")</f>
        <v>No prior DNA history</v>
      </c>
      <c r="T2112" t="s">
        <v>22</v>
      </c>
      <c r="U2112" t="str">
        <f t="shared" si="32"/>
        <v>0</v>
      </c>
      <c r="V2112" t="str">
        <f>IF(Table1[appointment_status]="Attended","1","0")</f>
        <v>1</v>
      </c>
      <c r="W2112" t="str">
        <f>IF(Table1[appointment_status]="Cancelled","1","0")</f>
        <v>0</v>
      </c>
    </row>
    <row r="2113" spans="1:23">
      <c r="A2113" t="s">
        <v>3320</v>
      </c>
      <c r="B2113" t="s">
        <v>115</v>
      </c>
      <c r="C2113">
        <v>2</v>
      </c>
      <c r="D2113" t="str" cm="1">
        <f t="array" ref="D2113">_xlfn.IFS(Table1[[#This Row],[age]]&lt;=17,"0-17",C2113&lt;=29,"18-29",C2113&lt;=44,"30-44",C2113&lt;=59,"45-59",C2113&lt;=74,"60-74",TRUE,"75+")</f>
        <v>0-17</v>
      </c>
      <c r="E2113" t="s">
        <v>17</v>
      </c>
      <c r="F2113">
        <v>5</v>
      </c>
      <c r="G2113" t="str" cm="1">
        <f t="array" ref="G2113">_xlfn.IFS(_xlfn.SINGLE(Table1[imd_decile])&lt;=3,"Most Deprived",F2113&lt;=7,"Moderately Deprived",F2113&lt;=10,"Least Deprived")</f>
        <v>Moderately Deprived</v>
      </c>
      <c r="H2113">
        <v>9.6999999999999993</v>
      </c>
      <c r="I2113" t="s">
        <v>30</v>
      </c>
      <c r="J2113" t="s">
        <v>19</v>
      </c>
      <c r="K2113" s="1">
        <v>45922</v>
      </c>
      <c r="L2113" s="1">
        <v>45948</v>
      </c>
      <c r="M2113" s="1" t="str">
        <f>TEXT(Table1[[#This Row],[appointment_date]],"MM/YYYY")</f>
        <v>10/2025</v>
      </c>
      <c r="N2113">
        <v>26</v>
      </c>
      <c r="O2113" t="str" cm="1">
        <f t="array" ref="O2113">_xlfn.IFS(Table1[[#This Row],[lead_time_days]]&lt;=7,"0-7 days",N2113&lt;=14,"8-14 days",N2113&lt;=30,"15-30 days",N2113&lt;=60,"31-60 days",TRUE,"61+ days")</f>
        <v>15-30 days</v>
      </c>
      <c r="P2113" t="s">
        <v>55</v>
      </c>
      <c r="Q2113" t="s">
        <v>21</v>
      </c>
      <c r="R2113">
        <v>0</v>
      </c>
      <c r="S2113" t="str">
        <f>IF(Table1[prior_dna_count]&gt;=1,"Has prior DNA history","No prior DNA history")</f>
        <v>No prior DNA history</v>
      </c>
      <c r="T2113" t="s">
        <v>22</v>
      </c>
      <c r="U2113" t="str">
        <f t="shared" si="32"/>
        <v>1</v>
      </c>
      <c r="V2113" t="str">
        <f>IF(Table1[appointment_status]="Attended","1","0")</f>
        <v>1</v>
      </c>
      <c r="W2113" t="str">
        <f>IF(Table1[appointment_status]="Cancelled","1","0")</f>
        <v>0</v>
      </c>
    </row>
    <row r="2114" spans="1:23">
      <c r="A2114" t="s">
        <v>3321</v>
      </c>
      <c r="B2114" t="s">
        <v>3322</v>
      </c>
      <c r="C2114">
        <v>44</v>
      </c>
      <c r="D2114" t="str" cm="1">
        <f t="array" ref="D2114">_xlfn.IFS(Table1[[#This Row],[age]]&lt;=17,"0-17",C2114&lt;=29,"18-29",C2114&lt;=44,"30-44",C2114&lt;=59,"45-59",C2114&lt;=74,"60-74",TRUE,"75+")</f>
        <v>30-44</v>
      </c>
      <c r="E2114" t="s">
        <v>29</v>
      </c>
      <c r="F2114">
        <v>10</v>
      </c>
      <c r="G2114" t="str" cm="1">
        <f t="array" ref="G2114">_xlfn.IFS(_xlfn.SINGLE(Table1[imd_decile])&lt;=3,"Most Deprived",F2114&lt;=7,"Moderately Deprived",F2114&lt;=10,"Least Deprived")</f>
        <v>Least Deprived</v>
      </c>
      <c r="H2114">
        <v>5.2</v>
      </c>
      <c r="I2114" t="s">
        <v>18</v>
      </c>
      <c r="J2114" t="s">
        <v>19</v>
      </c>
      <c r="K2114" s="1">
        <v>45898</v>
      </c>
      <c r="L2114" s="1">
        <v>45948</v>
      </c>
      <c r="M2114" s="1" t="str">
        <f>TEXT(Table1[[#This Row],[appointment_date]],"MM/YYYY")</f>
        <v>10/2025</v>
      </c>
      <c r="N2114">
        <v>50</v>
      </c>
      <c r="O2114" t="str" cm="1">
        <f t="array" ref="O2114">_xlfn.IFS(Table1[[#This Row],[lead_time_days]]&lt;=7,"0-7 days",N2114&lt;=14,"8-14 days",N2114&lt;=30,"15-30 days",N2114&lt;=60,"31-60 days",TRUE,"61+ days")</f>
        <v>31-60 days</v>
      </c>
      <c r="P2114" t="s">
        <v>55</v>
      </c>
      <c r="Q2114" t="s">
        <v>32</v>
      </c>
      <c r="R2114">
        <v>0</v>
      </c>
      <c r="S2114" t="str">
        <f>IF(Table1[prior_dna_count]&gt;=1,"Has prior DNA history","No prior DNA history")</f>
        <v>No prior DNA history</v>
      </c>
      <c r="T2114" t="s">
        <v>22</v>
      </c>
      <c r="U2114" t="str">
        <f t="shared" ref="U2114:U2177" si="33">V2113</f>
        <v>1</v>
      </c>
      <c r="V2114" t="str">
        <f>IF(Table1[appointment_status]="Attended","1","0")</f>
        <v>1</v>
      </c>
      <c r="W2114" t="str">
        <f>IF(Table1[appointment_status]="Cancelled","1","0")</f>
        <v>0</v>
      </c>
    </row>
    <row r="2115" spans="1:23">
      <c r="A2115" t="s">
        <v>3323</v>
      </c>
      <c r="B2115" t="s">
        <v>105</v>
      </c>
      <c r="C2115">
        <v>31</v>
      </c>
      <c r="D2115" t="str" cm="1">
        <f t="array" ref="D2115">_xlfn.IFS(Table1[[#This Row],[age]]&lt;=17,"0-17",C2115&lt;=29,"18-29",C2115&lt;=44,"30-44",C2115&lt;=59,"45-59",C2115&lt;=74,"60-74",TRUE,"75+")</f>
        <v>30-44</v>
      </c>
      <c r="E2115" t="s">
        <v>29</v>
      </c>
      <c r="F2115">
        <v>1</v>
      </c>
      <c r="G2115" t="str" cm="1">
        <f t="array" ref="G2115">_xlfn.IFS(_xlfn.SINGLE(Table1[imd_decile])&lt;=3,"Most Deprived",F2115&lt;=7,"Moderately Deprived",F2115&lt;=10,"Least Deprived")</f>
        <v>Most Deprived</v>
      </c>
      <c r="H2115">
        <v>6.8</v>
      </c>
      <c r="I2115" t="s">
        <v>38</v>
      </c>
      <c r="J2115" t="s">
        <v>19</v>
      </c>
      <c r="K2115" s="1">
        <v>45902</v>
      </c>
      <c r="L2115" s="1">
        <v>45948</v>
      </c>
      <c r="M2115" s="1" t="str">
        <f>TEXT(Table1[[#This Row],[appointment_date]],"MM/YYYY")</f>
        <v>10/2025</v>
      </c>
      <c r="N2115">
        <v>46</v>
      </c>
      <c r="O2115" t="str" cm="1">
        <f t="array" ref="O2115">_xlfn.IFS(Table1[[#This Row],[lead_time_days]]&lt;=7,"0-7 days",N2115&lt;=14,"8-14 days",N2115&lt;=30,"15-30 days",N2115&lt;=60,"31-60 days",TRUE,"61+ days")</f>
        <v>31-60 days</v>
      </c>
      <c r="P2115" t="s">
        <v>55</v>
      </c>
      <c r="Q2115" t="s">
        <v>32</v>
      </c>
      <c r="R2115">
        <v>0</v>
      </c>
      <c r="S2115" t="str">
        <f>IF(Table1[prior_dna_count]&gt;=1,"Has prior DNA history","No prior DNA history")</f>
        <v>No prior DNA history</v>
      </c>
      <c r="T2115" t="s">
        <v>22</v>
      </c>
      <c r="U2115" t="str">
        <f t="shared" si="33"/>
        <v>1</v>
      </c>
      <c r="V2115" t="str">
        <f>IF(Table1[appointment_status]="Attended","1","0")</f>
        <v>1</v>
      </c>
      <c r="W2115" t="str">
        <f>IF(Table1[appointment_status]="Cancelled","1","0")</f>
        <v>0</v>
      </c>
    </row>
    <row r="2116" spans="1:23">
      <c r="A2116" t="s">
        <v>3324</v>
      </c>
      <c r="B2116" t="s">
        <v>1053</v>
      </c>
      <c r="C2116">
        <v>55</v>
      </c>
      <c r="D2116" t="str" cm="1">
        <f t="array" ref="D2116">_xlfn.IFS(Table1[[#This Row],[age]]&lt;=17,"0-17",C2116&lt;=29,"18-29",C2116&lt;=44,"30-44",C2116&lt;=59,"45-59",C2116&lt;=74,"60-74",TRUE,"75+")</f>
        <v>45-59</v>
      </c>
      <c r="E2116" t="s">
        <v>29</v>
      </c>
      <c r="F2116">
        <v>8</v>
      </c>
      <c r="G2116" t="str" cm="1">
        <f t="array" ref="G2116">_xlfn.IFS(_xlfn.SINGLE(Table1[imd_decile])&lt;=3,"Most Deprived",F2116&lt;=7,"Moderately Deprived",F2116&lt;=10,"Least Deprived")</f>
        <v>Least Deprived</v>
      </c>
      <c r="H2116">
        <v>2.9</v>
      </c>
      <c r="I2116" t="s">
        <v>42</v>
      </c>
      <c r="J2116" t="s">
        <v>26</v>
      </c>
      <c r="K2116" s="1">
        <v>45920</v>
      </c>
      <c r="L2116" s="1">
        <v>45949</v>
      </c>
      <c r="M2116" s="1" t="str">
        <f>TEXT(Table1[[#This Row],[appointment_date]],"MM/YYYY")</f>
        <v>10/2025</v>
      </c>
      <c r="N2116">
        <v>29</v>
      </c>
      <c r="O2116" t="str" cm="1">
        <f t="array" ref="O2116">_xlfn.IFS(Table1[[#This Row],[lead_time_days]]&lt;=7,"0-7 days",N2116&lt;=14,"8-14 days",N2116&lt;=30,"15-30 days",N2116&lt;=60,"31-60 days",TRUE,"61+ days")</f>
        <v>15-30 days</v>
      </c>
      <c r="P2116" t="s">
        <v>31</v>
      </c>
      <c r="Q2116" t="s">
        <v>21</v>
      </c>
      <c r="R2116">
        <v>0</v>
      </c>
      <c r="S2116" t="str">
        <f>IF(Table1[prior_dna_count]&gt;=1,"Has prior DNA history","No prior DNA history")</f>
        <v>No prior DNA history</v>
      </c>
      <c r="T2116" t="s">
        <v>22</v>
      </c>
      <c r="U2116" t="str">
        <f t="shared" si="33"/>
        <v>1</v>
      </c>
      <c r="V2116" t="str">
        <f>IF(Table1[appointment_status]="Attended","1","0")</f>
        <v>1</v>
      </c>
      <c r="W2116" t="str">
        <f>IF(Table1[appointment_status]="Cancelled","1","0")</f>
        <v>0</v>
      </c>
    </row>
    <row r="2117" spans="1:23">
      <c r="A2117" t="s">
        <v>3325</v>
      </c>
      <c r="B2117" t="s">
        <v>1892</v>
      </c>
      <c r="C2117">
        <v>57</v>
      </c>
      <c r="D2117" t="str" cm="1">
        <f t="array" ref="D2117">_xlfn.IFS(Table1[[#This Row],[age]]&lt;=17,"0-17",C2117&lt;=29,"18-29",C2117&lt;=44,"30-44",C2117&lt;=59,"45-59",C2117&lt;=74,"60-74",TRUE,"75+")</f>
        <v>45-59</v>
      </c>
      <c r="E2117" t="s">
        <v>29</v>
      </c>
      <c r="F2117">
        <v>1</v>
      </c>
      <c r="G2117" t="str" cm="1">
        <f t="array" ref="G2117">_xlfn.IFS(_xlfn.SINGLE(Table1[imd_decile])&lt;=3,"Most Deprived",F2117&lt;=7,"Moderately Deprived",F2117&lt;=10,"Least Deprived")</f>
        <v>Most Deprived</v>
      </c>
      <c r="H2117">
        <v>5.4</v>
      </c>
      <c r="I2117" t="s">
        <v>49</v>
      </c>
      <c r="J2117" t="s">
        <v>26</v>
      </c>
      <c r="K2117" s="1">
        <v>45902</v>
      </c>
      <c r="L2117" s="1">
        <v>45949</v>
      </c>
      <c r="M2117" s="1" t="str">
        <f>TEXT(Table1[[#This Row],[appointment_date]],"MM/YYYY")</f>
        <v>10/2025</v>
      </c>
      <c r="N2117">
        <v>47</v>
      </c>
      <c r="O2117" t="str" cm="1">
        <f t="array" ref="O2117">_xlfn.IFS(Table1[[#This Row],[lead_time_days]]&lt;=7,"0-7 days",N2117&lt;=14,"8-14 days",N2117&lt;=30,"15-30 days",N2117&lt;=60,"31-60 days",TRUE,"61+ days")</f>
        <v>31-60 days</v>
      </c>
      <c r="P2117" t="s">
        <v>31</v>
      </c>
      <c r="Q2117" t="s">
        <v>21</v>
      </c>
      <c r="R2117">
        <v>0</v>
      </c>
      <c r="S2117" t="str">
        <f>IF(Table1[prior_dna_count]&gt;=1,"Has prior DNA history","No prior DNA history")</f>
        <v>No prior DNA history</v>
      </c>
      <c r="T2117" t="s">
        <v>22</v>
      </c>
      <c r="U2117" t="str">
        <f t="shared" si="33"/>
        <v>1</v>
      </c>
      <c r="V2117" t="str">
        <f>IF(Table1[appointment_status]="Attended","1","0")</f>
        <v>1</v>
      </c>
      <c r="W2117" t="str">
        <f>IF(Table1[appointment_status]="Cancelled","1","0")</f>
        <v>0</v>
      </c>
    </row>
    <row r="2118" spans="1:23">
      <c r="A2118" t="s">
        <v>3326</v>
      </c>
      <c r="B2118" t="s">
        <v>1959</v>
      </c>
      <c r="C2118">
        <v>69</v>
      </c>
      <c r="D2118" t="str" cm="1">
        <f t="array" ref="D2118">_xlfn.IFS(Table1[[#This Row],[age]]&lt;=17,"0-17",C2118&lt;=29,"18-29",C2118&lt;=44,"30-44",C2118&lt;=59,"45-59",C2118&lt;=74,"60-74",TRUE,"75+")</f>
        <v>60-74</v>
      </c>
      <c r="E2118" t="s">
        <v>29</v>
      </c>
      <c r="F2118">
        <v>2</v>
      </c>
      <c r="G2118" t="str" cm="1">
        <f t="array" ref="G2118">_xlfn.IFS(_xlfn.SINGLE(Table1[imd_decile])&lt;=3,"Most Deprived",F2118&lt;=7,"Moderately Deprived",F2118&lt;=10,"Least Deprived")</f>
        <v>Most Deprived</v>
      </c>
      <c r="H2118">
        <v>6.6</v>
      </c>
      <c r="I2118" t="s">
        <v>25</v>
      </c>
      <c r="J2118" t="s">
        <v>19</v>
      </c>
      <c r="K2118" s="1">
        <v>45944</v>
      </c>
      <c r="L2118" s="1">
        <v>45949</v>
      </c>
      <c r="M2118" s="1" t="str">
        <f>TEXT(Table1[[#This Row],[appointment_date]],"MM/YYYY")</f>
        <v>10/2025</v>
      </c>
      <c r="N2118">
        <v>5</v>
      </c>
      <c r="O2118" t="str" cm="1">
        <f t="array" ref="O2118">_xlfn.IFS(Table1[[#This Row],[lead_time_days]]&lt;=7,"0-7 days",N2118&lt;=14,"8-14 days",N2118&lt;=30,"15-30 days",N2118&lt;=60,"31-60 days",TRUE,"61+ days")</f>
        <v>0-7 days</v>
      </c>
      <c r="P2118" t="s">
        <v>31</v>
      </c>
      <c r="Q2118" t="s">
        <v>32</v>
      </c>
      <c r="R2118">
        <v>0</v>
      </c>
      <c r="S2118" t="str">
        <f>IF(Table1[prior_dna_count]&gt;=1,"Has prior DNA history","No prior DNA history")</f>
        <v>No prior DNA history</v>
      </c>
      <c r="T2118" t="s">
        <v>22</v>
      </c>
      <c r="U2118" t="str">
        <f t="shared" si="33"/>
        <v>1</v>
      </c>
      <c r="V2118" t="str">
        <f>IF(Table1[appointment_status]="Attended","1","0")</f>
        <v>1</v>
      </c>
      <c r="W2118" t="str">
        <f>IF(Table1[appointment_status]="Cancelled","1","0")</f>
        <v>0</v>
      </c>
    </row>
    <row r="2119" spans="1:23">
      <c r="A2119" t="s">
        <v>3327</v>
      </c>
      <c r="B2119" t="s">
        <v>389</v>
      </c>
      <c r="C2119">
        <v>66</v>
      </c>
      <c r="D2119" t="str" cm="1">
        <f t="array" ref="D2119">_xlfn.IFS(Table1[[#This Row],[age]]&lt;=17,"0-17",C2119&lt;=29,"18-29",C2119&lt;=44,"30-44",C2119&lt;=59,"45-59",C2119&lt;=74,"60-74",TRUE,"75+")</f>
        <v>60-74</v>
      </c>
      <c r="E2119" t="s">
        <v>29</v>
      </c>
      <c r="F2119">
        <v>2</v>
      </c>
      <c r="G2119" t="str" cm="1">
        <f t="array" ref="G2119">_xlfn.IFS(_xlfn.SINGLE(Table1[imd_decile])&lt;=3,"Most Deprived",F2119&lt;=7,"Moderately Deprived",F2119&lt;=10,"Least Deprived")</f>
        <v>Most Deprived</v>
      </c>
      <c r="H2119">
        <v>7.6</v>
      </c>
      <c r="I2119" t="s">
        <v>45</v>
      </c>
      <c r="J2119" t="s">
        <v>26</v>
      </c>
      <c r="K2119" s="1">
        <v>45944</v>
      </c>
      <c r="L2119" s="1">
        <v>45949</v>
      </c>
      <c r="M2119" s="1" t="str">
        <f>TEXT(Table1[[#This Row],[appointment_date]],"MM/YYYY")</f>
        <v>10/2025</v>
      </c>
      <c r="N2119">
        <v>5</v>
      </c>
      <c r="O2119" t="str" cm="1">
        <f t="array" ref="O2119">_xlfn.IFS(Table1[[#This Row],[lead_time_days]]&lt;=7,"0-7 days",N2119&lt;=14,"8-14 days",N2119&lt;=30,"15-30 days",N2119&lt;=60,"31-60 days",TRUE,"61+ days")</f>
        <v>0-7 days</v>
      </c>
      <c r="P2119" t="s">
        <v>31</v>
      </c>
      <c r="Q2119" t="s">
        <v>32</v>
      </c>
      <c r="R2119">
        <v>0</v>
      </c>
      <c r="S2119" t="str">
        <f>IF(Table1[prior_dna_count]&gt;=1,"Has prior DNA history","No prior DNA history")</f>
        <v>No prior DNA history</v>
      </c>
      <c r="T2119" t="s">
        <v>22</v>
      </c>
      <c r="U2119" t="str">
        <f t="shared" si="33"/>
        <v>1</v>
      </c>
      <c r="V2119" t="str">
        <f>IF(Table1[appointment_status]="Attended","1","0")</f>
        <v>1</v>
      </c>
      <c r="W2119" t="str">
        <f>IF(Table1[appointment_status]="Cancelled","1","0")</f>
        <v>0</v>
      </c>
    </row>
    <row r="2120" spans="1:23">
      <c r="A2120" t="s">
        <v>3328</v>
      </c>
      <c r="B2120" t="s">
        <v>3329</v>
      </c>
      <c r="C2120">
        <v>1</v>
      </c>
      <c r="D2120" t="str" cm="1">
        <f t="array" ref="D2120">_xlfn.IFS(Table1[[#This Row],[age]]&lt;=17,"0-17",C2120&lt;=29,"18-29",C2120&lt;=44,"30-44",C2120&lt;=59,"45-59",C2120&lt;=74,"60-74",TRUE,"75+")</f>
        <v>0-17</v>
      </c>
      <c r="E2120" t="s">
        <v>17</v>
      </c>
      <c r="F2120">
        <v>9</v>
      </c>
      <c r="G2120" t="str" cm="1">
        <f t="array" ref="G2120">_xlfn.IFS(_xlfn.SINGLE(Table1[imd_decile])&lt;=3,"Most Deprived",F2120&lt;=7,"Moderately Deprived",F2120&lt;=10,"Least Deprived")</f>
        <v>Least Deprived</v>
      </c>
      <c r="H2120">
        <v>4.8</v>
      </c>
      <c r="I2120" t="s">
        <v>42</v>
      </c>
      <c r="J2120" t="s">
        <v>26</v>
      </c>
      <c r="K2120" s="1">
        <v>45942</v>
      </c>
      <c r="L2120" s="1">
        <v>45949</v>
      </c>
      <c r="M2120" s="1" t="str">
        <f>TEXT(Table1[[#This Row],[appointment_date]],"MM/YYYY")</f>
        <v>10/2025</v>
      </c>
      <c r="N2120">
        <v>7</v>
      </c>
      <c r="O2120" t="str" cm="1">
        <f t="array" ref="O2120">_xlfn.IFS(Table1[[#This Row],[lead_time_days]]&lt;=7,"0-7 days",N2120&lt;=14,"8-14 days",N2120&lt;=30,"15-30 days",N2120&lt;=60,"31-60 days",TRUE,"61+ days")</f>
        <v>0-7 days</v>
      </c>
      <c r="P2120" t="s">
        <v>31</v>
      </c>
      <c r="Q2120" t="s">
        <v>32</v>
      </c>
      <c r="R2120">
        <v>0</v>
      </c>
      <c r="S2120" t="str">
        <f>IF(Table1[prior_dna_count]&gt;=1,"Has prior DNA history","No prior DNA history")</f>
        <v>No prior DNA history</v>
      </c>
      <c r="T2120" t="s">
        <v>22</v>
      </c>
      <c r="U2120" t="str">
        <f t="shared" si="33"/>
        <v>1</v>
      </c>
      <c r="V2120" t="str">
        <f>IF(Table1[appointment_status]="Attended","1","0")</f>
        <v>1</v>
      </c>
      <c r="W2120" t="str">
        <f>IF(Table1[appointment_status]="Cancelled","1","0")</f>
        <v>0</v>
      </c>
    </row>
    <row r="2121" spans="1:23">
      <c r="A2121" t="s">
        <v>3330</v>
      </c>
      <c r="B2121" t="s">
        <v>119</v>
      </c>
      <c r="C2121">
        <v>43</v>
      </c>
      <c r="D2121" t="str" cm="1">
        <f t="array" ref="D2121">_xlfn.IFS(Table1[[#This Row],[age]]&lt;=17,"0-17",C2121&lt;=29,"18-29",C2121&lt;=44,"30-44",C2121&lt;=59,"45-59",C2121&lt;=74,"60-74",TRUE,"75+")</f>
        <v>30-44</v>
      </c>
      <c r="E2121" t="s">
        <v>29</v>
      </c>
      <c r="F2121">
        <v>9</v>
      </c>
      <c r="G2121" t="str" cm="1">
        <f t="array" ref="G2121">_xlfn.IFS(_xlfn.SINGLE(Table1[imd_decile])&lt;=3,"Most Deprived",F2121&lt;=7,"Moderately Deprived",F2121&lt;=10,"Least Deprived")</f>
        <v>Least Deprived</v>
      </c>
      <c r="H2121">
        <v>6</v>
      </c>
      <c r="I2121" t="s">
        <v>42</v>
      </c>
      <c r="J2121" t="s">
        <v>19</v>
      </c>
      <c r="K2121" s="1">
        <v>45920</v>
      </c>
      <c r="L2121" s="1">
        <v>45950</v>
      </c>
      <c r="M2121" s="1" t="str">
        <f>TEXT(Table1[[#This Row],[appointment_date]],"MM/YYYY")</f>
        <v>10/2025</v>
      </c>
      <c r="N2121">
        <v>30</v>
      </c>
      <c r="O2121" t="str" cm="1">
        <f t="array" ref="O2121">_xlfn.IFS(Table1[[#This Row],[lead_time_days]]&lt;=7,"0-7 days",N2121&lt;=14,"8-14 days",N2121&lt;=30,"15-30 days",N2121&lt;=60,"31-60 days",TRUE,"61+ days")</f>
        <v>15-30 days</v>
      </c>
      <c r="P2121" t="s">
        <v>35</v>
      </c>
      <c r="Q2121" t="s">
        <v>32</v>
      </c>
      <c r="R2121">
        <v>0</v>
      </c>
      <c r="S2121" t="str">
        <f>IF(Table1[prior_dna_count]&gt;=1,"Has prior DNA history","No prior DNA history")</f>
        <v>No prior DNA history</v>
      </c>
      <c r="T2121" t="s">
        <v>22</v>
      </c>
      <c r="U2121" t="str">
        <f t="shared" si="33"/>
        <v>1</v>
      </c>
      <c r="V2121" t="str">
        <f>IF(Table1[appointment_status]="Attended","1","0")</f>
        <v>1</v>
      </c>
      <c r="W2121" t="str">
        <f>IF(Table1[appointment_status]="Cancelled","1","0")</f>
        <v>0</v>
      </c>
    </row>
    <row r="2122" spans="1:23">
      <c r="A2122" t="s">
        <v>3331</v>
      </c>
      <c r="B2122" t="s">
        <v>3039</v>
      </c>
      <c r="C2122">
        <v>85</v>
      </c>
      <c r="D2122" t="str" cm="1">
        <f t="array" ref="D2122">_xlfn.IFS(Table1[[#This Row],[age]]&lt;=17,"0-17",C2122&lt;=29,"18-29",C2122&lt;=44,"30-44",C2122&lt;=59,"45-59",C2122&lt;=74,"60-74",TRUE,"75+")</f>
        <v>75+</v>
      </c>
      <c r="E2122" t="s">
        <v>17</v>
      </c>
      <c r="F2122">
        <v>5</v>
      </c>
      <c r="G2122" t="str" cm="1">
        <f t="array" ref="G2122">_xlfn.IFS(_xlfn.SINGLE(Table1[imd_decile])&lt;=3,"Most Deprived",F2122&lt;=7,"Moderately Deprived",F2122&lt;=10,"Least Deprived")</f>
        <v>Moderately Deprived</v>
      </c>
      <c r="H2122">
        <v>6.9</v>
      </c>
      <c r="I2122" t="s">
        <v>58</v>
      </c>
      <c r="J2122" t="s">
        <v>19</v>
      </c>
      <c r="K2122" s="1">
        <v>45947</v>
      </c>
      <c r="L2122" s="1">
        <v>45950</v>
      </c>
      <c r="M2122" s="1" t="str">
        <f>TEXT(Table1[[#This Row],[appointment_date]],"MM/YYYY")</f>
        <v>10/2025</v>
      </c>
      <c r="N2122">
        <v>3</v>
      </c>
      <c r="O2122" t="str" cm="1">
        <f t="array" ref="O2122">_xlfn.IFS(Table1[[#This Row],[lead_time_days]]&lt;=7,"0-7 days",N2122&lt;=14,"8-14 days",N2122&lt;=30,"15-30 days",N2122&lt;=60,"31-60 days",TRUE,"61+ days")</f>
        <v>0-7 days</v>
      </c>
      <c r="P2122" t="s">
        <v>35</v>
      </c>
      <c r="Q2122" t="s">
        <v>32</v>
      </c>
      <c r="R2122">
        <v>0</v>
      </c>
      <c r="S2122" t="str">
        <f>IF(Table1[prior_dna_count]&gt;=1,"Has prior DNA history","No prior DNA history")</f>
        <v>No prior DNA history</v>
      </c>
      <c r="T2122" t="s">
        <v>22</v>
      </c>
      <c r="U2122" t="str">
        <f t="shared" si="33"/>
        <v>1</v>
      </c>
      <c r="V2122" t="str">
        <f>IF(Table1[appointment_status]="Attended","1","0")</f>
        <v>1</v>
      </c>
      <c r="W2122" t="str">
        <f>IF(Table1[appointment_status]="Cancelled","1","0")</f>
        <v>0</v>
      </c>
    </row>
    <row r="2123" spans="1:23">
      <c r="A2123" t="s">
        <v>3332</v>
      </c>
      <c r="B2123" t="s">
        <v>684</v>
      </c>
      <c r="C2123">
        <v>15</v>
      </c>
      <c r="D2123" t="str" cm="1">
        <f t="array" ref="D2123">_xlfn.IFS(Table1[[#This Row],[age]]&lt;=17,"0-17",C2123&lt;=29,"18-29",C2123&lt;=44,"30-44",C2123&lt;=59,"45-59",C2123&lt;=74,"60-74",TRUE,"75+")</f>
        <v>0-17</v>
      </c>
      <c r="E2123" t="s">
        <v>17</v>
      </c>
      <c r="F2123">
        <v>9</v>
      </c>
      <c r="G2123" t="str" cm="1">
        <f t="array" ref="G2123">_xlfn.IFS(_xlfn.SINGLE(Table1[imd_decile])&lt;=3,"Most Deprived",F2123&lt;=7,"Moderately Deprived",F2123&lt;=10,"Least Deprived")</f>
        <v>Least Deprived</v>
      </c>
      <c r="H2123">
        <v>4.7</v>
      </c>
      <c r="I2123" t="s">
        <v>58</v>
      </c>
      <c r="J2123" t="s">
        <v>26</v>
      </c>
      <c r="K2123" s="1">
        <v>45937</v>
      </c>
      <c r="L2123" s="1">
        <v>45950</v>
      </c>
      <c r="M2123" s="1" t="str">
        <f>TEXT(Table1[[#This Row],[appointment_date]],"MM/YYYY")</f>
        <v>10/2025</v>
      </c>
      <c r="N2123">
        <v>13</v>
      </c>
      <c r="O2123" t="str" cm="1">
        <f t="array" ref="O2123">_xlfn.IFS(Table1[[#This Row],[lead_time_days]]&lt;=7,"0-7 days",N2123&lt;=14,"8-14 days",N2123&lt;=30,"15-30 days",N2123&lt;=60,"31-60 days",TRUE,"61+ days")</f>
        <v>8-14 days</v>
      </c>
      <c r="P2123" t="s">
        <v>35</v>
      </c>
      <c r="Q2123" t="s">
        <v>21</v>
      </c>
      <c r="R2123">
        <v>0</v>
      </c>
      <c r="S2123" t="str">
        <f>IF(Table1[prior_dna_count]&gt;=1,"Has prior DNA history","No prior DNA history")</f>
        <v>No prior DNA history</v>
      </c>
      <c r="T2123" t="s">
        <v>22</v>
      </c>
      <c r="U2123" t="str">
        <f t="shared" si="33"/>
        <v>1</v>
      </c>
      <c r="V2123" t="str">
        <f>IF(Table1[appointment_status]="Attended","1","0")</f>
        <v>1</v>
      </c>
      <c r="W2123" t="str">
        <f>IF(Table1[appointment_status]="Cancelled","1","0")</f>
        <v>0</v>
      </c>
    </row>
    <row r="2124" spans="1:23">
      <c r="A2124" t="s">
        <v>3333</v>
      </c>
      <c r="B2124" t="s">
        <v>3334</v>
      </c>
      <c r="C2124">
        <v>54</v>
      </c>
      <c r="D2124" t="str" cm="1">
        <f t="array" ref="D2124">_xlfn.IFS(Table1[[#This Row],[age]]&lt;=17,"0-17",C2124&lt;=29,"18-29",C2124&lt;=44,"30-44",C2124&lt;=59,"45-59",C2124&lt;=74,"60-74",TRUE,"75+")</f>
        <v>45-59</v>
      </c>
      <c r="E2124" t="s">
        <v>17</v>
      </c>
      <c r="F2124">
        <v>6</v>
      </c>
      <c r="G2124" t="str" cm="1">
        <f t="array" ref="G2124">_xlfn.IFS(_xlfn.SINGLE(Table1[imd_decile])&lt;=3,"Most Deprived",F2124&lt;=7,"Moderately Deprived",F2124&lt;=10,"Least Deprived")</f>
        <v>Moderately Deprived</v>
      </c>
      <c r="H2124">
        <v>20.100000000000001</v>
      </c>
      <c r="I2124" t="s">
        <v>91</v>
      </c>
      <c r="J2124" t="s">
        <v>19</v>
      </c>
      <c r="K2124" s="1">
        <v>45927</v>
      </c>
      <c r="L2124" s="1">
        <v>45950</v>
      </c>
      <c r="M2124" s="1" t="str">
        <f>TEXT(Table1[[#This Row],[appointment_date]],"MM/YYYY")</f>
        <v>10/2025</v>
      </c>
      <c r="N2124">
        <v>23</v>
      </c>
      <c r="O2124" t="str" cm="1">
        <f t="array" ref="O2124">_xlfn.IFS(Table1[[#This Row],[lead_time_days]]&lt;=7,"0-7 days",N2124&lt;=14,"8-14 days",N2124&lt;=30,"15-30 days",N2124&lt;=60,"31-60 days",TRUE,"61+ days")</f>
        <v>15-30 days</v>
      </c>
      <c r="P2124" t="s">
        <v>35</v>
      </c>
      <c r="Q2124" t="s">
        <v>32</v>
      </c>
      <c r="R2124">
        <v>0</v>
      </c>
      <c r="S2124" t="str">
        <f>IF(Table1[prior_dna_count]&gt;=1,"Has prior DNA history","No prior DNA history")</f>
        <v>No prior DNA history</v>
      </c>
      <c r="T2124" t="s">
        <v>22</v>
      </c>
      <c r="U2124" t="str">
        <f t="shared" si="33"/>
        <v>1</v>
      </c>
      <c r="V2124" t="str">
        <f>IF(Table1[appointment_status]="Attended","1","0")</f>
        <v>1</v>
      </c>
      <c r="W2124" t="str">
        <f>IF(Table1[appointment_status]="Cancelled","1","0")</f>
        <v>0</v>
      </c>
    </row>
    <row r="2125" spans="1:23">
      <c r="A2125" t="s">
        <v>3335</v>
      </c>
      <c r="B2125" t="s">
        <v>137</v>
      </c>
      <c r="C2125">
        <v>52</v>
      </c>
      <c r="D2125" t="str" cm="1">
        <f t="array" ref="D2125">_xlfn.IFS(Table1[[#This Row],[age]]&lt;=17,"0-17",C2125&lt;=29,"18-29",C2125&lt;=44,"30-44",C2125&lt;=59,"45-59",C2125&lt;=74,"60-74",TRUE,"75+")</f>
        <v>45-59</v>
      </c>
      <c r="E2125" t="s">
        <v>29</v>
      </c>
      <c r="F2125">
        <v>7</v>
      </c>
      <c r="G2125" t="str" cm="1">
        <f t="array" ref="G2125">_xlfn.IFS(_xlfn.SINGLE(Table1[imd_decile])&lt;=3,"Most Deprived",F2125&lt;=7,"Moderately Deprived",F2125&lt;=10,"Least Deprived")</f>
        <v>Moderately Deprived</v>
      </c>
      <c r="H2125">
        <v>9.4</v>
      </c>
      <c r="I2125" t="s">
        <v>30</v>
      </c>
      <c r="J2125" t="s">
        <v>26</v>
      </c>
      <c r="K2125" s="1">
        <v>45938</v>
      </c>
      <c r="L2125" s="1">
        <v>45950</v>
      </c>
      <c r="M2125" s="1" t="str">
        <f>TEXT(Table1[[#This Row],[appointment_date]],"MM/YYYY")</f>
        <v>10/2025</v>
      </c>
      <c r="N2125">
        <v>12</v>
      </c>
      <c r="O2125" t="str" cm="1">
        <f t="array" ref="O2125">_xlfn.IFS(Table1[[#This Row],[lead_time_days]]&lt;=7,"0-7 days",N2125&lt;=14,"8-14 days",N2125&lt;=30,"15-30 days",N2125&lt;=60,"31-60 days",TRUE,"61+ days")</f>
        <v>8-14 days</v>
      </c>
      <c r="P2125" t="s">
        <v>35</v>
      </c>
      <c r="Q2125" t="s">
        <v>21</v>
      </c>
      <c r="R2125">
        <v>0</v>
      </c>
      <c r="S2125" t="str">
        <f>IF(Table1[prior_dna_count]&gt;=1,"Has prior DNA history","No prior DNA history")</f>
        <v>No prior DNA history</v>
      </c>
      <c r="T2125" t="s">
        <v>22</v>
      </c>
      <c r="U2125" t="str">
        <f t="shared" si="33"/>
        <v>1</v>
      </c>
      <c r="V2125" t="str">
        <f>IF(Table1[appointment_status]="Attended","1","0")</f>
        <v>1</v>
      </c>
      <c r="W2125" t="str">
        <f>IF(Table1[appointment_status]="Cancelled","1","0")</f>
        <v>0</v>
      </c>
    </row>
    <row r="2126" spans="1:23">
      <c r="A2126" t="s">
        <v>3336</v>
      </c>
      <c r="B2126" t="s">
        <v>3137</v>
      </c>
      <c r="C2126">
        <v>25</v>
      </c>
      <c r="D2126" t="str" cm="1">
        <f t="array" ref="D2126">_xlfn.IFS(Table1[[#This Row],[age]]&lt;=17,"0-17",C2126&lt;=29,"18-29",C2126&lt;=44,"30-44",C2126&lt;=59,"45-59",C2126&lt;=74,"60-74",TRUE,"75+")</f>
        <v>18-29</v>
      </c>
      <c r="E2126" t="s">
        <v>17</v>
      </c>
      <c r="F2126">
        <v>10</v>
      </c>
      <c r="G2126" t="str" cm="1">
        <f t="array" ref="G2126">_xlfn.IFS(_xlfn.SINGLE(Table1[imd_decile])&lt;=3,"Most Deprived",F2126&lt;=7,"Moderately Deprived",F2126&lt;=10,"Least Deprived")</f>
        <v>Least Deprived</v>
      </c>
      <c r="H2126">
        <v>14.3</v>
      </c>
      <c r="I2126" t="s">
        <v>25</v>
      </c>
      <c r="J2126" t="s">
        <v>26</v>
      </c>
      <c r="K2126" s="1">
        <v>45941</v>
      </c>
      <c r="L2126" s="1">
        <v>45950</v>
      </c>
      <c r="M2126" s="1" t="str">
        <f>TEXT(Table1[[#This Row],[appointment_date]],"MM/YYYY")</f>
        <v>10/2025</v>
      </c>
      <c r="N2126">
        <v>9</v>
      </c>
      <c r="O2126" t="str" cm="1">
        <f t="array" ref="O2126">_xlfn.IFS(Table1[[#This Row],[lead_time_days]]&lt;=7,"0-7 days",N2126&lt;=14,"8-14 days",N2126&lt;=30,"15-30 days",N2126&lt;=60,"31-60 days",TRUE,"61+ days")</f>
        <v>8-14 days</v>
      </c>
      <c r="P2126" t="s">
        <v>35</v>
      </c>
      <c r="Q2126" t="s">
        <v>21</v>
      </c>
      <c r="R2126">
        <v>1</v>
      </c>
      <c r="S2126" t="str">
        <f>IF(Table1[prior_dna_count]&gt;=1,"Has prior DNA history","No prior DNA history")</f>
        <v>Has prior DNA history</v>
      </c>
      <c r="T2126" t="s">
        <v>46</v>
      </c>
      <c r="U2126" t="str">
        <f t="shared" si="33"/>
        <v>1</v>
      </c>
      <c r="V2126" t="str">
        <f>IF(Table1[appointment_status]="Attended","1","0")</f>
        <v>0</v>
      </c>
      <c r="W2126" t="str">
        <f>IF(Table1[appointment_status]="Cancelled","1","0")</f>
        <v>1</v>
      </c>
    </row>
    <row r="2127" spans="1:23">
      <c r="A2127" t="s">
        <v>3337</v>
      </c>
      <c r="B2127" t="s">
        <v>1890</v>
      </c>
      <c r="C2127">
        <v>27</v>
      </c>
      <c r="D2127" t="str" cm="1">
        <f t="array" ref="D2127">_xlfn.IFS(Table1[[#This Row],[age]]&lt;=17,"0-17",C2127&lt;=29,"18-29",C2127&lt;=44,"30-44",C2127&lt;=59,"45-59",C2127&lt;=74,"60-74",TRUE,"75+")</f>
        <v>18-29</v>
      </c>
      <c r="E2127" t="s">
        <v>17</v>
      </c>
      <c r="F2127">
        <v>10</v>
      </c>
      <c r="G2127" t="str" cm="1">
        <f t="array" ref="G2127">_xlfn.IFS(_xlfn.SINGLE(Table1[imd_decile])&lt;=3,"Most Deprived",F2127&lt;=7,"Moderately Deprived",F2127&lt;=10,"Least Deprived")</f>
        <v>Least Deprived</v>
      </c>
      <c r="H2127">
        <v>6.8</v>
      </c>
      <c r="I2127" t="s">
        <v>58</v>
      </c>
      <c r="J2127" t="s">
        <v>19</v>
      </c>
      <c r="K2127" s="1">
        <v>45938</v>
      </c>
      <c r="L2127" s="1">
        <v>45950</v>
      </c>
      <c r="M2127" s="1" t="str">
        <f>TEXT(Table1[[#This Row],[appointment_date]],"MM/YYYY")</f>
        <v>10/2025</v>
      </c>
      <c r="N2127">
        <v>12</v>
      </c>
      <c r="O2127" t="str" cm="1">
        <f t="array" ref="O2127">_xlfn.IFS(Table1[[#This Row],[lead_time_days]]&lt;=7,"0-7 days",N2127&lt;=14,"8-14 days",N2127&lt;=30,"15-30 days",N2127&lt;=60,"31-60 days",TRUE,"61+ days")</f>
        <v>8-14 days</v>
      </c>
      <c r="P2127" t="s">
        <v>35</v>
      </c>
      <c r="Q2127" t="s">
        <v>32</v>
      </c>
      <c r="R2127">
        <v>0</v>
      </c>
      <c r="S2127" t="str">
        <f>IF(Table1[prior_dna_count]&gt;=1,"Has prior DNA history","No prior DNA history")</f>
        <v>No prior DNA history</v>
      </c>
      <c r="T2127" t="s">
        <v>22</v>
      </c>
      <c r="U2127" t="str">
        <f t="shared" si="33"/>
        <v>0</v>
      </c>
      <c r="V2127" t="str">
        <f>IF(Table1[appointment_status]="Attended","1","0")</f>
        <v>1</v>
      </c>
      <c r="W2127" t="str">
        <f>IF(Table1[appointment_status]="Cancelled","1","0")</f>
        <v>0</v>
      </c>
    </row>
    <row r="2128" spans="1:23">
      <c r="A2128" t="s">
        <v>3338</v>
      </c>
      <c r="B2128" t="s">
        <v>2811</v>
      </c>
      <c r="C2128">
        <v>28</v>
      </c>
      <c r="D2128" t="str" cm="1">
        <f t="array" ref="D2128">_xlfn.IFS(Table1[[#This Row],[age]]&lt;=17,"0-17",C2128&lt;=29,"18-29",C2128&lt;=44,"30-44",C2128&lt;=59,"45-59",C2128&lt;=74,"60-74",TRUE,"75+")</f>
        <v>18-29</v>
      </c>
      <c r="E2128" t="s">
        <v>29</v>
      </c>
      <c r="F2128">
        <v>3</v>
      </c>
      <c r="G2128" t="str" cm="1">
        <f t="array" ref="G2128">_xlfn.IFS(_xlfn.SINGLE(Table1[imd_decile])&lt;=3,"Most Deprived",F2128&lt;=7,"Moderately Deprived",F2128&lt;=10,"Least Deprived")</f>
        <v>Most Deprived</v>
      </c>
      <c r="H2128">
        <v>2.6</v>
      </c>
      <c r="I2128" t="s">
        <v>42</v>
      </c>
      <c r="J2128" t="s">
        <v>19</v>
      </c>
      <c r="K2128" s="1">
        <v>45930</v>
      </c>
      <c r="L2128" s="1">
        <v>45950</v>
      </c>
      <c r="M2128" s="1" t="str">
        <f>TEXT(Table1[[#This Row],[appointment_date]],"MM/YYYY")</f>
        <v>10/2025</v>
      </c>
      <c r="N2128">
        <v>20</v>
      </c>
      <c r="O2128" t="str" cm="1">
        <f t="array" ref="O2128">_xlfn.IFS(Table1[[#This Row],[lead_time_days]]&lt;=7,"0-7 days",N2128&lt;=14,"8-14 days",N2128&lt;=30,"15-30 days",N2128&lt;=60,"31-60 days",TRUE,"61+ days")</f>
        <v>15-30 days</v>
      </c>
      <c r="P2128" t="s">
        <v>35</v>
      </c>
      <c r="Q2128" t="s">
        <v>21</v>
      </c>
      <c r="R2128">
        <v>1</v>
      </c>
      <c r="S2128" t="str">
        <f>IF(Table1[prior_dna_count]&gt;=1,"Has prior DNA history","No prior DNA history")</f>
        <v>Has prior DNA history</v>
      </c>
      <c r="T2128" t="s">
        <v>22</v>
      </c>
      <c r="U2128" t="str">
        <f t="shared" si="33"/>
        <v>1</v>
      </c>
      <c r="V2128" t="str">
        <f>IF(Table1[appointment_status]="Attended","1","0")</f>
        <v>1</v>
      </c>
      <c r="W2128" t="str">
        <f>IF(Table1[appointment_status]="Cancelled","1","0")</f>
        <v>0</v>
      </c>
    </row>
    <row r="2129" spans="1:23">
      <c r="A2129" t="s">
        <v>3339</v>
      </c>
      <c r="B2129" t="s">
        <v>584</v>
      </c>
      <c r="C2129">
        <v>21</v>
      </c>
      <c r="D2129" t="str" cm="1">
        <f t="array" ref="D2129">_xlfn.IFS(Table1[[#This Row],[age]]&lt;=17,"0-17",C2129&lt;=29,"18-29",C2129&lt;=44,"30-44",C2129&lt;=59,"45-59",C2129&lt;=74,"60-74",TRUE,"75+")</f>
        <v>18-29</v>
      </c>
      <c r="E2129" t="s">
        <v>17</v>
      </c>
      <c r="F2129">
        <v>5</v>
      </c>
      <c r="G2129" t="str" cm="1">
        <f t="array" ref="G2129">_xlfn.IFS(_xlfn.SINGLE(Table1[imd_decile])&lt;=3,"Most Deprived",F2129&lt;=7,"Moderately Deprived",F2129&lt;=10,"Least Deprived")</f>
        <v>Moderately Deprived</v>
      </c>
      <c r="H2129">
        <v>7.8</v>
      </c>
      <c r="I2129" t="s">
        <v>91</v>
      </c>
      <c r="J2129" t="s">
        <v>26</v>
      </c>
      <c r="K2129" s="1">
        <v>45935</v>
      </c>
      <c r="L2129" s="1">
        <v>45950</v>
      </c>
      <c r="M2129" s="1" t="str">
        <f>TEXT(Table1[[#This Row],[appointment_date]],"MM/YYYY")</f>
        <v>10/2025</v>
      </c>
      <c r="N2129">
        <v>15</v>
      </c>
      <c r="O2129" t="str" cm="1">
        <f t="array" ref="O2129">_xlfn.IFS(Table1[[#This Row],[lead_time_days]]&lt;=7,"0-7 days",N2129&lt;=14,"8-14 days",N2129&lt;=30,"15-30 days",N2129&lt;=60,"31-60 days",TRUE,"61+ days")</f>
        <v>15-30 days</v>
      </c>
      <c r="P2129" t="s">
        <v>35</v>
      </c>
      <c r="Q2129" t="s">
        <v>21</v>
      </c>
      <c r="R2129">
        <v>0</v>
      </c>
      <c r="S2129" t="str">
        <f>IF(Table1[prior_dna_count]&gt;=1,"Has prior DNA history","No prior DNA history")</f>
        <v>No prior DNA history</v>
      </c>
      <c r="T2129" t="s">
        <v>39</v>
      </c>
      <c r="U2129" t="str">
        <f t="shared" si="33"/>
        <v>1</v>
      </c>
      <c r="V2129" t="str">
        <f>IF(Table1[appointment_status]="Attended","1","0")</f>
        <v>0</v>
      </c>
      <c r="W2129" t="str">
        <f>IF(Table1[appointment_status]="Cancelled","1","0")</f>
        <v>0</v>
      </c>
    </row>
    <row r="2130" spans="1:23">
      <c r="A2130" t="s">
        <v>3340</v>
      </c>
      <c r="B2130" t="s">
        <v>1944</v>
      </c>
      <c r="C2130">
        <v>29</v>
      </c>
      <c r="D2130" t="str" cm="1">
        <f t="array" ref="D2130">_xlfn.IFS(Table1[[#This Row],[age]]&lt;=17,"0-17",C2130&lt;=29,"18-29",C2130&lt;=44,"30-44",C2130&lt;=59,"45-59",C2130&lt;=74,"60-74",TRUE,"75+")</f>
        <v>18-29</v>
      </c>
      <c r="E2130" t="s">
        <v>17</v>
      </c>
      <c r="F2130">
        <v>3</v>
      </c>
      <c r="G2130" t="str" cm="1">
        <f t="array" ref="G2130">_xlfn.IFS(_xlfn.SINGLE(Table1[imd_decile])&lt;=3,"Most Deprived",F2130&lt;=7,"Moderately Deprived",F2130&lt;=10,"Least Deprived")</f>
        <v>Most Deprived</v>
      </c>
      <c r="H2130">
        <v>10</v>
      </c>
      <c r="I2130" t="s">
        <v>30</v>
      </c>
      <c r="J2130" t="s">
        <v>26</v>
      </c>
      <c r="K2130" s="1">
        <v>45925</v>
      </c>
      <c r="L2130" s="1">
        <v>45950</v>
      </c>
      <c r="M2130" s="1" t="str">
        <f>TEXT(Table1[[#This Row],[appointment_date]],"MM/YYYY")</f>
        <v>10/2025</v>
      </c>
      <c r="N2130">
        <v>25</v>
      </c>
      <c r="O2130" t="str" cm="1">
        <f t="array" ref="O2130">_xlfn.IFS(Table1[[#This Row],[lead_time_days]]&lt;=7,"0-7 days",N2130&lt;=14,"8-14 days",N2130&lt;=30,"15-30 days",N2130&lt;=60,"31-60 days",TRUE,"61+ days")</f>
        <v>15-30 days</v>
      </c>
      <c r="P2130" t="s">
        <v>35</v>
      </c>
      <c r="Q2130" t="s">
        <v>21</v>
      </c>
      <c r="R2130">
        <v>0</v>
      </c>
      <c r="S2130" t="str">
        <f>IF(Table1[prior_dna_count]&gt;=1,"Has prior DNA history","No prior DNA history")</f>
        <v>No prior DNA history</v>
      </c>
      <c r="T2130" t="s">
        <v>22</v>
      </c>
      <c r="U2130" t="str">
        <f t="shared" si="33"/>
        <v>0</v>
      </c>
      <c r="V2130" t="str">
        <f>IF(Table1[appointment_status]="Attended","1","0")</f>
        <v>1</v>
      </c>
      <c r="W2130" t="str">
        <f>IF(Table1[appointment_status]="Cancelled","1","0")</f>
        <v>0</v>
      </c>
    </row>
    <row r="2131" spans="1:23">
      <c r="A2131" t="s">
        <v>3341</v>
      </c>
      <c r="B2131" t="s">
        <v>1778</v>
      </c>
      <c r="C2131">
        <v>71</v>
      </c>
      <c r="D2131" t="str" cm="1">
        <f t="array" ref="D2131">_xlfn.IFS(Table1[[#This Row],[age]]&lt;=17,"0-17",C2131&lt;=29,"18-29",C2131&lt;=44,"30-44",C2131&lt;=59,"45-59",C2131&lt;=74,"60-74",TRUE,"75+")</f>
        <v>60-74</v>
      </c>
      <c r="E2131" t="s">
        <v>29</v>
      </c>
      <c r="F2131">
        <v>3</v>
      </c>
      <c r="G2131" t="str" cm="1">
        <f t="array" ref="G2131">_xlfn.IFS(_xlfn.SINGLE(Table1[imd_decile])&lt;=3,"Most Deprived",F2131&lt;=7,"Moderately Deprived",F2131&lt;=10,"Least Deprived")</f>
        <v>Most Deprived</v>
      </c>
      <c r="H2131">
        <v>20.6</v>
      </c>
      <c r="I2131" t="s">
        <v>25</v>
      </c>
      <c r="J2131" t="s">
        <v>19</v>
      </c>
      <c r="K2131" s="1">
        <v>45897</v>
      </c>
      <c r="L2131" s="1">
        <v>45950</v>
      </c>
      <c r="M2131" s="1" t="str">
        <f>TEXT(Table1[[#This Row],[appointment_date]],"MM/YYYY")</f>
        <v>10/2025</v>
      </c>
      <c r="N2131">
        <v>53</v>
      </c>
      <c r="O2131" t="str" cm="1">
        <f t="array" ref="O2131">_xlfn.IFS(Table1[[#This Row],[lead_time_days]]&lt;=7,"0-7 days",N2131&lt;=14,"8-14 days",N2131&lt;=30,"15-30 days",N2131&lt;=60,"31-60 days",TRUE,"61+ days")</f>
        <v>31-60 days</v>
      </c>
      <c r="P2131" t="s">
        <v>35</v>
      </c>
      <c r="Q2131" t="s">
        <v>21</v>
      </c>
      <c r="R2131">
        <v>0</v>
      </c>
      <c r="S2131" t="str">
        <f>IF(Table1[prior_dna_count]&gt;=1,"Has prior DNA history","No prior DNA history")</f>
        <v>No prior DNA history</v>
      </c>
      <c r="T2131" t="s">
        <v>22</v>
      </c>
      <c r="U2131" t="str">
        <f t="shared" si="33"/>
        <v>1</v>
      </c>
      <c r="V2131" t="str">
        <f>IF(Table1[appointment_status]="Attended","1","0")</f>
        <v>1</v>
      </c>
      <c r="W2131" t="str">
        <f>IF(Table1[appointment_status]="Cancelled","1","0")</f>
        <v>0</v>
      </c>
    </row>
    <row r="2132" spans="1:23">
      <c r="A2132" t="s">
        <v>3342</v>
      </c>
      <c r="B2132" t="s">
        <v>2030</v>
      </c>
      <c r="C2132">
        <v>42</v>
      </c>
      <c r="D2132" t="str" cm="1">
        <f t="array" ref="D2132">_xlfn.IFS(Table1[[#This Row],[age]]&lt;=17,"0-17",C2132&lt;=29,"18-29",C2132&lt;=44,"30-44",C2132&lt;=59,"45-59",C2132&lt;=74,"60-74",TRUE,"75+")</f>
        <v>30-44</v>
      </c>
      <c r="E2132" t="s">
        <v>29</v>
      </c>
      <c r="F2132">
        <v>6</v>
      </c>
      <c r="G2132" t="str" cm="1">
        <f t="array" ref="G2132">_xlfn.IFS(_xlfn.SINGLE(Table1[imd_decile])&lt;=3,"Most Deprived",F2132&lt;=7,"Moderately Deprived",F2132&lt;=10,"Least Deprived")</f>
        <v>Moderately Deprived</v>
      </c>
      <c r="H2132">
        <v>7.4</v>
      </c>
      <c r="I2132" t="s">
        <v>91</v>
      </c>
      <c r="J2132" t="s">
        <v>19</v>
      </c>
      <c r="K2132" s="1">
        <v>45899</v>
      </c>
      <c r="L2132" s="1">
        <v>45950</v>
      </c>
      <c r="M2132" s="1" t="str">
        <f>TEXT(Table1[[#This Row],[appointment_date]],"MM/YYYY")</f>
        <v>10/2025</v>
      </c>
      <c r="N2132">
        <v>51</v>
      </c>
      <c r="O2132" t="str" cm="1">
        <f t="array" ref="O2132">_xlfn.IFS(Table1[[#This Row],[lead_time_days]]&lt;=7,"0-7 days",N2132&lt;=14,"8-14 days",N2132&lt;=30,"15-30 days",N2132&lt;=60,"31-60 days",TRUE,"61+ days")</f>
        <v>31-60 days</v>
      </c>
      <c r="P2132" t="s">
        <v>35</v>
      </c>
      <c r="Q2132" t="s">
        <v>21</v>
      </c>
      <c r="R2132">
        <v>1</v>
      </c>
      <c r="S2132" t="str">
        <f>IF(Table1[prior_dna_count]&gt;=1,"Has prior DNA history","No prior DNA history")</f>
        <v>Has prior DNA history</v>
      </c>
      <c r="T2132" t="s">
        <v>46</v>
      </c>
      <c r="U2132" t="str">
        <f t="shared" si="33"/>
        <v>1</v>
      </c>
      <c r="V2132" t="str">
        <f>IF(Table1[appointment_status]="Attended","1","0")</f>
        <v>0</v>
      </c>
      <c r="W2132" t="str">
        <f>IF(Table1[appointment_status]="Cancelled","1","0")</f>
        <v>1</v>
      </c>
    </row>
    <row r="2133" spans="1:23">
      <c r="A2133" t="s">
        <v>3343</v>
      </c>
      <c r="B2133" t="s">
        <v>3344</v>
      </c>
      <c r="C2133">
        <v>47</v>
      </c>
      <c r="D2133" t="str" cm="1">
        <f t="array" ref="D2133">_xlfn.IFS(Table1[[#This Row],[age]]&lt;=17,"0-17",C2133&lt;=29,"18-29",C2133&lt;=44,"30-44",C2133&lt;=59,"45-59",C2133&lt;=74,"60-74",TRUE,"75+")</f>
        <v>45-59</v>
      </c>
      <c r="E2133" t="s">
        <v>29</v>
      </c>
      <c r="F2133">
        <v>9</v>
      </c>
      <c r="G2133" t="str" cm="1">
        <f t="array" ref="G2133">_xlfn.IFS(_xlfn.SINGLE(Table1[imd_decile])&lt;=3,"Most Deprived",F2133&lt;=7,"Moderately Deprived",F2133&lt;=10,"Least Deprived")</f>
        <v>Least Deprived</v>
      </c>
      <c r="H2133">
        <v>6</v>
      </c>
      <c r="I2133" t="s">
        <v>91</v>
      </c>
      <c r="J2133" t="s">
        <v>19</v>
      </c>
      <c r="K2133" s="1">
        <v>45861</v>
      </c>
      <c r="L2133" s="1">
        <v>45951</v>
      </c>
      <c r="M2133" s="1" t="str">
        <f>TEXT(Table1[[#This Row],[appointment_date]],"MM/YYYY")</f>
        <v>10/2025</v>
      </c>
      <c r="N2133">
        <v>90</v>
      </c>
      <c r="O2133" t="str" cm="1">
        <f t="array" ref="O2133">_xlfn.IFS(Table1[[#This Row],[lead_time_days]]&lt;=7,"0-7 days",N2133&lt;=14,"8-14 days",N2133&lt;=30,"15-30 days",N2133&lt;=60,"31-60 days",TRUE,"61+ days")</f>
        <v>61+ days</v>
      </c>
      <c r="P2133" t="s">
        <v>71</v>
      </c>
      <c r="Q2133" t="s">
        <v>21</v>
      </c>
      <c r="R2133">
        <v>0</v>
      </c>
      <c r="S2133" t="str">
        <f>IF(Table1[prior_dna_count]&gt;=1,"Has prior DNA history","No prior DNA history")</f>
        <v>No prior DNA history</v>
      </c>
      <c r="T2133" t="s">
        <v>46</v>
      </c>
      <c r="U2133" t="str">
        <f t="shared" si="33"/>
        <v>0</v>
      </c>
      <c r="V2133" t="str">
        <f>IF(Table1[appointment_status]="Attended","1","0")</f>
        <v>0</v>
      </c>
      <c r="W2133" t="str">
        <f>IF(Table1[appointment_status]="Cancelled","1","0")</f>
        <v>1</v>
      </c>
    </row>
    <row r="2134" spans="1:23">
      <c r="A2134" t="s">
        <v>3345</v>
      </c>
      <c r="B2134" t="s">
        <v>2986</v>
      </c>
      <c r="C2134">
        <v>71</v>
      </c>
      <c r="D2134" t="str" cm="1">
        <f t="array" ref="D2134">_xlfn.IFS(Table1[[#This Row],[age]]&lt;=17,"0-17",C2134&lt;=29,"18-29",C2134&lt;=44,"30-44",C2134&lt;=59,"45-59",C2134&lt;=74,"60-74",TRUE,"75+")</f>
        <v>60-74</v>
      </c>
      <c r="E2134" t="s">
        <v>29</v>
      </c>
      <c r="F2134">
        <v>6</v>
      </c>
      <c r="G2134" t="str" cm="1">
        <f t="array" ref="G2134">_xlfn.IFS(_xlfn.SINGLE(Table1[imd_decile])&lt;=3,"Most Deprived",F2134&lt;=7,"Moderately Deprived",F2134&lt;=10,"Least Deprived")</f>
        <v>Moderately Deprived</v>
      </c>
      <c r="H2134">
        <v>8.1999999999999993</v>
      </c>
      <c r="I2134" t="s">
        <v>155</v>
      </c>
      <c r="J2134" t="s">
        <v>19</v>
      </c>
      <c r="K2134" s="1">
        <v>45924</v>
      </c>
      <c r="L2134" s="1">
        <v>45951</v>
      </c>
      <c r="M2134" s="1" t="str">
        <f>TEXT(Table1[[#This Row],[appointment_date]],"MM/YYYY")</f>
        <v>10/2025</v>
      </c>
      <c r="N2134">
        <v>27</v>
      </c>
      <c r="O2134" t="str" cm="1">
        <f t="array" ref="O2134">_xlfn.IFS(Table1[[#This Row],[lead_time_days]]&lt;=7,"0-7 days",N2134&lt;=14,"8-14 days",N2134&lt;=30,"15-30 days",N2134&lt;=60,"31-60 days",TRUE,"61+ days")</f>
        <v>15-30 days</v>
      </c>
      <c r="P2134" t="s">
        <v>71</v>
      </c>
      <c r="Q2134" t="s">
        <v>21</v>
      </c>
      <c r="R2134">
        <v>0</v>
      </c>
      <c r="S2134" t="str">
        <f>IF(Table1[prior_dna_count]&gt;=1,"Has prior DNA history","No prior DNA history")</f>
        <v>No prior DNA history</v>
      </c>
      <c r="T2134" t="s">
        <v>22</v>
      </c>
      <c r="U2134" t="str">
        <f t="shared" si="33"/>
        <v>0</v>
      </c>
      <c r="V2134" t="str">
        <f>IF(Table1[appointment_status]="Attended","1","0")</f>
        <v>1</v>
      </c>
      <c r="W2134" t="str">
        <f>IF(Table1[appointment_status]="Cancelled","1","0")</f>
        <v>0</v>
      </c>
    </row>
    <row r="2135" spans="1:23">
      <c r="A2135" t="s">
        <v>3346</v>
      </c>
      <c r="B2135" t="s">
        <v>2597</v>
      </c>
      <c r="C2135">
        <v>62</v>
      </c>
      <c r="D2135" t="str" cm="1">
        <f t="array" ref="D2135">_xlfn.IFS(Table1[[#This Row],[age]]&lt;=17,"0-17",C2135&lt;=29,"18-29",C2135&lt;=44,"30-44",C2135&lt;=59,"45-59",C2135&lt;=74,"60-74",TRUE,"75+")</f>
        <v>60-74</v>
      </c>
      <c r="E2135" t="s">
        <v>17</v>
      </c>
      <c r="F2135">
        <v>7</v>
      </c>
      <c r="G2135" t="str" cm="1">
        <f t="array" ref="G2135">_xlfn.IFS(_xlfn.SINGLE(Table1[imd_decile])&lt;=3,"Most Deprived",F2135&lt;=7,"Moderately Deprived",F2135&lt;=10,"Least Deprived")</f>
        <v>Moderately Deprived</v>
      </c>
      <c r="H2135">
        <v>4.7</v>
      </c>
      <c r="I2135" t="s">
        <v>25</v>
      </c>
      <c r="J2135" t="s">
        <v>19</v>
      </c>
      <c r="K2135" s="1">
        <v>45925</v>
      </c>
      <c r="L2135" s="1">
        <v>45951</v>
      </c>
      <c r="M2135" s="1" t="str">
        <f>TEXT(Table1[[#This Row],[appointment_date]],"MM/YYYY")</f>
        <v>10/2025</v>
      </c>
      <c r="N2135">
        <v>26</v>
      </c>
      <c r="O2135" t="str" cm="1">
        <f t="array" ref="O2135">_xlfn.IFS(Table1[[#This Row],[lead_time_days]]&lt;=7,"0-7 days",N2135&lt;=14,"8-14 days",N2135&lt;=30,"15-30 days",N2135&lt;=60,"31-60 days",TRUE,"61+ days")</f>
        <v>15-30 days</v>
      </c>
      <c r="P2135" t="s">
        <v>71</v>
      </c>
      <c r="Q2135" t="s">
        <v>21</v>
      </c>
      <c r="R2135">
        <v>0</v>
      </c>
      <c r="S2135" t="str">
        <f>IF(Table1[prior_dna_count]&gt;=1,"Has prior DNA history","No prior DNA history")</f>
        <v>No prior DNA history</v>
      </c>
      <c r="T2135" t="s">
        <v>22</v>
      </c>
      <c r="U2135" t="str">
        <f t="shared" si="33"/>
        <v>1</v>
      </c>
      <c r="V2135" t="str">
        <f>IF(Table1[appointment_status]="Attended","1","0")</f>
        <v>1</v>
      </c>
      <c r="W2135" t="str">
        <f>IF(Table1[appointment_status]="Cancelled","1","0")</f>
        <v>0</v>
      </c>
    </row>
    <row r="2136" spans="1:23">
      <c r="A2136" t="s">
        <v>3347</v>
      </c>
      <c r="B2136" t="s">
        <v>1264</v>
      </c>
      <c r="C2136">
        <v>82</v>
      </c>
      <c r="D2136" t="str" cm="1">
        <f t="array" ref="D2136">_xlfn.IFS(Table1[[#This Row],[age]]&lt;=17,"0-17",C2136&lt;=29,"18-29",C2136&lt;=44,"30-44",C2136&lt;=59,"45-59",C2136&lt;=74,"60-74",TRUE,"75+")</f>
        <v>75+</v>
      </c>
      <c r="E2136" t="s">
        <v>29</v>
      </c>
      <c r="F2136">
        <v>8</v>
      </c>
      <c r="G2136" t="str" cm="1">
        <f t="array" ref="G2136">_xlfn.IFS(_xlfn.SINGLE(Table1[imd_decile])&lt;=3,"Most Deprived",F2136&lt;=7,"Moderately Deprived",F2136&lt;=10,"Least Deprived")</f>
        <v>Least Deprived</v>
      </c>
      <c r="H2136">
        <v>11.6</v>
      </c>
      <c r="I2136" t="s">
        <v>91</v>
      </c>
      <c r="J2136" t="s">
        <v>26</v>
      </c>
      <c r="K2136" s="1">
        <v>45916</v>
      </c>
      <c r="L2136" s="1">
        <v>45951</v>
      </c>
      <c r="M2136" s="1" t="str">
        <f>TEXT(Table1[[#This Row],[appointment_date]],"MM/YYYY")</f>
        <v>10/2025</v>
      </c>
      <c r="N2136">
        <v>35</v>
      </c>
      <c r="O2136" t="str" cm="1">
        <f t="array" ref="O2136">_xlfn.IFS(Table1[[#This Row],[lead_time_days]]&lt;=7,"0-7 days",N2136&lt;=14,"8-14 days",N2136&lt;=30,"15-30 days",N2136&lt;=60,"31-60 days",TRUE,"61+ days")</f>
        <v>31-60 days</v>
      </c>
      <c r="P2136" t="s">
        <v>71</v>
      </c>
      <c r="Q2136" t="s">
        <v>21</v>
      </c>
      <c r="R2136">
        <v>0</v>
      </c>
      <c r="S2136" t="str">
        <f>IF(Table1[prior_dna_count]&gt;=1,"Has prior DNA history","No prior DNA history")</f>
        <v>No prior DNA history</v>
      </c>
      <c r="T2136" t="s">
        <v>22</v>
      </c>
      <c r="U2136" t="str">
        <f t="shared" si="33"/>
        <v>1</v>
      </c>
      <c r="V2136" t="str">
        <f>IF(Table1[appointment_status]="Attended","1","0")</f>
        <v>1</v>
      </c>
      <c r="W2136" t="str">
        <f>IF(Table1[appointment_status]="Cancelled","1","0")</f>
        <v>0</v>
      </c>
    </row>
    <row r="2137" spans="1:23">
      <c r="A2137" t="s">
        <v>3348</v>
      </c>
      <c r="B2137" t="s">
        <v>159</v>
      </c>
      <c r="C2137">
        <v>21</v>
      </c>
      <c r="D2137" t="str" cm="1">
        <f t="array" ref="D2137">_xlfn.IFS(Table1[[#This Row],[age]]&lt;=17,"0-17",C2137&lt;=29,"18-29",C2137&lt;=44,"30-44",C2137&lt;=59,"45-59",C2137&lt;=74,"60-74",TRUE,"75+")</f>
        <v>18-29</v>
      </c>
      <c r="E2137" t="s">
        <v>29</v>
      </c>
      <c r="F2137">
        <v>1</v>
      </c>
      <c r="G2137" t="str" cm="1">
        <f t="array" ref="G2137">_xlfn.IFS(_xlfn.SINGLE(Table1[imd_decile])&lt;=3,"Most Deprived",F2137&lt;=7,"Moderately Deprived",F2137&lt;=10,"Least Deprived")</f>
        <v>Most Deprived</v>
      </c>
      <c r="H2137">
        <v>9.1</v>
      </c>
      <c r="I2137" t="s">
        <v>49</v>
      </c>
      <c r="J2137" t="s">
        <v>19</v>
      </c>
      <c r="K2137" s="1">
        <v>45921</v>
      </c>
      <c r="L2137" s="1">
        <v>45951</v>
      </c>
      <c r="M2137" s="1" t="str">
        <f>TEXT(Table1[[#This Row],[appointment_date]],"MM/YYYY")</f>
        <v>10/2025</v>
      </c>
      <c r="N2137">
        <v>30</v>
      </c>
      <c r="O2137" t="str" cm="1">
        <f t="array" ref="O2137">_xlfn.IFS(Table1[[#This Row],[lead_time_days]]&lt;=7,"0-7 days",N2137&lt;=14,"8-14 days",N2137&lt;=30,"15-30 days",N2137&lt;=60,"31-60 days",TRUE,"61+ days")</f>
        <v>15-30 days</v>
      </c>
      <c r="P2137" t="s">
        <v>71</v>
      </c>
      <c r="Q2137" t="s">
        <v>21</v>
      </c>
      <c r="R2137">
        <v>0</v>
      </c>
      <c r="S2137" t="str">
        <f>IF(Table1[prior_dna_count]&gt;=1,"Has prior DNA history","No prior DNA history")</f>
        <v>No prior DNA history</v>
      </c>
      <c r="T2137" t="s">
        <v>39</v>
      </c>
      <c r="U2137" t="str">
        <f t="shared" si="33"/>
        <v>1</v>
      </c>
      <c r="V2137" t="str">
        <f>IF(Table1[appointment_status]="Attended","1","0")</f>
        <v>0</v>
      </c>
      <c r="W2137" t="str">
        <f>IF(Table1[appointment_status]="Cancelled","1","0")</f>
        <v>0</v>
      </c>
    </row>
    <row r="2138" spans="1:23">
      <c r="A2138" t="s">
        <v>3349</v>
      </c>
      <c r="B2138" t="s">
        <v>3350</v>
      </c>
      <c r="C2138">
        <v>25</v>
      </c>
      <c r="D2138" t="str" cm="1">
        <f t="array" ref="D2138">_xlfn.IFS(Table1[[#This Row],[age]]&lt;=17,"0-17",C2138&lt;=29,"18-29",C2138&lt;=44,"30-44",C2138&lt;=59,"45-59",C2138&lt;=74,"60-74",TRUE,"75+")</f>
        <v>18-29</v>
      </c>
      <c r="E2138" t="s">
        <v>29</v>
      </c>
      <c r="F2138">
        <v>2</v>
      </c>
      <c r="G2138" t="str" cm="1">
        <f t="array" ref="G2138">_xlfn.IFS(_xlfn.SINGLE(Table1[imd_decile])&lt;=3,"Most Deprived",F2138&lt;=7,"Moderately Deprived",F2138&lt;=10,"Least Deprived")</f>
        <v>Most Deprived</v>
      </c>
      <c r="H2138">
        <v>8</v>
      </c>
      <c r="I2138" t="s">
        <v>155</v>
      </c>
      <c r="J2138" t="s">
        <v>19</v>
      </c>
      <c r="K2138" s="1">
        <v>45922</v>
      </c>
      <c r="L2138" s="1">
        <v>45951</v>
      </c>
      <c r="M2138" s="1" t="str">
        <f>TEXT(Table1[[#This Row],[appointment_date]],"MM/YYYY")</f>
        <v>10/2025</v>
      </c>
      <c r="N2138">
        <v>29</v>
      </c>
      <c r="O2138" t="str" cm="1">
        <f t="array" ref="O2138">_xlfn.IFS(Table1[[#This Row],[lead_time_days]]&lt;=7,"0-7 days",N2138&lt;=14,"8-14 days",N2138&lt;=30,"15-30 days",N2138&lt;=60,"31-60 days",TRUE,"61+ days")</f>
        <v>15-30 days</v>
      </c>
      <c r="P2138" t="s">
        <v>71</v>
      </c>
      <c r="Q2138" t="s">
        <v>21</v>
      </c>
      <c r="R2138">
        <v>0</v>
      </c>
      <c r="S2138" t="str">
        <f>IF(Table1[prior_dna_count]&gt;=1,"Has prior DNA history","No prior DNA history")</f>
        <v>No prior DNA history</v>
      </c>
      <c r="T2138" t="s">
        <v>22</v>
      </c>
      <c r="U2138" t="str">
        <f t="shared" si="33"/>
        <v>0</v>
      </c>
      <c r="V2138" t="str">
        <f>IF(Table1[appointment_status]="Attended","1","0")</f>
        <v>1</v>
      </c>
      <c r="W2138" t="str">
        <f>IF(Table1[appointment_status]="Cancelled","1","0")</f>
        <v>0</v>
      </c>
    </row>
    <row r="2139" spans="1:23">
      <c r="A2139" t="s">
        <v>3351</v>
      </c>
      <c r="B2139" t="s">
        <v>1205</v>
      </c>
      <c r="C2139">
        <v>50</v>
      </c>
      <c r="D2139" t="str" cm="1">
        <f t="array" ref="D2139">_xlfn.IFS(Table1[[#This Row],[age]]&lt;=17,"0-17",C2139&lt;=29,"18-29",C2139&lt;=44,"30-44",C2139&lt;=59,"45-59",C2139&lt;=74,"60-74",TRUE,"75+")</f>
        <v>45-59</v>
      </c>
      <c r="E2139" t="s">
        <v>17</v>
      </c>
      <c r="F2139">
        <v>3</v>
      </c>
      <c r="G2139" t="str" cm="1">
        <f t="array" ref="G2139">_xlfn.IFS(_xlfn.SINGLE(Table1[imd_decile])&lt;=3,"Most Deprived",F2139&lt;=7,"Moderately Deprived",F2139&lt;=10,"Least Deprived")</f>
        <v>Most Deprived</v>
      </c>
      <c r="H2139">
        <v>3.6</v>
      </c>
      <c r="I2139" t="s">
        <v>25</v>
      </c>
      <c r="J2139" t="s">
        <v>19</v>
      </c>
      <c r="K2139" s="1">
        <v>45925</v>
      </c>
      <c r="L2139" s="1">
        <v>45951</v>
      </c>
      <c r="M2139" s="1" t="str">
        <f>TEXT(Table1[[#This Row],[appointment_date]],"MM/YYYY")</f>
        <v>10/2025</v>
      </c>
      <c r="N2139">
        <v>26</v>
      </c>
      <c r="O2139" t="str" cm="1">
        <f t="array" ref="O2139">_xlfn.IFS(Table1[[#This Row],[lead_time_days]]&lt;=7,"0-7 days",N2139&lt;=14,"8-14 days",N2139&lt;=30,"15-30 days",N2139&lt;=60,"31-60 days",TRUE,"61+ days")</f>
        <v>15-30 days</v>
      </c>
      <c r="P2139" t="s">
        <v>71</v>
      </c>
      <c r="Q2139" t="s">
        <v>32</v>
      </c>
      <c r="R2139">
        <v>0</v>
      </c>
      <c r="S2139" t="str">
        <f>IF(Table1[prior_dna_count]&gt;=1,"Has prior DNA history","No prior DNA history")</f>
        <v>No prior DNA history</v>
      </c>
      <c r="T2139" t="s">
        <v>22</v>
      </c>
      <c r="U2139" t="str">
        <f t="shared" si="33"/>
        <v>1</v>
      </c>
      <c r="V2139" t="str">
        <f>IF(Table1[appointment_status]="Attended","1","0")</f>
        <v>1</v>
      </c>
      <c r="W2139" t="str">
        <f>IF(Table1[appointment_status]="Cancelled","1","0")</f>
        <v>0</v>
      </c>
    </row>
    <row r="2140" spans="1:23">
      <c r="A2140" t="s">
        <v>3352</v>
      </c>
      <c r="B2140" t="s">
        <v>2536</v>
      </c>
      <c r="C2140">
        <v>52</v>
      </c>
      <c r="D2140" t="str" cm="1">
        <f t="array" ref="D2140">_xlfn.IFS(Table1[[#This Row],[age]]&lt;=17,"0-17",C2140&lt;=29,"18-29",C2140&lt;=44,"30-44",C2140&lt;=59,"45-59",C2140&lt;=74,"60-74",TRUE,"75+")</f>
        <v>45-59</v>
      </c>
      <c r="E2140" t="s">
        <v>17</v>
      </c>
      <c r="F2140">
        <v>1</v>
      </c>
      <c r="G2140" t="str" cm="1">
        <f t="array" ref="G2140">_xlfn.IFS(_xlfn.SINGLE(Table1[imd_decile])&lt;=3,"Most Deprived",F2140&lt;=7,"Moderately Deprived",F2140&lt;=10,"Least Deprived")</f>
        <v>Most Deprived</v>
      </c>
      <c r="H2140">
        <v>5.0999999999999996</v>
      </c>
      <c r="I2140" t="s">
        <v>49</v>
      </c>
      <c r="J2140" t="s">
        <v>26</v>
      </c>
      <c r="K2140" s="1">
        <v>45931</v>
      </c>
      <c r="L2140" s="1">
        <v>45951</v>
      </c>
      <c r="M2140" s="1" t="str">
        <f>TEXT(Table1[[#This Row],[appointment_date]],"MM/YYYY")</f>
        <v>10/2025</v>
      </c>
      <c r="N2140">
        <v>20</v>
      </c>
      <c r="O2140" t="str" cm="1">
        <f t="array" ref="O2140">_xlfn.IFS(Table1[[#This Row],[lead_time_days]]&lt;=7,"0-7 days",N2140&lt;=14,"8-14 days",N2140&lt;=30,"15-30 days",N2140&lt;=60,"31-60 days",TRUE,"61+ days")</f>
        <v>15-30 days</v>
      </c>
      <c r="P2140" t="s">
        <v>71</v>
      </c>
      <c r="Q2140" t="s">
        <v>21</v>
      </c>
      <c r="R2140">
        <v>0</v>
      </c>
      <c r="S2140" t="str">
        <f>IF(Table1[prior_dna_count]&gt;=1,"Has prior DNA history","No prior DNA history")</f>
        <v>No prior DNA history</v>
      </c>
      <c r="T2140" t="s">
        <v>22</v>
      </c>
      <c r="U2140" t="str">
        <f t="shared" si="33"/>
        <v>1</v>
      </c>
      <c r="V2140" t="str">
        <f>IF(Table1[appointment_status]="Attended","1","0")</f>
        <v>1</v>
      </c>
      <c r="W2140" t="str">
        <f>IF(Table1[appointment_status]="Cancelled","1","0")</f>
        <v>0</v>
      </c>
    </row>
    <row r="2141" spans="1:23">
      <c r="A2141" t="s">
        <v>3353</v>
      </c>
      <c r="B2141" t="s">
        <v>3354</v>
      </c>
      <c r="C2141">
        <v>35</v>
      </c>
      <c r="D2141" t="str" cm="1">
        <f t="array" ref="D2141">_xlfn.IFS(Table1[[#This Row],[age]]&lt;=17,"0-17",C2141&lt;=29,"18-29",C2141&lt;=44,"30-44",C2141&lt;=59,"45-59",C2141&lt;=74,"60-74",TRUE,"75+")</f>
        <v>30-44</v>
      </c>
      <c r="E2141" t="s">
        <v>29</v>
      </c>
      <c r="F2141">
        <v>10</v>
      </c>
      <c r="G2141" t="str" cm="1">
        <f t="array" ref="G2141">_xlfn.IFS(_xlfn.SINGLE(Table1[imd_decile])&lt;=3,"Most Deprived",F2141&lt;=7,"Moderately Deprived",F2141&lt;=10,"Least Deprived")</f>
        <v>Least Deprived</v>
      </c>
      <c r="H2141">
        <v>15</v>
      </c>
      <c r="I2141" t="s">
        <v>45</v>
      </c>
      <c r="J2141" t="s">
        <v>26</v>
      </c>
      <c r="K2141" s="1">
        <v>45912</v>
      </c>
      <c r="L2141" s="1">
        <v>45952</v>
      </c>
      <c r="M2141" s="1" t="str">
        <f>TEXT(Table1[[#This Row],[appointment_date]],"MM/YYYY")</f>
        <v>10/2025</v>
      </c>
      <c r="N2141">
        <v>40</v>
      </c>
      <c r="O2141" t="str" cm="1">
        <f t="array" ref="O2141">_xlfn.IFS(Table1[[#This Row],[lead_time_days]]&lt;=7,"0-7 days",N2141&lt;=14,"8-14 days",N2141&lt;=30,"15-30 days",N2141&lt;=60,"31-60 days",TRUE,"61+ days")</f>
        <v>31-60 days</v>
      </c>
      <c r="P2141" t="s">
        <v>80</v>
      </c>
      <c r="Q2141" t="s">
        <v>21</v>
      </c>
      <c r="R2141">
        <v>0</v>
      </c>
      <c r="S2141" t="str">
        <f>IF(Table1[prior_dna_count]&gt;=1,"Has prior DNA history","No prior DNA history")</f>
        <v>No prior DNA history</v>
      </c>
      <c r="T2141" t="s">
        <v>22</v>
      </c>
      <c r="U2141" t="str">
        <f t="shared" si="33"/>
        <v>1</v>
      </c>
      <c r="V2141" t="str">
        <f>IF(Table1[appointment_status]="Attended","1","0")</f>
        <v>1</v>
      </c>
      <c r="W2141" t="str">
        <f>IF(Table1[appointment_status]="Cancelled","1","0")</f>
        <v>0</v>
      </c>
    </row>
    <row r="2142" spans="1:23">
      <c r="A2142" t="s">
        <v>3355</v>
      </c>
      <c r="B2142" t="s">
        <v>2334</v>
      </c>
      <c r="C2142">
        <v>60</v>
      </c>
      <c r="D2142" t="str" cm="1">
        <f t="array" ref="D2142">_xlfn.IFS(Table1[[#This Row],[age]]&lt;=17,"0-17",C2142&lt;=29,"18-29",C2142&lt;=44,"30-44",C2142&lt;=59,"45-59",C2142&lt;=74,"60-74",TRUE,"75+")</f>
        <v>60-74</v>
      </c>
      <c r="E2142" t="s">
        <v>17</v>
      </c>
      <c r="F2142">
        <v>7</v>
      </c>
      <c r="G2142" t="str" cm="1">
        <f t="array" ref="G2142">_xlfn.IFS(_xlfn.SINGLE(Table1[imd_decile])&lt;=3,"Most Deprived",F2142&lt;=7,"Moderately Deprived",F2142&lt;=10,"Least Deprived")</f>
        <v>Moderately Deprived</v>
      </c>
      <c r="H2142">
        <v>8.6999999999999993</v>
      </c>
      <c r="I2142" t="s">
        <v>49</v>
      </c>
      <c r="J2142" t="s">
        <v>19</v>
      </c>
      <c r="K2142" s="1">
        <v>45914</v>
      </c>
      <c r="L2142" s="1">
        <v>45952</v>
      </c>
      <c r="M2142" s="1" t="str">
        <f>TEXT(Table1[[#This Row],[appointment_date]],"MM/YYYY")</f>
        <v>10/2025</v>
      </c>
      <c r="N2142">
        <v>38</v>
      </c>
      <c r="O2142" t="str" cm="1">
        <f t="array" ref="O2142">_xlfn.IFS(Table1[[#This Row],[lead_time_days]]&lt;=7,"0-7 days",N2142&lt;=14,"8-14 days",N2142&lt;=30,"15-30 days",N2142&lt;=60,"31-60 days",TRUE,"61+ days")</f>
        <v>31-60 days</v>
      </c>
      <c r="P2142" t="s">
        <v>80</v>
      </c>
      <c r="Q2142" t="s">
        <v>21</v>
      </c>
      <c r="R2142">
        <v>0</v>
      </c>
      <c r="S2142" t="str">
        <f>IF(Table1[prior_dna_count]&gt;=1,"Has prior DNA history","No prior DNA history")</f>
        <v>No prior DNA history</v>
      </c>
      <c r="T2142" t="s">
        <v>22</v>
      </c>
      <c r="U2142" t="str">
        <f t="shared" si="33"/>
        <v>1</v>
      </c>
      <c r="V2142" t="str">
        <f>IF(Table1[appointment_status]="Attended","1","0")</f>
        <v>1</v>
      </c>
      <c r="W2142" t="str">
        <f>IF(Table1[appointment_status]="Cancelled","1","0")</f>
        <v>0</v>
      </c>
    </row>
    <row r="2143" spans="1:23">
      <c r="A2143" t="s">
        <v>3356</v>
      </c>
      <c r="B2143" t="s">
        <v>448</v>
      </c>
      <c r="C2143">
        <v>52</v>
      </c>
      <c r="D2143" t="str" cm="1">
        <f t="array" ref="D2143">_xlfn.IFS(Table1[[#This Row],[age]]&lt;=17,"0-17",C2143&lt;=29,"18-29",C2143&lt;=44,"30-44",C2143&lt;=59,"45-59",C2143&lt;=74,"60-74",TRUE,"75+")</f>
        <v>45-59</v>
      </c>
      <c r="E2143" t="s">
        <v>29</v>
      </c>
      <c r="F2143">
        <v>9</v>
      </c>
      <c r="G2143" t="str" cm="1">
        <f t="array" ref="G2143">_xlfn.IFS(_xlfn.SINGLE(Table1[imd_decile])&lt;=3,"Most Deprived",F2143&lt;=7,"Moderately Deprived",F2143&lt;=10,"Least Deprived")</f>
        <v>Least Deprived</v>
      </c>
      <c r="H2143">
        <v>7.6</v>
      </c>
      <c r="I2143" t="s">
        <v>91</v>
      </c>
      <c r="J2143" t="s">
        <v>19</v>
      </c>
      <c r="K2143" s="1">
        <v>45933</v>
      </c>
      <c r="L2143" s="1">
        <v>45952</v>
      </c>
      <c r="M2143" s="1" t="str">
        <f>TEXT(Table1[[#This Row],[appointment_date]],"MM/YYYY")</f>
        <v>10/2025</v>
      </c>
      <c r="N2143">
        <v>19</v>
      </c>
      <c r="O2143" t="str" cm="1">
        <f t="array" ref="O2143">_xlfn.IFS(Table1[[#This Row],[lead_time_days]]&lt;=7,"0-7 days",N2143&lt;=14,"8-14 days",N2143&lt;=30,"15-30 days",N2143&lt;=60,"31-60 days",TRUE,"61+ days")</f>
        <v>15-30 days</v>
      </c>
      <c r="P2143" t="s">
        <v>80</v>
      </c>
      <c r="Q2143" t="s">
        <v>21</v>
      </c>
      <c r="R2143">
        <v>0</v>
      </c>
      <c r="S2143" t="str">
        <f>IF(Table1[prior_dna_count]&gt;=1,"Has prior DNA history","No prior DNA history")</f>
        <v>No prior DNA history</v>
      </c>
      <c r="T2143" t="s">
        <v>22</v>
      </c>
      <c r="U2143" t="str">
        <f t="shared" si="33"/>
        <v>1</v>
      </c>
      <c r="V2143" t="str">
        <f>IF(Table1[appointment_status]="Attended","1","0")</f>
        <v>1</v>
      </c>
      <c r="W2143" t="str">
        <f>IF(Table1[appointment_status]="Cancelled","1","0")</f>
        <v>0</v>
      </c>
    </row>
    <row r="2144" spans="1:23">
      <c r="A2144" t="s">
        <v>3357</v>
      </c>
      <c r="B2144" t="s">
        <v>3358</v>
      </c>
      <c r="C2144">
        <v>71</v>
      </c>
      <c r="D2144" t="str" cm="1">
        <f t="array" ref="D2144">_xlfn.IFS(Table1[[#This Row],[age]]&lt;=17,"0-17",C2144&lt;=29,"18-29",C2144&lt;=44,"30-44",C2144&lt;=59,"45-59",C2144&lt;=74,"60-74",TRUE,"75+")</f>
        <v>60-74</v>
      </c>
      <c r="E2144" t="s">
        <v>29</v>
      </c>
      <c r="F2144">
        <v>9</v>
      </c>
      <c r="G2144" t="str" cm="1">
        <f t="array" ref="G2144">_xlfn.IFS(_xlfn.SINGLE(Table1[imd_decile])&lt;=3,"Most Deprived",F2144&lt;=7,"Moderately Deprived",F2144&lt;=10,"Least Deprived")</f>
        <v>Least Deprived</v>
      </c>
      <c r="H2144">
        <v>1.7</v>
      </c>
      <c r="I2144" t="s">
        <v>45</v>
      </c>
      <c r="J2144" t="s">
        <v>19</v>
      </c>
      <c r="K2144" s="1">
        <v>45917</v>
      </c>
      <c r="L2144" s="1">
        <v>45952</v>
      </c>
      <c r="M2144" s="1" t="str">
        <f>TEXT(Table1[[#This Row],[appointment_date]],"MM/YYYY")</f>
        <v>10/2025</v>
      </c>
      <c r="N2144">
        <v>35</v>
      </c>
      <c r="O2144" t="str" cm="1">
        <f t="array" ref="O2144">_xlfn.IFS(Table1[[#This Row],[lead_time_days]]&lt;=7,"0-7 days",N2144&lt;=14,"8-14 days",N2144&lt;=30,"15-30 days",N2144&lt;=60,"31-60 days",TRUE,"61+ days")</f>
        <v>31-60 days</v>
      </c>
      <c r="P2144" t="s">
        <v>80</v>
      </c>
      <c r="Q2144" t="s">
        <v>21</v>
      </c>
      <c r="R2144">
        <v>0</v>
      </c>
      <c r="S2144" t="str">
        <f>IF(Table1[prior_dna_count]&gt;=1,"Has prior DNA history","No prior DNA history")</f>
        <v>No prior DNA history</v>
      </c>
      <c r="T2144" t="s">
        <v>22</v>
      </c>
      <c r="U2144" t="str">
        <f t="shared" si="33"/>
        <v>1</v>
      </c>
      <c r="V2144" t="str">
        <f>IF(Table1[appointment_status]="Attended","1","0")</f>
        <v>1</v>
      </c>
      <c r="W2144" t="str">
        <f>IF(Table1[appointment_status]="Cancelled","1","0")</f>
        <v>0</v>
      </c>
    </row>
    <row r="2145" spans="1:23">
      <c r="A2145" t="s">
        <v>3359</v>
      </c>
      <c r="B2145" t="s">
        <v>1580</v>
      </c>
      <c r="C2145">
        <v>61</v>
      </c>
      <c r="D2145" t="str" cm="1">
        <f t="array" ref="D2145">_xlfn.IFS(Table1[[#This Row],[age]]&lt;=17,"0-17",C2145&lt;=29,"18-29",C2145&lt;=44,"30-44",C2145&lt;=59,"45-59",C2145&lt;=74,"60-74",TRUE,"75+")</f>
        <v>60-74</v>
      </c>
      <c r="E2145" t="s">
        <v>29</v>
      </c>
      <c r="F2145">
        <v>6</v>
      </c>
      <c r="G2145" t="str" cm="1">
        <f t="array" ref="G2145">_xlfn.IFS(_xlfn.SINGLE(Table1[imd_decile])&lt;=3,"Most Deprived",F2145&lt;=7,"Moderately Deprived",F2145&lt;=10,"Least Deprived")</f>
        <v>Moderately Deprived</v>
      </c>
      <c r="H2145">
        <v>9.9</v>
      </c>
      <c r="I2145" t="s">
        <v>58</v>
      </c>
      <c r="J2145" t="s">
        <v>19</v>
      </c>
      <c r="K2145" s="1">
        <v>45879</v>
      </c>
      <c r="L2145" s="1">
        <v>45952</v>
      </c>
      <c r="M2145" s="1" t="str">
        <f>TEXT(Table1[[#This Row],[appointment_date]],"MM/YYYY")</f>
        <v>10/2025</v>
      </c>
      <c r="N2145">
        <v>73</v>
      </c>
      <c r="O2145" t="str" cm="1">
        <f t="array" ref="O2145">_xlfn.IFS(Table1[[#This Row],[lead_time_days]]&lt;=7,"0-7 days",N2145&lt;=14,"8-14 days",N2145&lt;=30,"15-30 days",N2145&lt;=60,"31-60 days",TRUE,"61+ days")</f>
        <v>61+ days</v>
      </c>
      <c r="P2145" t="s">
        <v>80</v>
      </c>
      <c r="Q2145" t="s">
        <v>32</v>
      </c>
      <c r="R2145">
        <v>0</v>
      </c>
      <c r="S2145" t="str">
        <f>IF(Table1[prior_dna_count]&gt;=1,"Has prior DNA history","No prior DNA history")</f>
        <v>No prior DNA history</v>
      </c>
      <c r="T2145" t="s">
        <v>39</v>
      </c>
      <c r="U2145" t="str">
        <f t="shared" si="33"/>
        <v>1</v>
      </c>
      <c r="V2145" t="str">
        <f>IF(Table1[appointment_status]="Attended","1","0")</f>
        <v>0</v>
      </c>
      <c r="W2145" t="str">
        <f>IF(Table1[appointment_status]="Cancelled","1","0")</f>
        <v>0</v>
      </c>
    </row>
    <row r="2146" spans="1:23">
      <c r="A2146" t="s">
        <v>3360</v>
      </c>
      <c r="B2146" t="s">
        <v>3361</v>
      </c>
      <c r="C2146">
        <v>49</v>
      </c>
      <c r="D2146" t="str" cm="1">
        <f t="array" ref="D2146">_xlfn.IFS(Table1[[#This Row],[age]]&lt;=17,"0-17",C2146&lt;=29,"18-29",C2146&lt;=44,"30-44",C2146&lt;=59,"45-59",C2146&lt;=74,"60-74",TRUE,"75+")</f>
        <v>45-59</v>
      </c>
      <c r="E2146" t="s">
        <v>17</v>
      </c>
      <c r="F2146">
        <v>4</v>
      </c>
      <c r="G2146" t="str" cm="1">
        <f t="array" ref="G2146">_xlfn.IFS(_xlfn.SINGLE(Table1[imd_decile])&lt;=3,"Most Deprived",F2146&lt;=7,"Moderately Deprived",F2146&lt;=10,"Least Deprived")</f>
        <v>Moderately Deprived</v>
      </c>
      <c r="H2146">
        <v>1.3</v>
      </c>
      <c r="I2146" t="s">
        <v>42</v>
      </c>
      <c r="J2146" t="s">
        <v>26</v>
      </c>
      <c r="K2146" s="1">
        <v>45932</v>
      </c>
      <c r="L2146" s="1">
        <v>45952</v>
      </c>
      <c r="M2146" s="1" t="str">
        <f>TEXT(Table1[[#This Row],[appointment_date]],"MM/YYYY")</f>
        <v>10/2025</v>
      </c>
      <c r="N2146">
        <v>20</v>
      </c>
      <c r="O2146" t="str" cm="1">
        <f t="array" ref="O2146">_xlfn.IFS(Table1[[#This Row],[lead_time_days]]&lt;=7,"0-7 days",N2146&lt;=14,"8-14 days",N2146&lt;=30,"15-30 days",N2146&lt;=60,"31-60 days",TRUE,"61+ days")</f>
        <v>15-30 days</v>
      </c>
      <c r="P2146" t="s">
        <v>80</v>
      </c>
      <c r="Q2146" t="s">
        <v>21</v>
      </c>
      <c r="R2146">
        <v>0</v>
      </c>
      <c r="S2146" t="str">
        <f>IF(Table1[prior_dna_count]&gt;=1,"Has prior DNA history","No prior DNA history")</f>
        <v>No prior DNA history</v>
      </c>
      <c r="T2146" t="s">
        <v>22</v>
      </c>
      <c r="U2146" t="str">
        <f t="shared" si="33"/>
        <v>0</v>
      </c>
      <c r="V2146" t="str">
        <f>IF(Table1[appointment_status]="Attended","1","0")</f>
        <v>1</v>
      </c>
      <c r="W2146" t="str">
        <f>IF(Table1[appointment_status]="Cancelled","1","0")</f>
        <v>0</v>
      </c>
    </row>
    <row r="2147" spans="1:23">
      <c r="A2147" t="s">
        <v>3362</v>
      </c>
      <c r="B2147" t="s">
        <v>1726</v>
      </c>
      <c r="C2147">
        <v>73</v>
      </c>
      <c r="D2147" t="str" cm="1">
        <f t="array" ref="D2147">_xlfn.IFS(Table1[[#This Row],[age]]&lt;=17,"0-17",C2147&lt;=29,"18-29",C2147&lt;=44,"30-44",C2147&lt;=59,"45-59",C2147&lt;=74,"60-74",TRUE,"75+")</f>
        <v>60-74</v>
      </c>
      <c r="E2147" t="s">
        <v>17</v>
      </c>
      <c r="F2147">
        <v>6</v>
      </c>
      <c r="G2147" t="str" cm="1">
        <f t="array" ref="G2147">_xlfn.IFS(_xlfn.SINGLE(Table1[imd_decile])&lt;=3,"Most Deprived",F2147&lt;=7,"Moderately Deprived",F2147&lt;=10,"Least Deprived")</f>
        <v>Moderately Deprived</v>
      </c>
      <c r="H2147">
        <v>8.1999999999999993</v>
      </c>
      <c r="I2147" t="s">
        <v>42</v>
      </c>
      <c r="J2147" t="s">
        <v>19</v>
      </c>
      <c r="K2147" s="1">
        <v>45916</v>
      </c>
      <c r="L2147" s="1">
        <v>45952</v>
      </c>
      <c r="M2147" s="1" t="str">
        <f>TEXT(Table1[[#This Row],[appointment_date]],"MM/YYYY")</f>
        <v>10/2025</v>
      </c>
      <c r="N2147">
        <v>36</v>
      </c>
      <c r="O2147" t="str" cm="1">
        <f t="array" ref="O2147">_xlfn.IFS(Table1[[#This Row],[lead_time_days]]&lt;=7,"0-7 days",N2147&lt;=14,"8-14 days",N2147&lt;=30,"15-30 days",N2147&lt;=60,"31-60 days",TRUE,"61+ days")</f>
        <v>31-60 days</v>
      </c>
      <c r="P2147" t="s">
        <v>80</v>
      </c>
      <c r="Q2147" t="s">
        <v>21</v>
      </c>
      <c r="R2147">
        <v>0</v>
      </c>
      <c r="S2147" t="str">
        <f>IF(Table1[prior_dna_count]&gt;=1,"Has prior DNA history","No prior DNA history")</f>
        <v>No prior DNA history</v>
      </c>
      <c r="T2147" t="s">
        <v>22</v>
      </c>
      <c r="U2147" t="str">
        <f t="shared" si="33"/>
        <v>1</v>
      </c>
      <c r="V2147" t="str">
        <f>IF(Table1[appointment_status]="Attended","1","0")</f>
        <v>1</v>
      </c>
      <c r="W2147" t="str">
        <f>IF(Table1[appointment_status]="Cancelled","1","0")</f>
        <v>0</v>
      </c>
    </row>
    <row r="2148" spans="1:23">
      <c r="A2148" t="s">
        <v>3363</v>
      </c>
      <c r="B2148" t="s">
        <v>1614</v>
      </c>
      <c r="C2148">
        <v>40</v>
      </c>
      <c r="D2148" t="str" cm="1">
        <f t="array" ref="D2148">_xlfn.IFS(Table1[[#This Row],[age]]&lt;=17,"0-17",C2148&lt;=29,"18-29",C2148&lt;=44,"30-44",C2148&lt;=59,"45-59",C2148&lt;=74,"60-74",TRUE,"75+")</f>
        <v>30-44</v>
      </c>
      <c r="E2148" t="s">
        <v>29</v>
      </c>
      <c r="F2148">
        <v>4</v>
      </c>
      <c r="G2148" t="str" cm="1">
        <f t="array" ref="G2148">_xlfn.IFS(_xlfn.SINGLE(Table1[imd_decile])&lt;=3,"Most Deprived",F2148&lt;=7,"Moderately Deprived",F2148&lt;=10,"Least Deprived")</f>
        <v>Moderately Deprived</v>
      </c>
      <c r="H2148">
        <v>5.4</v>
      </c>
      <c r="I2148" t="s">
        <v>45</v>
      </c>
      <c r="J2148" t="s">
        <v>19</v>
      </c>
      <c r="K2148" s="1">
        <v>45948</v>
      </c>
      <c r="L2148" s="1">
        <v>45952</v>
      </c>
      <c r="M2148" s="1" t="str">
        <f>TEXT(Table1[[#This Row],[appointment_date]],"MM/YYYY")</f>
        <v>10/2025</v>
      </c>
      <c r="N2148">
        <v>4</v>
      </c>
      <c r="O2148" t="str" cm="1">
        <f t="array" ref="O2148">_xlfn.IFS(Table1[[#This Row],[lead_time_days]]&lt;=7,"0-7 days",N2148&lt;=14,"8-14 days",N2148&lt;=30,"15-30 days",N2148&lt;=60,"31-60 days",TRUE,"61+ days")</f>
        <v>0-7 days</v>
      </c>
      <c r="P2148" t="s">
        <v>80</v>
      </c>
      <c r="Q2148" t="s">
        <v>21</v>
      </c>
      <c r="R2148">
        <v>0</v>
      </c>
      <c r="S2148" t="str">
        <f>IF(Table1[prior_dna_count]&gt;=1,"Has prior DNA history","No prior DNA history")</f>
        <v>No prior DNA history</v>
      </c>
      <c r="T2148" t="s">
        <v>22</v>
      </c>
      <c r="U2148" t="str">
        <f t="shared" si="33"/>
        <v>1</v>
      </c>
      <c r="V2148" t="str">
        <f>IF(Table1[appointment_status]="Attended","1","0")</f>
        <v>1</v>
      </c>
      <c r="W2148" t="str">
        <f>IF(Table1[appointment_status]="Cancelled","1","0")</f>
        <v>0</v>
      </c>
    </row>
    <row r="2149" spans="1:23">
      <c r="A2149" t="s">
        <v>3364</v>
      </c>
      <c r="B2149" t="s">
        <v>1240</v>
      </c>
      <c r="C2149">
        <v>57</v>
      </c>
      <c r="D2149" t="str" cm="1">
        <f t="array" ref="D2149">_xlfn.IFS(Table1[[#This Row],[age]]&lt;=17,"0-17",C2149&lt;=29,"18-29",C2149&lt;=44,"30-44",C2149&lt;=59,"45-59",C2149&lt;=74,"60-74",TRUE,"75+")</f>
        <v>45-59</v>
      </c>
      <c r="E2149" t="s">
        <v>29</v>
      </c>
      <c r="F2149">
        <v>1</v>
      </c>
      <c r="G2149" t="str" cm="1">
        <f t="array" ref="G2149">_xlfn.IFS(_xlfn.SINGLE(Table1[imd_decile])&lt;=3,"Most Deprived",F2149&lt;=7,"Moderately Deprived",F2149&lt;=10,"Least Deprived")</f>
        <v>Most Deprived</v>
      </c>
      <c r="H2149">
        <v>14</v>
      </c>
      <c r="I2149" t="s">
        <v>18</v>
      </c>
      <c r="J2149" t="s">
        <v>26</v>
      </c>
      <c r="K2149" s="1">
        <v>45923</v>
      </c>
      <c r="L2149" s="1">
        <v>45952</v>
      </c>
      <c r="M2149" s="1" t="str">
        <f>TEXT(Table1[[#This Row],[appointment_date]],"MM/YYYY")</f>
        <v>10/2025</v>
      </c>
      <c r="N2149">
        <v>29</v>
      </c>
      <c r="O2149" t="str" cm="1">
        <f t="array" ref="O2149">_xlfn.IFS(Table1[[#This Row],[lead_time_days]]&lt;=7,"0-7 days",N2149&lt;=14,"8-14 days",N2149&lt;=30,"15-30 days",N2149&lt;=60,"31-60 days",TRUE,"61+ days")</f>
        <v>15-30 days</v>
      </c>
      <c r="P2149" t="s">
        <v>80</v>
      </c>
      <c r="Q2149" t="s">
        <v>21</v>
      </c>
      <c r="R2149">
        <v>0</v>
      </c>
      <c r="S2149" t="str">
        <f>IF(Table1[prior_dna_count]&gt;=1,"Has prior DNA history","No prior DNA history")</f>
        <v>No prior DNA history</v>
      </c>
      <c r="T2149" t="s">
        <v>22</v>
      </c>
      <c r="U2149" t="str">
        <f t="shared" si="33"/>
        <v>1</v>
      </c>
      <c r="V2149" t="str">
        <f>IF(Table1[appointment_status]="Attended","1","0")</f>
        <v>1</v>
      </c>
      <c r="W2149" t="str">
        <f>IF(Table1[appointment_status]="Cancelled","1","0")</f>
        <v>0</v>
      </c>
    </row>
    <row r="2150" spans="1:23">
      <c r="A2150" t="s">
        <v>3365</v>
      </c>
      <c r="B2150" t="s">
        <v>603</v>
      </c>
      <c r="C2150">
        <v>48</v>
      </c>
      <c r="D2150" t="str" cm="1">
        <f t="array" ref="D2150">_xlfn.IFS(Table1[[#This Row],[age]]&lt;=17,"0-17",C2150&lt;=29,"18-29",C2150&lt;=44,"30-44",C2150&lt;=59,"45-59",C2150&lt;=74,"60-74",TRUE,"75+")</f>
        <v>45-59</v>
      </c>
      <c r="E2150" t="s">
        <v>29</v>
      </c>
      <c r="F2150">
        <v>3</v>
      </c>
      <c r="G2150" t="str" cm="1">
        <f t="array" ref="G2150">_xlfn.IFS(_xlfn.SINGLE(Table1[imd_decile])&lt;=3,"Most Deprived",F2150&lt;=7,"Moderately Deprived",F2150&lt;=10,"Least Deprived")</f>
        <v>Most Deprived</v>
      </c>
      <c r="H2150">
        <v>12.4</v>
      </c>
      <c r="I2150" t="s">
        <v>58</v>
      </c>
      <c r="J2150" t="s">
        <v>19</v>
      </c>
      <c r="K2150" s="1">
        <v>45917</v>
      </c>
      <c r="L2150" s="1">
        <v>45952</v>
      </c>
      <c r="M2150" s="1" t="str">
        <f>TEXT(Table1[[#This Row],[appointment_date]],"MM/YYYY")</f>
        <v>10/2025</v>
      </c>
      <c r="N2150">
        <v>35</v>
      </c>
      <c r="O2150" t="str" cm="1">
        <f t="array" ref="O2150">_xlfn.IFS(Table1[[#This Row],[lead_time_days]]&lt;=7,"0-7 days",N2150&lt;=14,"8-14 days",N2150&lt;=30,"15-30 days",N2150&lt;=60,"31-60 days",TRUE,"61+ days")</f>
        <v>31-60 days</v>
      </c>
      <c r="P2150" t="s">
        <v>80</v>
      </c>
      <c r="Q2150" t="s">
        <v>21</v>
      </c>
      <c r="R2150">
        <v>0</v>
      </c>
      <c r="S2150" t="str">
        <f>IF(Table1[prior_dna_count]&gt;=1,"Has prior DNA history","No prior DNA history")</f>
        <v>No prior DNA history</v>
      </c>
      <c r="T2150" t="s">
        <v>22</v>
      </c>
      <c r="U2150" t="str">
        <f t="shared" si="33"/>
        <v>1</v>
      </c>
      <c r="V2150" t="str">
        <f>IF(Table1[appointment_status]="Attended","1","0")</f>
        <v>1</v>
      </c>
      <c r="W2150" t="str">
        <f>IF(Table1[appointment_status]="Cancelled","1","0")</f>
        <v>0</v>
      </c>
    </row>
    <row r="2151" spans="1:23">
      <c r="A2151" t="s">
        <v>3366</v>
      </c>
      <c r="B2151" t="s">
        <v>1218</v>
      </c>
      <c r="C2151">
        <v>51</v>
      </c>
      <c r="D2151" t="str" cm="1">
        <f t="array" ref="D2151">_xlfn.IFS(Table1[[#This Row],[age]]&lt;=17,"0-17",C2151&lt;=29,"18-29",C2151&lt;=44,"30-44",C2151&lt;=59,"45-59",C2151&lt;=74,"60-74",TRUE,"75+")</f>
        <v>45-59</v>
      </c>
      <c r="E2151" t="s">
        <v>17</v>
      </c>
      <c r="F2151">
        <v>10</v>
      </c>
      <c r="G2151" t="str" cm="1">
        <f t="array" ref="G2151">_xlfn.IFS(_xlfn.SINGLE(Table1[imd_decile])&lt;=3,"Most Deprived",F2151&lt;=7,"Moderately Deprived",F2151&lt;=10,"Least Deprived")</f>
        <v>Least Deprived</v>
      </c>
      <c r="H2151">
        <v>23.2</v>
      </c>
      <c r="I2151" t="s">
        <v>58</v>
      </c>
      <c r="J2151" t="s">
        <v>26</v>
      </c>
      <c r="K2151" s="1">
        <v>45932</v>
      </c>
      <c r="L2151" s="1">
        <v>45952</v>
      </c>
      <c r="M2151" s="1" t="str">
        <f>TEXT(Table1[[#This Row],[appointment_date]],"MM/YYYY")</f>
        <v>10/2025</v>
      </c>
      <c r="N2151">
        <v>20</v>
      </c>
      <c r="O2151" t="str" cm="1">
        <f t="array" ref="O2151">_xlfn.IFS(Table1[[#This Row],[lead_time_days]]&lt;=7,"0-7 days",N2151&lt;=14,"8-14 days",N2151&lt;=30,"15-30 days",N2151&lt;=60,"31-60 days",TRUE,"61+ days")</f>
        <v>15-30 days</v>
      </c>
      <c r="P2151" t="s">
        <v>80</v>
      </c>
      <c r="Q2151" t="s">
        <v>32</v>
      </c>
      <c r="R2151">
        <v>0</v>
      </c>
      <c r="S2151" t="str">
        <f>IF(Table1[prior_dna_count]&gt;=1,"Has prior DNA history","No prior DNA history")</f>
        <v>No prior DNA history</v>
      </c>
      <c r="T2151" t="s">
        <v>22</v>
      </c>
      <c r="U2151" t="str">
        <f t="shared" si="33"/>
        <v>1</v>
      </c>
      <c r="V2151" t="str">
        <f>IF(Table1[appointment_status]="Attended","1","0")</f>
        <v>1</v>
      </c>
      <c r="W2151" t="str">
        <f>IF(Table1[appointment_status]="Cancelled","1","0")</f>
        <v>0</v>
      </c>
    </row>
    <row r="2152" spans="1:23">
      <c r="A2152" t="s">
        <v>3367</v>
      </c>
      <c r="B2152" t="s">
        <v>2050</v>
      </c>
      <c r="C2152">
        <v>27</v>
      </c>
      <c r="D2152" t="str" cm="1">
        <f t="array" ref="D2152">_xlfn.IFS(Table1[[#This Row],[age]]&lt;=17,"0-17",C2152&lt;=29,"18-29",C2152&lt;=44,"30-44",C2152&lt;=59,"45-59",C2152&lt;=74,"60-74",TRUE,"75+")</f>
        <v>18-29</v>
      </c>
      <c r="E2152" t="s">
        <v>17</v>
      </c>
      <c r="F2152">
        <v>1</v>
      </c>
      <c r="G2152" t="str" cm="1">
        <f t="array" ref="G2152">_xlfn.IFS(_xlfn.SINGLE(Table1[imd_decile])&lt;=3,"Most Deprived",F2152&lt;=7,"Moderately Deprived",F2152&lt;=10,"Least Deprived")</f>
        <v>Most Deprived</v>
      </c>
      <c r="H2152">
        <v>23</v>
      </c>
      <c r="I2152" t="s">
        <v>30</v>
      </c>
      <c r="J2152" t="s">
        <v>26</v>
      </c>
      <c r="K2152" s="1">
        <v>45939</v>
      </c>
      <c r="L2152" s="1">
        <v>45952</v>
      </c>
      <c r="M2152" s="1" t="str">
        <f>TEXT(Table1[[#This Row],[appointment_date]],"MM/YYYY")</f>
        <v>10/2025</v>
      </c>
      <c r="N2152">
        <v>13</v>
      </c>
      <c r="O2152" t="str" cm="1">
        <f t="array" ref="O2152">_xlfn.IFS(Table1[[#This Row],[lead_time_days]]&lt;=7,"0-7 days",N2152&lt;=14,"8-14 days",N2152&lt;=30,"15-30 days",N2152&lt;=60,"31-60 days",TRUE,"61+ days")</f>
        <v>8-14 days</v>
      </c>
      <c r="P2152" t="s">
        <v>80</v>
      </c>
      <c r="Q2152" t="s">
        <v>21</v>
      </c>
      <c r="R2152">
        <v>0</v>
      </c>
      <c r="S2152" t="str">
        <f>IF(Table1[prior_dna_count]&gt;=1,"Has prior DNA history","No prior DNA history")</f>
        <v>No prior DNA history</v>
      </c>
      <c r="T2152" t="s">
        <v>39</v>
      </c>
      <c r="U2152" t="str">
        <f t="shared" si="33"/>
        <v>1</v>
      </c>
      <c r="V2152" t="str">
        <f>IF(Table1[appointment_status]="Attended","1","0")</f>
        <v>0</v>
      </c>
      <c r="W2152" t="str">
        <f>IF(Table1[appointment_status]="Cancelled","1","0")</f>
        <v>0</v>
      </c>
    </row>
    <row r="2153" spans="1:23">
      <c r="A2153" t="s">
        <v>3368</v>
      </c>
      <c r="B2153" t="s">
        <v>1144</v>
      </c>
      <c r="C2153">
        <v>69</v>
      </c>
      <c r="D2153" t="str" cm="1">
        <f t="array" ref="D2153">_xlfn.IFS(Table1[[#This Row],[age]]&lt;=17,"0-17",C2153&lt;=29,"18-29",C2153&lt;=44,"30-44",C2153&lt;=59,"45-59",C2153&lt;=74,"60-74",TRUE,"75+")</f>
        <v>60-74</v>
      </c>
      <c r="E2153" t="s">
        <v>29</v>
      </c>
      <c r="F2153">
        <v>8</v>
      </c>
      <c r="G2153" t="str" cm="1">
        <f t="array" ref="G2153">_xlfn.IFS(_xlfn.SINGLE(Table1[imd_decile])&lt;=3,"Most Deprived",F2153&lt;=7,"Moderately Deprived",F2153&lt;=10,"Least Deprived")</f>
        <v>Least Deprived</v>
      </c>
      <c r="H2153">
        <v>4.7</v>
      </c>
      <c r="I2153" t="s">
        <v>25</v>
      </c>
      <c r="J2153" t="s">
        <v>26</v>
      </c>
      <c r="K2153" s="1">
        <v>45925</v>
      </c>
      <c r="L2153" s="1">
        <v>45952</v>
      </c>
      <c r="M2153" s="1" t="str">
        <f>TEXT(Table1[[#This Row],[appointment_date]],"MM/YYYY")</f>
        <v>10/2025</v>
      </c>
      <c r="N2153">
        <v>27</v>
      </c>
      <c r="O2153" t="str" cm="1">
        <f t="array" ref="O2153">_xlfn.IFS(Table1[[#This Row],[lead_time_days]]&lt;=7,"0-7 days",N2153&lt;=14,"8-14 days",N2153&lt;=30,"15-30 days",N2153&lt;=60,"31-60 days",TRUE,"61+ days")</f>
        <v>15-30 days</v>
      </c>
      <c r="P2153" t="s">
        <v>80</v>
      </c>
      <c r="Q2153" t="s">
        <v>32</v>
      </c>
      <c r="R2153">
        <v>1</v>
      </c>
      <c r="S2153" t="str">
        <f>IF(Table1[prior_dna_count]&gt;=1,"Has prior DNA history","No prior DNA history")</f>
        <v>Has prior DNA history</v>
      </c>
      <c r="T2153" t="s">
        <v>22</v>
      </c>
      <c r="U2153" t="str">
        <f t="shared" si="33"/>
        <v>0</v>
      </c>
      <c r="V2153" t="str">
        <f>IF(Table1[appointment_status]="Attended","1","0")</f>
        <v>1</v>
      </c>
      <c r="W2153" t="str">
        <f>IF(Table1[appointment_status]="Cancelled","1","0")</f>
        <v>0</v>
      </c>
    </row>
    <row r="2154" spans="1:23">
      <c r="A2154" t="s">
        <v>3369</v>
      </c>
      <c r="B2154" t="s">
        <v>1580</v>
      </c>
      <c r="C2154">
        <v>61</v>
      </c>
      <c r="D2154" t="str" cm="1">
        <f t="array" ref="D2154">_xlfn.IFS(Table1[[#This Row],[age]]&lt;=17,"0-17",C2154&lt;=29,"18-29",C2154&lt;=44,"30-44",C2154&lt;=59,"45-59",C2154&lt;=74,"60-74",TRUE,"75+")</f>
        <v>60-74</v>
      </c>
      <c r="E2154" t="s">
        <v>29</v>
      </c>
      <c r="F2154">
        <v>6</v>
      </c>
      <c r="G2154" t="str" cm="1">
        <f t="array" ref="G2154">_xlfn.IFS(_xlfn.SINGLE(Table1[imd_decile])&lt;=3,"Most Deprived",F2154&lt;=7,"Moderately Deprived",F2154&lt;=10,"Least Deprived")</f>
        <v>Moderately Deprived</v>
      </c>
      <c r="H2154">
        <v>9.9</v>
      </c>
      <c r="I2154" t="s">
        <v>58</v>
      </c>
      <c r="J2154" t="s">
        <v>19</v>
      </c>
      <c r="K2154" s="1">
        <v>45928</v>
      </c>
      <c r="L2154" s="1">
        <v>45952</v>
      </c>
      <c r="M2154" s="1" t="str">
        <f>TEXT(Table1[[#This Row],[appointment_date]],"MM/YYYY")</f>
        <v>10/2025</v>
      </c>
      <c r="N2154">
        <v>24</v>
      </c>
      <c r="O2154" t="str" cm="1">
        <f t="array" ref="O2154">_xlfn.IFS(Table1[[#This Row],[lead_time_days]]&lt;=7,"0-7 days",N2154&lt;=14,"8-14 days",N2154&lt;=30,"15-30 days",N2154&lt;=60,"31-60 days",TRUE,"61+ days")</f>
        <v>15-30 days</v>
      </c>
      <c r="P2154" t="s">
        <v>80</v>
      </c>
      <c r="Q2154" t="s">
        <v>32</v>
      </c>
      <c r="R2154">
        <v>1</v>
      </c>
      <c r="S2154" t="str">
        <f>IF(Table1[prior_dna_count]&gt;=1,"Has prior DNA history","No prior DNA history")</f>
        <v>Has prior DNA history</v>
      </c>
      <c r="T2154" t="s">
        <v>22</v>
      </c>
      <c r="U2154" t="str">
        <f t="shared" si="33"/>
        <v>1</v>
      </c>
      <c r="V2154" t="str">
        <f>IF(Table1[appointment_status]="Attended","1","0")</f>
        <v>1</v>
      </c>
      <c r="W2154" t="str">
        <f>IF(Table1[appointment_status]="Cancelled","1","0")</f>
        <v>0</v>
      </c>
    </row>
    <row r="2155" spans="1:23">
      <c r="A2155" t="s">
        <v>3370</v>
      </c>
      <c r="B2155" t="s">
        <v>3371</v>
      </c>
      <c r="C2155">
        <v>47</v>
      </c>
      <c r="D2155" t="str" cm="1">
        <f t="array" ref="D2155">_xlfn.IFS(Table1[[#This Row],[age]]&lt;=17,"0-17",C2155&lt;=29,"18-29",C2155&lt;=44,"30-44",C2155&lt;=59,"45-59",C2155&lt;=74,"60-74",TRUE,"75+")</f>
        <v>45-59</v>
      </c>
      <c r="E2155" t="s">
        <v>17</v>
      </c>
      <c r="F2155">
        <v>3</v>
      </c>
      <c r="G2155" t="str" cm="1">
        <f t="array" ref="G2155">_xlfn.IFS(_xlfn.SINGLE(Table1[imd_decile])&lt;=3,"Most Deprived",F2155&lt;=7,"Moderately Deprived",F2155&lt;=10,"Least Deprived")</f>
        <v>Most Deprived</v>
      </c>
      <c r="H2155">
        <v>4.9000000000000004</v>
      </c>
      <c r="I2155" t="s">
        <v>25</v>
      </c>
      <c r="J2155" t="s">
        <v>19</v>
      </c>
      <c r="K2155" s="1">
        <v>45871</v>
      </c>
      <c r="L2155" s="1">
        <v>45953</v>
      </c>
      <c r="M2155" s="1" t="str">
        <f>TEXT(Table1[[#This Row],[appointment_date]],"MM/YYYY")</f>
        <v>10/2025</v>
      </c>
      <c r="N2155">
        <v>82</v>
      </c>
      <c r="O2155" t="str" cm="1">
        <f t="array" ref="O2155">_xlfn.IFS(Table1[[#This Row],[lead_time_days]]&lt;=7,"0-7 days",N2155&lt;=14,"8-14 days",N2155&lt;=30,"15-30 days",N2155&lt;=60,"31-60 days",TRUE,"61+ days")</f>
        <v>61+ days</v>
      </c>
      <c r="P2155" t="s">
        <v>20</v>
      </c>
      <c r="Q2155" t="s">
        <v>21</v>
      </c>
      <c r="R2155">
        <v>0</v>
      </c>
      <c r="S2155" t="str">
        <f>IF(Table1[prior_dna_count]&gt;=1,"Has prior DNA history","No prior DNA history")</f>
        <v>No prior DNA history</v>
      </c>
      <c r="T2155" t="s">
        <v>46</v>
      </c>
      <c r="U2155" t="str">
        <f t="shared" si="33"/>
        <v>1</v>
      </c>
      <c r="V2155" t="str">
        <f>IF(Table1[appointment_status]="Attended","1","0")</f>
        <v>0</v>
      </c>
      <c r="W2155" t="str">
        <f>IF(Table1[appointment_status]="Cancelled","1","0")</f>
        <v>1</v>
      </c>
    </row>
    <row r="2156" spans="1:23">
      <c r="A2156" t="s">
        <v>3372</v>
      </c>
      <c r="B2156" t="s">
        <v>229</v>
      </c>
      <c r="C2156">
        <v>52</v>
      </c>
      <c r="D2156" t="str" cm="1">
        <f t="array" ref="D2156">_xlfn.IFS(Table1[[#This Row],[age]]&lt;=17,"0-17",C2156&lt;=29,"18-29",C2156&lt;=44,"30-44",C2156&lt;=59,"45-59",C2156&lt;=74,"60-74",TRUE,"75+")</f>
        <v>45-59</v>
      </c>
      <c r="E2156" t="s">
        <v>29</v>
      </c>
      <c r="F2156">
        <v>5</v>
      </c>
      <c r="G2156" t="str" cm="1">
        <f t="array" ref="G2156">_xlfn.IFS(_xlfn.SINGLE(Table1[imd_decile])&lt;=3,"Most Deprived",F2156&lt;=7,"Moderately Deprived",F2156&lt;=10,"Least Deprived")</f>
        <v>Moderately Deprived</v>
      </c>
      <c r="H2156">
        <v>7.2</v>
      </c>
      <c r="I2156" t="s">
        <v>18</v>
      </c>
      <c r="J2156" t="s">
        <v>26</v>
      </c>
      <c r="K2156" s="1">
        <v>45946</v>
      </c>
      <c r="L2156" s="1">
        <v>45953</v>
      </c>
      <c r="M2156" s="1" t="str">
        <f>TEXT(Table1[[#This Row],[appointment_date]],"MM/YYYY")</f>
        <v>10/2025</v>
      </c>
      <c r="N2156">
        <v>7</v>
      </c>
      <c r="O2156" t="str" cm="1">
        <f t="array" ref="O2156">_xlfn.IFS(Table1[[#This Row],[lead_time_days]]&lt;=7,"0-7 days",N2156&lt;=14,"8-14 days",N2156&lt;=30,"15-30 days",N2156&lt;=60,"31-60 days",TRUE,"61+ days")</f>
        <v>0-7 days</v>
      </c>
      <c r="P2156" t="s">
        <v>20</v>
      </c>
      <c r="Q2156" t="s">
        <v>21</v>
      </c>
      <c r="R2156">
        <v>0</v>
      </c>
      <c r="S2156" t="str">
        <f>IF(Table1[prior_dna_count]&gt;=1,"Has prior DNA history","No prior DNA history")</f>
        <v>No prior DNA history</v>
      </c>
      <c r="T2156" t="s">
        <v>22</v>
      </c>
      <c r="U2156" t="str">
        <f t="shared" si="33"/>
        <v>0</v>
      </c>
      <c r="V2156" t="str">
        <f>IF(Table1[appointment_status]="Attended","1","0")</f>
        <v>1</v>
      </c>
      <c r="W2156" t="str">
        <f>IF(Table1[appointment_status]="Cancelled","1","0")</f>
        <v>0</v>
      </c>
    </row>
    <row r="2157" spans="1:23">
      <c r="A2157" t="s">
        <v>3373</v>
      </c>
      <c r="B2157" t="s">
        <v>3374</v>
      </c>
      <c r="C2157">
        <v>52</v>
      </c>
      <c r="D2157" t="str" cm="1">
        <f t="array" ref="D2157">_xlfn.IFS(Table1[[#This Row],[age]]&lt;=17,"0-17",C2157&lt;=29,"18-29",C2157&lt;=44,"30-44",C2157&lt;=59,"45-59",C2157&lt;=74,"60-74",TRUE,"75+")</f>
        <v>45-59</v>
      </c>
      <c r="E2157" t="s">
        <v>17</v>
      </c>
      <c r="F2157">
        <v>3</v>
      </c>
      <c r="G2157" t="str" cm="1">
        <f t="array" ref="G2157">_xlfn.IFS(_xlfn.SINGLE(Table1[imd_decile])&lt;=3,"Most Deprived",F2157&lt;=7,"Moderately Deprived",F2157&lt;=10,"Least Deprived")</f>
        <v>Most Deprived</v>
      </c>
      <c r="H2157">
        <v>3.4</v>
      </c>
      <c r="I2157" t="s">
        <v>25</v>
      </c>
      <c r="J2157" t="s">
        <v>26</v>
      </c>
      <c r="K2157" s="1">
        <v>45917</v>
      </c>
      <c r="L2157" s="1">
        <v>45953</v>
      </c>
      <c r="M2157" s="1" t="str">
        <f>TEXT(Table1[[#This Row],[appointment_date]],"MM/YYYY")</f>
        <v>10/2025</v>
      </c>
      <c r="N2157">
        <v>36</v>
      </c>
      <c r="O2157" t="str" cm="1">
        <f t="array" ref="O2157">_xlfn.IFS(Table1[[#This Row],[lead_time_days]]&lt;=7,"0-7 days",N2157&lt;=14,"8-14 days",N2157&lt;=30,"15-30 days",N2157&lt;=60,"31-60 days",TRUE,"61+ days")</f>
        <v>31-60 days</v>
      </c>
      <c r="P2157" t="s">
        <v>20</v>
      </c>
      <c r="Q2157" t="s">
        <v>32</v>
      </c>
      <c r="R2157">
        <v>0</v>
      </c>
      <c r="S2157" t="str">
        <f>IF(Table1[prior_dna_count]&gt;=1,"Has prior DNA history","No prior DNA history")</f>
        <v>No prior DNA history</v>
      </c>
      <c r="T2157" t="s">
        <v>39</v>
      </c>
      <c r="U2157" t="str">
        <f t="shared" si="33"/>
        <v>1</v>
      </c>
      <c r="V2157" t="str">
        <f>IF(Table1[appointment_status]="Attended","1","0")</f>
        <v>0</v>
      </c>
      <c r="W2157" t="str">
        <f>IF(Table1[appointment_status]="Cancelled","1","0")</f>
        <v>0</v>
      </c>
    </row>
    <row r="2158" spans="1:23">
      <c r="A2158" t="s">
        <v>3375</v>
      </c>
      <c r="B2158" t="s">
        <v>3233</v>
      </c>
      <c r="C2158">
        <v>60</v>
      </c>
      <c r="D2158" t="str" cm="1">
        <f t="array" ref="D2158">_xlfn.IFS(Table1[[#This Row],[age]]&lt;=17,"0-17",C2158&lt;=29,"18-29",C2158&lt;=44,"30-44",C2158&lt;=59,"45-59",C2158&lt;=74,"60-74",TRUE,"75+")</f>
        <v>60-74</v>
      </c>
      <c r="E2158" t="s">
        <v>29</v>
      </c>
      <c r="F2158">
        <v>3</v>
      </c>
      <c r="G2158" t="str" cm="1">
        <f t="array" ref="G2158">_xlfn.IFS(_xlfn.SINGLE(Table1[imd_decile])&lt;=3,"Most Deprived",F2158&lt;=7,"Moderately Deprived",F2158&lt;=10,"Least Deprived")</f>
        <v>Most Deprived</v>
      </c>
      <c r="H2158">
        <v>0.9</v>
      </c>
      <c r="I2158" t="s">
        <v>18</v>
      </c>
      <c r="J2158" t="s">
        <v>19</v>
      </c>
      <c r="K2158" s="1">
        <v>45930</v>
      </c>
      <c r="L2158" s="1">
        <v>45953</v>
      </c>
      <c r="M2158" s="1" t="str">
        <f>TEXT(Table1[[#This Row],[appointment_date]],"MM/YYYY")</f>
        <v>10/2025</v>
      </c>
      <c r="N2158">
        <v>23</v>
      </c>
      <c r="O2158" t="str" cm="1">
        <f t="array" ref="O2158">_xlfn.IFS(Table1[[#This Row],[lead_time_days]]&lt;=7,"0-7 days",N2158&lt;=14,"8-14 days",N2158&lt;=30,"15-30 days",N2158&lt;=60,"31-60 days",TRUE,"61+ days")</f>
        <v>15-30 days</v>
      </c>
      <c r="P2158" t="s">
        <v>20</v>
      </c>
      <c r="Q2158" t="s">
        <v>32</v>
      </c>
      <c r="R2158">
        <v>0</v>
      </c>
      <c r="S2158" t="str">
        <f>IF(Table1[prior_dna_count]&gt;=1,"Has prior DNA history","No prior DNA history")</f>
        <v>No prior DNA history</v>
      </c>
      <c r="T2158" t="s">
        <v>39</v>
      </c>
      <c r="U2158" t="str">
        <f t="shared" si="33"/>
        <v>0</v>
      </c>
      <c r="V2158" t="str">
        <f>IF(Table1[appointment_status]="Attended","1","0")</f>
        <v>0</v>
      </c>
      <c r="W2158" t="str">
        <f>IF(Table1[appointment_status]="Cancelled","1","0")</f>
        <v>0</v>
      </c>
    </row>
    <row r="2159" spans="1:23">
      <c r="A2159" t="s">
        <v>3376</v>
      </c>
      <c r="B2159" t="s">
        <v>2999</v>
      </c>
      <c r="C2159">
        <v>53</v>
      </c>
      <c r="D2159" t="str" cm="1">
        <f t="array" ref="D2159">_xlfn.IFS(Table1[[#This Row],[age]]&lt;=17,"0-17",C2159&lt;=29,"18-29",C2159&lt;=44,"30-44",C2159&lt;=59,"45-59",C2159&lt;=74,"60-74",TRUE,"75+")</f>
        <v>45-59</v>
      </c>
      <c r="E2159" t="s">
        <v>29</v>
      </c>
      <c r="F2159">
        <v>6</v>
      </c>
      <c r="G2159" t="str" cm="1">
        <f t="array" ref="G2159">_xlfn.IFS(_xlfn.SINGLE(Table1[imd_decile])&lt;=3,"Most Deprived",F2159&lt;=7,"Moderately Deprived",F2159&lt;=10,"Least Deprived")</f>
        <v>Moderately Deprived</v>
      </c>
      <c r="H2159">
        <v>6.8</v>
      </c>
      <c r="I2159" t="s">
        <v>45</v>
      </c>
      <c r="J2159" t="s">
        <v>19</v>
      </c>
      <c r="K2159" s="1">
        <v>45924</v>
      </c>
      <c r="L2159" s="1">
        <v>45953</v>
      </c>
      <c r="M2159" s="1" t="str">
        <f>TEXT(Table1[[#This Row],[appointment_date]],"MM/YYYY")</f>
        <v>10/2025</v>
      </c>
      <c r="N2159">
        <v>29</v>
      </c>
      <c r="O2159" t="str" cm="1">
        <f t="array" ref="O2159">_xlfn.IFS(Table1[[#This Row],[lead_time_days]]&lt;=7,"0-7 days",N2159&lt;=14,"8-14 days",N2159&lt;=30,"15-30 days",N2159&lt;=60,"31-60 days",TRUE,"61+ days")</f>
        <v>15-30 days</v>
      </c>
      <c r="P2159" t="s">
        <v>20</v>
      </c>
      <c r="Q2159" t="s">
        <v>21</v>
      </c>
      <c r="R2159">
        <v>0</v>
      </c>
      <c r="S2159" t="str">
        <f>IF(Table1[prior_dna_count]&gt;=1,"Has prior DNA history","No prior DNA history")</f>
        <v>No prior DNA history</v>
      </c>
      <c r="T2159" t="s">
        <v>22</v>
      </c>
      <c r="U2159" t="str">
        <f t="shared" si="33"/>
        <v>0</v>
      </c>
      <c r="V2159" t="str">
        <f>IF(Table1[appointment_status]="Attended","1","0")</f>
        <v>1</v>
      </c>
      <c r="W2159" t="str">
        <f>IF(Table1[appointment_status]="Cancelled","1","0")</f>
        <v>0</v>
      </c>
    </row>
    <row r="2160" spans="1:23">
      <c r="A2160" t="s">
        <v>3377</v>
      </c>
      <c r="B2160" t="s">
        <v>1695</v>
      </c>
      <c r="C2160">
        <v>63</v>
      </c>
      <c r="D2160" t="str" cm="1">
        <f t="array" ref="D2160">_xlfn.IFS(Table1[[#This Row],[age]]&lt;=17,"0-17",C2160&lt;=29,"18-29",C2160&lt;=44,"30-44",C2160&lt;=59,"45-59",C2160&lt;=74,"60-74",TRUE,"75+")</f>
        <v>60-74</v>
      </c>
      <c r="E2160" t="s">
        <v>17</v>
      </c>
      <c r="F2160">
        <v>8</v>
      </c>
      <c r="G2160" t="str" cm="1">
        <f t="array" ref="G2160">_xlfn.IFS(_xlfn.SINGLE(Table1[imd_decile])&lt;=3,"Most Deprived",F2160&lt;=7,"Moderately Deprived",F2160&lt;=10,"Least Deprived")</f>
        <v>Least Deprived</v>
      </c>
      <c r="H2160">
        <v>7</v>
      </c>
      <c r="I2160" t="s">
        <v>25</v>
      </c>
      <c r="J2160" t="s">
        <v>19</v>
      </c>
      <c r="K2160" s="1">
        <v>45855</v>
      </c>
      <c r="L2160" s="1">
        <v>45953</v>
      </c>
      <c r="M2160" s="1" t="str">
        <f>TEXT(Table1[[#This Row],[appointment_date]],"MM/YYYY")</f>
        <v>10/2025</v>
      </c>
      <c r="N2160">
        <v>98</v>
      </c>
      <c r="O2160" t="str" cm="1">
        <f t="array" ref="O2160">_xlfn.IFS(Table1[[#This Row],[lead_time_days]]&lt;=7,"0-7 days",N2160&lt;=14,"8-14 days",N2160&lt;=30,"15-30 days",N2160&lt;=60,"31-60 days",TRUE,"61+ days")</f>
        <v>61+ days</v>
      </c>
      <c r="P2160" t="s">
        <v>20</v>
      </c>
      <c r="Q2160" t="s">
        <v>21</v>
      </c>
      <c r="R2160">
        <v>0</v>
      </c>
      <c r="S2160" t="str">
        <f>IF(Table1[prior_dna_count]&gt;=1,"Has prior DNA history","No prior DNA history")</f>
        <v>No prior DNA history</v>
      </c>
      <c r="T2160" t="s">
        <v>22</v>
      </c>
      <c r="U2160" t="str">
        <f t="shared" si="33"/>
        <v>1</v>
      </c>
      <c r="V2160" t="str">
        <f>IF(Table1[appointment_status]="Attended","1","0")</f>
        <v>1</v>
      </c>
      <c r="W2160" t="str">
        <f>IF(Table1[appointment_status]="Cancelled","1","0")</f>
        <v>0</v>
      </c>
    </row>
    <row r="2161" spans="1:23">
      <c r="A2161" t="s">
        <v>3378</v>
      </c>
      <c r="B2161" t="s">
        <v>496</v>
      </c>
      <c r="C2161">
        <v>57</v>
      </c>
      <c r="D2161" t="str" cm="1">
        <f t="array" ref="D2161">_xlfn.IFS(Table1[[#This Row],[age]]&lt;=17,"0-17",C2161&lt;=29,"18-29",C2161&lt;=44,"30-44",C2161&lt;=59,"45-59",C2161&lt;=74,"60-74",TRUE,"75+")</f>
        <v>45-59</v>
      </c>
      <c r="E2161" t="s">
        <v>17</v>
      </c>
      <c r="F2161">
        <v>2</v>
      </c>
      <c r="G2161" t="str" cm="1">
        <f t="array" ref="G2161">_xlfn.IFS(_xlfn.SINGLE(Table1[imd_decile])&lt;=3,"Most Deprived",F2161&lt;=7,"Moderately Deprived",F2161&lt;=10,"Least Deprived")</f>
        <v>Most Deprived</v>
      </c>
      <c r="H2161">
        <v>2.7</v>
      </c>
      <c r="I2161" t="s">
        <v>30</v>
      </c>
      <c r="J2161" t="s">
        <v>26</v>
      </c>
      <c r="K2161" s="1">
        <v>45916</v>
      </c>
      <c r="L2161" s="1">
        <v>45954</v>
      </c>
      <c r="M2161" s="1" t="str">
        <f>TEXT(Table1[[#This Row],[appointment_date]],"MM/YYYY")</f>
        <v>10/2025</v>
      </c>
      <c r="N2161">
        <v>38</v>
      </c>
      <c r="O2161" t="str" cm="1">
        <f t="array" ref="O2161">_xlfn.IFS(Table1[[#This Row],[lead_time_days]]&lt;=7,"0-7 days",N2161&lt;=14,"8-14 days",N2161&lt;=30,"15-30 days",N2161&lt;=60,"31-60 days",TRUE,"61+ days")</f>
        <v>31-60 days</v>
      </c>
      <c r="P2161" t="s">
        <v>52</v>
      </c>
      <c r="Q2161" t="s">
        <v>32</v>
      </c>
      <c r="R2161">
        <v>0</v>
      </c>
      <c r="S2161" t="str">
        <f>IF(Table1[prior_dna_count]&gt;=1,"Has prior DNA history","No prior DNA history")</f>
        <v>No prior DNA history</v>
      </c>
      <c r="T2161" t="s">
        <v>39</v>
      </c>
      <c r="U2161" t="str">
        <f t="shared" si="33"/>
        <v>1</v>
      </c>
      <c r="V2161" t="str">
        <f>IF(Table1[appointment_status]="Attended","1","0")</f>
        <v>0</v>
      </c>
      <c r="W2161" t="str">
        <f>IF(Table1[appointment_status]="Cancelled","1","0")</f>
        <v>0</v>
      </c>
    </row>
    <row r="2162" spans="1:23">
      <c r="A2162" t="s">
        <v>3379</v>
      </c>
      <c r="B2162" t="s">
        <v>2098</v>
      </c>
      <c r="C2162">
        <v>60</v>
      </c>
      <c r="D2162" t="str" cm="1">
        <f t="array" ref="D2162">_xlfn.IFS(Table1[[#This Row],[age]]&lt;=17,"0-17",C2162&lt;=29,"18-29",C2162&lt;=44,"30-44",C2162&lt;=59,"45-59",C2162&lt;=74,"60-74",TRUE,"75+")</f>
        <v>60-74</v>
      </c>
      <c r="E2162" t="s">
        <v>29</v>
      </c>
      <c r="F2162">
        <v>9</v>
      </c>
      <c r="G2162" t="str" cm="1">
        <f t="array" ref="G2162">_xlfn.IFS(_xlfn.SINGLE(Table1[imd_decile])&lt;=3,"Most Deprived",F2162&lt;=7,"Moderately Deprived",F2162&lt;=10,"Least Deprived")</f>
        <v>Least Deprived</v>
      </c>
      <c r="H2162">
        <v>8</v>
      </c>
      <c r="I2162" t="s">
        <v>91</v>
      </c>
      <c r="J2162" t="s">
        <v>26</v>
      </c>
      <c r="K2162" s="1">
        <v>45941</v>
      </c>
      <c r="L2162" s="1">
        <v>45954</v>
      </c>
      <c r="M2162" s="1" t="str">
        <f>TEXT(Table1[[#This Row],[appointment_date]],"MM/YYYY")</f>
        <v>10/2025</v>
      </c>
      <c r="N2162">
        <v>13</v>
      </c>
      <c r="O2162" t="str" cm="1">
        <f t="array" ref="O2162">_xlfn.IFS(Table1[[#This Row],[lead_time_days]]&lt;=7,"0-7 days",N2162&lt;=14,"8-14 days",N2162&lt;=30,"15-30 days",N2162&lt;=60,"31-60 days",TRUE,"61+ days")</f>
        <v>8-14 days</v>
      </c>
      <c r="P2162" t="s">
        <v>52</v>
      </c>
      <c r="Q2162" t="s">
        <v>21</v>
      </c>
      <c r="R2162">
        <v>0</v>
      </c>
      <c r="S2162" t="str">
        <f>IF(Table1[prior_dna_count]&gt;=1,"Has prior DNA history","No prior DNA history")</f>
        <v>No prior DNA history</v>
      </c>
      <c r="T2162" t="s">
        <v>22</v>
      </c>
      <c r="U2162" t="str">
        <f t="shared" si="33"/>
        <v>0</v>
      </c>
      <c r="V2162" t="str">
        <f>IF(Table1[appointment_status]="Attended","1","0")</f>
        <v>1</v>
      </c>
      <c r="W2162" t="str">
        <f>IF(Table1[appointment_status]="Cancelled","1","0")</f>
        <v>0</v>
      </c>
    </row>
    <row r="2163" spans="1:23">
      <c r="A2163" t="s">
        <v>3380</v>
      </c>
      <c r="B2163" t="s">
        <v>1790</v>
      </c>
      <c r="C2163">
        <v>78</v>
      </c>
      <c r="D2163" t="str" cm="1">
        <f t="array" ref="D2163">_xlfn.IFS(Table1[[#This Row],[age]]&lt;=17,"0-17",C2163&lt;=29,"18-29",C2163&lt;=44,"30-44",C2163&lt;=59,"45-59",C2163&lt;=74,"60-74",TRUE,"75+")</f>
        <v>75+</v>
      </c>
      <c r="E2163" t="s">
        <v>17</v>
      </c>
      <c r="F2163">
        <v>7</v>
      </c>
      <c r="G2163" t="str" cm="1">
        <f t="array" ref="G2163">_xlfn.IFS(_xlfn.SINGLE(Table1[imd_decile])&lt;=3,"Most Deprived",F2163&lt;=7,"Moderately Deprived",F2163&lt;=10,"Least Deprived")</f>
        <v>Moderately Deprived</v>
      </c>
      <c r="H2163">
        <v>9.3000000000000007</v>
      </c>
      <c r="I2163" t="s">
        <v>42</v>
      </c>
      <c r="J2163" t="s">
        <v>26</v>
      </c>
      <c r="K2163" s="1">
        <v>45917</v>
      </c>
      <c r="L2163" s="1">
        <v>45954</v>
      </c>
      <c r="M2163" s="1" t="str">
        <f>TEXT(Table1[[#This Row],[appointment_date]],"MM/YYYY")</f>
        <v>10/2025</v>
      </c>
      <c r="N2163">
        <v>37</v>
      </c>
      <c r="O2163" t="str" cm="1">
        <f t="array" ref="O2163">_xlfn.IFS(Table1[[#This Row],[lead_time_days]]&lt;=7,"0-7 days",N2163&lt;=14,"8-14 days",N2163&lt;=30,"15-30 days",N2163&lt;=60,"31-60 days",TRUE,"61+ days")</f>
        <v>31-60 days</v>
      </c>
      <c r="P2163" t="s">
        <v>52</v>
      </c>
      <c r="Q2163" t="s">
        <v>21</v>
      </c>
      <c r="R2163">
        <v>0</v>
      </c>
      <c r="S2163" t="str">
        <f>IF(Table1[prior_dna_count]&gt;=1,"Has prior DNA history","No prior DNA history")</f>
        <v>No prior DNA history</v>
      </c>
      <c r="T2163" t="s">
        <v>22</v>
      </c>
      <c r="U2163" t="str">
        <f t="shared" si="33"/>
        <v>1</v>
      </c>
      <c r="V2163" t="str">
        <f>IF(Table1[appointment_status]="Attended","1","0")</f>
        <v>1</v>
      </c>
      <c r="W2163" t="str">
        <f>IF(Table1[appointment_status]="Cancelled","1","0")</f>
        <v>0</v>
      </c>
    </row>
    <row r="2164" spans="1:23">
      <c r="A2164" t="s">
        <v>3381</v>
      </c>
      <c r="B2164" t="s">
        <v>661</v>
      </c>
      <c r="C2164">
        <v>23</v>
      </c>
      <c r="D2164" t="str" cm="1">
        <f t="array" ref="D2164">_xlfn.IFS(Table1[[#This Row],[age]]&lt;=17,"0-17",C2164&lt;=29,"18-29",C2164&lt;=44,"30-44",C2164&lt;=59,"45-59",C2164&lt;=74,"60-74",TRUE,"75+")</f>
        <v>18-29</v>
      </c>
      <c r="E2164" t="s">
        <v>29</v>
      </c>
      <c r="F2164">
        <v>1</v>
      </c>
      <c r="G2164" t="str" cm="1">
        <f t="array" ref="G2164">_xlfn.IFS(_xlfn.SINGLE(Table1[imd_decile])&lt;=3,"Most Deprived",F2164&lt;=7,"Moderately Deprived",F2164&lt;=10,"Least Deprived")</f>
        <v>Most Deprived</v>
      </c>
      <c r="H2164">
        <v>4.5999999999999996</v>
      </c>
      <c r="I2164" t="s">
        <v>58</v>
      </c>
      <c r="J2164" t="s">
        <v>26</v>
      </c>
      <c r="K2164" s="1">
        <v>45935</v>
      </c>
      <c r="L2164" s="1">
        <v>45954</v>
      </c>
      <c r="M2164" s="1" t="str">
        <f>TEXT(Table1[[#This Row],[appointment_date]],"MM/YYYY")</f>
        <v>10/2025</v>
      </c>
      <c r="N2164">
        <v>19</v>
      </c>
      <c r="O2164" t="str" cm="1">
        <f t="array" ref="O2164">_xlfn.IFS(Table1[[#This Row],[lead_time_days]]&lt;=7,"0-7 days",N2164&lt;=14,"8-14 days",N2164&lt;=30,"15-30 days",N2164&lt;=60,"31-60 days",TRUE,"61+ days")</f>
        <v>15-30 days</v>
      </c>
      <c r="P2164" t="s">
        <v>52</v>
      </c>
      <c r="Q2164" t="s">
        <v>21</v>
      </c>
      <c r="R2164">
        <v>1</v>
      </c>
      <c r="S2164" t="str">
        <f>IF(Table1[prior_dna_count]&gt;=1,"Has prior DNA history","No prior DNA history")</f>
        <v>Has prior DNA history</v>
      </c>
      <c r="T2164" t="s">
        <v>22</v>
      </c>
      <c r="U2164" t="str">
        <f t="shared" si="33"/>
        <v>1</v>
      </c>
      <c r="V2164" t="str">
        <f>IF(Table1[appointment_status]="Attended","1","0")</f>
        <v>1</v>
      </c>
      <c r="W2164" t="str">
        <f>IF(Table1[appointment_status]="Cancelled","1","0")</f>
        <v>0</v>
      </c>
    </row>
    <row r="2165" spans="1:23">
      <c r="A2165" t="s">
        <v>3382</v>
      </c>
      <c r="B2165" t="s">
        <v>450</v>
      </c>
      <c r="C2165">
        <v>49</v>
      </c>
      <c r="D2165" t="str" cm="1">
        <f t="array" ref="D2165">_xlfn.IFS(Table1[[#This Row],[age]]&lt;=17,"0-17",C2165&lt;=29,"18-29",C2165&lt;=44,"30-44",C2165&lt;=59,"45-59",C2165&lt;=74,"60-74",TRUE,"75+")</f>
        <v>45-59</v>
      </c>
      <c r="E2165" t="s">
        <v>29</v>
      </c>
      <c r="F2165">
        <v>5</v>
      </c>
      <c r="G2165" t="str" cm="1">
        <f t="array" ref="G2165">_xlfn.IFS(_xlfn.SINGLE(Table1[imd_decile])&lt;=3,"Most Deprived",F2165&lt;=7,"Moderately Deprived",F2165&lt;=10,"Least Deprived")</f>
        <v>Moderately Deprived</v>
      </c>
      <c r="H2165">
        <v>7</v>
      </c>
      <c r="I2165" t="s">
        <v>49</v>
      </c>
      <c r="J2165" t="s">
        <v>19</v>
      </c>
      <c r="K2165" s="1">
        <v>45923</v>
      </c>
      <c r="L2165" s="1">
        <v>45954</v>
      </c>
      <c r="M2165" s="1" t="str">
        <f>TEXT(Table1[[#This Row],[appointment_date]],"MM/YYYY")</f>
        <v>10/2025</v>
      </c>
      <c r="N2165">
        <v>31</v>
      </c>
      <c r="O2165" t="str" cm="1">
        <f t="array" ref="O2165">_xlfn.IFS(Table1[[#This Row],[lead_time_days]]&lt;=7,"0-7 days",N2165&lt;=14,"8-14 days",N2165&lt;=30,"15-30 days",N2165&lt;=60,"31-60 days",TRUE,"61+ days")</f>
        <v>31-60 days</v>
      </c>
      <c r="P2165" t="s">
        <v>52</v>
      </c>
      <c r="Q2165" t="s">
        <v>21</v>
      </c>
      <c r="R2165">
        <v>0</v>
      </c>
      <c r="S2165" t="str">
        <f>IF(Table1[prior_dna_count]&gt;=1,"Has prior DNA history","No prior DNA history")</f>
        <v>No prior DNA history</v>
      </c>
      <c r="T2165" t="s">
        <v>22</v>
      </c>
      <c r="U2165" t="str">
        <f t="shared" si="33"/>
        <v>1</v>
      </c>
      <c r="V2165" t="str">
        <f>IF(Table1[appointment_status]="Attended","1","0")</f>
        <v>1</v>
      </c>
      <c r="W2165" t="str">
        <f>IF(Table1[appointment_status]="Cancelled","1","0")</f>
        <v>0</v>
      </c>
    </row>
    <row r="2166" spans="1:23">
      <c r="A2166" t="s">
        <v>3383</v>
      </c>
      <c r="B2166" t="s">
        <v>3384</v>
      </c>
      <c r="C2166">
        <v>56</v>
      </c>
      <c r="D2166" t="str" cm="1">
        <f t="array" ref="D2166">_xlfn.IFS(Table1[[#This Row],[age]]&lt;=17,"0-17",C2166&lt;=29,"18-29",C2166&lt;=44,"30-44",C2166&lt;=59,"45-59",C2166&lt;=74,"60-74",TRUE,"75+")</f>
        <v>45-59</v>
      </c>
      <c r="E2166" t="s">
        <v>17</v>
      </c>
      <c r="F2166">
        <v>6</v>
      </c>
      <c r="G2166" t="str" cm="1">
        <f t="array" ref="G2166">_xlfn.IFS(_xlfn.SINGLE(Table1[imd_decile])&lt;=3,"Most Deprived",F2166&lt;=7,"Moderately Deprived",F2166&lt;=10,"Least Deprived")</f>
        <v>Moderately Deprived</v>
      </c>
      <c r="H2166">
        <v>3.6</v>
      </c>
      <c r="I2166" t="s">
        <v>18</v>
      </c>
      <c r="J2166" t="s">
        <v>19</v>
      </c>
      <c r="K2166" s="1">
        <v>45930</v>
      </c>
      <c r="L2166" s="1">
        <v>45954</v>
      </c>
      <c r="M2166" s="1" t="str">
        <f>TEXT(Table1[[#This Row],[appointment_date]],"MM/YYYY")</f>
        <v>10/2025</v>
      </c>
      <c r="N2166">
        <v>24</v>
      </c>
      <c r="O2166" t="str" cm="1">
        <f t="array" ref="O2166">_xlfn.IFS(Table1[[#This Row],[lead_time_days]]&lt;=7,"0-7 days",N2166&lt;=14,"8-14 days",N2166&lt;=30,"15-30 days",N2166&lt;=60,"31-60 days",TRUE,"61+ days")</f>
        <v>15-30 days</v>
      </c>
      <c r="P2166" t="s">
        <v>52</v>
      </c>
      <c r="Q2166" t="s">
        <v>21</v>
      </c>
      <c r="R2166">
        <v>0</v>
      </c>
      <c r="S2166" t="str">
        <f>IF(Table1[prior_dna_count]&gt;=1,"Has prior DNA history","No prior DNA history")</f>
        <v>No prior DNA history</v>
      </c>
      <c r="T2166" t="s">
        <v>22</v>
      </c>
      <c r="U2166" t="str">
        <f t="shared" si="33"/>
        <v>1</v>
      </c>
      <c r="V2166" t="str">
        <f>IF(Table1[appointment_status]="Attended","1","0")</f>
        <v>1</v>
      </c>
      <c r="W2166" t="str">
        <f>IF(Table1[appointment_status]="Cancelled","1","0")</f>
        <v>0</v>
      </c>
    </row>
    <row r="2167" spans="1:23">
      <c r="A2167" t="s">
        <v>3385</v>
      </c>
      <c r="B2167" t="s">
        <v>621</v>
      </c>
      <c r="C2167">
        <v>45</v>
      </c>
      <c r="D2167" t="str" cm="1">
        <f t="array" ref="D2167">_xlfn.IFS(Table1[[#This Row],[age]]&lt;=17,"0-17",C2167&lt;=29,"18-29",C2167&lt;=44,"30-44",C2167&lt;=59,"45-59",C2167&lt;=74,"60-74",TRUE,"75+")</f>
        <v>45-59</v>
      </c>
      <c r="E2167" t="s">
        <v>17</v>
      </c>
      <c r="F2167">
        <v>6</v>
      </c>
      <c r="G2167" t="str" cm="1">
        <f t="array" ref="G2167">_xlfn.IFS(_xlfn.SINGLE(Table1[imd_decile])&lt;=3,"Most Deprived",F2167&lt;=7,"Moderately Deprived",F2167&lt;=10,"Least Deprived")</f>
        <v>Moderately Deprived</v>
      </c>
      <c r="H2167">
        <v>5.2</v>
      </c>
      <c r="I2167" t="s">
        <v>91</v>
      </c>
      <c r="J2167" t="s">
        <v>19</v>
      </c>
      <c r="K2167" s="1">
        <v>45900</v>
      </c>
      <c r="L2167" s="1">
        <v>45954</v>
      </c>
      <c r="M2167" s="1" t="str">
        <f>TEXT(Table1[[#This Row],[appointment_date]],"MM/YYYY")</f>
        <v>10/2025</v>
      </c>
      <c r="N2167">
        <v>54</v>
      </c>
      <c r="O2167" t="str" cm="1">
        <f t="array" ref="O2167">_xlfn.IFS(Table1[[#This Row],[lead_time_days]]&lt;=7,"0-7 days",N2167&lt;=14,"8-14 days",N2167&lt;=30,"15-30 days",N2167&lt;=60,"31-60 days",TRUE,"61+ days")</f>
        <v>31-60 days</v>
      </c>
      <c r="P2167" t="s">
        <v>52</v>
      </c>
      <c r="Q2167" t="s">
        <v>21</v>
      </c>
      <c r="R2167">
        <v>0</v>
      </c>
      <c r="S2167" t="str">
        <f>IF(Table1[prior_dna_count]&gt;=1,"Has prior DNA history","No prior DNA history")</f>
        <v>No prior DNA history</v>
      </c>
      <c r="T2167" t="s">
        <v>46</v>
      </c>
      <c r="U2167" t="str">
        <f t="shared" si="33"/>
        <v>1</v>
      </c>
      <c r="V2167" t="str">
        <f>IF(Table1[appointment_status]="Attended","1","0")</f>
        <v>0</v>
      </c>
      <c r="W2167" t="str">
        <f>IF(Table1[appointment_status]="Cancelled","1","0")</f>
        <v>1</v>
      </c>
    </row>
    <row r="2168" spans="1:23">
      <c r="A2168" t="s">
        <v>3386</v>
      </c>
      <c r="B2168" t="s">
        <v>859</v>
      </c>
      <c r="C2168">
        <v>50</v>
      </c>
      <c r="D2168" t="str" cm="1">
        <f t="array" ref="D2168">_xlfn.IFS(Table1[[#This Row],[age]]&lt;=17,"0-17",C2168&lt;=29,"18-29",C2168&lt;=44,"30-44",C2168&lt;=59,"45-59",C2168&lt;=74,"60-74",TRUE,"75+")</f>
        <v>45-59</v>
      </c>
      <c r="E2168" t="s">
        <v>17</v>
      </c>
      <c r="F2168">
        <v>3</v>
      </c>
      <c r="G2168" t="str" cm="1">
        <f t="array" ref="G2168">_xlfn.IFS(_xlfn.SINGLE(Table1[imd_decile])&lt;=3,"Most Deprived",F2168&lt;=7,"Moderately Deprived",F2168&lt;=10,"Least Deprived")</f>
        <v>Most Deprived</v>
      </c>
      <c r="H2168">
        <v>6.2</v>
      </c>
      <c r="I2168" t="s">
        <v>45</v>
      </c>
      <c r="J2168" t="s">
        <v>19</v>
      </c>
      <c r="K2168" s="1">
        <v>45930</v>
      </c>
      <c r="L2168" s="1">
        <v>45954</v>
      </c>
      <c r="M2168" s="1" t="str">
        <f>TEXT(Table1[[#This Row],[appointment_date]],"MM/YYYY")</f>
        <v>10/2025</v>
      </c>
      <c r="N2168">
        <v>24</v>
      </c>
      <c r="O2168" t="str" cm="1">
        <f t="array" ref="O2168">_xlfn.IFS(Table1[[#This Row],[lead_time_days]]&lt;=7,"0-7 days",N2168&lt;=14,"8-14 days",N2168&lt;=30,"15-30 days",N2168&lt;=60,"31-60 days",TRUE,"61+ days")</f>
        <v>15-30 days</v>
      </c>
      <c r="P2168" t="s">
        <v>52</v>
      </c>
      <c r="Q2168" t="s">
        <v>32</v>
      </c>
      <c r="R2168">
        <v>0</v>
      </c>
      <c r="S2168" t="str">
        <f>IF(Table1[prior_dna_count]&gt;=1,"Has prior DNA history","No prior DNA history")</f>
        <v>No prior DNA history</v>
      </c>
      <c r="T2168" t="s">
        <v>22</v>
      </c>
      <c r="U2168" t="str">
        <f t="shared" si="33"/>
        <v>0</v>
      </c>
      <c r="V2168" t="str">
        <f>IF(Table1[appointment_status]="Attended","1","0")</f>
        <v>1</v>
      </c>
      <c r="W2168" t="str">
        <f>IF(Table1[appointment_status]="Cancelled","1","0")</f>
        <v>0</v>
      </c>
    </row>
    <row r="2169" spans="1:23">
      <c r="A2169" t="s">
        <v>3387</v>
      </c>
      <c r="B2169" t="s">
        <v>3388</v>
      </c>
      <c r="C2169">
        <v>54</v>
      </c>
      <c r="D2169" t="str" cm="1">
        <f t="array" ref="D2169">_xlfn.IFS(Table1[[#This Row],[age]]&lt;=17,"0-17",C2169&lt;=29,"18-29",C2169&lt;=44,"30-44",C2169&lt;=59,"45-59",C2169&lt;=74,"60-74",TRUE,"75+")</f>
        <v>45-59</v>
      </c>
      <c r="E2169" t="s">
        <v>17</v>
      </c>
      <c r="F2169">
        <v>3</v>
      </c>
      <c r="G2169" t="str" cm="1">
        <f t="array" ref="G2169">_xlfn.IFS(_xlfn.SINGLE(Table1[imd_decile])&lt;=3,"Most Deprived",F2169&lt;=7,"Moderately Deprived",F2169&lt;=10,"Least Deprived")</f>
        <v>Most Deprived</v>
      </c>
      <c r="H2169">
        <v>8.3000000000000007</v>
      </c>
      <c r="I2169" t="s">
        <v>38</v>
      </c>
      <c r="J2169" t="s">
        <v>26</v>
      </c>
      <c r="K2169" s="1">
        <v>45951</v>
      </c>
      <c r="L2169" s="1">
        <v>45954</v>
      </c>
      <c r="M2169" s="1" t="str">
        <f>TEXT(Table1[[#This Row],[appointment_date]],"MM/YYYY")</f>
        <v>10/2025</v>
      </c>
      <c r="N2169">
        <v>3</v>
      </c>
      <c r="O2169" t="str" cm="1">
        <f t="array" ref="O2169">_xlfn.IFS(Table1[[#This Row],[lead_time_days]]&lt;=7,"0-7 days",N2169&lt;=14,"8-14 days",N2169&lt;=30,"15-30 days",N2169&lt;=60,"31-60 days",TRUE,"61+ days")</f>
        <v>0-7 days</v>
      </c>
      <c r="P2169" t="s">
        <v>52</v>
      </c>
      <c r="Q2169" t="s">
        <v>21</v>
      </c>
      <c r="R2169">
        <v>0</v>
      </c>
      <c r="S2169" t="str">
        <f>IF(Table1[prior_dna_count]&gt;=1,"Has prior DNA history","No prior DNA history")</f>
        <v>No prior DNA history</v>
      </c>
      <c r="T2169" t="s">
        <v>39</v>
      </c>
      <c r="U2169" t="str">
        <f t="shared" si="33"/>
        <v>1</v>
      </c>
      <c r="V2169" t="str">
        <f>IF(Table1[appointment_status]="Attended","1","0")</f>
        <v>0</v>
      </c>
      <c r="W2169" t="str">
        <f>IF(Table1[appointment_status]="Cancelled","1","0")</f>
        <v>0</v>
      </c>
    </row>
    <row r="2170" spans="1:23">
      <c r="A2170" t="s">
        <v>3389</v>
      </c>
      <c r="B2170" t="s">
        <v>2920</v>
      </c>
      <c r="C2170">
        <v>48</v>
      </c>
      <c r="D2170" t="str" cm="1">
        <f t="array" ref="D2170">_xlfn.IFS(Table1[[#This Row],[age]]&lt;=17,"0-17",C2170&lt;=29,"18-29",C2170&lt;=44,"30-44",C2170&lt;=59,"45-59",C2170&lt;=74,"60-74",TRUE,"75+")</f>
        <v>45-59</v>
      </c>
      <c r="E2170" t="s">
        <v>29</v>
      </c>
      <c r="F2170">
        <v>6</v>
      </c>
      <c r="G2170" t="str" cm="1">
        <f t="array" ref="G2170">_xlfn.IFS(_xlfn.SINGLE(Table1[imd_decile])&lt;=3,"Most Deprived",F2170&lt;=7,"Moderately Deprived",F2170&lt;=10,"Least Deprived")</f>
        <v>Moderately Deprived</v>
      </c>
      <c r="H2170">
        <v>1.5</v>
      </c>
      <c r="I2170" t="s">
        <v>25</v>
      </c>
      <c r="J2170" t="s">
        <v>26</v>
      </c>
      <c r="K2170" s="1">
        <v>45950</v>
      </c>
      <c r="L2170" s="1">
        <v>45955</v>
      </c>
      <c r="M2170" s="1" t="str">
        <f>TEXT(Table1[[#This Row],[appointment_date]],"MM/YYYY")</f>
        <v>10/2025</v>
      </c>
      <c r="N2170">
        <v>5</v>
      </c>
      <c r="O2170" t="str" cm="1">
        <f t="array" ref="O2170">_xlfn.IFS(Table1[[#This Row],[lead_time_days]]&lt;=7,"0-7 days",N2170&lt;=14,"8-14 days",N2170&lt;=30,"15-30 days",N2170&lt;=60,"31-60 days",TRUE,"61+ days")</f>
        <v>0-7 days</v>
      </c>
      <c r="P2170" t="s">
        <v>55</v>
      </c>
      <c r="Q2170" t="s">
        <v>21</v>
      </c>
      <c r="R2170">
        <v>0</v>
      </c>
      <c r="S2170" t="str">
        <f>IF(Table1[prior_dna_count]&gt;=1,"Has prior DNA history","No prior DNA history")</f>
        <v>No prior DNA history</v>
      </c>
      <c r="T2170" t="s">
        <v>22</v>
      </c>
      <c r="U2170" t="str">
        <f t="shared" si="33"/>
        <v>0</v>
      </c>
      <c r="V2170" t="str">
        <f>IF(Table1[appointment_status]="Attended","1","0")</f>
        <v>1</v>
      </c>
      <c r="W2170" t="str">
        <f>IF(Table1[appointment_status]="Cancelled","1","0")</f>
        <v>0</v>
      </c>
    </row>
    <row r="2171" spans="1:23">
      <c r="A2171" t="s">
        <v>3390</v>
      </c>
      <c r="B2171" t="s">
        <v>2958</v>
      </c>
      <c r="C2171">
        <v>49</v>
      </c>
      <c r="D2171" t="str" cm="1">
        <f t="array" ref="D2171">_xlfn.IFS(Table1[[#This Row],[age]]&lt;=17,"0-17",C2171&lt;=29,"18-29",C2171&lt;=44,"30-44",C2171&lt;=59,"45-59",C2171&lt;=74,"60-74",TRUE,"75+")</f>
        <v>45-59</v>
      </c>
      <c r="E2171" t="s">
        <v>17</v>
      </c>
      <c r="F2171">
        <v>6</v>
      </c>
      <c r="G2171" t="str" cm="1">
        <f t="array" ref="G2171">_xlfn.IFS(_xlfn.SINGLE(Table1[imd_decile])&lt;=3,"Most Deprived",F2171&lt;=7,"Moderately Deprived",F2171&lt;=10,"Least Deprived")</f>
        <v>Moderately Deprived</v>
      </c>
      <c r="H2171">
        <v>7.7</v>
      </c>
      <c r="I2171" t="s">
        <v>38</v>
      </c>
      <c r="J2171" t="s">
        <v>26</v>
      </c>
      <c r="K2171" s="1">
        <v>45943</v>
      </c>
      <c r="L2171" s="1">
        <v>45955</v>
      </c>
      <c r="M2171" s="1" t="str">
        <f>TEXT(Table1[[#This Row],[appointment_date]],"MM/YYYY")</f>
        <v>10/2025</v>
      </c>
      <c r="N2171">
        <v>12</v>
      </c>
      <c r="O2171" t="str" cm="1">
        <f t="array" ref="O2171">_xlfn.IFS(Table1[[#This Row],[lead_time_days]]&lt;=7,"0-7 days",N2171&lt;=14,"8-14 days",N2171&lt;=30,"15-30 days",N2171&lt;=60,"31-60 days",TRUE,"61+ days")</f>
        <v>8-14 days</v>
      </c>
      <c r="P2171" t="s">
        <v>55</v>
      </c>
      <c r="Q2171" t="s">
        <v>21</v>
      </c>
      <c r="R2171">
        <v>0</v>
      </c>
      <c r="S2171" t="str">
        <f>IF(Table1[prior_dna_count]&gt;=1,"Has prior DNA history","No prior DNA history")</f>
        <v>No prior DNA history</v>
      </c>
      <c r="T2171" t="s">
        <v>22</v>
      </c>
      <c r="U2171" t="str">
        <f t="shared" si="33"/>
        <v>1</v>
      </c>
      <c r="V2171" t="str">
        <f>IF(Table1[appointment_status]="Attended","1","0")</f>
        <v>1</v>
      </c>
      <c r="W2171" t="str">
        <f>IF(Table1[appointment_status]="Cancelled","1","0")</f>
        <v>0</v>
      </c>
    </row>
    <row r="2172" spans="1:23">
      <c r="A2172" t="s">
        <v>3391</v>
      </c>
      <c r="B2172" t="s">
        <v>1068</v>
      </c>
      <c r="C2172">
        <v>53</v>
      </c>
      <c r="D2172" t="str" cm="1">
        <f t="array" ref="D2172">_xlfn.IFS(Table1[[#This Row],[age]]&lt;=17,"0-17",C2172&lt;=29,"18-29",C2172&lt;=44,"30-44",C2172&lt;=59,"45-59",C2172&lt;=74,"60-74",TRUE,"75+")</f>
        <v>45-59</v>
      </c>
      <c r="E2172" t="s">
        <v>29</v>
      </c>
      <c r="F2172">
        <v>6</v>
      </c>
      <c r="G2172" t="str" cm="1">
        <f t="array" ref="G2172">_xlfn.IFS(_xlfn.SINGLE(Table1[imd_decile])&lt;=3,"Most Deprived",F2172&lt;=7,"Moderately Deprived",F2172&lt;=10,"Least Deprived")</f>
        <v>Moderately Deprived</v>
      </c>
      <c r="H2172">
        <v>8.3000000000000007</v>
      </c>
      <c r="I2172" t="s">
        <v>58</v>
      </c>
      <c r="J2172" t="s">
        <v>19</v>
      </c>
      <c r="K2172" s="1">
        <v>45939</v>
      </c>
      <c r="L2172" s="1">
        <v>45955</v>
      </c>
      <c r="M2172" s="1" t="str">
        <f>TEXT(Table1[[#This Row],[appointment_date]],"MM/YYYY")</f>
        <v>10/2025</v>
      </c>
      <c r="N2172">
        <v>16</v>
      </c>
      <c r="O2172" t="str" cm="1">
        <f t="array" ref="O2172">_xlfn.IFS(Table1[[#This Row],[lead_time_days]]&lt;=7,"0-7 days",N2172&lt;=14,"8-14 days",N2172&lt;=30,"15-30 days",N2172&lt;=60,"31-60 days",TRUE,"61+ days")</f>
        <v>15-30 days</v>
      </c>
      <c r="P2172" t="s">
        <v>55</v>
      </c>
      <c r="Q2172" t="s">
        <v>21</v>
      </c>
      <c r="R2172">
        <v>0</v>
      </c>
      <c r="S2172" t="str">
        <f>IF(Table1[prior_dna_count]&gt;=1,"Has prior DNA history","No prior DNA history")</f>
        <v>No prior DNA history</v>
      </c>
      <c r="T2172" t="s">
        <v>39</v>
      </c>
      <c r="U2172" t="str">
        <f t="shared" si="33"/>
        <v>1</v>
      </c>
      <c r="V2172" t="str">
        <f>IF(Table1[appointment_status]="Attended","1","0")</f>
        <v>0</v>
      </c>
      <c r="W2172" t="str">
        <f>IF(Table1[appointment_status]="Cancelled","1","0")</f>
        <v>0</v>
      </c>
    </row>
    <row r="2173" spans="1:23">
      <c r="A2173" t="s">
        <v>3392</v>
      </c>
      <c r="B2173" t="s">
        <v>377</v>
      </c>
      <c r="C2173">
        <v>56</v>
      </c>
      <c r="D2173" t="str" cm="1">
        <f t="array" ref="D2173">_xlfn.IFS(Table1[[#This Row],[age]]&lt;=17,"0-17",C2173&lt;=29,"18-29",C2173&lt;=44,"30-44",C2173&lt;=59,"45-59",C2173&lt;=74,"60-74",TRUE,"75+")</f>
        <v>45-59</v>
      </c>
      <c r="E2173" t="s">
        <v>29</v>
      </c>
      <c r="F2173">
        <v>9</v>
      </c>
      <c r="G2173" t="str" cm="1">
        <f t="array" ref="G2173">_xlfn.IFS(_xlfn.SINGLE(Table1[imd_decile])&lt;=3,"Most Deprived",F2173&lt;=7,"Moderately Deprived",F2173&lt;=10,"Least Deprived")</f>
        <v>Least Deprived</v>
      </c>
      <c r="H2173">
        <v>3.3</v>
      </c>
      <c r="I2173" t="s">
        <v>155</v>
      </c>
      <c r="J2173" t="s">
        <v>19</v>
      </c>
      <c r="K2173" s="1">
        <v>45947</v>
      </c>
      <c r="L2173" s="1">
        <v>45955</v>
      </c>
      <c r="M2173" s="1" t="str">
        <f>TEXT(Table1[[#This Row],[appointment_date]],"MM/YYYY")</f>
        <v>10/2025</v>
      </c>
      <c r="N2173">
        <v>8</v>
      </c>
      <c r="O2173" t="str" cm="1">
        <f t="array" ref="O2173">_xlfn.IFS(Table1[[#This Row],[lead_time_days]]&lt;=7,"0-7 days",N2173&lt;=14,"8-14 days",N2173&lt;=30,"15-30 days",N2173&lt;=60,"31-60 days",TRUE,"61+ days")</f>
        <v>8-14 days</v>
      </c>
      <c r="P2173" t="s">
        <v>55</v>
      </c>
      <c r="Q2173" t="s">
        <v>32</v>
      </c>
      <c r="R2173">
        <v>2</v>
      </c>
      <c r="S2173" t="str">
        <f>IF(Table1[prior_dna_count]&gt;=1,"Has prior DNA history","No prior DNA history")</f>
        <v>Has prior DNA history</v>
      </c>
      <c r="T2173" t="s">
        <v>22</v>
      </c>
      <c r="U2173" t="str">
        <f t="shared" si="33"/>
        <v>0</v>
      </c>
      <c r="V2173" t="str">
        <f>IF(Table1[appointment_status]="Attended","1","0")</f>
        <v>1</v>
      </c>
      <c r="W2173" t="str">
        <f>IF(Table1[appointment_status]="Cancelled","1","0")</f>
        <v>0</v>
      </c>
    </row>
    <row r="2174" spans="1:23">
      <c r="A2174" t="s">
        <v>3393</v>
      </c>
      <c r="B2174" t="s">
        <v>1859</v>
      </c>
      <c r="C2174">
        <v>56</v>
      </c>
      <c r="D2174" t="str" cm="1">
        <f t="array" ref="D2174">_xlfn.IFS(Table1[[#This Row],[age]]&lt;=17,"0-17",C2174&lt;=29,"18-29",C2174&lt;=44,"30-44",C2174&lt;=59,"45-59",C2174&lt;=74,"60-74",TRUE,"75+")</f>
        <v>45-59</v>
      </c>
      <c r="E2174" t="s">
        <v>17</v>
      </c>
      <c r="F2174">
        <v>8</v>
      </c>
      <c r="G2174" t="str" cm="1">
        <f t="array" ref="G2174">_xlfn.IFS(_xlfn.SINGLE(Table1[imd_decile])&lt;=3,"Most Deprived",F2174&lt;=7,"Moderately Deprived",F2174&lt;=10,"Least Deprived")</f>
        <v>Least Deprived</v>
      </c>
      <c r="H2174">
        <v>7</v>
      </c>
      <c r="I2174" t="s">
        <v>45</v>
      </c>
      <c r="J2174" t="s">
        <v>26</v>
      </c>
      <c r="K2174" s="1">
        <v>45938</v>
      </c>
      <c r="L2174" s="1">
        <v>45955</v>
      </c>
      <c r="M2174" s="1" t="str">
        <f>TEXT(Table1[[#This Row],[appointment_date]],"MM/YYYY")</f>
        <v>10/2025</v>
      </c>
      <c r="N2174">
        <v>17</v>
      </c>
      <c r="O2174" t="str" cm="1">
        <f t="array" ref="O2174">_xlfn.IFS(Table1[[#This Row],[lead_time_days]]&lt;=7,"0-7 days",N2174&lt;=14,"8-14 days",N2174&lt;=30,"15-30 days",N2174&lt;=60,"31-60 days",TRUE,"61+ days")</f>
        <v>15-30 days</v>
      </c>
      <c r="P2174" t="s">
        <v>55</v>
      </c>
      <c r="Q2174" t="s">
        <v>21</v>
      </c>
      <c r="R2174">
        <v>0</v>
      </c>
      <c r="S2174" t="str">
        <f>IF(Table1[prior_dna_count]&gt;=1,"Has prior DNA history","No prior DNA history")</f>
        <v>No prior DNA history</v>
      </c>
      <c r="T2174" t="s">
        <v>22</v>
      </c>
      <c r="U2174" t="str">
        <f t="shared" si="33"/>
        <v>1</v>
      </c>
      <c r="V2174" t="str">
        <f>IF(Table1[appointment_status]="Attended","1","0")</f>
        <v>1</v>
      </c>
      <c r="W2174" t="str">
        <f>IF(Table1[appointment_status]="Cancelled","1","0")</f>
        <v>0</v>
      </c>
    </row>
    <row r="2175" spans="1:23">
      <c r="A2175" t="s">
        <v>3394</v>
      </c>
      <c r="B2175" t="s">
        <v>3395</v>
      </c>
      <c r="C2175">
        <v>42</v>
      </c>
      <c r="D2175" t="str" cm="1">
        <f t="array" ref="D2175">_xlfn.IFS(Table1[[#This Row],[age]]&lt;=17,"0-17",C2175&lt;=29,"18-29",C2175&lt;=44,"30-44",C2175&lt;=59,"45-59",C2175&lt;=74,"60-74",TRUE,"75+")</f>
        <v>30-44</v>
      </c>
      <c r="E2175" t="s">
        <v>17</v>
      </c>
      <c r="F2175">
        <v>9</v>
      </c>
      <c r="G2175" t="str" cm="1">
        <f t="array" ref="G2175">_xlfn.IFS(_xlfn.SINGLE(Table1[imd_decile])&lt;=3,"Most Deprived",F2175&lt;=7,"Moderately Deprived",F2175&lt;=10,"Least Deprived")</f>
        <v>Least Deprived</v>
      </c>
      <c r="H2175">
        <v>7.1</v>
      </c>
      <c r="I2175" t="s">
        <v>38</v>
      </c>
      <c r="J2175" t="s">
        <v>26</v>
      </c>
      <c r="K2175" s="1">
        <v>45949</v>
      </c>
      <c r="L2175" s="1">
        <v>45955</v>
      </c>
      <c r="M2175" s="1" t="str">
        <f>TEXT(Table1[[#This Row],[appointment_date]],"MM/YYYY")</f>
        <v>10/2025</v>
      </c>
      <c r="N2175">
        <v>6</v>
      </c>
      <c r="O2175" t="str" cm="1">
        <f t="array" ref="O2175">_xlfn.IFS(Table1[[#This Row],[lead_time_days]]&lt;=7,"0-7 days",N2175&lt;=14,"8-14 days",N2175&lt;=30,"15-30 days",N2175&lt;=60,"31-60 days",TRUE,"61+ days")</f>
        <v>0-7 days</v>
      </c>
      <c r="P2175" t="s">
        <v>55</v>
      </c>
      <c r="Q2175" t="s">
        <v>21</v>
      </c>
      <c r="R2175">
        <v>0</v>
      </c>
      <c r="S2175" t="str">
        <f>IF(Table1[prior_dna_count]&gt;=1,"Has prior DNA history","No prior DNA history")</f>
        <v>No prior DNA history</v>
      </c>
      <c r="T2175" t="s">
        <v>22</v>
      </c>
      <c r="U2175" t="str">
        <f t="shared" si="33"/>
        <v>1</v>
      </c>
      <c r="V2175" t="str">
        <f>IF(Table1[appointment_status]="Attended","1","0")</f>
        <v>1</v>
      </c>
      <c r="W2175" t="str">
        <f>IF(Table1[appointment_status]="Cancelled","1","0")</f>
        <v>0</v>
      </c>
    </row>
    <row r="2176" spans="1:23">
      <c r="A2176" t="s">
        <v>3396</v>
      </c>
      <c r="B2176" t="s">
        <v>2593</v>
      </c>
      <c r="C2176">
        <v>67</v>
      </c>
      <c r="D2176" t="str" cm="1">
        <f t="array" ref="D2176">_xlfn.IFS(Table1[[#This Row],[age]]&lt;=17,"0-17",C2176&lt;=29,"18-29",C2176&lt;=44,"30-44",C2176&lt;=59,"45-59",C2176&lt;=74,"60-74",TRUE,"75+")</f>
        <v>60-74</v>
      </c>
      <c r="E2176" t="s">
        <v>17</v>
      </c>
      <c r="F2176">
        <v>5</v>
      </c>
      <c r="G2176" t="str" cm="1">
        <f t="array" ref="G2176">_xlfn.IFS(_xlfn.SINGLE(Table1[imd_decile])&lt;=3,"Most Deprived",F2176&lt;=7,"Moderately Deprived",F2176&lt;=10,"Least Deprived")</f>
        <v>Moderately Deprived</v>
      </c>
      <c r="H2176">
        <v>8.8000000000000007</v>
      </c>
      <c r="I2176" t="s">
        <v>42</v>
      </c>
      <c r="J2176" t="s">
        <v>19</v>
      </c>
      <c r="K2176" s="1">
        <v>45923</v>
      </c>
      <c r="L2176" s="1">
        <v>45955</v>
      </c>
      <c r="M2176" s="1" t="str">
        <f>TEXT(Table1[[#This Row],[appointment_date]],"MM/YYYY")</f>
        <v>10/2025</v>
      </c>
      <c r="N2176">
        <v>32</v>
      </c>
      <c r="O2176" t="str" cm="1">
        <f t="array" ref="O2176">_xlfn.IFS(Table1[[#This Row],[lead_time_days]]&lt;=7,"0-7 days",N2176&lt;=14,"8-14 days",N2176&lt;=30,"15-30 days",N2176&lt;=60,"31-60 days",TRUE,"61+ days")</f>
        <v>31-60 days</v>
      </c>
      <c r="P2176" t="s">
        <v>55</v>
      </c>
      <c r="Q2176" t="s">
        <v>21</v>
      </c>
      <c r="R2176">
        <v>0</v>
      </c>
      <c r="S2176" t="str">
        <f>IF(Table1[prior_dna_count]&gt;=1,"Has prior DNA history","No prior DNA history")</f>
        <v>No prior DNA history</v>
      </c>
      <c r="T2176" t="s">
        <v>22</v>
      </c>
      <c r="U2176" t="str">
        <f t="shared" si="33"/>
        <v>1</v>
      </c>
      <c r="V2176" t="str">
        <f>IF(Table1[appointment_status]="Attended","1","0")</f>
        <v>1</v>
      </c>
      <c r="W2176" t="str">
        <f>IF(Table1[appointment_status]="Cancelled","1","0")</f>
        <v>0</v>
      </c>
    </row>
    <row r="2177" spans="1:23">
      <c r="A2177" t="s">
        <v>3397</v>
      </c>
      <c r="B2177" t="s">
        <v>3344</v>
      </c>
      <c r="C2177">
        <v>47</v>
      </c>
      <c r="D2177" t="str" cm="1">
        <f t="array" ref="D2177">_xlfn.IFS(Table1[[#This Row],[age]]&lt;=17,"0-17",C2177&lt;=29,"18-29",C2177&lt;=44,"30-44",C2177&lt;=59,"45-59",C2177&lt;=74,"60-74",TRUE,"75+")</f>
        <v>45-59</v>
      </c>
      <c r="E2177" t="s">
        <v>29</v>
      </c>
      <c r="F2177">
        <v>9</v>
      </c>
      <c r="G2177" t="str" cm="1">
        <f t="array" ref="G2177">_xlfn.IFS(_xlfn.SINGLE(Table1[imd_decile])&lt;=3,"Most Deprived",F2177&lt;=7,"Moderately Deprived",F2177&lt;=10,"Least Deprived")</f>
        <v>Least Deprived</v>
      </c>
      <c r="H2177">
        <v>6</v>
      </c>
      <c r="I2177" t="s">
        <v>30</v>
      </c>
      <c r="J2177" t="s">
        <v>19</v>
      </c>
      <c r="K2177" s="1">
        <v>45917</v>
      </c>
      <c r="L2177" s="1">
        <v>45955</v>
      </c>
      <c r="M2177" s="1" t="str">
        <f>TEXT(Table1[[#This Row],[appointment_date]],"MM/YYYY")</f>
        <v>10/2025</v>
      </c>
      <c r="N2177">
        <v>38</v>
      </c>
      <c r="O2177" t="str" cm="1">
        <f t="array" ref="O2177">_xlfn.IFS(Table1[[#This Row],[lead_time_days]]&lt;=7,"0-7 days",N2177&lt;=14,"8-14 days",N2177&lt;=30,"15-30 days",N2177&lt;=60,"31-60 days",TRUE,"61+ days")</f>
        <v>31-60 days</v>
      </c>
      <c r="P2177" t="s">
        <v>55</v>
      </c>
      <c r="Q2177" t="s">
        <v>21</v>
      </c>
      <c r="R2177">
        <v>0</v>
      </c>
      <c r="S2177" t="str">
        <f>IF(Table1[prior_dna_count]&gt;=1,"Has prior DNA history","No prior DNA history")</f>
        <v>No prior DNA history</v>
      </c>
      <c r="T2177" t="s">
        <v>22</v>
      </c>
      <c r="U2177" t="str">
        <f t="shared" si="33"/>
        <v>1</v>
      </c>
      <c r="V2177" t="str">
        <f>IF(Table1[appointment_status]="Attended","1","0")</f>
        <v>1</v>
      </c>
      <c r="W2177" t="str">
        <f>IF(Table1[appointment_status]="Cancelled","1","0")</f>
        <v>0</v>
      </c>
    </row>
    <row r="2178" spans="1:23">
      <c r="A2178" t="s">
        <v>3398</v>
      </c>
      <c r="B2178" t="s">
        <v>127</v>
      </c>
      <c r="C2178">
        <v>67</v>
      </c>
      <c r="D2178" t="str" cm="1">
        <f t="array" ref="D2178">_xlfn.IFS(Table1[[#This Row],[age]]&lt;=17,"0-17",C2178&lt;=29,"18-29",C2178&lt;=44,"30-44",C2178&lt;=59,"45-59",C2178&lt;=74,"60-74",TRUE,"75+")</f>
        <v>60-74</v>
      </c>
      <c r="E2178" t="s">
        <v>17</v>
      </c>
      <c r="F2178">
        <v>5</v>
      </c>
      <c r="G2178" t="str" cm="1">
        <f t="array" ref="G2178">_xlfn.IFS(_xlfn.SINGLE(Table1[imd_decile])&lt;=3,"Most Deprived",F2178&lt;=7,"Moderately Deprived",F2178&lt;=10,"Least Deprived")</f>
        <v>Moderately Deprived</v>
      </c>
      <c r="H2178">
        <v>3</v>
      </c>
      <c r="I2178" t="s">
        <v>91</v>
      </c>
      <c r="J2178" t="s">
        <v>26</v>
      </c>
      <c r="K2178" s="1">
        <v>45931</v>
      </c>
      <c r="L2178" s="1">
        <v>45955</v>
      </c>
      <c r="M2178" s="1" t="str">
        <f>TEXT(Table1[[#This Row],[appointment_date]],"MM/YYYY")</f>
        <v>10/2025</v>
      </c>
      <c r="N2178">
        <v>24</v>
      </c>
      <c r="O2178" t="str" cm="1">
        <f t="array" ref="O2178">_xlfn.IFS(Table1[[#This Row],[lead_time_days]]&lt;=7,"0-7 days",N2178&lt;=14,"8-14 days",N2178&lt;=30,"15-30 days",N2178&lt;=60,"31-60 days",TRUE,"61+ days")</f>
        <v>15-30 days</v>
      </c>
      <c r="P2178" t="s">
        <v>55</v>
      </c>
      <c r="Q2178" t="s">
        <v>32</v>
      </c>
      <c r="R2178">
        <v>0</v>
      </c>
      <c r="S2178" t="str">
        <f>IF(Table1[prior_dna_count]&gt;=1,"Has prior DNA history","No prior DNA history")</f>
        <v>No prior DNA history</v>
      </c>
      <c r="T2178" t="s">
        <v>39</v>
      </c>
      <c r="U2178" t="str">
        <f t="shared" ref="U2178:U2241" si="34">V2177</f>
        <v>1</v>
      </c>
      <c r="V2178" t="str">
        <f>IF(Table1[appointment_status]="Attended","1","0")</f>
        <v>0</v>
      </c>
      <c r="W2178" t="str">
        <f>IF(Table1[appointment_status]="Cancelled","1","0")</f>
        <v>0</v>
      </c>
    </row>
    <row r="2179" spans="1:23">
      <c r="A2179" t="s">
        <v>3399</v>
      </c>
      <c r="B2179" t="s">
        <v>3400</v>
      </c>
      <c r="C2179">
        <v>40</v>
      </c>
      <c r="D2179" t="str" cm="1">
        <f t="array" ref="D2179">_xlfn.IFS(Table1[[#This Row],[age]]&lt;=17,"0-17",C2179&lt;=29,"18-29",C2179&lt;=44,"30-44",C2179&lt;=59,"45-59",C2179&lt;=74,"60-74",TRUE,"75+")</f>
        <v>30-44</v>
      </c>
      <c r="E2179" t="s">
        <v>17</v>
      </c>
      <c r="F2179">
        <v>4</v>
      </c>
      <c r="G2179" t="str" cm="1">
        <f t="array" ref="G2179">_xlfn.IFS(_xlfn.SINGLE(Table1[imd_decile])&lt;=3,"Most Deprived",F2179&lt;=7,"Moderately Deprived",F2179&lt;=10,"Least Deprived")</f>
        <v>Moderately Deprived</v>
      </c>
      <c r="H2179">
        <v>13.7</v>
      </c>
      <c r="I2179" t="s">
        <v>38</v>
      </c>
      <c r="J2179" t="s">
        <v>19</v>
      </c>
      <c r="K2179" s="1">
        <v>45932</v>
      </c>
      <c r="L2179" s="1">
        <v>45955</v>
      </c>
      <c r="M2179" s="1" t="str">
        <f>TEXT(Table1[[#This Row],[appointment_date]],"MM/YYYY")</f>
        <v>10/2025</v>
      </c>
      <c r="N2179">
        <v>23</v>
      </c>
      <c r="O2179" t="str" cm="1">
        <f t="array" ref="O2179">_xlfn.IFS(Table1[[#This Row],[lead_time_days]]&lt;=7,"0-7 days",N2179&lt;=14,"8-14 days",N2179&lt;=30,"15-30 days",N2179&lt;=60,"31-60 days",TRUE,"61+ days")</f>
        <v>15-30 days</v>
      </c>
      <c r="P2179" t="s">
        <v>55</v>
      </c>
      <c r="Q2179" t="s">
        <v>21</v>
      </c>
      <c r="R2179">
        <v>0</v>
      </c>
      <c r="S2179" t="str">
        <f>IF(Table1[prior_dna_count]&gt;=1,"Has prior DNA history","No prior DNA history")</f>
        <v>No prior DNA history</v>
      </c>
      <c r="T2179" t="s">
        <v>22</v>
      </c>
      <c r="U2179" t="str">
        <f t="shared" si="34"/>
        <v>0</v>
      </c>
      <c r="V2179" t="str">
        <f>IF(Table1[appointment_status]="Attended","1","0")</f>
        <v>1</v>
      </c>
      <c r="W2179" t="str">
        <f>IF(Table1[appointment_status]="Cancelled","1","0")</f>
        <v>0</v>
      </c>
    </row>
    <row r="2180" spans="1:23">
      <c r="A2180" t="s">
        <v>3401</v>
      </c>
      <c r="B2180" t="s">
        <v>644</v>
      </c>
      <c r="C2180">
        <v>45</v>
      </c>
      <c r="D2180" t="str" cm="1">
        <f t="array" ref="D2180">_xlfn.IFS(Table1[[#This Row],[age]]&lt;=17,"0-17",C2180&lt;=29,"18-29",C2180&lt;=44,"30-44",C2180&lt;=59,"45-59",C2180&lt;=74,"60-74",TRUE,"75+")</f>
        <v>45-59</v>
      </c>
      <c r="E2180" t="s">
        <v>29</v>
      </c>
      <c r="F2180">
        <v>3</v>
      </c>
      <c r="G2180" t="str" cm="1">
        <f t="array" ref="G2180">_xlfn.IFS(_xlfn.SINGLE(Table1[imd_decile])&lt;=3,"Most Deprived",F2180&lt;=7,"Moderately Deprived",F2180&lt;=10,"Least Deprived")</f>
        <v>Most Deprived</v>
      </c>
      <c r="H2180">
        <v>13.1</v>
      </c>
      <c r="I2180" t="s">
        <v>58</v>
      </c>
      <c r="J2180" t="s">
        <v>26</v>
      </c>
      <c r="K2180" s="1">
        <v>45951</v>
      </c>
      <c r="L2180" s="1">
        <v>45955</v>
      </c>
      <c r="M2180" s="1" t="str">
        <f>TEXT(Table1[[#This Row],[appointment_date]],"MM/YYYY")</f>
        <v>10/2025</v>
      </c>
      <c r="N2180">
        <v>4</v>
      </c>
      <c r="O2180" t="str" cm="1">
        <f t="array" ref="O2180">_xlfn.IFS(Table1[[#This Row],[lead_time_days]]&lt;=7,"0-7 days",N2180&lt;=14,"8-14 days",N2180&lt;=30,"15-30 days",N2180&lt;=60,"31-60 days",TRUE,"61+ days")</f>
        <v>0-7 days</v>
      </c>
      <c r="P2180" t="s">
        <v>55</v>
      </c>
      <c r="Q2180" t="s">
        <v>21</v>
      </c>
      <c r="R2180">
        <v>0</v>
      </c>
      <c r="S2180" t="str">
        <f>IF(Table1[prior_dna_count]&gt;=1,"Has prior DNA history","No prior DNA history")</f>
        <v>No prior DNA history</v>
      </c>
      <c r="T2180" t="s">
        <v>22</v>
      </c>
      <c r="U2180" t="str">
        <f t="shared" si="34"/>
        <v>1</v>
      </c>
      <c r="V2180" t="str">
        <f>IF(Table1[appointment_status]="Attended","1","0")</f>
        <v>1</v>
      </c>
      <c r="W2180" t="str">
        <f>IF(Table1[appointment_status]="Cancelled","1","0")</f>
        <v>0</v>
      </c>
    </row>
    <row r="2181" spans="1:23">
      <c r="A2181" t="s">
        <v>3402</v>
      </c>
      <c r="B2181" t="s">
        <v>3403</v>
      </c>
      <c r="C2181">
        <v>32</v>
      </c>
      <c r="D2181" t="str" cm="1">
        <f t="array" ref="D2181">_xlfn.IFS(Table1[[#This Row],[age]]&lt;=17,"0-17",C2181&lt;=29,"18-29",C2181&lt;=44,"30-44",C2181&lt;=59,"45-59",C2181&lt;=74,"60-74",TRUE,"75+")</f>
        <v>30-44</v>
      </c>
      <c r="E2181" t="s">
        <v>17</v>
      </c>
      <c r="F2181">
        <v>6</v>
      </c>
      <c r="G2181" t="str" cm="1">
        <f t="array" ref="G2181">_xlfn.IFS(_xlfn.SINGLE(Table1[imd_decile])&lt;=3,"Most Deprived",F2181&lt;=7,"Moderately Deprived",F2181&lt;=10,"Least Deprived")</f>
        <v>Moderately Deprived</v>
      </c>
      <c r="H2181">
        <v>7.7</v>
      </c>
      <c r="I2181" t="s">
        <v>91</v>
      </c>
      <c r="J2181" t="s">
        <v>19</v>
      </c>
      <c r="K2181" s="1">
        <v>45899</v>
      </c>
      <c r="L2181" s="1">
        <v>45955</v>
      </c>
      <c r="M2181" s="1" t="str">
        <f>TEXT(Table1[[#This Row],[appointment_date]],"MM/YYYY")</f>
        <v>10/2025</v>
      </c>
      <c r="N2181">
        <v>56</v>
      </c>
      <c r="O2181" t="str" cm="1">
        <f t="array" ref="O2181">_xlfn.IFS(Table1[[#This Row],[lead_time_days]]&lt;=7,"0-7 days",N2181&lt;=14,"8-14 days",N2181&lt;=30,"15-30 days",N2181&lt;=60,"31-60 days",TRUE,"61+ days")</f>
        <v>31-60 days</v>
      </c>
      <c r="P2181" t="s">
        <v>55</v>
      </c>
      <c r="Q2181" t="s">
        <v>21</v>
      </c>
      <c r="R2181">
        <v>0</v>
      </c>
      <c r="S2181" t="str">
        <f>IF(Table1[prior_dna_count]&gt;=1,"Has prior DNA history","No prior DNA history")</f>
        <v>No prior DNA history</v>
      </c>
      <c r="T2181" t="s">
        <v>22</v>
      </c>
      <c r="U2181" t="str">
        <f t="shared" si="34"/>
        <v>1</v>
      </c>
      <c r="V2181" t="str">
        <f>IF(Table1[appointment_status]="Attended","1","0")</f>
        <v>1</v>
      </c>
      <c r="W2181" t="str">
        <f>IF(Table1[appointment_status]="Cancelled","1","0")</f>
        <v>0</v>
      </c>
    </row>
    <row r="2182" spans="1:23">
      <c r="A2182" t="s">
        <v>3404</v>
      </c>
      <c r="B2182" t="s">
        <v>857</v>
      </c>
      <c r="C2182">
        <v>65</v>
      </c>
      <c r="D2182" t="str" cm="1">
        <f t="array" ref="D2182">_xlfn.IFS(Table1[[#This Row],[age]]&lt;=17,"0-17",C2182&lt;=29,"18-29",C2182&lt;=44,"30-44",C2182&lt;=59,"45-59",C2182&lt;=74,"60-74",TRUE,"75+")</f>
        <v>60-74</v>
      </c>
      <c r="E2182" t="s">
        <v>17</v>
      </c>
      <c r="F2182">
        <v>9</v>
      </c>
      <c r="G2182" t="str" cm="1">
        <f t="array" ref="G2182">_xlfn.IFS(_xlfn.SINGLE(Table1[imd_decile])&lt;=3,"Most Deprived",F2182&lt;=7,"Moderately Deprived",F2182&lt;=10,"Least Deprived")</f>
        <v>Least Deprived</v>
      </c>
      <c r="H2182">
        <v>2.8</v>
      </c>
      <c r="I2182" t="s">
        <v>38</v>
      </c>
      <c r="J2182" t="s">
        <v>19</v>
      </c>
      <c r="K2182" s="1">
        <v>45951</v>
      </c>
      <c r="L2182" s="1">
        <v>45955</v>
      </c>
      <c r="M2182" s="1" t="str">
        <f>TEXT(Table1[[#This Row],[appointment_date]],"MM/YYYY")</f>
        <v>10/2025</v>
      </c>
      <c r="N2182">
        <v>4</v>
      </c>
      <c r="O2182" t="str" cm="1">
        <f t="array" ref="O2182">_xlfn.IFS(Table1[[#This Row],[lead_time_days]]&lt;=7,"0-7 days",N2182&lt;=14,"8-14 days",N2182&lt;=30,"15-30 days",N2182&lt;=60,"31-60 days",TRUE,"61+ days")</f>
        <v>0-7 days</v>
      </c>
      <c r="P2182" t="s">
        <v>55</v>
      </c>
      <c r="Q2182" t="s">
        <v>21</v>
      </c>
      <c r="R2182">
        <v>0</v>
      </c>
      <c r="S2182" t="str">
        <f>IF(Table1[prior_dna_count]&gt;=1,"Has prior DNA history","No prior DNA history")</f>
        <v>No prior DNA history</v>
      </c>
      <c r="T2182" t="s">
        <v>22</v>
      </c>
      <c r="U2182" t="str">
        <f t="shared" si="34"/>
        <v>1</v>
      </c>
      <c r="V2182" t="str">
        <f>IF(Table1[appointment_status]="Attended","1","0")</f>
        <v>1</v>
      </c>
      <c r="W2182" t="str">
        <f>IF(Table1[appointment_status]="Cancelled","1","0")</f>
        <v>0</v>
      </c>
    </row>
    <row r="2183" spans="1:23">
      <c r="A2183" t="s">
        <v>3405</v>
      </c>
      <c r="B2183" t="s">
        <v>1714</v>
      </c>
      <c r="C2183">
        <v>47</v>
      </c>
      <c r="D2183" t="str" cm="1">
        <f t="array" ref="D2183">_xlfn.IFS(Table1[[#This Row],[age]]&lt;=17,"0-17",C2183&lt;=29,"18-29",C2183&lt;=44,"30-44",C2183&lt;=59,"45-59",C2183&lt;=74,"60-74",TRUE,"75+")</f>
        <v>45-59</v>
      </c>
      <c r="E2183" t="s">
        <v>29</v>
      </c>
      <c r="F2183">
        <v>7</v>
      </c>
      <c r="G2183" t="str" cm="1">
        <f t="array" ref="G2183">_xlfn.IFS(_xlfn.SINGLE(Table1[imd_decile])&lt;=3,"Most Deprived",F2183&lt;=7,"Moderately Deprived",F2183&lt;=10,"Least Deprived")</f>
        <v>Moderately Deprived</v>
      </c>
      <c r="H2183">
        <v>1.2</v>
      </c>
      <c r="I2183" t="s">
        <v>49</v>
      </c>
      <c r="J2183" t="s">
        <v>19</v>
      </c>
      <c r="K2183" s="1">
        <v>45913</v>
      </c>
      <c r="L2183" s="1">
        <v>45955</v>
      </c>
      <c r="M2183" s="1" t="str">
        <f>TEXT(Table1[[#This Row],[appointment_date]],"MM/YYYY")</f>
        <v>10/2025</v>
      </c>
      <c r="N2183">
        <v>42</v>
      </c>
      <c r="O2183" t="str" cm="1">
        <f t="array" ref="O2183">_xlfn.IFS(Table1[[#This Row],[lead_time_days]]&lt;=7,"0-7 days",N2183&lt;=14,"8-14 days",N2183&lt;=30,"15-30 days",N2183&lt;=60,"31-60 days",TRUE,"61+ days")</f>
        <v>31-60 days</v>
      </c>
      <c r="P2183" t="s">
        <v>55</v>
      </c>
      <c r="Q2183" t="s">
        <v>21</v>
      </c>
      <c r="R2183">
        <v>0</v>
      </c>
      <c r="S2183" t="str">
        <f>IF(Table1[prior_dna_count]&gt;=1,"Has prior DNA history","No prior DNA history")</f>
        <v>No prior DNA history</v>
      </c>
      <c r="T2183" t="s">
        <v>22</v>
      </c>
      <c r="U2183" t="str">
        <f t="shared" si="34"/>
        <v>1</v>
      </c>
      <c r="V2183" t="str">
        <f>IF(Table1[appointment_status]="Attended","1","0")</f>
        <v>1</v>
      </c>
      <c r="W2183" t="str">
        <f>IF(Table1[appointment_status]="Cancelled","1","0")</f>
        <v>0</v>
      </c>
    </row>
    <row r="2184" spans="1:23">
      <c r="A2184" t="s">
        <v>3406</v>
      </c>
      <c r="B2184" t="s">
        <v>1957</v>
      </c>
      <c r="C2184">
        <v>75</v>
      </c>
      <c r="D2184" t="str" cm="1">
        <f t="array" ref="D2184">_xlfn.IFS(Table1[[#This Row],[age]]&lt;=17,"0-17",C2184&lt;=29,"18-29",C2184&lt;=44,"30-44",C2184&lt;=59,"45-59",C2184&lt;=74,"60-74",TRUE,"75+")</f>
        <v>75+</v>
      </c>
      <c r="E2184" t="s">
        <v>17</v>
      </c>
      <c r="F2184">
        <v>5</v>
      </c>
      <c r="G2184" t="str" cm="1">
        <f t="array" ref="G2184">_xlfn.IFS(_xlfn.SINGLE(Table1[imd_decile])&lt;=3,"Most Deprived",F2184&lt;=7,"Moderately Deprived",F2184&lt;=10,"Least Deprived")</f>
        <v>Moderately Deprived</v>
      </c>
      <c r="H2184">
        <v>2.5</v>
      </c>
      <c r="I2184" t="s">
        <v>38</v>
      </c>
      <c r="J2184" t="s">
        <v>19</v>
      </c>
      <c r="K2184" s="1">
        <v>45936</v>
      </c>
      <c r="L2184" s="1">
        <v>45955</v>
      </c>
      <c r="M2184" s="1" t="str">
        <f>TEXT(Table1[[#This Row],[appointment_date]],"MM/YYYY")</f>
        <v>10/2025</v>
      </c>
      <c r="N2184">
        <v>19</v>
      </c>
      <c r="O2184" t="str" cm="1">
        <f t="array" ref="O2184">_xlfn.IFS(Table1[[#This Row],[lead_time_days]]&lt;=7,"0-7 days",N2184&lt;=14,"8-14 days",N2184&lt;=30,"15-30 days",N2184&lt;=60,"31-60 days",TRUE,"61+ days")</f>
        <v>15-30 days</v>
      </c>
      <c r="P2184" t="s">
        <v>55</v>
      </c>
      <c r="Q2184" t="s">
        <v>32</v>
      </c>
      <c r="R2184">
        <v>0</v>
      </c>
      <c r="S2184" t="str">
        <f>IF(Table1[prior_dna_count]&gt;=1,"Has prior DNA history","No prior DNA history")</f>
        <v>No prior DNA history</v>
      </c>
      <c r="T2184" t="s">
        <v>22</v>
      </c>
      <c r="U2184" t="str">
        <f t="shared" si="34"/>
        <v>1</v>
      </c>
      <c r="V2184" t="str">
        <f>IF(Table1[appointment_status]="Attended","1","0")</f>
        <v>1</v>
      </c>
      <c r="W2184" t="str">
        <f>IF(Table1[appointment_status]="Cancelled","1","0")</f>
        <v>0</v>
      </c>
    </row>
    <row r="2185" spans="1:23">
      <c r="A2185" t="s">
        <v>3407</v>
      </c>
      <c r="B2185" t="s">
        <v>708</v>
      </c>
      <c r="C2185">
        <v>46</v>
      </c>
      <c r="D2185" t="str" cm="1">
        <f t="array" ref="D2185">_xlfn.IFS(Table1[[#This Row],[age]]&lt;=17,"0-17",C2185&lt;=29,"18-29",C2185&lt;=44,"30-44",C2185&lt;=59,"45-59",C2185&lt;=74,"60-74",TRUE,"75+")</f>
        <v>45-59</v>
      </c>
      <c r="E2185" t="s">
        <v>17</v>
      </c>
      <c r="F2185">
        <v>3</v>
      </c>
      <c r="G2185" t="str" cm="1">
        <f t="array" ref="G2185">_xlfn.IFS(_xlfn.SINGLE(Table1[imd_decile])&lt;=3,"Most Deprived",F2185&lt;=7,"Moderately Deprived",F2185&lt;=10,"Least Deprived")</f>
        <v>Most Deprived</v>
      </c>
      <c r="H2185">
        <v>3.9</v>
      </c>
      <c r="I2185" t="s">
        <v>25</v>
      </c>
      <c r="J2185" t="s">
        <v>26</v>
      </c>
      <c r="K2185" s="1">
        <v>45876</v>
      </c>
      <c r="L2185" s="1">
        <v>45956</v>
      </c>
      <c r="M2185" s="1" t="str">
        <f>TEXT(Table1[[#This Row],[appointment_date]],"MM/YYYY")</f>
        <v>10/2025</v>
      </c>
      <c r="N2185">
        <v>80</v>
      </c>
      <c r="O2185" t="str" cm="1">
        <f t="array" ref="O2185">_xlfn.IFS(Table1[[#This Row],[lead_time_days]]&lt;=7,"0-7 days",N2185&lt;=14,"8-14 days",N2185&lt;=30,"15-30 days",N2185&lt;=60,"31-60 days",TRUE,"61+ days")</f>
        <v>61+ days</v>
      </c>
      <c r="P2185" t="s">
        <v>31</v>
      </c>
      <c r="Q2185" t="s">
        <v>21</v>
      </c>
      <c r="R2185">
        <v>0</v>
      </c>
      <c r="S2185" t="str">
        <f>IF(Table1[prior_dna_count]&gt;=1,"Has prior DNA history","No prior DNA history")</f>
        <v>No prior DNA history</v>
      </c>
      <c r="T2185" t="s">
        <v>39</v>
      </c>
      <c r="U2185" t="str">
        <f t="shared" si="34"/>
        <v>1</v>
      </c>
      <c r="V2185" t="str">
        <f>IF(Table1[appointment_status]="Attended","1","0")</f>
        <v>0</v>
      </c>
      <c r="W2185" t="str">
        <f>IF(Table1[appointment_status]="Cancelled","1","0")</f>
        <v>0</v>
      </c>
    </row>
    <row r="2186" spans="1:23">
      <c r="A2186" t="s">
        <v>3408</v>
      </c>
      <c r="B2186" t="s">
        <v>2013</v>
      </c>
      <c r="C2186">
        <v>54</v>
      </c>
      <c r="D2186" t="str" cm="1">
        <f t="array" ref="D2186">_xlfn.IFS(Table1[[#This Row],[age]]&lt;=17,"0-17",C2186&lt;=29,"18-29",C2186&lt;=44,"30-44",C2186&lt;=59,"45-59",C2186&lt;=74,"60-74",TRUE,"75+")</f>
        <v>45-59</v>
      </c>
      <c r="E2186" t="s">
        <v>17</v>
      </c>
      <c r="F2186">
        <v>5</v>
      </c>
      <c r="G2186" t="str" cm="1">
        <f t="array" ref="G2186">_xlfn.IFS(_xlfn.SINGLE(Table1[imd_decile])&lt;=3,"Most Deprived",F2186&lt;=7,"Moderately Deprived",F2186&lt;=10,"Least Deprived")</f>
        <v>Moderately Deprived</v>
      </c>
      <c r="H2186">
        <v>2.6</v>
      </c>
      <c r="I2186" t="s">
        <v>30</v>
      </c>
      <c r="J2186" t="s">
        <v>26</v>
      </c>
      <c r="K2186" s="1">
        <v>45950</v>
      </c>
      <c r="L2186" s="1">
        <v>45956</v>
      </c>
      <c r="M2186" s="1" t="str">
        <f>TEXT(Table1[[#This Row],[appointment_date]],"MM/YYYY")</f>
        <v>10/2025</v>
      </c>
      <c r="N2186">
        <v>6</v>
      </c>
      <c r="O2186" t="str" cm="1">
        <f t="array" ref="O2186">_xlfn.IFS(Table1[[#This Row],[lead_time_days]]&lt;=7,"0-7 days",N2186&lt;=14,"8-14 days",N2186&lt;=30,"15-30 days",N2186&lt;=60,"31-60 days",TRUE,"61+ days")</f>
        <v>0-7 days</v>
      </c>
      <c r="P2186" t="s">
        <v>31</v>
      </c>
      <c r="Q2186" t="s">
        <v>21</v>
      </c>
      <c r="R2186">
        <v>0</v>
      </c>
      <c r="S2186" t="str">
        <f>IF(Table1[prior_dna_count]&gt;=1,"Has prior DNA history","No prior DNA history")</f>
        <v>No prior DNA history</v>
      </c>
      <c r="T2186" t="s">
        <v>39</v>
      </c>
      <c r="U2186" t="str">
        <f t="shared" si="34"/>
        <v>0</v>
      </c>
      <c r="V2186" t="str">
        <f>IF(Table1[appointment_status]="Attended","1","0")</f>
        <v>0</v>
      </c>
      <c r="W2186" t="str">
        <f>IF(Table1[appointment_status]="Cancelled","1","0")</f>
        <v>0</v>
      </c>
    </row>
    <row r="2187" spans="1:23">
      <c r="A2187" t="s">
        <v>3409</v>
      </c>
      <c r="B2187" t="s">
        <v>2315</v>
      </c>
      <c r="C2187">
        <v>54</v>
      </c>
      <c r="D2187" t="str" cm="1">
        <f t="array" ref="D2187">_xlfn.IFS(Table1[[#This Row],[age]]&lt;=17,"0-17",C2187&lt;=29,"18-29",C2187&lt;=44,"30-44",C2187&lt;=59,"45-59",C2187&lt;=74,"60-74",TRUE,"75+")</f>
        <v>45-59</v>
      </c>
      <c r="E2187" t="s">
        <v>29</v>
      </c>
      <c r="F2187">
        <v>8</v>
      </c>
      <c r="G2187" t="str" cm="1">
        <f t="array" ref="G2187">_xlfn.IFS(_xlfn.SINGLE(Table1[imd_decile])&lt;=3,"Most Deprived",F2187&lt;=7,"Moderately Deprived",F2187&lt;=10,"Least Deprived")</f>
        <v>Least Deprived</v>
      </c>
      <c r="H2187">
        <v>1.3</v>
      </c>
      <c r="I2187" t="s">
        <v>91</v>
      </c>
      <c r="J2187" t="s">
        <v>19</v>
      </c>
      <c r="K2187" s="1">
        <v>45913</v>
      </c>
      <c r="L2187" s="1">
        <v>45956</v>
      </c>
      <c r="M2187" s="1" t="str">
        <f>TEXT(Table1[[#This Row],[appointment_date]],"MM/YYYY")</f>
        <v>10/2025</v>
      </c>
      <c r="N2187">
        <v>43</v>
      </c>
      <c r="O2187" t="str" cm="1">
        <f t="array" ref="O2187">_xlfn.IFS(Table1[[#This Row],[lead_time_days]]&lt;=7,"0-7 days",N2187&lt;=14,"8-14 days",N2187&lt;=30,"15-30 days",N2187&lt;=60,"31-60 days",TRUE,"61+ days")</f>
        <v>31-60 days</v>
      </c>
      <c r="P2187" t="s">
        <v>31</v>
      </c>
      <c r="Q2187" t="s">
        <v>21</v>
      </c>
      <c r="R2187">
        <v>0</v>
      </c>
      <c r="S2187" t="str">
        <f>IF(Table1[prior_dna_count]&gt;=1,"Has prior DNA history","No prior DNA history")</f>
        <v>No prior DNA history</v>
      </c>
      <c r="T2187" t="s">
        <v>22</v>
      </c>
      <c r="U2187" t="str">
        <f t="shared" si="34"/>
        <v>0</v>
      </c>
      <c r="V2187" t="str">
        <f>IF(Table1[appointment_status]="Attended","1","0")</f>
        <v>1</v>
      </c>
      <c r="W2187" t="str">
        <f>IF(Table1[appointment_status]="Cancelled","1","0")</f>
        <v>0</v>
      </c>
    </row>
    <row r="2188" spans="1:23">
      <c r="A2188" t="s">
        <v>3410</v>
      </c>
      <c r="B2188" t="s">
        <v>324</v>
      </c>
      <c r="C2188">
        <v>51</v>
      </c>
      <c r="D2188" t="str" cm="1">
        <f t="array" ref="D2188">_xlfn.IFS(Table1[[#This Row],[age]]&lt;=17,"0-17",C2188&lt;=29,"18-29",C2188&lt;=44,"30-44",C2188&lt;=59,"45-59",C2188&lt;=74,"60-74",TRUE,"75+")</f>
        <v>45-59</v>
      </c>
      <c r="E2188" t="s">
        <v>29</v>
      </c>
      <c r="F2188">
        <v>4</v>
      </c>
      <c r="G2188" t="str" cm="1">
        <f t="array" ref="G2188">_xlfn.IFS(_xlfn.SINGLE(Table1[imd_decile])&lt;=3,"Most Deprived",F2188&lt;=7,"Moderately Deprived",F2188&lt;=10,"Least Deprived")</f>
        <v>Moderately Deprived</v>
      </c>
      <c r="H2188">
        <v>5.9</v>
      </c>
      <c r="I2188" t="s">
        <v>25</v>
      </c>
      <c r="J2188" t="s">
        <v>26</v>
      </c>
      <c r="K2188" s="1">
        <v>45930</v>
      </c>
      <c r="L2188" s="1">
        <v>45956</v>
      </c>
      <c r="M2188" s="1" t="str">
        <f>TEXT(Table1[[#This Row],[appointment_date]],"MM/YYYY")</f>
        <v>10/2025</v>
      </c>
      <c r="N2188">
        <v>26</v>
      </c>
      <c r="O2188" t="str" cm="1">
        <f t="array" ref="O2188">_xlfn.IFS(Table1[[#This Row],[lead_time_days]]&lt;=7,"0-7 days",N2188&lt;=14,"8-14 days",N2188&lt;=30,"15-30 days",N2188&lt;=60,"31-60 days",TRUE,"61+ days")</f>
        <v>15-30 days</v>
      </c>
      <c r="P2188" t="s">
        <v>31</v>
      </c>
      <c r="Q2188" t="s">
        <v>21</v>
      </c>
      <c r="R2188">
        <v>0</v>
      </c>
      <c r="S2188" t="str">
        <f>IF(Table1[prior_dna_count]&gt;=1,"Has prior DNA history","No prior DNA history")</f>
        <v>No prior DNA history</v>
      </c>
      <c r="T2188" t="s">
        <v>22</v>
      </c>
      <c r="U2188" t="str">
        <f t="shared" si="34"/>
        <v>1</v>
      </c>
      <c r="V2188" t="str">
        <f>IF(Table1[appointment_status]="Attended","1","0")</f>
        <v>1</v>
      </c>
      <c r="W2188" t="str">
        <f>IF(Table1[appointment_status]="Cancelled","1","0")</f>
        <v>0</v>
      </c>
    </row>
    <row r="2189" spans="1:23">
      <c r="A2189" t="s">
        <v>3411</v>
      </c>
      <c r="B2189" t="s">
        <v>1980</v>
      </c>
      <c r="C2189">
        <v>41</v>
      </c>
      <c r="D2189" t="str" cm="1">
        <f t="array" ref="D2189">_xlfn.IFS(Table1[[#This Row],[age]]&lt;=17,"0-17",C2189&lt;=29,"18-29",C2189&lt;=44,"30-44",C2189&lt;=59,"45-59",C2189&lt;=74,"60-74",TRUE,"75+")</f>
        <v>30-44</v>
      </c>
      <c r="E2189" t="s">
        <v>29</v>
      </c>
      <c r="F2189">
        <v>5</v>
      </c>
      <c r="G2189" t="str" cm="1">
        <f t="array" ref="G2189">_xlfn.IFS(_xlfn.SINGLE(Table1[imd_decile])&lt;=3,"Most Deprived",F2189&lt;=7,"Moderately Deprived",F2189&lt;=10,"Least Deprived")</f>
        <v>Moderately Deprived</v>
      </c>
      <c r="H2189">
        <v>5.7</v>
      </c>
      <c r="I2189" t="s">
        <v>30</v>
      </c>
      <c r="J2189" t="s">
        <v>26</v>
      </c>
      <c r="K2189" s="1">
        <v>45924</v>
      </c>
      <c r="L2189" s="1">
        <v>45957</v>
      </c>
      <c r="M2189" s="1" t="str">
        <f>TEXT(Table1[[#This Row],[appointment_date]],"MM/YYYY")</f>
        <v>10/2025</v>
      </c>
      <c r="N2189">
        <v>33</v>
      </c>
      <c r="O2189" t="str" cm="1">
        <f t="array" ref="O2189">_xlfn.IFS(Table1[[#This Row],[lead_time_days]]&lt;=7,"0-7 days",N2189&lt;=14,"8-14 days",N2189&lt;=30,"15-30 days",N2189&lt;=60,"31-60 days",TRUE,"61+ days")</f>
        <v>31-60 days</v>
      </c>
      <c r="P2189" t="s">
        <v>35</v>
      </c>
      <c r="Q2189" t="s">
        <v>32</v>
      </c>
      <c r="R2189">
        <v>0</v>
      </c>
      <c r="S2189" t="str">
        <f>IF(Table1[prior_dna_count]&gt;=1,"Has prior DNA history","No prior DNA history")</f>
        <v>No prior DNA history</v>
      </c>
      <c r="T2189" t="s">
        <v>22</v>
      </c>
      <c r="U2189" t="str">
        <f t="shared" si="34"/>
        <v>1</v>
      </c>
      <c r="V2189" t="str">
        <f>IF(Table1[appointment_status]="Attended","1","0")</f>
        <v>1</v>
      </c>
      <c r="W2189" t="str">
        <f>IF(Table1[appointment_status]="Cancelled","1","0")</f>
        <v>0</v>
      </c>
    </row>
    <row r="2190" spans="1:23">
      <c r="A2190" t="s">
        <v>3412</v>
      </c>
      <c r="B2190" t="s">
        <v>3413</v>
      </c>
      <c r="C2190">
        <v>37</v>
      </c>
      <c r="D2190" t="str" cm="1">
        <f t="array" ref="D2190">_xlfn.IFS(Table1[[#This Row],[age]]&lt;=17,"0-17",C2190&lt;=29,"18-29",C2190&lt;=44,"30-44",C2190&lt;=59,"45-59",C2190&lt;=74,"60-74",TRUE,"75+")</f>
        <v>30-44</v>
      </c>
      <c r="E2190" t="s">
        <v>17</v>
      </c>
      <c r="F2190">
        <v>4</v>
      </c>
      <c r="G2190" t="str" cm="1">
        <f t="array" ref="G2190">_xlfn.IFS(_xlfn.SINGLE(Table1[imd_decile])&lt;=3,"Most Deprived",F2190&lt;=7,"Moderately Deprived",F2190&lt;=10,"Least Deprived")</f>
        <v>Moderately Deprived</v>
      </c>
      <c r="H2190">
        <v>8.9</v>
      </c>
      <c r="I2190" t="s">
        <v>91</v>
      </c>
      <c r="J2190" t="s">
        <v>19</v>
      </c>
      <c r="K2190" s="1">
        <v>45947</v>
      </c>
      <c r="L2190" s="1">
        <v>45957</v>
      </c>
      <c r="M2190" s="1" t="str">
        <f>TEXT(Table1[[#This Row],[appointment_date]],"MM/YYYY")</f>
        <v>10/2025</v>
      </c>
      <c r="N2190">
        <v>10</v>
      </c>
      <c r="O2190" t="str" cm="1">
        <f t="array" ref="O2190">_xlfn.IFS(Table1[[#This Row],[lead_time_days]]&lt;=7,"0-7 days",N2190&lt;=14,"8-14 days",N2190&lt;=30,"15-30 days",N2190&lt;=60,"31-60 days",TRUE,"61+ days")</f>
        <v>8-14 days</v>
      </c>
      <c r="P2190" t="s">
        <v>35</v>
      </c>
      <c r="Q2190" t="s">
        <v>21</v>
      </c>
      <c r="R2190">
        <v>0</v>
      </c>
      <c r="S2190" t="str">
        <f>IF(Table1[prior_dna_count]&gt;=1,"Has prior DNA history","No prior DNA history")</f>
        <v>No prior DNA history</v>
      </c>
      <c r="T2190" t="s">
        <v>22</v>
      </c>
      <c r="U2190" t="str">
        <f t="shared" si="34"/>
        <v>1</v>
      </c>
      <c r="V2190" t="str">
        <f>IF(Table1[appointment_status]="Attended","1","0")</f>
        <v>1</v>
      </c>
      <c r="W2190" t="str">
        <f>IF(Table1[appointment_status]="Cancelled","1","0")</f>
        <v>0</v>
      </c>
    </row>
    <row r="2191" spans="1:23">
      <c r="A2191" t="s">
        <v>3414</v>
      </c>
      <c r="B2191" t="s">
        <v>1529</v>
      </c>
      <c r="C2191">
        <v>1</v>
      </c>
      <c r="D2191" t="str" cm="1">
        <f t="array" ref="D2191">_xlfn.IFS(Table1[[#This Row],[age]]&lt;=17,"0-17",C2191&lt;=29,"18-29",C2191&lt;=44,"30-44",C2191&lt;=59,"45-59",C2191&lt;=74,"60-74",TRUE,"75+")</f>
        <v>0-17</v>
      </c>
      <c r="E2191" t="s">
        <v>29</v>
      </c>
      <c r="F2191">
        <v>2</v>
      </c>
      <c r="G2191" t="str" cm="1">
        <f t="array" ref="G2191">_xlfn.IFS(_xlfn.SINGLE(Table1[imd_decile])&lt;=3,"Most Deprived",F2191&lt;=7,"Moderately Deprived",F2191&lt;=10,"Least Deprived")</f>
        <v>Most Deprived</v>
      </c>
      <c r="H2191">
        <v>4.2</v>
      </c>
      <c r="I2191" t="s">
        <v>58</v>
      </c>
      <c r="J2191" t="s">
        <v>26</v>
      </c>
      <c r="K2191" s="1">
        <v>45943</v>
      </c>
      <c r="L2191" s="1">
        <v>45957</v>
      </c>
      <c r="M2191" s="1" t="str">
        <f>TEXT(Table1[[#This Row],[appointment_date]],"MM/YYYY")</f>
        <v>10/2025</v>
      </c>
      <c r="N2191">
        <v>14</v>
      </c>
      <c r="O2191" t="str" cm="1">
        <f t="array" ref="O2191">_xlfn.IFS(Table1[[#This Row],[lead_time_days]]&lt;=7,"0-7 days",N2191&lt;=14,"8-14 days",N2191&lt;=30,"15-30 days",N2191&lt;=60,"31-60 days",TRUE,"61+ days")</f>
        <v>8-14 days</v>
      </c>
      <c r="P2191" t="s">
        <v>35</v>
      </c>
      <c r="Q2191" t="s">
        <v>21</v>
      </c>
      <c r="R2191">
        <v>1</v>
      </c>
      <c r="S2191" t="str">
        <f>IF(Table1[prior_dna_count]&gt;=1,"Has prior DNA history","No prior DNA history")</f>
        <v>Has prior DNA history</v>
      </c>
      <c r="T2191" t="s">
        <v>22</v>
      </c>
      <c r="U2191" t="str">
        <f t="shared" si="34"/>
        <v>1</v>
      </c>
      <c r="V2191" t="str">
        <f>IF(Table1[appointment_status]="Attended","1","0")</f>
        <v>1</v>
      </c>
      <c r="W2191" t="str">
        <f>IF(Table1[appointment_status]="Cancelled","1","0")</f>
        <v>0</v>
      </c>
    </row>
    <row r="2192" spans="1:23">
      <c r="A2192" t="s">
        <v>3415</v>
      </c>
      <c r="B2192" t="s">
        <v>125</v>
      </c>
      <c r="C2192">
        <v>27</v>
      </c>
      <c r="D2192" t="str" cm="1">
        <f t="array" ref="D2192">_xlfn.IFS(Table1[[#This Row],[age]]&lt;=17,"0-17",C2192&lt;=29,"18-29",C2192&lt;=44,"30-44",C2192&lt;=59,"45-59",C2192&lt;=74,"60-74",TRUE,"75+")</f>
        <v>18-29</v>
      </c>
      <c r="E2192" t="s">
        <v>17</v>
      </c>
      <c r="F2192">
        <v>8</v>
      </c>
      <c r="G2192" t="str" cm="1">
        <f t="array" ref="G2192">_xlfn.IFS(_xlfn.SINGLE(Table1[imd_decile])&lt;=3,"Most Deprived",F2192&lt;=7,"Moderately Deprived",F2192&lt;=10,"Least Deprived")</f>
        <v>Least Deprived</v>
      </c>
      <c r="H2192">
        <v>3.5</v>
      </c>
      <c r="I2192" t="s">
        <v>155</v>
      </c>
      <c r="J2192" t="s">
        <v>19</v>
      </c>
      <c r="K2192" s="1">
        <v>45933</v>
      </c>
      <c r="L2192" s="1">
        <v>45957</v>
      </c>
      <c r="M2192" s="1" t="str">
        <f>TEXT(Table1[[#This Row],[appointment_date]],"MM/YYYY")</f>
        <v>10/2025</v>
      </c>
      <c r="N2192">
        <v>24</v>
      </c>
      <c r="O2192" t="str" cm="1">
        <f t="array" ref="O2192">_xlfn.IFS(Table1[[#This Row],[lead_time_days]]&lt;=7,"0-7 days",N2192&lt;=14,"8-14 days",N2192&lt;=30,"15-30 days",N2192&lt;=60,"31-60 days",TRUE,"61+ days")</f>
        <v>15-30 days</v>
      </c>
      <c r="P2192" t="s">
        <v>35</v>
      </c>
      <c r="Q2192" t="s">
        <v>32</v>
      </c>
      <c r="R2192">
        <v>0</v>
      </c>
      <c r="S2192" t="str">
        <f>IF(Table1[prior_dna_count]&gt;=1,"Has prior DNA history","No prior DNA history")</f>
        <v>No prior DNA history</v>
      </c>
      <c r="T2192" t="s">
        <v>22</v>
      </c>
      <c r="U2192" t="str">
        <f t="shared" si="34"/>
        <v>1</v>
      </c>
      <c r="V2192" t="str">
        <f>IF(Table1[appointment_status]="Attended","1","0")</f>
        <v>1</v>
      </c>
      <c r="W2192" t="str">
        <f>IF(Table1[appointment_status]="Cancelled","1","0")</f>
        <v>0</v>
      </c>
    </row>
    <row r="2193" spans="1:23">
      <c r="A2193" t="s">
        <v>3416</v>
      </c>
      <c r="B2193" t="s">
        <v>1262</v>
      </c>
      <c r="C2193">
        <v>45</v>
      </c>
      <c r="D2193" t="str" cm="1">
        <f t="array" ref="D2193">_xlfn.IFS(Table1[[#This Row],[age]]&lt;=17,"0-17",C2193&lt;=29,"18-29",C2193&lt;=44,"30-44",C2193&lt;=59,"45-59",C2193&lt;=74,"60-74",TRUE,"75+")</f>
        <v>45-59</v>
      </c>
      <c r="E2193" t="s">
        <v>29</v>
      </c>
      <c r="F2193">
        <v>2</v>
      </c>
      <c r="G2193" t="str" cm="1">
        <f t="array" ref="G2193">_xlfn.IFS(_xlfn.SINGLE(Table1[imd_decile])&lt;=3,"Most Deprived",F2193&lt;=7,"Moderately Deprived",F2193&lt;=10,"Least Deprived")</f>
        <v>Most Deprived</v>
      </c>
      <c r="H2193">
        <v>5.5</v>
      </c>
      <c r="I2193" t="s">
        <v>38</v>
      </c>
      <c r="J2193" t="s">
        <v>26</v>
      </c>
      <c r="K2193" s="1">
        <v>45951</v>
      </c>
      <c r="L2193" s="1">
        <v>45957</v>
      </c>
      <c r="M2193" s="1" t="str">
        <f>TEXT(Table1[[#This Row],[appointment_date]],"MM/YYYY")</f>
        <v>10/2025</v>
      </c>
      <c r="N2193">
        <v>6</v>
      </c>
      <c r="O2193" t="str" cm="1">
        <f t="array" ref="O2193">_xlfn.IFS(Table1[[#This Row],[lead_time_days]]&lt;=7,"0-7 days",N2193&lt;=14,"8-14 days",N2193&lt;=30,"15-30 days",N2193&lt;=60,"31-60 days",TRUE,"61+ days")</f>
        <v>0-7 days</v>
      </c>
      <c r="P2193" t="s">
        <v>35</v>
      </c>
      <c r="Q2193" t="s">
        <v>32</v>
      </c>
      <c r="R2193">
        <v>0</v>
      </c>
      <c r="S2193" t="str">
        <f>IF(Table1[prior_dna_count]&gt;=1,"Has prior DNA history","No prior DNA history")</f>
        <v>No prior DNA history</v>
      </c>
      <c r="T2193" t="s">
        <v>22</v>
      </c>
      <c r="U2193" t="str">
        <f t="shared" si="34"/>
        <v>1</v>
      </c>
      <c r="V2193" t="str">
        <f>IF(Table1[appointment_status]="Attended","1","0")</f>
        <v>1</v>
      </c>
      <c r="W2193" t="str">
        <f>IF(Table1[appointment_status]="Cancelled","1","0")</f>
        <v>0</v>
      </c>
    </row>
    <row r="2194" spans="1:23">
      <c r="A2194" t="s">
        <v>3417</v>
      </c>
      <c r="B2194" t="s">
        <v>1339</v>
      </c>
      <c r="C2194">
        <v>49</v>
      </c>
      <c r="D2194" t="str" cm="1">
        <f t="array" ref="D2194">_xlfn.IFS(Table1[[#This Row],[age]]&lt;=17,"0-17",C2194&lt;=29,"18-29",C2194&lt;=44,"30-44",C2194&lt;=59,"45-59",C2194&lt;=74,"60-74",TRUE,"75+")</f>
        <v>45-59</v>
      </c>
      <c r="E2194" t="s">
        <v>29</v>
      </c>
      <c r="F2194">
        <v>8</v>
      </c>
      <c r="G2194" t="str" cm="1">
        <f t="array" ref="G2194">_xlfn.IFS(_xlfn.SINGLE(Table1[imd_decile])&lt;=3,"Most Deprived",F2194&lt;=7,"Moderately Deprived",F2194&lt;=10,"Least Deprived")</f>
        <v>Least Deprived</v>
      </c>
      <c r="H2194">
        <v>19</v>
      </c>
      <c r="I2194" t="s">
        <v>25</v>
      </c>
      <c r="J2194" t="s">
        <v>19</v>
      </c>
      <c r="K2194" s="1">
        <v>45948</v>
      </c>
      <c r="L2194" s="1">
        <v>45957</v>
      </c>
      <c r="M2194" s="1" t="str">
        <f>TEXT(Table1[[#This Row],[appointment_date]],"MM/YYYY")</f>
        <v>10/2025</v>
      </c>
      <c r="N2194">
        <v>9</v>
      </c>
      <c r="O2194" t="str" cm="1">
        <f t="array" ref="O2194">_xlfn.IFS(Table1[[#This Row],[lead_time_days]]&lt;=7,"0-7 days",N2194&lt;=14,"8-14 days",N2194&lt;=30,"15-30 days",N2194&lt;=60,"31-60 days",TRUE,"61+ days")</f>
        <v>8-14 days</v>
      </c>
      <c r="P2194" t="s">
        <v>35</v>
      </c>
      <c r="Q2194" t="s">
        <v>32</v>
      </c>
      <c r="R2194">
        <v>1</v>
      </c>
      <c r="S2194" t="str">
        <f>IF(Table1[prior_dna_count]&gt;=1,"Has prior DNA history","No prior DNA history")</f>
        <v>Has prior DNA history</v>
      </c>
      <c r="T2194" t="s">
        <v>39</v>
      </c>
      <c r="U2194" t="str">
        <f t="shared" si="34"/>
        <v>1</v>
      </c>
      <c r="V2194" t="str">
        <f>IF(Table1[appointment_status]="Attended","1","0")</f>
        <v>0</v>
      </c>
      <c r="W2194" t="str">
        <f>IF(Table1[appointment_status]="Cancelled","1","0")</f>
        <v>0</v>
      </c>
    </row>
    <row r="2195" spans="1:23">
      <c r="A2195" t="s">
        <v>3418</v>
      </c>
      <c r="B2195" t="s">
        <v>3419</v>
      </c>
      <c r="C2195">
        <v>59</v>
      </c>
      <c r="D2195" t="str" cm="1">
        <f t="array" ref="D2195">_xlfn.IFS(Table1[[#This Row],[age]]&lt;=17,"0-17",C2195&lt;=29,"18-29",C2195&lt;=44,"30-44",C2195&lt;=59,"45-59",C2195&lt;=74,"60-74",TRUE,"75+")</f>
        <v>45-59</v>
      </c>
      <c r="E2195" t="s">
        <v>17</v>
      </c>
      <c r="F2195">
        <v>8</v>
      </c>
      <c r="G2195" t="str" cm="1">
        <f t="array" ref="G2195">_xlfn.IFS(_xlfn.SINGLE(Table1[imd_decile])&lt;=3,"Most Deprived",F2195&lt;=7,"Moderately Deprived",F2195&lt;=10,"Least Deprived")</f>
        <v>Least Deprived</v>
      </c>
      <c r="H2195">
        <v>8.4</v>
      </c>
      <c r="I2195" t="s">
        <v>38</v>
      </c>
      <c r="J2195" t="s">
        <v>26</v>
      </c>
      <c r="K2195" s="1">
        <v>45933</v>
      </c>
      <c r="L2195" s="1">
        <v>45957</v>
      </c>
      <c r="M2195" s="1" t="str">
        <f>TEXT(Table1[[#This Row],[appointment_date]],"MM/YYYY")</f>
        <v>10/2025</v>
      </c>
      <c r="N2195">
        <v>24</v>
      </c>
      <c r="O2195" t="str" cm="1">
        <f t="array" ref="O2195">_xlfn.IFS(Table1[[#This Row],[lead_time_days]]&lt;=7,"0-7 days",N2195&lt;=14,"8-14 days",N2195&lt;=30,"15-30 days",N2195&lt;=60,"31-60 days",TRUE,"61+ days")</f>
        <v>15-30 days</v>
      </c>
      <c r="P2195" t="s">
        <v>35</v>
      </c>
      <c r="Q2195" t="s">
        <v>21</v>
      </c>
      <c r="R2195">
        <v>0</v>
      </c>
      <c r="S2195" t="str">
        <f>IF(Table1[prior_dna_count]&gt;=1,"Has prior DNA history","No prior DNA history")</f>
        <v>No prior DNA history</v>
      </c>
      <c r="T2195" t="s">
        <v>22</v>
      </c>
      <c r="U2195" t="str">
        <f t="shared" si="34"/>
        <v>0</v>
      </c>
      <c r="V2195" t="str">
        <f>IF(Table1[appointment_status]="Attended","1","0")</f>
        <v>1</v>
      </c>
      <c r="W2195" t="str">
        <f>IF(Table1[appointment_status]="Cancelled","1","0")</f>
        <v>0</v>
      </c>
    </row>
    <row r="2196" spans="1:23">
      <c r="A2196" t="s">
        <v>3420</v>
      </c>
      <c r="B2196" t="s">
        <v>2527</v>
      </c>
      <c r="C2196">
        <v>29</v>
      </c>
      <c r="D2196" t="str" cm="1">
        <f t="array" ref="D2196">_xlfn.IFS(Table1[[#This Row],[age]]&lt;=17,"0-17",C2196&lt;=29,"18-29",C2196&lt;=44,"30-44",C2196&lt;=59,"45-59",C2196&lt;=74,"60-74",TRUE,"75+")</f>
        <v>18-29</v>
      </c>
      <c r="E2196" t="s">
        <v>29</v>
      </c>
      <c r="F2196">
        <v>9</v>
      </c>
      <c r="G2196" t="str" cm="1">
        <f t="array" ref="G2196">_xlfn.IFS(_xlfn.SINGLE(Table1[imd_decile])&lt;=3,"Most Deprived",F2196&lt;=7,"Moderately Deprived",F2196&lt;=10,"Least Deprived")</f>
        <v>Least Deprived</v>
      </c>
      <c r="H2196">
        <v>7.6</v>
      </c>
      <c r="I2196" t="s">
        <v>49</v>
      </c>
      <c r="J2196" t="s">
        <v>19</v>
      </c>
      <c r="K2196" s="1">
        <v>45926</v>
      </c>
      <c r="L2196" s="1">
        <v>45957</v>
      </c>
      <c r="M2196" s="1" t="str">
        <f>TEXT(Table1[[#This Row],[appointment_date]],"MM/YYYY")</f>
        <v>10/2025</v>
      </c>
      <c r="N2196">
        <v>31</v>
      </c>
      <c r="O2196" t="str" cm="1">
        <f t="array" ref="O2196">_xlfn.IFS(Table1[[#This Row],[lead_time_days]]&lt;=7,"0-7 days",N2196&lt;=14,"8-14 days",N2196&lt;=30,"15-30 days",N2196&lt;=60,"31-60 days",TRUE,"61+ days")</f>
        <v>31-60 days</v>
      </c>
      <c r="P2196" t="s">
        <v>35</v>
      </c>
      <c r="Q2196" t="s">
        <v>32</v>
      </c>
      <c r="R2196">
        <v>0</v>
      </c>
      <c r="S2196" t="str">
        <f>IF(Table1[prior_dna_count]&gt;=1,"Has prior DNA history","No prior DNA history")</f>
        <v>No prior DNA history</v>
      </c>
      <c r="T2196" t="s">
        <v>22</v>
      </c>
      <c r="U2196" t="str">
        <f t="shared" si="34"/>
        <v>1</v>
      </c>
      <c r="V2196" t="str">
        <f>IF(Table1[appointment_status]="Attended","1","0")</f>
        <v>1</v>
      </c>
      <c r="W2196" t="str">
        <f>IF(Table1[appointment_status]="Cancelled","1","0")</f>
        <v>0</v>
      </c>
    </row>
    <row r="2197" spans="1:23">
      <c r="A2197" t="s">
        <v>3421</v>
      </c>
      <c r="B2197" t="s">
        <v>2978</v>
      </c>
      <c r="C2197">
        <v>52</v>
      </c>
      <c r="D2197" t="str" cm="1">
        <f t="array" ref="D2197">_xlfn.IFS(Table1[[#This Row],[age]]&lt;=17,"0-17",C2197&lt;=29,"18-29",C2197&lt;=44,"30-44",C2197&lt;=59,"45-59",C2197&lt;=74,"60-74",TRUE,"75+")</f>
        <v>45-59</v>
      </c>
      <c r="E2197" t="s">
        <v>29</v>
      </c>
      <c r="F2197">
        <v>5</v>
      </c>
      <c r="G2197" t="str" cm="1">
        <f t="array" ref="G2197">_xlfn.IFS(_xlfn.SINGLE(Table1[imd_decile])&lt;=3,"Most Deprived",F2197&lt;=7,"Moderately Deprived",F2197&lt;=10,"Least Deprived")</f>
        <v>Moderately Deprived</v>
      </c>
      <c r="H2197">
        <v>3.9</v>
      </c>
      <c r="I2197" t="s">
        <v>45</v>
      </c>
      <c r="J2197" t="s">
        <v>26</v>
      </c>
      <c r="K2197" s="1">
        <v>45943</v>
      </c>
      <c r="L2197" s="1">
        <v>45957</v>
      </c>
      <c r="M2197" s="1" t="str">
        <f>TEXT(Table1[[#This Row],[appointment_date]],"MM/YYYY")</f>
        <v>10/2025</v>
      </c>
      <c r="N2197">
        <v>14</v>
      </c>
      <c r="O2197" t="str" cm="1">
        <f t="array" ref="O2197">_xlfn.IFS(Table1[[#This Row],[lead_time_days]]&lt;=7,"0-7 days",N2197&lt;=14,"8-14 days",N2197&lt;=30,"15-30 days",N2197&lt;=60,"31-60 days",TRUE,"61+ days")</f>
        <v>8-14 days</v>
      </c>
      <c r="P2197" t="s">
        <v>35</v>
      </c>
      <c r="Q2197" t="s">
        <v>21</v>
      </c>
      <c r="R2197">
        <v>0</v>
      </c>
      <c r="S2197" t="str">
        <f>IF(Table1[prior_dna_count]&gt;=1,"Has prior DNA history","No prior DNA history")</f>
        <v>No prior DNA history</v>
      </c>
      <c r="T2197" t="s">
        <v>22</v>
      </c>
      <c r="U2197" t="str">
        <f t="shared" si="34"/>
        <v>1</v>
      </c>
      <c r="V2197" t="str">
        <f>IF(Table1[appointment_status]="Attended","1","0")</f>
        <v>1</v>
      </c>
      <c r="W2197" t="str">
        <f>IF(Table1[appointment_status]="Cancelled","1","0")</f>
        <v>0</v>
      </c>
    </row>
    <row r="2198" spans="1:23">
      <c r="A2198" t="s">
        <v>3422</v>
      </c>
      <c r="B2198" t="s">
        <v>549</v>
      </c>
      <c r="C2198">
        <v>50</v>
      </c>
      <c r="D2198" t="str" cm="1">
        <f t="array" ref="D2198">_xlfn.IFS(Table1[[#This Row],[age]]&lt;=17,"0-17",C2198&lt;=29,"18-29",C2198&lt;=44,"30-44",C2198&lt;=59,"45-59",C2198&lt;=74,"60-74",TRUE,"75+")</f>
        <v>45-59</v>
      </c>
      <c r="E2198" t="s">
        <v>29</v>
      </c>
      <c r="F2198">
        <v>8</v>
      </c>
      <c r="G2198" t="str" cm="1">
        <f t="array" ref="G2198">_xlfn.IFS(_xlfn.SINGLE(Table1[imd_decile])&lt;=3,"Most Deprived",F2198&lt;=7,"Moderately Deprived",F2198&lt;=10,"Least Deprived")</f>
        <v>Least Deprived</v>
      </c>
      <c r="H2198">
        <v>6.1</v>
      </c>
      <c r="I2198" t="s">
        <v>49</v>
      </c>
      <c r="J2198" t="s">
        <v>26</v>
      </c>
      <c r="K2198" s="1">
        <v>45927</v>
      </c>
      <c r="L2198" s="1">
        <v>45957</v>
      </c>
      <c r="M2198" s="1" t="str">
        <f>TEXT(Table1[[#This Row],[appointment_date]],"MM/YYYY")</f>
        <v>10/2025</v>
      </c>
      <c r="N2198">
        <v>30</v>
      </c>
      <c r="O2198" t="str" cm="1">
        <f t="array" ref="O2198">_xlfn.IFS(Table1[[#This Row],[lead_time_days]]&lt;=7,"0-7 days",N2198&lt;=14,"8-14 days",N2198&lt;=30,"15-30 days",N2198&lt;=60,"31-60 days",TRUE,"61+ days")</f>
        <v>15-30 days</v>
      </c>
      <c r="P2198" t="s">
        <v>35</v>
      </c>
      <c r="Q2198" t="s">
        <v>21</v>
      </c>
      <c r="R2198">
        <v>0</v>
      </c>
      <c r="S2198" t="str">
        <f>IF(Table1[prior_dna_count]&gt;=1,"Has prior DNA history","No prior DNA history")</f>
        <v>No prior DNA history</v>
      </c>
      <c r="T2198" t="s">
        <v>22</v>
      </c>
      <c r="U2198" t="str">
        <f t="shared" si="34"/>
        <v>1</v>
      </c>
      <c r="V2198" t="str">
        <f>IF(Table1[appointment_status]="Attended","1","0")</f>
        <v>1</v>
      </c>
      <c r="W2198" t="str">
        <f>IF(Table1[appointment_status]="Cancelled","1","0")</f>
        <v>0</v>
      </c>
    </row>
    <row r="2199" spans="1:23">
      <c r="A2199" t="s">
        <v>3423</v>
      </c>
      <c r="B2199" t="s">
        <v>2142</v>
      </c>
      <c r="C2199">
        <v>77</v>
      </c>
      <c r="D2199" t="str" cm="1">
        <f t="array" ref="D2199">_xlfn.IFS(Table1[[#This Row],[age]]&lt;=17,"0-17",C2199&lt;=29,"18-29",C2199&lt;=44,"30-44",C2199&lt;=59,"45-59",C2199&lt;=74,"60-74",TRUE,"75+")</f>
        <v>75+</v>
      </c>
      <c r="E2199" t="s">
        <v>17</v>
      </c>
      <c r="F2199">
        <v>1</v>
      </c>
      <c r="G2199" t="str" cm="1">
        <f t="array" ref="G2199">_xlfn.IFS(_xlfn.SINGLE(Table1[imd_decile])&lt;=3,"Most Deprived",F2199&lt;=7,"Moderately Deprived",F2199&lt;=10,"Least Deprived")</f>
        <v>Most Deprived</v>
      </c>
      <c r="H2199">
        <v>1.4</v>
      </c>
      <c r="I2199" t="s">
        <v>25</v>
      </c>
      <c r="J2199" t="s">
        <v>19</v>
      </c>
      <c r="K2199" s="1">
        <v>45945</v>
      </c>
      <c r="L2199" s="1">
        <v>45957</v>
      </c>
      <c r="M2199" s="1" t="str">
        <f>TEXT(Table1[[#This Row],[appointment_date]],"MM/YYYY")</f>
        <v>10/2025</v>
      </c>
      <c r="N2199">
        <v>12</v>
      </c>
      <c r="O2199" t="str" cm="1">
        <f t="array" ref="O2199">_xlfn.IFS(Table1[[#This Row],[lead_time_days]]&lt;=7,"0-7 days",N2199&lt;=14,"8-14 days",N2199&lt;=30,"15-30 days",N2199&lt;=60,"31-60 days",TRUE,"61+ days")</f>
        <v>8-14 days</v>
      </c>
      <c r="P2199" t="s">
        <v>35</v>
      </c>
      <c r="Q2199" t="s">
        <v>32</v>
      </c>
      <c r="R2199">
        <v>1</v>
      </c>
      <c r="S2199" t="str">
        <f>IF(Table1[prior_dna_count]&gt;=1,"Has prior DNA history","No prior DNA history")</f>
        <v>Has prior DNA history</v>
      </c>
      <c r="T2199" t="s">
        <v>22</v>
      </c>
      <c r="U2199" t="str">
        <f t="shared" si="34"/>
        <v>1</v>
      </c>
      <c r="V2199" t="str">
        <f>IF(Table1[appointment_status]="Attended","1","0")</f>
        <v>1</v>
      </c>
      <c r="W2199" t="str">
        <f>IF(Table1[appointment_status]="Cancelled","1","0")</f>
        <v>0</v>
      </c>
    </row>
    <row r="2200" spans="1:23">
      <c r="A2200" t="s">
        <v>3424</v>
      </c>
      <c r="B2200" t="s">
        <v>3425</v>
      </c>
      <c r="C2200">
        <v>33</v>
      </c>
      <c r="D2200" t="str" cm="1">
        <f t="array" ref="D2200">_xlfn.IFS(Table1[[#This Row],[age]]&lt;=17,"0-17",C2200&lt;=29,"18-29",C2200&lt;=44,"30-44",C2200&lt;=59,"45-59",C2200&lt;=74,"60-74",TRUE,"75+")</f>
        <v>30-44</v>
      </c>
      <c r="E2200" t="s">
        <v>29</v>
      </c>
      <c r="F2200">
        <v>6</v>
      </c>
      <c r="G2200" t="str" cm="1">
        <f t="array" ref="G2200">_xlfn.IFS(_xlfn.SINGLE(Table1[imd_decile])&lt;=3,"Most Deprived",F2200&lt;=7,"Moderately Deprived",F2200&lt;=10,"Least Deprived")</f>
        <v>Moderately Deprived</v>
      </c>
      <c r="H2200">
        <v>2.8</v>
      </c>
      <c r="I2200" t="s">
        <v>42</v>
      </c>
      <c r="J2200" t="s">
        <v>19</v>
      </c>
      <c r="K2200" s="1">
        <v>45925</v>
      </c>
      <c r="L2200" s="1">
        <v>45957</v>
      </c>
      <c r="M2200" s="1" t="str">
        <f>TEXT(Table1[[#This Row],[appointment_date]],"MM/YYYY")</f>
        <v>10/2025</v>
      </c>
      <c r="N2200">
        <v>32</v>
      </c>
      <c r="O2200" t="str" cm="1">
        <f t="array" ref="O2200">_xlfn.IFS(Table1[[#This Row],[lead_time_days]]&lt;=7,"0-7 days",N2200&lt;=14,"8-14 days",N2200&lt;=30,"15-30 days",N2200&lt;=60,"31-60 days",TRUE,"61+ days")</f>
        <v>31-60 days</v>
      </c>
      <c r="P2200" t="s">
        <v>35</v>
      </c>
      <c r="Q2200" t="s">
        <v>21</v>
      </c>
      <c r="R2200">
        <v>0</v>
      </c>
      <c r="S2200" t="str">
        <f>IF(Table1[prior_dna_count]&gt;=1,"Has prior DNA history","No prior DNA history")</f>
        <v>No prior DNA history</v>
      </c>
      <c r="T2200" t="s">
        <v>22</v>
      </c>
      <c r="U2200" t="str">
        <f t="shared" si="34"/>
        <v>1</v>
      </c>
      <c r="V2200" t="str">
        <f>IF(Table1[appointment_status]="Attended","1","0")</f>
        <v>1</v>
      </c>
      <c r="W2200" t="str">
        <f>IF(Table1[appointment_status]="Cancelled","1","0")</f>
        <v>0</v>
      </c>
    </row>
    <row r="2201" spans="1:23">
      <c r="A2201" t="s">
        <v>3426</v>
      </c>
      <c r="B2201" t="s">
        <v>848</v>
      </c>
      <c r="C2201">
        <v>31</v>
      </c>
      <c r="D2201" t="str" cm="1">
        <f t="array" ref="D2201">_xlfn.IFS(Table1[[#This Row],[age]]&lt;=17,"0-17",C2201&lt;=29,"18-29",C2201&lt;=44,"30-44",C2201&lt;=59,"45-59",C2201&lt;=74,"60-74",TRUE,"75+")</f>
        <v>30-44</v>
      </c>
      <c r="E2201" t="s">
        <v>29</v>
      </c>
      <c r="F2201">
        <v>6</v>
      </c>
      <c r="G2201" t="str" cm="1">
        <f t="array" ref="G2201">_xlfn.IFS(_xlfn.SINGLE(Table1[imd_decile])&lt;=3,"Most Deprived",F2201&lt;=7,"Moderately Deprived",F2201&lt;=10,"Least Deprived")</f>
        <v>Moderately Deprived</v>
      </c>
      <c r="H2201">
        <v>4.0999999999999996</v>
      </c>
      <c r="I2201" t="s">
        <v>30</v>
      </c>
      <c r="J2201" t="s">
        <v>26</v>
      </c>
      <c r="K2201" s="1">
        <v>45909</v>
      </c>
      <c r="L2201" s="1">
        <v>45958</v>
      </c>
      <c r="M2201" s="1" t="str">
        <f>TEXT(Table1[[#This Row],[appointment_date]],"MM/YYYY")</f>
        <v>10/2025</v>
      </c>
      <c r="N2201">
        <v>49</v>
      </c>
      <c r="O2201" t="str" cm="1">
        <f t="array" ref="O2201">_xlfn.IFS(Table1[[#This Row],[lead_time_days]]&lt;=7,"0-7 days",N2201&lt;=14,"8-14 days",N2201&lt;=30,"15-30 days",N2201&lt;=60,"31-60 days",TRUE,"61+ days")</f>
        <v>31-60 days</v>
      </c>
      <c r="P2201" t="s">
        <v>71</v>
      </c>
      <c r="Q2201" t="s">
        <v>21</v>
      </c>
      <c r="R2201">
        <v>0</v>
      </c>
      <c r="S2201" t="str">
        <f>IF(Table1[prior_dna_count]&gt;=1,"Has prior DNA history","No prior DNA history")</f>
        <v>No prior DNA history</v>
      </c>
      <c r="T2201" t="s">
        <v>22</v>
      </c>
      <c r="U2201" t="str">
        <f t="shared" si="34"/>
        <v>1</v>
      </c>
      <c r="V2201" t="str">
        <f>IF(Table1[appointment_status]="Attended","1","0")</f>
        <v>1</v>
      </c>
      <c r="W2201" t="str">
        <f>IF(Table1[appointment_status]="Cancelled","1","0")</f>
        <v>0</v>
      </c>
    </row>
    <row r="2202" spans="1:23">
      <c r="A2202" t="s">
        <v>3427</v>
      </c>
      <c r="B2202" t="s">
        <v>3428</v>
      </c>
      <c r="C2202">
        <v>30</v>
      </c>
      <c r="D2202" t="str" cm="1">
        <f t="array" ref="D2202">_xlfn.IFS(Table1[[#This Row],[age]]&lt;=17,"0-17",C2202&lt;=29,"18-29",C2202&lt;=44,"30-44",C2202&lt;=59,"45-59",C2202&lt;=74,"60-74",TRUE,"75+")</f>
        <v>30-44</v>
      </c>
      <c r="E2202" t="s">
        <v>17</v>
      </c>
      <c r="F2202">
        <v>3</v>
      </c>
      <c r="G2202" t="str" cm="1">
        <f t="array" ref="G2202">_xlfn.IFS(_xlfn.SINGLE(Table1[imd_decile])&lt;=3,"Most Deprived",F2202&lt;=7,"Moderately Deprived",F2202&lt;=10,"Least Deprived")</f>
        <v>Most Deprived</v>
      </c>
      <c r="H2202">
        <v>7.3</v>
      </c>
      <c r="I2202" t="s">
        <v>49</v>
      </c>
      <c r="J2202" t="s">
        <v>19</v>
      </c>
      <c r="K2202" s="1">
        <v>45931</v>
      </c>
      <c r="L2202" s="1">
        <v>45958</v>
      </c>
      <c r="M2202" s="1" t="str">
        <f>TEXT(Table1[[#This Row],[appointment_date]],"MM/YYYY")</f>
        <v>10/2025</v>
      </c>
      <c r="N2202">
        <v>27</v>
      </c>
      <c r="O2202" t="str" cm="1">
        <f t="array" ref="O2202">_xlfn.IFS(Table1[[#This Row],[lead_time_days]]&lt;=7,"0-7 days",N2202&lt;=14,"8-14 days",N2202&lt;=30,"15-30 days",N2202&lt;=60,"31-60 days",TRUE,"61+ days")</f>
        <v>15-30 days</v>
      </c>
      <c r="P2202" t="s">
        <v>71</v>
      </c>
      <c r="Q2202" t="s">
        <v>32</v>
      </c>
      <c r="R2202">
        <v>0</v>
      </c>
      <c r="S2202" t="str">
        <f>IF(Table1[prior_dna_count]&gt;=1,"Has prior DNA history","No prior DNA history")</f>
        <v>No prior DNA history</v>
      </c>
      <c r="T2202" t="s">
        <v>22</v>
      </c>
      <c r="U2202" t="str">
        <f t="shared" si="34"/>
        <v>1</v>
      </c>
      <c r="V2202" t="str">
        <f>IF(Table1[appointment_status]="Attended","1","0")</f>
        <v>1</v>
      </c>
      <c r="W2202" t="str">
        <f>IF(Table1[appointment_status]="Cancelled","1","0")</f>
        <v>0</v>
      </c>
    </row>
    <row r="2203" spans="1:23">
      <c r="A2203" t="s">
        <v>3429</v>
      </c>
      <c r="B2203" t="s">
        <v>1677</v>
      </c>
      <c r="C2203">
        <v>23</v>
      </c>
      <c r="D2203" t="str" cm="1">
        <f t="array" ref="D2203">_xlfn.IFS(Table1[[#This Row],[age]]&lt;=17,"0-17",C2203&lt;=29,"18-29",C2203&lt;=44,"30-44",C2203&lt;=59,"45-59",C2203&lt;=74,"60-74",TRUE,"75+")</f>
        <v>18-29</v>
      </c>
      <c r="E2203" t="s">
        <v>29</v>
      </c>
      <c r="F2203">
        <v>7</v>
      </c>
      <c r="G2203" t="str" cm="1">
        <f t="array" ref="G2203">_xlfn.IFS(_xlfn.SINGLE(Table1[imd_decile])&lt;=3,"Most Deprived",F2203&lt;=7,"Moderately Deprived",F2203&lt;=10,"Least Deprived")</f>
        <v>Moderately Deprived</v>
      </c>
      <c r="H2203">
        <v>2.5</v>
      </c>
      <c r="I2203" t="s">
        <v>42</v>
      </c>
      <c r="J2203" t="s">
        <v>26</v>
      </c>
      <c r="K2203" s="1">
        <v>45942</v>
      </c>
      <c r="L2203" s="1">
        <v>45958</v>
      </c>
      <c r="M2203" s="1" t="str">
        <f>TEXT(Table1[[#This Row],[appointment_date]],"MM/YYYY")</f>
        <v>10/2025</v>
      </c>
      <c r="N2203">
        <v>16</v>
      </c>
      <c r="O2203" t="str" cm="1">
        <f t="array" ref="O2203">_xlfn.IFS(Table1[[#This Row],[lead_time_days]]&lt;=7,"0-7 days",N2203&lt;=14,"8-14 days",N2203&lt;=30,"15-30 days",N2203&lt;=60,"31-60 days",TRUE,"61+ days")</f>
        <v>15-30 days</v>
      </c>
      <c r="P2203" t="s">
        <v>71</v>
      </c>
      <c r="Q2203" t="s">
        <v>21</v>
      </c>
      <c r="R2203">
        <v>0</v>
      </c>
      <c r="S2203" t="str">
        <f>IF(Table1[prior_dna_count]&gt;=1,"Has prior DNA history","No prior DNA history")</f>
        <v>No prior DNA history</v>
      </c>
      <c r="T2203" t="s">
        <v>46</v>
      </c>
      <c r="U2203" t="str">
        <f t="shared" si="34"/>
        <v>1</v>
      </c>
      <c r="V2203" t="str">
        <f>IF(Table1[appointment_status]="Attended","1","0")</f>
        <v>0</v>
      </c>
      <c r="W2203" t="str">
        <f>IF(Table1[appointment_status]="Cancelled","1","0")</f>
        <v>1</v>
      </c>
    </row>
    <row r="2204" spans="1:23">
      <c r="A2204" t="s">
        <v>3430</v>
      </c>
      <c r="B2204" t="s">
        <v>1773</v>
      </c>
      <c r="C2204">
        <v>57</v>
      </c>
      <c r="D2204" t="str" cm="1">
        <f t="array" ref="D2204">_xlfn.IFS(Table1[[#This Row],[age]]&lt;=17,"0-17",C2204&lt;=29,"18-29",C2204&lt;=44,"30-44",C2204&lt;=59,"45-59",C2204&lt;=74,"60-74",TRUE,"75+")</f>
        <v>45-59</v>
      </c>
      <c r="E2204" t="s">
        <v>29</v>
      </c>
      <c r="F2204">
        <v>3</v>
      </c>
      <c r="G2204" t="str" cm="1">
        <f t="array" ref="G2204">_xlfn.IFS(_xlfn.SINGLE(Table1[imd_decile])&lt;=3,"Most Deprived",F2204&lt;=7,"Moderately Deprived",F2204&lt;=10,"Least Deprived")</f>
        <v>Most Deprived</v>
      </c>
      <c r="H2204">
        <v>7.9</v>
      </c>
      <c r="I2204" t="s">
        <v>25</v>
      </c>
      <c r="J2204" t="s">
        <v>19</v>
      </c>
      <c r="K2204" s="1">
        <v>45941</v>
      </c>
      <c r="L2204" s="1">
        <v>45958</v>
      </c>
      <c r="M2204" s="1" t="str">
        <f>TEXT(Table1[[#This Row],[appointment_date]],"MM/YYYY")</f>
        <v>10/2025</v>
      </c>
      <c r="N2204">
        <v>17</v>
      </c>
      <c r="O2204" t="str" cm="1">
        <f t="array" ref="O2204">_xlfn.IFS(Table1[[#This Row],[lead_time_days]]&lt;=7,"0-7 days",N2204&lt;=14,"8-14 days",N2204&lt;=30,"15-30 days",N2204&lt;=60,"31-60 days",TRUE,"61+ days")</f>
        <v>15-30 days</v>
      </c>
      <c r="P2204" t="s">
        <v>71</v>
      </c>
      <c r="Q2204" t="s">
        <v>21</v>
      </c>
      <c r="R2204">
        <v>0</v>
      </c>
      <c r="S2204" t="str">
        <f>IF(Table1[prior_dna_count]&gt;=1,"Has prior DNA history","No prior DNA history")</f>
        <v>No prior DNA history</v>
      </c>
      <c r="T2204" t="s">
        <v>39</v>
      </c>
      <c r="U2204" t="str">
        <f t="shared" si="34"/>
        <v>0</v>
      </c>
      <c r="V2204" t="str">
        <f>IF(Table1[appointment_status]="Attended","1","0")</f>
        <v>0</v>
      </c>
      <c r="W2204" t="str">
        <f>IF(Table1[appointment_status]="Cancelled","1","0")</f>
        <v>0</v>
      </c>
    </row>
    <row r="2205" spans="1:23">
      <c r="A2205" t="s">
        <v>3431</v>
      </c>
      <c r="B2205" t="s">
        <v>646</v>
      </c>
      <c r="C2205">
        <v>70</v>
      </c>
      <c r="D2205" t="str" cm="1">
        <f t="array" ref="D2205">_xlfn.IFS(Table1[[#This Row],[age]]&lt;=17,"0-17",C2205&lt;=29,"18-29",C2205&lt;=44,"30-44",C2205&lt;=59,"45-59",C2205&lt;=74,"60-74",TRUE,"75+")</f>
        <v>60-74</v>
      </c>
      <c r="E2205" t="s">
        <v>29</v>
      </c>
      <c r="F2205">
        <v>2</v>
      </c>
      <c r="G2205" t="str" cm="1">
        <f t="array" ref="G2205">_xlfn.IFS(_xlfn.SINGLE(Table1[imd_decile])&lt;=3,"Most Deprived",F2205&lt;=7,"Moderately Deprived",F2205&lt;=10,"Least Deprived")</f>
        <v>Most Deprived</v>
      </c>
      <c r="H2205">
        <v>1.3</v>
      </c>
      <c r="I2205" t="s">
        <v>91</v>
      </c>
      <c r="J2205" t="s">
        <v>19</v>
      </c>
      <c r="K2205" s="1">
        <v>45940</v>
      </c>
      <c r="L2205" s="1">
        <v>45958</v>
      </c>
      <c r="M2205" s="1" t="str">
        <f>TEXT(Table1[[#This Row],[appointment_date]],"MM/YYYY")</f>
        <v>10/2025</v>
      </c>
      <c r="N2205">
        <v>18</v>
      </c>
      <c r="O2205" t="str" cm="1">
        <f t="array" ref="O2205">_xlfn.IFS(Table1[[#This Row],[lead_time_days]]&lt;=7,"0-7 days",N2205&lt;=14,"8-14 days",N2205&lt;=30,"15-30 days",N2205&lt;=60,"31-60 days",TRUE,"61+ days")</f>
        <v>15-30 days</v>
      </c>
      <c r="P2205" t="s">
        <v>71</v>
      </c>
      <c r="Q2205" t="s">
        <v>21</v>
      </c>
      <c r="R2205">
        <v>0</v>
      </c>
      <c r="S2205" t="str">
        <f>IF(Table1[prior_dna_count]&gt;=1,"Has prior DNA history","No prior DNA history")</f>
        <v>No prior DNA history</v>
      </c>
      <c r="T2205" t="s">
        <v>22</v>
      </c>
      <c r="U2205" t="str">
        <f t="shared" si="34"/>
        <v>0</v>
      </c>
      <c r="V2205" t="str">
        <f>IF(Table1[appointment_status]="Attended","1","0")</f>
        <v>1</v>
      </c>
      <c r="W2205" t="str">
        <f>IF(Table1[appointment_status]="Cancelled","1","0")</f>
        <v>0</v>
      </c>
    </row>
    <row r="2206" spans="1:23">
      <c r="A2206" t="s">
        <v>3432</v>
      </c>
      <c r="B2206" t="s">
        <v>1977</v>
      </c>
      <c r="C2206">
        <v>72</v>
      </c>
      <c r="D2206" t="str" cm="1">
        <f t="array" ref="D2206">_xlfn.IFS(Table1[[#This Row],[age]]&lt;=17,"0-17",C2206&lt;=29,"18-29",C2206&lt;=44,"30-44",C2206&lt;=59,"45-59",C2206&lt;=74,"60-74",TRUE,"75+")</f>
        <v>60-74</v>
      </c>
      <c r="E2206" t="s">
        <v>29</v>
      </c>
      <c r="F2206">
        <v>1</v>
      </c>
      <c r="G2206" t="str" cm="1">
        <f t="array" ref="G2206">_xlfn.IFS(_xlfn.SINGLE(Table1[imd_decile])&lt;=3,"Most Deprived",F2206&lt;=7,"Moderately Deprived",F2206&lt;=10,"Least Deprived")</f>
        <v>Most Deprived</v>
      </c>
      <c r="H2206">
        <v>3.6</v>
      </c>
      <c r="I2206" t="s">
        <v>42</v>
      </c>
      <c r="J2206" t="s">
        <v>26</v>
      </c>
      <c r="K2206" s="1">
        <v>45955</v>
      </c>
      <c r="L2206" s="1">
        <v>45958</v>
      </c>
      <c r="M2206" s="1" t="str">
        <f>TEXT(Table1[[#This Row],[appointment_date]],"MM/YYYY")</f>
        <v>10/2025</v>
      </c>
      <c r="N2206">
        <v>3</v>
      </c>
      <c r="O2206" t="str" cm="1">
        <f t="array" ref="O2206">_xlfn.IFS(Table1[[#This Row],[lead_time_days]]&lt;=7,"0-7 days",N2206&lt;=14,"8-14 days",N2206&lt;=30,"15-30 days",N2206&lt;=60,"31-60 days",TRUE,"61+ days")</f>
        <v>0-7 days</v>
      </c>
      <c r="P2206" t="s">
        <v>71</v>
      </c>
      <c r="Q2206" t="s">
        <v>21</v>
      </c>
      <c r="R2206">
        <v>0</v>
      </c>
      <c r="S2206" t="str">
        <f>IF(Table1[prior_dna_count]&gt;=1,"Has prior DNA history","No prior DNA history")</f>
        <v>No prior DNA history</v>
      </c>
      <c r="T2206" t="s">
        <v>22</v>
      </c>
      <c r="U2206" t="str">
        <f t="shared" si="34"/>
        <v>1</v>
      </c>
      <c r="V2206" t="str">
        <f>IF(Table1[appointment_status]="Attended","1","0")</f>
        <v>1</v>
      </c>
      <c r="W2206" t="str">
        <f>IF(Table1[appointment_status]="Cancelled","1","0")</f>
        <v>0</v>
      </c>
    </row>
    <row r="2207" spans="1:23">
      <c r="A2207" t="s">
        <v>3433</v>
      </c>
      <c r="B2207" t="s">
        <v>1210</v>
      </c>
      <c r="C2207">
        <v>38</v>
      </c>
      <c r="D2207" t="str" cm="1">
        <f t="array" ref="D2207">_xlfn.IFS(Table1[[#This Row],[age]]&lt;=17,"0-17",C2207&lt;=29,"18-29",C2207&lt;=44,"30-44",C2207&lt;=59,"45-59",C2207&lt;=74,"60-74",TRUE,"75+")</f>
        <v>30-44</v>
      </c>
      <c r="E2207" t="s">
        <v>29</v>
      </c>
      <c r="F2207">
        <v>8</v>
      </c>
      <c r="G2207" t="str" cm="1">
        <f t="array" ref="G2207">_xlfn.IFS(_xlfn.SINGLE(Table1[imd_decile])&lt;=3,"Most Deprived",F2207&lt;=7,"Moderately Deprived",F2207&lt;=10,"Least Deprived")</f>
        <v>Least Deprived</v>
      </c>
      <c r="H2207">
        <v>17.899999999999999</v>
      </c>
      <c r="I2207" t="s">
        <v>18</v>
      </c>
      <c r="J2207" t="s">
        <v>19</v>
      </c>
      <c r="K2207" s="1">
        <v>45917</v>
      </c>
      <c r="L2207" s="1">
        <v>45958</v>
      </c>
      <c r="M2207" s="1" t="str">
        <f>TEXT(Table1[[#This Row],[appointment_date]],"MM/YYYY")</f>
        <v>10/2025</v>
      </c>
      <c r="N2207">
        <v>41</v>
      </c>
      <c r="O2207" t="str" cm="1">
        <f t="array" ref="O2207">_xlfn.IFS(Table1[[#This Row],[lead_time_days]]&lt;=7,"0-7 days",N2207&lt;=14,"8-14 days",N2207&lt;=30,"15-30 days",N2207&lt;=60,"31-60 days",TRUE,"61+ days")</f>
        <v>31-60 days</v>
      </c>
      <c r="P2207" t="s">
        <v>71</v>
      </c>
      <c r="Q2207" t="s">
        <v>32</v>
      </c>
      <c r="R2207">
        <v>0</v>
      </c>
      <c r="S2207" t="str">
        <f>IF(Table1[prior_dna_count]&gt;=1,"Has prior DNA history","No prior DNA history")</f>
        <v>No prior DNA history</v>
      </c>
      <c r="T2207" t="s">
        <v>22</v>
      </c>
      <c r="U2207" t="str">
        <f t="shared" si="34"/>
        <v>1</v>
      </c>
      <c r="V2207" t="str">
        <f>IF(Table1[appointment_status]="Attended","1","0")</f>
        <v>1</v>
      </c>
      <c r="W2207" t="str">
        <f>IF(Table1[appointment_status]="Cancelled","1","0")</f>
        <v>0</v>
      </c>
    </row>
    <row r="2208" spans="1:23">
      <c r="A2208" t="s">
        <v>3434</v>
      </c>
      <c r="B2208" t="s">
        <v>2892</v>
      </c>
      <c r="C2208">
        <v>51</v>
      </c>
      <c r="D2208" t="str" cm="1">
        <f t="array" ref="D2208">_xlfn.IFS(Table1[[#This Row],[age]]&lt;=17,"0-17",C2208&lt;=29,"18-29",C2208&lt;=44,"30-44",C2208&lt;=59,"45-59",C2208&lt;=74,"60-74",TRUE,"75+")</f>
        <v>45-59</v>
      </c>
      <c r="E2208" t="s">
        <v>17</v>
      </c>
      <c r="F2208">
        <v>4</v>
      </c>
      <c r="G2208" t="str" cm="1">
        <f t="array" ref="G2208">_xlfn.IFS(_xlfn.SINGLE(Table1[imd_decile])&lt;=3,"Most Deprived",F2208&lt;=7,"Moderately Deprived",F2208&lt;=10,"Least Deprived")</f>
        <v>Moderately Deprived</v>
      </c>
      <c r="H2208">
        <v>3.4</v>
      </c>
      <c r="I2208" t="s">
        <v>30</v>
      </c>
      <c r="J2208" t="s">
        <v>26</v>
      </c>
      <c r="K2208" s="1">
        <v>45954</v>
      </c>
      <c r="L2208" s="1">
        <v>45958</v>
      </c>
      <c r="M2208" s="1" t="str">
        <f>TEXT(Table1[[#This Row],[appointment_date]],"MM/YYYY")</f>
        <v>10/2025</v>
      </c>
      <c r="N2208">
        <v>4</v>
      </c>
      <c r="O2208" t="str" cm="1">
        <f t="array" ref="O2208">_xlfn.IFS(Table1[[#This Row],[lead_time_days]]&lt;=7,"0-7 days",N2208&lt;=14,"8-14 days",N2208&lt;=30,"15-30 days",N2208&lt;=60,"31-60 days",TRUE,"61+ days")</f>
        <v>0-7 days</v>
      </c>
      <c r="P2208" t="s">
        <v>71</v>
      </c>
      <c r="Q2208" t="s">
        <v>21</v>
      </c>
      <c r="R2208">
        <v>1</v>
      </c>
      <c r="S2208" t="str">
        <f>IF(Table1[prior_dna_count]&gt;=1,"Has prior DNA history","No prior DNA history")</f>
        <v>Has prior DNA history</v>
      </c>
      <c r="T2208" t="s">
        <v>46</v>
      </c>
      <c r="U2208" t="str">
        <f t="shared" si="34"/>
        <v>1</v>
      </c>
      <c r="V2208" t="str">
        <f>IF(Table1[appointment_status]="Attended","1","0")</f>
        <v>0</v>
      </c>
      <c r="W2208" t="str">
        <f>IF(Table1[appointment_status]="Cancelled","1","0")</f>
        <v>1</v>
      </c>
    </row>
    <row r="2209" spans="1:23">
      <c r="A2209" t="s">
        <v>3435</v>
      </c>
      <c r="B2209" t="s">
        <v>991</v>
      </c>
      <c r="C2209">
        <v>47</v>
      </c>
      <c r="D2209" t="str" cm="1">
        <f t="array" ref="D2209">_xlfn.IFS(Table1[[#This Row],[age]]&lt;=17,"0-17",C2209&lt;=29,"18-29",C2209&lt;=44,"30-44",C2209&lt;=59,"45-59",C2209&lt;=74,"60-74",TRUE,"75+")</f>
        <v>45-59</v>
      </c>
      <c r="E2209" t="s">
        <v>17</v>
      </c>
      <c r="F2209">
        <v>7</v>
      </c>
      <c r="G2209" t="str" cm="1">
        <f t="array" ref="G2209">_xlfn.IFS(_xlfn.SINGLE(Table1[imd_decile])&lt;=3,"Most Deprived",F2209&lt;=7,"Moderately Deprived",F2209&lt;=10,"Least Deprived")</f>
        <v>Moderately Deprived</v>
      </c>
      <c r="H2209">
        <v>5.0999999999999996</v>
      </c>
      <c r="I2209" t="s">
        <v>38</v>
      </c>
      <c r="J2209" t="s">
        <v>19</v>
      </c>
      <c r="K2209" s="1">
        <v>45915</v>
      </c>
      <c r="L2209" s="1">
        <v>45958</v>
      </c>
      <c r="M2209" s="1" t="str">
        <f>TEXT(Table1[[#This Row],[appointment_date]],"MM/YYYY")</f>
        <v>10/2025</v>
      </c>
      <c r="N2209">
        <v>43</v>
      </c>
      <c r="O2209" t="str" cm="1">
        <f t="array" ref="O2209">_xlfn.IFS(Table1[[#This Row],[lead_time_days]]&lt;=7,"0-7 days",N2209&lt;=14,"8-14 days",N2209&lt;=30,"15-30 days",N2209&lt;=60,"31-60 days",TRUE,"61+ days")</f>
        <v>31-60 days</v>
      </c>
      <c r="P2209" t="s">
        <v>71</v>
      </c>
      <c r="Q2209" t="s">
        <v>21</v>
      </c>
      <c r="R2209">
        <v>0</v>
      </c>
      <c r="S2209" t="str">
        <f>IF(Table1[prior_dna_count]&gt;=1,"Has prior DNA history","No prior DNA history")</f>
        <v>No prior DNA history</v>
      </c>
      <c r="T2209" t="s">
        <v>22</v>
      </c>
      <c r="U2209" t="str">
        <f t="shared" si="34"/>
        <v>0</v>
      </c>
      <c r="V2209" t="str">
        <f>IF(Table1[appointment_status]="Attended","1","0")</f>
        <v>1</v>
      </c>
      <c r="W2209" t="str">
        <f>IF(Table1[appointment_status]="Cancelled","1","0")</f>
        <v>0</v>
      </c>
    </row>
    <row r="2210" spans="1:23">
      <c r="A2210" t="s">
        <v>3436</v>
      </c>
      <c r="B2210" t="s">
        <v>549</v>
      </c>
      <c r="C2210">
        <v>50</v>
      </c>
      <c r="D2210" t="str" cm="1">
        <f t="array" ref="D2210">_xlfn.IFS(Table1[[#This Row],[age]]&lt;=17,"0-17",C2210&lt;=29,"18-29",C2210&lt;=44,"30-44",C2210&lt;=59,"45-59",C2210&lt;=74,"60-74",TRUE,"75+")</f>
        <v>45-59</v>
      </c>
      <c r="E2210" t="s">
        <v>29</v>
      </c>
      <c r="F2210">
        <v>8</v>
      </c>
      <c r="G2210" t="str" cm="1">
        <f t="array" ref="G2210">_xlfn.IFS(_xlfn.SINGLE(Table1[imd_decile])&lt;=3,"Most Deprived",F2210&lt;=7,"Moderately Deprived",F2210&lt;=10,"Least Deprived")</f>
        <v>Least Deprived</v>
      </c>
      <c r="H2210">
        <v>6.1</v>
      </c>
      <c r="I2210" t="s">
        <v>45</v>
      </c>
      <c r="J2210" t="s">
        <v>26</v>
      </c>
      <c r="K2210" s="1">
        <v>45952</v>
      </c>
      <c r="L2210" s="1">
        <v>45958</v>
      </c>
      <c r="M2210" s="1" t="str">
        <f>TEXT(Table1[[#This Row],[appointment_date]],"MM/YYYY")</f>
        <v>10/2025</v>
      </c>
      <c r="N2210">
        <v>6</v>
      </c>
      <c r="O2210" t="str" cm="1">
        <f t="array" ref="O2210">_xlfn.IFS(Table1[[#This Row],[lead_time_days]]&lt;=7,"0-7 days",N2210&lt;=14,"8-14 days",N2210&lt;=30,"15-30 days",N2210&lt;=60,"31-60 days",TRUE,"61+ days")</f>
        <v>0-7 days</v>
      </c>
      <c r="P2210" t="s">
        <v>71</v>
      </c>
      <c r="Q2210" t="s">
        <v>21</v>
      </c>
      <c r="R2210">
        <v>0</v>
      </c>
      <c r="S2210" t="str">
        <f>IF(Table1[prior_dna_count]&gt;=1,"Has prior DNA history","No prior DNA history")</f>
        <v>No prior DNA history</v>
      </c>
      <c r="T2210" t="s">
        <v>22</v>
      </c>
      <c r="U2210" t="str">
        <f t="shared" si="34"/>
        <v>1</v>
      </c>
      <c r="V2210" t="str">
        <f>IF(Table1[appointment_status]="Attended","1","0")</f>
        <v>1</v>
      </c>
      <c r="W2210" t="str">
        <f>IF(Table1[appointment_status]="Cancelled","1","0")</f>
        <v>0</v>
      </c>
    </row>
    <row r="2211" spans="1:23">
      <c r="A2211" t="s">
        <v>3437</v>
      </c>
      <c r="B2211" t="s">
        <v>3227</v>
      </c>
      <c r="C2211">
        <v>60</v>
      </c>
      <c r="D2211" t="str" cm="1">
        <f t="array" ref="D2211">_xlfn.IFS(Table1[[#This Row],[age]]&lt;=17,"0-17",C2211&lt;=29,"18-29",C2211&lt;=44,"30-44",C2211&lt;=59,"45-59",C2211&lt;=74,"60-74",TRUE,"75+")</f>
        <v>60-74</v>
      </c>
      <c r="E2211" t="s">
        <v>17</v>
      </c>
      <c r="F2211">
        <v>3</v>
      </c>
      <c r="G2211" t="str" cm="1">
        <f t="array" ref="G2211">_xlfn.IFS(_xlfn.SINGLE(Table1[imd_decile])&lt;=3,"Most Deprived",F2211&lt;=7,"Moderately Deprived",F2211&lt;=10,"Least Deprived")</f>
        <v>Most Deprived</v>
      </c>
      <c r="H2211">
        <v>1.3</v>
      </c>
      <c r="I2211" t="s">
        <v>25</v>
      </c>
      <c r="J2211" t="s">
        <v>19</v>
      </c>
      <c r="K2211" s="1">
        <v>45933</v>
      </c>
      <c r="L2211" s="1">
        <v>45958</v>
      </c>
      <c r="M2211" s="1" t="str">
        <f>TEXT(Table1[[#This Row],[appointment_date]],"MM/YYYY")</f>
        <v>10/2025</v>
      </c>
      <c r="N2211">
        <v>25</v>
      </c>
      <c r="O2211" t="str" cm="1">
        <f t="array" ref="O2211">_xlfn.IFS(Table1[[#This Row],[lead_time_days]]&lt;=7,"0-7 days",N2211&lt;=14,"8-14 days",N2211&lt;=30,"15-30 days",N2211&lt;=60,"31-60 days",TRUE,"61+ days")</f>
        <v>15-30 days</v>
      </c>
      <c r="P2211" t="s">
        <v>71</v>
      </c>
      <c r="Q2211" t="s">
        <v>21</v>
      </c>
      <c r="R2211">
        <v>0</v>
      </c>
      <c r="S2211" t="str">
        <f>IF(Table1[prior_dna_count]&gt;=1,"Has prior DNA history","No prior DNA history")</f>
        <v>No prior DNA history</v>
      </c>
      <c r="T2211" t="s">
        <v>22</v>
      </c>
      <c r="U2211" t="str">
        <f t="shared" si="34"/>
        <v>1</v>
      </c>
      <c r="V2211" t="str">
        <f>IF(Table1[appointment_status]="Attended","1","0")</f>
        <v>1</v>
      </c>
      <c r="W2211" t="str">
        <f>IF(Table1[appointment_status]="Cancelled","1","0")</f>
        <v>0</v>
      </c>
    </row>
    <row r="2212" spans="1:23">
      <c r="A2212" t="s">
        <v>3438</v>
      </c>
      <c r="B2212" t="s">
        <v>3439</v>
      </c>
      <c r="C2212">
        <v>53</v>
      </c>
      <c r="D2212" t="str" cm="1">
        <f t="array" ref="D2212">_xlfn.IFS(Table1[[#This Row],[age]]&lt;=17,"0-17",C2212&lt;=29,"18-29",C2212&lt;=44,"30-44",C2212&lt;=59,"45-59",C2212&lt;=74,"60-74",TRUE,"75+")</f>
        <v>45-59</v>
      </c>
      <c r="E2212" t="s">
        <v>29</v>
      </c>
      <c r="F2212">
        <v>9</v>
      </c>
      <c r="G2212" t="str" cm="1">
        <f t="array" ref="G2212">_xlfn.IFS(_xlfn.SINGLE(Table1[imd_decile])&lt;=3,"Most Deprived",F2212&lt;=7,"Moderately Deprived",F2212&lt;=10,"Least Deprived")</f>
        <v>Least Deprived</v>
      </c>
      <c r="H2212">
        <v>23.7</v>
      </c>
      <c r="I2212" t="s">
        <v>91</v>
      </c>
      <c r="J2212" t="s">
        <v>26</v>
      </c>
      <c r="K2212" s="1">
        <v>45914</v>
      </c>
      <c r="L2212" s="1">
        <v>45958</v>
      </c>
      <c r="M2212" s="1" t="str">
        <f>TEXT(Table1[[#This Row],[appointment_date]],"MM/YYYY")</f>
        <v>10/2025</v>
      </c>
      <c r="N2212">
        <v>44</v>
      </c>
      <c r="O2212" t="str" cm="1">
        <f t="array" ref="O2212">_xlfn.IFS(Table1[[#This Row],[lead_time_days]]&lt;=7,"0-7 days",N2212&lt;=14,"8-14 days",N2212&lt;=30,"15-30 days",N2212&lt;=60,"31-60 days",TRUE,"61+ days")</f>
        <v>31-60 days</v>
      </c>
      <c r="P2212" t="s">
        <v>71</v>
      </c>
      <c r="Q2212" t="s">
        <v>32</v>
      </c>
      <c r="R2212">
        <v>0</v>
      </c>
      <c r="S2212" t="str">
        <f>IF(Table1[prior_dna_count]&gt;=1,"Has prior DNA history","No prior DNA history")</f>
        <v>No prior DNA history</v>
      </c>
      <c r="T2212" t="s">
        <v>22</v>
      </c>
      <c r="U2212" t="str">
        <f t="shared" si="34"/>
        <v>1</v>
      </c>
      <c r="V2212" t="str">
        <f>IF(Table1[appointment_status]="Attended","1","0")</f>
        <v>1</v>
      </c>
      <c r="W2212" t="str">
        <f>IF(Table1[appointment_status]="Cancelled","1","0")</f>
        <v>0</v>
      </c>
    </row>
    <row r="2213" spans="1:23">
      <c r="A2213" t="s">
        <v>3440</v>
      </c>
      <c r="B2213" t="s">
        <v>1131</v>
      </c>
      <c r="C2213">
        <v>30</v>
      </c>
      <c r="D2213" t="str" cm="1">
        <f t="array" ref="D2213">_xlfn.IFS(Table1[[#This Row],[age]]&lt;=17,"0-17",C2213&lt;=29,"18-29",C2213&lt;=44,"30-44",C2213&lt;=59,"45-59",C2213&lt;=74,"60-74",TRUE,"75+")</f>
        <v>30-44</v>
      </c>
      <c r="E2213" t="s">
        <v>29</v>
      </c>
      <c r="F2213">
        <v>8</v>
      </c>
      <c r="G2213" t="str" cm="1">
        <f t="array" ref="G2213">_xlfn.IFS(_xlfn.SINGLE(Table1[imd_decile])&lt;=3,"Most Deprived",F2213&lt;=7,"Moderately Deprived",F2213&lt;=10,"Least Deprived")</f>
        <v>Least Deprived</v>
      </c>
      <c r="H2213">
        <v>24.7</v>
      </c>
      <c r="I2213" t="s">
        <v>155</v>
      </c>
      <c r="J2213" t="s">
        <v>26</v>
      </c>
      <c r="K2213" s="1">
        <v>45912</v>
      </c>
      <c r="L2213" s="1">
        <v>45958</v>
      </c>
      <c r="M2213" s="1" t="str">
        <f>TEXT(Table1[[#This Row],[appointment_date]],"MM/YYYY")</f>
        <v>10/2025</v>
      </c>
      <c r="N2213">
        <v>46</v>
      </c>
      <c r="O2213" t="str" cm="1">
        <f t="array" ref="O2213">_xlfn.IFS(Table1[[#This Row],[lead_time_days]]&lt;=7,"0-7 days",N2213&lt;=14,"8-14 days",N2213&lt;=30,"15-30 days",N2213&lt;=60,"31-60 days",TRUE,"61+ days")</f>
        <v>31-60 days</v>
      </c>
      <c r="P2213" t="s">
        <v>71</v>
      </c>
      <c r="Q2213" t="s">
        <v>21</v>
      </c>
      <c r="R2213">
        <v>0</v>
      </c>
      <c r="S2213" t="str">
        <f>IF(Table1[prior_dna_count]&gt;=1,"Has prior DNA history","No prior DNA history")</f>
        <v>No prior DNA history</v>
      </c>
      <c r="T2213" t="s">
        <v>39</v>
      </c>
      <c r="U2213" t="str">
        <f t="shared" si="34"/>
        <v>1</v>
      </c>
      <c r="V2213" t="str">
        <f>IF(Table1[appointment_status]="Attended","1","0")</f>
        <v>0</v>
      </c>
      <c r="W2213" t="str">
        <f>IF(Table1[appointment_status]="Cancelled","1","0")</f>
        <v>0</v>
      </c>
    </row>
    <row r="2214" spans="1:23">
      <c r="A2214" t="s">
        <v>3441</v>
      </c>
      <c r="B2214" t="s">
        <v>827</v>
      </c>
      <c r="C2214">
        <v>17</v>
      </c>
      <c r="D2214" t="str" cm="1">
        <f t="array" ref="D2214">_xlfn.IFS(Table1[[#This Row],[age]]&lt;=17,"0-17",C2214&lt;=29,"18-29",C2214&lt;=44,"30-44",C2214&lt;=59,"45-59",C2214&lt;=74,"60-74",TRUE,"75+")</f>
        <v>0-17</v>
      </c>
      <c r="E2214" t="s">
        <v>29</v>
      </c>
      <c r="F2214">
        <v>9</v>
      </c>
      <c r="G2214" t="str" cm="1">
        <f t="array" ref="G2214">_xlfn.IFS(_xlfn.SINGLE(Table1[imd_decile])&lt;=3,"Most Deprived",F2214&lt;=7,"Moderately Deprived",F2214&lt;=10,"Least Deprived")</f>
        <v>Least Deprived</v>
      </c>
      <c r="H2214">
        <v>2.8</v>
      </c>
      <c r="I2214" t="s">
        <v>45</v>
      </c>
      <c r="J2214" t="s">
        <v>19</v>
      </c>
      <c r="K2214" s="1">
        <v>45912</v>
      </c>
      <c r="L2214" s="1">
        <v>45958</v>
      </c>
      <c r="M2214" s="1" t="str">
        <f>TEXT(Table1[[#This Row],[appointment_date]],"MM/YYYY")</f>
        <v>10/2025</v>
      </c>
      <c r="N2214">
        <v>46</v>
      </c>
      <c r="O2214" t="str" cm="1">
        <f t="array" ref="O2214">_xlfn.IFS(Table1[[#This Row],[lead_time_days]]&lt;=7,"0-7 days",N2214&lt;=14,"8-14 days",N2214&lt;=30,"15-30 days",N2214&lt;=60,"31-60 days",TRUE,"61+ days")</f>
        <v>31-60 days</v>
      </c>
      <c r="P2214" t="s">
        <v>71</v>
      </c>
      <c r="Q2214" t="s">
        <v>21</v>
      </c>
      <c r="R2214">
        <v>0</v>
      </c>
      <c r="S2214" t="str">
        <f>IF(Table1[prior_dna_count]&gt;=1,"Has prior DNA history","No prior DNA history")</f>
        <v>No prior DNA history</v>
      </c>
      <c r="T2214" t="s">
        <v>22</v>
      </c>
      <c r="U2214" t="str">
        <f t="shared" si="34"/>
        <v>0</v>
      </c>
      <c r="V2214" t="str">
        <f>IF(Table1[appointment_status]="Attended","1","0")</f>
        <v>1</v>
      </c>
      <c r="W2214" t="str">
        <f>IF(Table1[appointment_status]="Cancelled","1","0")</f>
        <v>0</v>
      </c>
    </row>
    <row r="2215" spans="1:23">
      <c r="A2215" t="s">
        <v>3442</v>
      </c>
      <c r="B2215" t="s">
        <v>426</v>
      </c>
      <c r="C2215">
        <v>76</v>
      </c>
      <c r="D2215" t="str" cm="1">
        <f t="array" ref="D2215">_xlfn.IFS(Table1[[#This Row],[age]]&lt;=17,"0-17",C2215&lt;=29,"18-29",C2215&lt;=44,"30-44",C2215&lt;=59,"45-59",C2215&lt;=74,"60-74",TRUE,"75+")</f>
        <v>75+</v>
      </c>
      <c r="E2215" t="s">
        <v>17</v>
      </c>
      <c r="F2215">
        <v>3</v>
      </c>
      <c r="G2215" t="str" cm="1">
        <f t="array" ref="G2215">_xlfn.IFS(_xlfn.SINGLE(Table1[imd_decile])&lt;=3,"Most Deprived",F2215&lt;=7,"Moderately Deprived",F2215&lt;=10,"Least Deprived")</f>
        <v>Most Deprived</v>
      </c>
      <c r="H2215">
        <v>1.4</v>
      </c>
      <c r="I2215" t="s">
        <v>38</v>
      </c>
      <c r="J2215" t="s">
        <v>19</v>
      </c>
      <c r="K2215" s="1">
        <v>45907</v>
      </c>
      <c r="L2215" s="1">
        <v>45958</v>
      </c>
      <c r="M2215" s="1" t="str">
        <f>TEXT(Table1[[#This Row],[appointment_date]],"MM/YYYY")</f>
        <v>10/2025</v>
      </c>
      <c r="N2215">
        <v>51</v>
      </c>
      <c r="O2215" t="str" cm="1">
        <f t="array" ref="O2215">_xlfn.IFS(Table1[[#This Row],[lead_time_days]]&lt;=7,"0-7 days",N2215&lt;=14,"8-14 days",N2215&lt;=30,"15-30 days",N2215&lt;=60,"31-60 days",TRUE,"61+ days")</f>
        <v>31-60 days</v>
      </c>
      <c r="P2215" t="s">
        <v>71</v>
      </c>
      <c r="Q2215" t="s">
        <v>32</v>
      </c>
      <c r="R2215">
        <v>1</v>
      </c>
      <c r="S2215" t="str">
        <f>IF(Table1[prior_dna_count]&gt;=1,"Has prior DNA history","No prior DNA history")</f>
        <v>Has prior DNA history</v>
      </c>
      <c r="T2215" t="s">
        <v>22</v>
      </c>
      <c r="U2215" t="str">
        <f t="shared" si="34"/>
        <v>1</v>
      </c>
      <c r="V2215" t="str">
        <f>IF(Table1[appointment_status]="Attended","1","0")</f>
        <v>1</v>
      </c>
      <c r="W2215" t="str">
        <f>IF(Table1[appointment_status]="Cancelled","1","0")</f>
        <v>0</v>
      </c>
    </row>
    <row r="2216" spans="1:23">
      <c r="A2216" t="s">
        <v>3443</v>
      </c>
      <c r="B2216" t="s">
        <v>544</v>
      </c>
      <c r="C2216">
        <v>69</v>
      </c>
      <c r="D2216" t="str" cm="1">
        <f t="array" ref="D2216">_xlfn.IFS(Table1[[#This Row],[age]]&lt;=17,"0-17",C2216&lt;=29,"18-29",C2216&lt;=44,"30-44",C2216&lt;=59,"45-59",C2216&lt;=74,"60-74",TRUE,"75+")</f>
        <v>60-74</v>
      </c>
      <c r="E2216" t="s">
        <v>29</v>
      </c>
      <c r="F2216">
        <v>4</v>
      </c>
      <c r="G2216" t="str" cm="1">
        <f t="array" ref="G2216">_xlfn.IFS(_xlfn.SINGLE(Table1[imd_decile])&lt;=3,"Most Deprived",F2216&lt;=7,"Moderately Deprived",F2216&lt;=10,"Least Deprived")</f>
        <v>Moderately Deprived</v>
      </c>
      <c r="H2216">
        <v>17.899999999999999</v>
      </c>
      <c r="I2216" t="s">
        <v>49</v>
      </c>
      <c r="J2216" t="s">
        <v>26</v>
      </c>
      <c r="K2216" s="1">
        <v>45897</v>
      </c>
      <c r="L2216" s="1">
        <v>45959</v>
      </c>
      <c r="M2216" s="1" t="str">
        <f>TEXT(Table1[[#This Row],[appointment_date]],"MM/YYYY")</f>
        <v>10/2025</v>
      </c>
      <c r="N2216">
        <v>62</v>
      </c>
      <c r="O2216" t="str" cm="1">
        <f t="array" ref="O2216">_xlfn.IFS(Table1[[#This Row],[lead_time_days]]&lt;=7,"0-7 days",N2216&lt;=14,"8-14 days",N2216&lt;=30,"15-30 days",N2216&lt;=60,"31-60 days",TRUE,"61+ days")</f>
        <v>61+ days</v>
      </c>
      <c r="P2216" t="s">
        <v>80</v>
      </c>
      <c r="Q2216" t="s">
        <v>32</v>
      </c>
      <c r="R2216">
        <v>1</v>
      </c>
      <c r="S2216" t="str">
        <f>IF(Table1[prior_dna_count]&gt;=1,"Has prior DNA history","No prior DNA history")</f>
        <v>Has prior DNA history</v>
      </c>
      <c r="T2216" t="s">
        <v>22</v>
      </c>
      <c r="U2216" t="str">
        <f t="shared" si="34"/>
        <v>1</v>
      </c>
      <c r="V2216" t="str">
        <f>IF(Table1[appointment_status]="Attended","1","0")</f>
        <v>1</v>
      </c>
      <c r="W2216" t="str">
        <f>IF(Table1[appointment_status]="Cancelled","1","0")</f>
        <v>0</v>
      </c>
    </row>
    <row r="2217" spans="1:23">
      <c r="A2217" t="s">
        <v>3444</v>
      </c>
      <c r="B2217" t="s">
        <v>1517</v>
      </c>
      <c r="C2217">
        <v>38</v>
      </c>
      <c r="D2217" t="str" cm="1">
        <f t="array" ref="D2217">_xlfn.IFS(Table1[[#This Row],[age]]&lt;=17,"0-17",C2217&lt;=29,"18-29",C2217&lt;=44,"30-44",C2217&lt;=59,"45-59",C2217&lt;=74,"60-74",TRUE,"75+")</f>
        <v>30-44</v>
      </c>
      <c r="E2217" t="s">
        <v>17</v>
      </c>
      <c r="F2217">
        <v>9</v>
      </c>
      <c r="G2217" t="str" cm="1">
        <f t="array" ref="G2217">_xlfn.IFS(_xlfn.SINGLE(Table1[imd_decile])&lt;=3,"Most Deprived",F2217&lt;=7,"Moderately Deprived",F2217&lt;=10,"Least Deprived")</f>
        <v>Least Deprived</v>
      </c>
      <c r="H2217">
        <v>6.6</v>
      </c>
      <c r="I2217" t="s">
        <v>42</v>
      </c>
      <c r="J2217" t="s">
        <v>19</v>
      </c>
      <c r="K2217" s="1">
        <v>45901</v>
      </c>
      <c r="L2217" s="1">
        <v>45959</v>
      </c>
      <c r="M2217" s="1" t="str">
        <f>TEXT(Table1[[#This Row],[appointment_date]],"MM/YYYY")</f>
        <v>10/2025</v>
      </c>
      <c r="N2217">
        <v>58</v>
      </c>
      <c r="O2217" t="str" cm="1">
        <f t="array" ref="O2217">_xlfn.IFS(Table1[[#This Row],[lead_time_days]]&lt;=7,"0-7 days",N2217&lt;=14,"8-14 days",N2217&lt;=30,"15-30 days",N2217&lt;=60,"31-60 days",TRUE,"61+ days")</f>
        <v>31-60 days</v>
      </c>
      <c r="P2217" t="s">
        <v>80</v>
      </c>
      <c r="Q2217" t="s">
        <v>32</v>
      </c>
      <c r="R2217">
        <v>0</v>
      </c>
      <c r="S2217" t="str">
        <f>IF(Table1[prior_dna_count]&gt;=1,"Has prior DNA history","No prior DNA history")</f>
        <v>No prior DNA history</v>
      </c>
      <c r="T2217" t="s">
        <v>22</v>
      </c>
      <c r="U2217" t="str">
        <f t="shared" si="34"/>
        <v>1</v>
      </c>
      <c r="V2217" t="str">
        <f>IF(Table1[appointment_status]="Attended","1","0")</f>
        <v>1</v>
      </c>
      <c r="W2217" t="str">
        <f>IF(Table1[appointment_status]="Cancelled","1","0")</f>
        <v>0</v>
      </c>
    </row>
    <row r="2218" spans="1:23">
      <c r="A2218" t="s">
        <v>3445</v>
      </c>
      <c r="B2218" t="s">
        <v>3446</v>
      </c>
      <c r="C2218">
        <v>72</v>
      </c>
      <c r="D2218" t="str" cm="1">
        <f t="array" ref="D2218">_xlfn.IFS(Table1[[#This Row],[age]]&lt;=17,"0-17",C2218&lt;=29,"18-29",C2218&lt;=44,"30-44",C2218&lt;=59,"45-59",C2218&lt;=74,"60-74",TRUE,"75+")</f>
        <v>60-74</v>
      </c>
      <c r="E2218" t="s">
        <v>17</v>
      </c>
      <c r="F2218">
        <v>6</v>
      </c>
      <c r="G2218" t="str" cm="1">
        <f t="array" ref="G2218">_xlfn.IFS(_xlfn.SINGLE(Table1[imd_decile])&lt;=3,"Most Deprived",F2218&lt;=7,"Moderately Deprived",F2218&lt;=10,"Least Deprived")</f>
        <v>Moderately Deprived</v>
      </c>
      <c r="H2218">
        <v>6.1</v>
      </c>
      <c r="I2218" t="s">
        <v>38</v>
      </c>
      <c r="J2218" t="s">
        <v>19</v>
      </c>
      <c r="K2218" s="1">
        <v>45935</v>
      </c>
      <c r="L2218" s="1">
        <v>45959</v>
      </c>
      <c r="M2218" s="1" t="str">
        <f>TEXT(Table1[[#This Row],[appointment_date]],"MM/YYYY")</f>
        <v>10/2025</v>
      </c>
      <c r="N2218">
        <v>24</v>
      </c>
      <c r="O2218" t="str" cm="1">
        <f t="array" ref="O2218">_xlfn.IFS(Table1[[#This Row],[lead_time_days]]&lt;=7,"0-7 days",N2218&lt;=14,"8-14 days",N2218&lt;=30,"15-30 days",N2218&lt;=60,"31-60 days",TRUE,"61+ days")</f>
        <v>15-30 days</v>
      </c>
      <c r="P2218" t="s">
        <v>80</v>
      </c>
      <c r="Q2218" t="s">
        <v>21</v>
      </c>
      <c r="R2218">
        <v>0</v>
      </c>
      <c r="S2218" t="str">
        <f>IF(Table1[prior_dna_count]&gt;=1,"Has prior DNA history","No prior DNA history")</f>
        <v>No prior DNA history</v>
      </c>
      <c r="T2218" t="s">
        <v>22</v>
      </c>
      <c r="U2218" t="str">
        <f t="shared" si="34"/>
        <v>1</v>
      </c>
      <c r="V2218" t="str">
        <f>IF(Table1[appointment_status]="Attended","1","0")</f>
        <v>1</v>
      </c>
      <c r="W2218" t="str">
        <f>IF(Table1[appointment_status]="Cancelled","1","0")</f>
        <v>0</v>
      </c>
    </row>
    <row r="2219" spans="1:23">
      <c r="A2219" t="s">
        <v>3447</v>
      </c>
      <c r="B2219" t="s">
        <v>2884</v>
      </c>
      <c r="C2219">
        <v>75</v>
      </c>
      <c r="D2219" t="str" cm="1">
        <f t="array" ref="D2219">_xlfn.IFS(Table1[[#This Row],[age]]&lt;=17,"0-17",C2219&lt;=29,"18-29",C2219&lt;=44,"30-44",C2219&lt;=59,"45-59",C2219&lt;=74,"60-74",TRUE,"75+")</f>
        <v>75+</v>
      </c>
      <c r="E2219" t="s">
        <v>17</v>
      </c>
      <c r="F2219">
        <v>9</v>
      </c>
      <c r="G2219" t="str" cm="1">
        <f t="array" ref="G2219">_xlfn.IFS(_xlfn.SINGLE(Table1[imd_decile])&lt;=3,"Most Deprived",F2219&lt;=7,"Moderately Deprived",F2219&lt;=10,"Least Deprived")</f>
        <v>Least Deprived</v>
      </c>
      <c r="H2219">
        <v>4.7</v>
      </c>
      <c r="I2219" t="s">
        <v>42</v>
      </c>
      <c r="J2219" t="s">
        <v>19</v>
      </c>
      <c r="K2219" s="1">
        <v>45914</v>
      </c>
      <c r="L2219" s="1">
        <v>45959</v>
      </c>
      <c r="M2219" s="1" t="str">
        <f>TEXT(Table1[[#This Row],[appointment_date]],"MM/YYYY")</f>
        <v>10/2025</v>
      </c>
      <c r="N2219">
        <v>45</v>
      </c>
      <c r="O2219" t="str" cm="1">
        <f t="array" ref="O2219">_xlfn.IFS(Table1[[#This Row],[lead_time_days]]&lt;=7,"0-7 days",N2219&lt;=14,"8-14 days",N2219&lt;=30,"15-30 days",N2219&lt;=60,"31-60 days",TRUE,"61+ days")</f>
        <v>31-60 days</v>
      </c>
      <c r="P2219" t="s">
        <v>80</v>
      </c>
      <c r="Q2219" t="s">
        <v>21</v>
      </c>
      <c r="R2219">
        <v>0</v>
      </c>
      <c r="S2219" t="str">
        <f>IF(Table1[prior_dna_count]&gt;=1,"Has prior DNA history","No prior DNA history")</f>
        <v>No prior DNA history</v>
      </c>
      <c r="T2219" t="s">
        <v>46</v>
      </c>
      <c r="U2219" t="str">
        <f t="shared" si="34"/>
        <v>1</v>
      </c>
      <c r="V2219" t="str">
        <f>IF(Table1[appointment_status]="Attended","1","0")</f>
        <v>0</v>
      </c>
      <c r="W2219" t="str">
        <f>IF(Table1[appointment_status]="Cancelled","1","0")</f>
        <v>1</v>
      </c>
    </row>
    <row r="2220" spans="1:23">
      <c r="A2220" t="s">
        <v>3448</v>
      </c>
      <c r="B2220" t="s">
        <v>855</v>
      </c>
      <c r="C2220">
        <v>49</v>
      </c>
      <c r="D2220" t="str" cm="1">
        <f t="array" ref="D2220">_xlfn.IFS(Table1[[#This Row],[age]]&lt;=17,"0-17",C2220&lt;=29,"18-29",C2220&lt;=44,"30-44",C2220&lt;=59,"45-59",C2220&lt;=74,"60-74",TRUE,"75+")</f>
        <v>45-59</v>
      </c>
      <c r="E2220" t="s">
        <v>17</v>
      </c>
      <c r="F2220">
        <v>5</v>
      </c>
      <c r="G2220" t="str" cm="1">
        <f t="array" ref="G2220">_xlfn.IFS(_xlfn.SINGLE(Table1[imd_decile])&lt;=3,"Most Deprived",F2220&lt;=7,"Moderately Deprived",F2220&lt;=10,"Least Deprived")</f>
        <v>Moderately Deprived</v>
      </c>
      <c r="H2220">
        <v>2.7</v>
      </c>
      <c r="I2220" t="s">
        <v>58</v>
      </c>
      <c r="J2220" t="s">
        <v>19</v>
      </c>
      <c r="K2220" s="1">
        <v>45930</v>
      </c>
      <c r="L2220" s="1">
        <v>45959</v>
      </c>
      <c r="M2220" s="1" t="str">
        <f>TEXT(Table1[[#This Row],[appointment_date]],"MM/YYYY")</f>
        <v>10/2025</v>
      </c>
      <c r="N2220">
        <v>29</v>
      </c>
      <c r="O2220" t="str" cm="1">
        <f t="array" ref="O2220">_xlfn.IFS(Table1[[#This Row],[lead_time_days]]&lt;=7,"0-7 days",N2220&lt;=14,"8-14 days",N2220&lt;=30,"15-30 days",N2220&lt;=60,"31-60 days",TRUE,"61+ days")</f>
        <v>15-30 days</v>
      </c>
      <c r="P2220" t="s">
        <v>80</v>
      </c>
      <c r="Q2220" t="s">
        <v>21</v>
      </c>
      <c r="R2220">
        <v>0</v>
      </c>
      <c r="S2220" t="str">
        <f>IF(Table1[prior_dna_count]&gt;=1,"Has prior DNA history","No prior DNA history")</f>
        <v>No prior DNA history</v>
      </c>
      <c r="T2220" t="s">
        <v>22</v>
      </c>
      <c r="U2220" t="str">
        <f t="shared" si="34"/>
        <v>0</v>
      </c>
      <c r="V2220" t="str">
        <f>IF(Table1[appointment_status]="Attended","1","0")</f>
        <v>1</v>
      </c>
      <c r="W2220" t="str">
        <f>IF(Table1[appointment_status]="Cancelled","1","0")</f>
        <v>0</v>
      </c>
    </row>
    <row r="2221" spans="1:23">
      <c r="A2221" t="s">
        <v>3449</v>
      </c>
      <c r="B2221" t="s">
        <v>3450</v>
      </c>
      <c r="C2221">
        <v>38</v>
      </c>
      <c r="D2221" t="str" cm="1">
        <f t="array" ref="D2221">_xlfn.IFS(Table1[[#This Row],[age]]&lt;=17,"0-17",C2221&lt;=29,"18-29",C2221&lt;=44,"30-44",C2221&lt;=59,"45-59",C2221&lt;=74,"60-74",TRUE,"75+")</f>
        <v>30-44</v>
      </c>
      <c r="E2221" t="s">
        <v>17</v>
      </c>
      <c r="F2221">
        <v>2</v>
      </c>
      <c r="G2221" t="str" cm="1">
        <f t="array" ref="G2221">_xlfn.IFS(_xlfn.SINGLE(Table1[imd_decile])&lt;=3,"Most Deprived",F2221&lt;=7,"Moderately Deprived",F2221&lt;=10,"Least Deprived")</f>
        <v>Most Deprived</v>
      </c>
      <c r="H2221">
        <v>6.6</v>
      </c>
      <c r="I2221" t="s">
        <v>42</v>
      </c>
      <c r="J2221" t="s">
        <v>19</v>
      </c>
      <c r="K2221" s="1">
        <v>45940</v>
      </c>
      <c r="L2221" s="1">
        <v>45959</v>
      </c>
      <c r="M2221" s="1" t="str">
        <f>TEXT(Table1[[#This Row],[appointment_date]],"MM/YYYY")</f>
        <v>10/2025</v>
      </c>
      <c r="N2221">
        <v>19</v>
      </c>
      <c r="O2221" t="str" cm="1">
        <f t="array" ref="O2221">_xlfn.IFS(Table1[[#This Row],[lead_time_days]]&lt;=7,"0-7 days",N2221&lt;=14,"8-14 days",N2221&lt;=30,"15-30 days",N2221&lt;=60,"31-60 days",TRUE,"61+ days")</f>
        <v>15-30 days</v>
      </c>
      <c r="P2221" t="s">
        <v>80</v>
      </c>
      <c r="Q2221" t="s">
        <v>32</v>
      </c>
      <c r="R2221">
        <v>0</v>
      </c>
      <c r="S2221" t="str">
        <f>IF(Table1[prior_dna_count]&gt;=1,"Has prior DNA history","No prior DNA history")</f>
        <v>No prior DNA history</v>
      </c>
      <c r="T2221" t="s">
        <v>22</v>
      </c>
      <c r="U2221" t="str">
        <f t="shared" si="34"/>
        <v>1</v>
      </c>
      <c r="V2221" t="str">
        <f>IF(Table1[appointment_status]="Attended","1","0")</f>
        <v>1</v>
      </c>
      <c r="W2221" t="str">
        <f>IF(Table1[appointment_status]="Cancelled","1","0")</f>
        <v>0</v>
      </c>
    </row>
    <row r="2222" spans="1:23">
      <c r="A2222" t="s">
        <v>3451</v>
      </c>
      <c r="B2222" t="s">
        <v>181</v>
      </c>
      <c r="C2222">
        <v>45</v>
      </c>
      <c r="D2222" t="str" cm="1">
        <f t="array" ref="D2222">_xlfn.IFS(Table1[[#This Row],[age]]&lt;=17,"0-17",C2222&lt;=29,"18-29",C2222&lt;=44,"30-44",C2222&lt;=59,"45-59",C2222&lt;=74,"60-74",TRUE,"75+")</f>
        <v>45-59</v>
      </c>
      <c r="E2222" t="s">
        <v>29</v>
      </c>
      <c r="F2222">
        <v>3</v>
      </c>
      <c r="G2222" t="str" cm="1">
        <f t="array" ref="G2222">_xlfn.IFS(_xlfn.SINGLE(Table1[imd_decile])&lt;=3,"Most Deprived",F2222&lt;=7,"Moderately Deprived",F2222&lt;=10,"Least Deprived")</f>
        <v>Most Deprived</v>
      </c>
      <c r="H2222">
        <v>5.0999999999999996</v>
      </c>
      <c r="I2222" t="s">
        <v>38</v>
      </c>
      <c r="J2222" t="s">
        <v>19</v>
      </c>
      <c r="K2222" s="1">
        <v>45889</v>
      </c>
      <c r="L2222" s="1">
        <v>45959</v>
      </c>
      <c r="M2222" s="1" t="str">
        <f>TEXT(Table1[[#This Row],[appointment_date]],"MM/YYYY")</f>
        <v>10/2025</v>
      </c>
      <c r="N2222">
        <v>70</v>
      </c>
      <c r="O2222" t="str" cm="1">
        <f t="array" ref="O2222">_xlfn.IFS(Table1[[#This Row],[lead_time_days]]&lt;=7,"0-7 days",N2222&lt;=14,"8-14 days",N2222&lt;=30,"15-30 days",N2222&lt;=60,"31-60 days",TRUE,"61+ days")</f>
        <v>61+ days</v>
      </c>
      <c r="P2222" t="s">
        <v>80</v>
      </c>
      <c r="Q2222" t="s">
        <v>21</v>
      </c>
      <c r="R2222">
        <v>0</v>
      </c>
      <c r="S2222" t="str">
        <f>IF(Table1[prior_dna_count]&gt;=1,"Has prior DNA history","No prior DNA history")</f>
        <v>No prior DNA history</v>
      </c>
      <c r="T2222" t="s">
        <v>22</v>
      </c>
      <c r="U2222" t="str">
        <f t="shared" si="34"/>
        <v>1</v>
      </c>
      <c r="V2222" t="str">
        <f>IF(Table1[appointment_status]="Attended","1","0")</f>
        <v>1</v>
      </c>
      <c r="W2222" t="str">
        <f>IF(Table1[appointment_status]="Cancelled","1","0")</f>
        <v>0</v>
      </c>
    </row>
    <row r="2223" spans="1:23">
      <c r="A2223" t="s">
        <v>3452</v>
      </c>
      <c r="B2223" t="s">
        <v>590</v>
      </c>
      <c r="C2223">
        <v>59</v>
      </c>
      <c r="D2223" t="str" cm="1">
        <f t="array" ref="D2223">_xlfn.IFS(Table1[[#This Row],[age]]&lt;=17,"0-17",C2223&lt;=29,"18-29",C2223&lt;=44,"30-44",C2223&lt;=59,"45-59",C2223&lt;=74,"60-74",TRUE,"75+")</f>
        <v>45-59</v>
      </c>
      <c r="E2223" t="s">
        <v>17</v>
      </c>
      <c r="F2223">
        <v>7</v>
      </c>
      <c r="G2223" t="str" cm="1">
        <f t="array" ref="G2223">_xlfn.IFS(_xlfn.SINGLE(Table1[imd_decile])&lt;=3,"Most Deprived",F2223&lt;=7,"Moderately Deprived",F2223&lt;=10,"Least Deprived")</f>
        <v>Moderately Deprived</v>
      </c>
      <c r="H2223">
        <v>6</v>
      </c>
      <c r="I2223" t="s">
        <v>45</v>
      </c>
      <c r="J2223" t="s">
        <v>19</v>
      </c>
      <c r="K2223" s="1">
        <v>45912</v>
      </c>
      <c r="L2223" s="1">
        <v>45960</v>
      </c>
      <c r="M2223" s="1" t="str">
        <f>TEXT(Table1[[#This Row],[appointment_date]],"MM/YYYY")</f>
        <v>10/2025</v>
      </c>
      <c r="N2223">
        <v>48</v>
      </c>
      <c r="O2223" t="str" cm="1">
        <f t="array" ref="O2223">_xlfn.IFS(Table1[[#This Row],[lead_time_days]]&lt;=7,"0-7 days",N2223&lt;=14,"8-14 days",N2223&lt;=30,"15-30 days",N2223&lt;=60,"31-60 days",TRUE,"61+ days")</f>
        <v>31-60 days</v>
      </c>
      <c r="P2223" t="s">
        <v>20</v>
      </c>
      <c r="Q2223" t="s">
        <v>21</v>
      </c>
      <c r="R2223">
        <v>0</v>
      </c>
      <c r="S2223" t="str">
        <f>IF(Table1[prior_dna_count]&gt;=1,"Has prior DNA history","No prior DNA history")</f>
        <v>No prior DNA history</v>
      </c>
      <c r="T2223" t="s">
        <v>22</v>
      </c>
      <c r="U2223" t="str">
        <f t="shared" si="34"/>
        <v>1</v>
      </c>
      <c r="V2223" t="str">
        <f>IF(Table1[appointment_status]="Attended","1","0")</f>
        <v>1</v>
      </c>
      <c r="W2223" t="str">
        <f>IF(Table1[appointment_status]="Cancelled","1","0")</f>
        <v>0</v>
      </c>
    </row>
    <row r="2224" spans="1:23">
      <c r="A2224" t="s">
        <v>3453</v>
      </c>
      <c r="B2224" t="s">
        <v>3159</v>
      </c>
      <c r="C2224">
        <v>32</v>
      </c>
      <c r="D2224" t="str" cm="1">
        <f t="array" ref="D2224">_xlfn.IFS(Table1[[#This Row],[age]]&lt;=17,"0-17",C2224&lt;=29,"18-29",C2224&lt;=44,"30-44",C2224&lt;=59,"45-59",C2224&lt;=74,"60-74",TRUE,"75+")</f>
        <v>30-44</v>
      </c>
      <c r="E2224" t="s">
        <v>17</v>
      </c>
      <c r="F2224">
        <v>5</v>
      </c>
      <c r="G2224" t="str" cm="1">
        <f t="array" ref="G2224">_xlfn.IFS(_xlfn.SINGLE(Table1[imd_decile])&lt;=3,"Most Deprived",F2224&lt;=7,"Moderately Deprived",F2224&lt;=10,"Least Deprived")</f>
        <v>Moderately Deprived</v>
      </c>
      <c r="H2224">
        <v>5.5</v>
      </c>
      <c r="I2224" t="s">
        <v>18</v>
      </c>
      <c r="J2224" t="s">
        <v>19</v>
      </c>
      <c r="K2224" s="1">
        <v>45907</v>
      </c>
      <c r="L2224" s="1">
        <v>45960</v>
      </c>
      <c r="M2224" s="1" t="str">
        <f>TEXT(Table1[[#This Row],[appointment_date]],"MM/YYYY")</f>
        <v>10/2025</v>
      </c>
      <c r="N2224">
        <v>53</v>
      </c>
      <c r="O2224" t="str" cm="1">
        <f t="array" ref="O2224">_xlfn.IFS(Table1[[#This Row],[lead_time_days]]&lt;=7,"0-7 days",N2224&lt;=14,"8-14 days",N2224&lt;=30,"15-30 days",N2224&lt;=60,"31-60 days",TRUE,"61+ days")</f>
        <v>31-60 days</v>
      </c>
      <c r="P2224" t="s">
        <v>20</v>
      </c>
      <c r="Q2224" t="s">
        <v>21</v>
      </c>
      <c r="R2224">
        <v>0</v>
      </c>
      <c r="S2224" t="str">
        <f>IF(Table1[prior_dna_count]&gt;=1,"Has prior DNA history","No prior DNA history")</f>
        <v>No prior DNA history</v>
      </c>
      <c r="T2224" t="s">
        <v>46</v>
      </c>
      <c r="U2224" t="str">
        <f t="shared" si="34"/>
        <v>1</v>
      </c>
      <c r="V2224" t="str">
        <f>IF(Table1[appointment_status]="Attended","1","0")</f>
        <v>0</v>
      </c>
      <c r="W2224" t="str">
        <f>IF(Table1[appointment_status]="Cancelled","1","0")</f>
        <v>1</v>
      </c>
    </row>
    <row r="2225" spans="1:23">
      <c r="A2225" t="s">
        <v>3454</v>
      </c>
      <c r="B2225" t="s">
        <v>1167</v>
      </c>
      <c r="C2225">
        <v>50</v>
      </c>
      <c r="D2225" t="str" cm="1">
        <f t="array" ref="D2225">_xlfn.IFS(Table1[[#This Row],[age]]&lt;=17,"0-17",C2225&lt;=29,"18-29",C2225&lt;=44,"30-44",C2225&lt;=59,"45-59",C2225&lt;=74,"60-74",TRUE,"75+")</f>
        <v>45-59</v>
      </c>
      <c r="E2225" t="s">
        <v>17</v>
      </c>
      <c r="F2225">
        <v>7</v>
      </c>
      <c r="G2225" t="str" cm="1">
        <f t="array" ref="G2225">_xlfn.IFS(_xlfn.SINGLE(Table1[imd_decile])&lt;=3,"Most Deprived",F2225&lt;=7,"Moderately Deprived",F2225&lt;=10,"Least Deprived")</f>
        <v>Moderately Deprived</v>
      </c>
      <c r="H2225">
        <v>4.4000000000000004</v>
      </c>
      <c r="I2225" t="s">
        <v>49</v>
      </c>
      <c r="J2225" t="s">
        <v>19</v>
      </c>
      <c r="K2225" s="1">
        <v>45932</v>
      </c>
      <c r="L2225" s="1">
        <v>45961</v>
      </c>
      <c r="M2225" s="1" t="str">
        <f>TEXT(Table1[[#This Row],[appointment_date]],"MM/YYYY")</f>
        <v>10/2025</v>
      </c>
      <c r="N2225">
        <v>29</v>
      </c>
      <c r="O2225" t="str" cm="1">
        <f t="array" ref="O2225">_xlfn.IFS(Table1[[#This Row],[lead_time_days]]&lt;=7,"0-7 days",N2225&lt;=14,"8-14 days",N2225&lt;=30,"15-30 days",N2225&lt;=60,"31-60 days",TRUE,"61+ days")</f>
        <v>15-30 days</v>
      </c>
      <c r="P2225" t="s">
        <v>52</v>
      </c>
      <c r="Q2225" t="s">
        <v>21</v>
      </c>
      <c r="R2225">
        <v>0</v>
      </c>
      <c r="S2225" t="str">
        <f>IF(Table1[prior_dna_count]&gt;=1,"Has prior DNA history","No prior DNA history")</f>
        <v>No prior DNA history</v>
      </c>
      <c r="T2225" t="s">
        <v>22</v>
      </c>
      <c r="U2225" t="str">
        <f t="shared" si="34"/>
        <v>0</v>
      </c>
      <c r="V2225" t="str">
        <f>IF(Table1[appointment_status]="Attended","1","0")</f>
        <v>1</v>
      </c>
      <c r="W2225" t="str">
        <f>IF(Table1[appointment_status]="Cancelled","1","0")</f>
        <v>0</v>
      </c>
    </row>
    <row r="2226" spans="1:23">
      <c r="A2226" t="s">
        <v>3455</v>
      </c>
      <c r="B2226" t="s">
        <v>3456</v>
      </c>
      <c r="C2226">
        <v>54</v>
      </c>
      <c r="D2226" t="str" cm="1">
        <f t="array" ref="D2226">_xlfn.IFS(Table1[[#This Row],[age]]&lt;=17,"0-17",C2226&lt;=29,"18-29",C2226&lt;=44,"30-44",C2226&lt;=59,"45-59",C2226&lt;=74,"60-74",TRUE,"75+")</f>
        <v>45-59</v>
      </c>
      <c r="E2226" t="s">
        <v>17</v>
      </c>
      <c r="F2226">
        <v>2</v>
      </c>
      <c r="G2226" t="str" cm="1">
        <f t="array" ref="G2226">_xlfn.IFS(_xlfn.SINGLE(Table1[imd_decile])&lt;=3,"Most Deprived",F2226&lt;=7,"Moderately Deprived",F2226&lt;=10,"Least Deprived")</f>
        <v>Most Deprived</v>
      </c>
      <c r="H2226">
        <v>12</v>
      </c>
      <c r="I2226" t="s">
        <v>49</v>
      </c>
      <c r="J2226" t="s">
        <v>19</v>
      </c>
      <c r="K2226" s="1">
        <v>45928</v>
      </c>
      <c r="L2226" s="1">
        <v>45961</v>
      </c>
      <c r="M2226" s="1" t="str">
        <f>TEXT(Table1[[#This Row],[appointment_date]],"MM/YYYY")</f>
        <v>10/2025</v>
      </c>
      <c r="N2226">
        <v>33</v>
      </c>
      <c r="O2226" t="str" cm="1">
        <f t="array" ref="O2226">_xlfn.IFS(Table1[[#This Row],[lead_time_days]]&lt;=7,"0-7 days",N2226&lt;=14,"8-14 days",N2226&lt;=30,"15-30 days",N2226&lt;=60,"31-60 days",TRUE,"61+ days")</f>
        <v>31-60 days</v>
      </c>
      <c r="P2226" t="s">
        <v>52</v>
      </c>
      <c r="Q2226" t="s">
        <v>21</v>
      </c>
      <c r="R2226">
        <v>0</v>
      </c>
      <c r="S2226" t="str">
        <f>IF(Table1[prior_dna_count]&gt;=1,"Has prior DNA history","No prior DNA history")</f>
        <v>No prior DNA history</v>
      </c>
      <c r="T2226" t="s">
        <v>22</v>
      </c>
      <c r="U2226" t="str">
        <f t="shared" si="34"/>
        <v>1</v>
      </c>
      <c r="V2226" t="str">
        <f>IF(Table1[appointment_status]="Attended","1","0")</f>
        <v>1</v>
      </c>
      <c r="W2226" t="str">
        <f>IF(Table1[appointment_status]="Cancelled","1","0")</f>
        <v>0</v>
      </c>
    </row>
    <row r="2227" spans="1:23">
      <c r="A2227" t="s">
        <v>3457</v>
      </c>
      <c r="B2227" t="s">
        <v>3458</v>
      </c>
      <c r="C2227">
        <v>46</v>
      </c>
      <c r="D2227" t="str" cm="1">
        <f t="array" ref="D2227">_xlfn.IFS(Table1[[#This Row],[age]]&lt;=17,"0-17",C2227&lt;=29,"18-29",C2227&lt;=44,"30-44",C2227&lt;=59,"45-59",C2227&lt;=74,"60-74",TRUE,"75+")</f>
        <v>45-59</v>
      </c>
      <c r="E2227" t="s">
        <v>29</v>
      </c>
      <c r="F2227">
        <v>9</v>
      </c>
      <c r="G2227" t="str" cm="1">
        <f t="array" ref="G2227">_xlfn.IFS(_xlfn.SINGLE(Table1[imd_decile])&lt;=3,"Most Deprived",F2227&lt;=7,"Moderately Deprived",F2227&lt;=10,"Least Deprived")</f>
        <v>Least Deprived</v>
      </c>
      <c r="H2227">
        <v>5.4</v>
      </c>
      <c r="I2227" t="s">
        <v>25</v>
      </c>
      <c r="J2227" t="s">
        <v>19</v>
      </c>
      <c r="K2227" s="1">
        <v>45917</v>
      </c>
      <c r="L2227" s="1">
        <v>45961</v>
      </c>
      <c r="M2227" s="1" t="str">
        <f>TEXT(Table1[[#This Row],[appointment_date]],"MM/YYYY")</f>
        <v>10/2025</v>
      </c>
      <c r="N2227">
        <v>44</v>
      </c>
      <c r="O2227" t="str" cm="1">
        <f t="array" ref="O2227">_xlfn.IFS(Table1[[#This Row],[lead_time_days]]&lt;=7,"0-7 days",N2227&lt;=14,"8-14 days",N2227&lt;=30,"15-30 days",N2227&lt;=60,"31-60 days",TRUE,"61+ days")</f>
        <v>31-60 days</v>
      </c>
      <c r="P2227" t="s">
        <v>52</v>
      </c>
      <c r="Q2227" t="s">
        <v>21</v>
      </c>
      <c r="R2227">
        <v>0</v>
      </c>
      <c r="S2227" t="str">
        <f>IF(Table1[prior_dna_count]&gt;=1,"Has prior DNA history","No prior DNA history")</f>
        <v>No prior DNA history</v>
      </c>
      <c r="T2227" t="s">
        <v>22</v>
      </c>
      <c r="U2227" t="str">
        <f t="shared" si="34"/>
        <v>1</v>
      </c>
      <c r="V2227" t="str">
        <f>IF(Table1[appointment_status]="Attended","1","0")</f>
        <v>1</v>
      </c>
      <c r="W2227" t="str">
        <f>IF(Table1[appointment_status]="Cancelled","1","0")</f>
        <v>0</v>
      </c>
    </row>
    <row r="2228" spans="1:23">
      <c r="A2228" t="s">
        <v>3459</v>
      </c>
      <c r="B2228" t="s">
        <v>363</v>
      </c>
      <c r="C2228">
        <v>54</v>
      </c>
      <c r="D2228" t="str" cm="1">
        <f t="array" ref="D2228">_xlfn.IFS(Table1[[#This Row],[age]]&lt;=17,"0-17",C2228&lt;=29,"18-29",C2228&lt;=44,"30-44",C2228&lt;=59,"45-59",C2228&lt;=74,"60-74",TRUE,"75+")</f>
        <v>45-59</v>
      </c>
      <c r="E2228" t="s">
        <v>29</v>
      </c>
      <c r="F2228">
        <v>8</v>
      </c>
      <c r="G2228" t="str" cm="1">
        <f t="array" ref="G2228">_xlfn.IFS(_xlfn.SINGLE(Table1[imd_decile])&lt;=3,"Most Deprived",F2228&lt;=7,"Moderately Deprived",F2228&lt;=10,"Least Deprived")</f>
        <v>Least Deprived</v>
      </c>
      <c r="H2228">
        <v>1.1000000000000001</v>
      </c>
      <c r="I2228" t="s">
        <v>155</v>
      </c>
      <c r="J2228" t="s">
        <v>26</v>
      </c>
      <c r="K2228" s="1">
        <v>45940</v>
      </c>
      <c r="L2228" s="1">
        <v>45961</v>
      </c>
      <c r="M2228" s="1" t="str">
        <f>TEXT(Table1[[#This Row],[appointment_date]],"MM/YYYY")</f>
        <v>10/2025</v>
      </c>
      <c r="N2228">
        <v>21</v>
      </c>
      <c r="O2228" t="str" cm="1">
        <f t="array" ref="O2228">_xlfn.IFS(Table1[[#This Row],[lead_time_days]]&lt;=7,"0-7 days",N2228&lt;=14,"8-14 days",N2228&lt;=30,"15-30 days",N2228&lt;=60,"31-60 days",TRUE,"61+ days")</f>
        <v>15-30 days</v>
      </c>
      <c r="P2228" t="s">
        <v>52</v>
      </c>
      <c r="Q2228" t="s">
        <v>21</v>
      </c>
      <c r="R2228">
        <v>0</v>
      </c>
      <c r="S2228" t="str">
        <f>IF(Table1[prior_dna_count]&gt;=1,"Has prior DNA history","No prior DNA history")</f>
        <v>No prior DNA history</v>
      </c>
      <c r="T2228" t="s">
        <v>22</v>
      </c>
      <c r="U2228" t="str">
        <f t="shared" si="34"/>
        <v>1</v>
      </c>
      <c r="V2228" t="str">
        <f>IF(Table1[appointment_status]="Attended","1","0")</f>
        <v>1</v>
      </c>
      <c r="W2228" t="str">
        <f>IF(Table1[appointment_status]="Cancelled","1","0")</f>
        <v>0</v>
      </c>
    </row>
    <row r="2229" spans="1:23">
      <c r="A2229" t="s">
        <v>3460</v>
      </c>
      <c r="B2229" t="s">
        <v>3018</v>
      </c>
      <c r="C2229">
        <v>21</v>
      </c>
      <c r="D2229" t="str" cm="1">
        <f t="array" ref="D2229">_xlfn.IFS(Table1[[#This Row],[age]]&lt;=17,"0-17",C2229&lt;=29,"18-29",C2229&lt;=44,"30-44",C2229&lt;=59,"45-59",C2229&lt;=74,"60-74",TRUE,"75+")</f>
        <v>18-29</v>
      </c>
      <c r="E2229" t="s">
        <v>29</v>
      </c>
      <c r="F2229">
        <v>2</v>
      </c>
      <c r="G2229" t="str" cm="1">
        <f t="array" ref="G2229">_xlfn.IFS(_xlfn.SINGLE(Table1[imd_decile])&lt;=3,"Most Deprived",F2229&lt;=7,"Moderately Deprived",F2229&lt;=10,"Least Deprived")</f>
        <v>Most Deprived</v>
      </c>
      <c r="H2229">
        <v>11.6</v>
      </c>
      <c r="I2229" t="s">
        <v>45</v>
      </c>
      <c r="J2229" t="s">
        <v>19</v>
      </c>
      <c r="K2229" s="1">
        <v>45920</v>
      </c>
      <c r="L2229" s="1">
        <v>45961</v>
      </c>
      <c r="M2229" s="1" t="str">
        <f>TEXT(Table1[[#This Row],[appointment_date]],"MM/YYYY")</f>
        <v>10/2025</v>
      </c>
      <c r="N2229">
        <v>41</v>
      </c>
      <c r="O2229" t="str" cm="1">
        <f t="array" ref="O2229">_xlfn.IFS(Table1[[#This Row],[lead_time_days]]&lt;=7,"0-7 days",N2229&lt;=14,"8-14 days",N2229&lt;=30,"15-30 days",N2229&lt;=60,"31-60 days",TRUE,"61+ days")</f>
        <v>31-60 days</v>
      </c>
      <c r="P2229" t="s">
        <v>52</v>
      </c>
      <c r="Q2229" t="s">
        <v>21</v>
      </c>
      <c r="R2229">
        <v>0</v>
      </c>
      <c r="S2229" t="str">
        <f>IF(Table1[prior_dna_count]&gt;=1,"Has prior DNA history","No prior DNA history")</f>
        <v>No prior DNA history</v>
      </c>
      <c r="T2229" t="s">
        <v>22</v>
      </c>
      <c r="U2229" t="str">
        <f t="shared" si="34"/>
        <v>1</v>
      </c>
      <c r="V2229" t="str">
        <f>IF(Table1[appointment_status]="Attended","1","0")</f>
        <v>1</v>
      </c>
      <c r="W2229" t="str">
        <f>IF(Table1[appointment_status]="Cancelled","1","0")</f>
        <v>0</v>
      </c>
    </row>
    <row r="2230" spans="1:23">
      <c r="A2230" t="s">
        <v>3461</v>
      </c>
      <c r="B2230" t="s">
        <v>2227</v>
      </c>
      <c r="C2230">
        <v>44</v>
      </c>
      <c r="D2230" t="str" cm="1">
        <f t="array" ref="D2230">_xlfn.IFS(Table1[[#This Row],[age]]&lt;=17,"0-17",C2230&lt;=29,"18-29",C2230&lt;=44,"30-44",C2230&lt;=59,"45-59",C2230&lt;=74,"60-74",TRUE,"75+")</f>
        <v>30-44</v>
      </c>
      <c r="E2230" t="s">
        <v>29</v>
      </c>
      <c r="F2230">
        <v>5</v>
      </c>
      <c r="G2230" t="str" cm="1">
        <f t="array" ref="G2230">_xlfn.IFS(_xlfn.SINGLE(Table1[imd_decile])&lt;=3,"Most Deprived",F2230&lt;=7,"Moderately Deprived",F2230&lt;=10,"Least Deprived")</f>
        <v>Moderately Deprived</v>
      </c>
      <c r="H2230">
        <v>2.6</v>
      </c>
      <c r="I2230" t="s">
        <v>155</v>
      </c>
      <c r="J2230" t="s">
        <v>19</v>
      </c>
      <c r="K2230" s="1">
        <v>45926</v>
      </c>
      <c r="L2230" s="1">
        <v>45961</v>
      </c>
      <c r="M2230" s="1" t="str">
        <f>TEXT(Table1[[#This Row],[appointment_date]],"MM/YYYY")</f>
        <v>10/2025</v>
      </c>
      <c r="N2230">
        <v>35</v>
      </c>
      <c r="O2230" t="str" cm="1">
        <f t="array" ref="O2230">_xlfn.IFS(Table1[[#This Row],[lead_time_days]]&lt;=7,"0-7 days",N2230&lt;=14,"8-14 days",N2230&lt;=30,"15-30 days",N2230&lt;=60,"31-60 days",TRUE,"61+ days")</f>
        <v>31-60 days</v>
      </c>
      <c r="P2230" t="s">
        <v>52</v>
      </c>
      <c r="Q2230" t="s">
        <v>21</v>
      </c>
      <c r="R2230">
        <v>0</v>
      </c>
      <c r="S2230" t="str">
        <f>IF(Table1[prior_dna_count]&gt;=1,"Has prior DNA history","No prior DNA history")</f>
        <v>No prior DNA history</v>
      </c>
      <c r="T2230" t="s">
        <v>22</v>
      </c>
      <c r="U2230" t="str">
        <f t="shared" si="34"/>
        <v>1</v>
      </c>
      <c r="V2230" t="str">
        <f>IF(Table1[appointment_status]="Attended","1","0")</f>
        <v>1</v>
      </c>
      <c r="W2230" t="str">
        <f>IF(Table1[appointment_status]="Cancelled","1","0")</f>
        <v>0</v>
      </c>
    </row>
    <row r="2231" spans="1:23">
      <c r="A2231" t="s">
        <v>3462</v>
      </c>
      <c r="B2231" t="s">
        <v>221</v>
      </c>
      <c r="C2231">
        <v>70</v>
      </c>
      <c r="D2231" t="str" cm="1">
        <f t="array" ref="D2231">_xlfn.IFS(Table1[[#This Row],[age]]&lt;=17,"0-17",C2231&lt;=29,"18-29",C2231&lt;=44,"30-44",C2231&lt;=59,"45-59",C2231&lt;=74,"60-74",TRUE,"75+")</f>
        <v>60-74</v>
      </c>
      <c r="E2231" t="s">
        <v>29</v>
      </c>
      <c r="F2231">
        <v>9</v>
      </c>
      <c r="G2231" t="str" cm="1">
        <f t="array" ref="G2231">_xlfn.IFS(_xlfn.SINGLE(Table1[imd_decile])&lt;=3,"Most Deprived",F2231&lt;=7,"Moderately Deprived",F2231&lt;=10,"Least Deprived")</f>
        <v>Least Deprived</v>
      </c>
      <c r="H2231">
        <v>11.6</v>
      </c>
      <c r="I2231" t="s">
        <v>42</v>
      </c>
      <c r="J2231" t="s">
        <v>19</v>
      </c>
      <c r="K2231" s="1">
        <v>45908</v>
      </c>
      <c r="L2231" s="1">
        <v>45961</v>
      </c>
      <c r="M2231" s="1" t="str">
        <f>TEXT(Table1[[#This Row],[appointment_date]],"MM/YYYY")</f>
        <v>10/2025</v>
      </c>
      <c r="N2231">
        <v>53</v>
      </c>
      <c r="O2231" t="str" cm="1">
        <f t="array" ref="O2231">_xlfn.IFS(Table1[[#This Row],[lead_time_days]]&lt;=7,"0-7 days",N2231&lt;=14,"8-14 days",N2231&lt;=30,"15-30 days",N2231&lt;=60,"31-60 days",TRUE,"61+ days")</f>
        <v>31-60 days</v>
      </c>
      <c r="P2231" t="s">
        <v>52</v>
      </c>
      <c r="Q2231" t="s">
        <v>21</v>
      </c>
      <c r="R2231">
        <v>0</v>
      </c>
      <c r="S2231" t="str">
        <f>IF(Table1[prior_dna_count]&gt;=1,"Has prior DNA history","No prior DNA history")</f>
        <v>No prior DNA history</v>
      </c>
      <c r="T2231" t="s">
        <v>22</v>
      </c>
      <c r="U2231" t="str">
        <f t="shared" si="34"/>
        <v>1</v>
      </c>
      <c r="V2231" t="str">
        <f>IF(Table1[appointment_status]="Attended","1","0")</f>
        <v>1</v>
      </c>
      <c r="W2231" t="str">
        <f>IF(Table1[appointment_status]="Cancelled","1","0")</f>
        <v>0</v>
      </c>
    </row>
    <row r="2232" spans="1:23">
      <c r="A2232" t="s">
        <v>3463</v>
      </c>
      <c r="B2232" t="s">
        <v>1266</v>
      </c>
      <c r="C2232">
        <v>30</v>
      </c>
      <c r="D2232" t="str" cm="1">
        <f t="array" ref="D2232">_xlfn.IFS(Table1[[#This Row],[age]]&lt;=17,"0-17",C2232&lt;=29,"18-29",C2232&lt;=44,"30-44",C2232&lt;=59,"45-59",C2232&lt;=74,"60-74",TRUE,"75+")</f>
        <v>30-44</v>
      </c>
      <c r="E2232" t="s">
        <v>17</v>
      </c>
      <c r="F2232">
        <v>5</v>
      </c>
      <c r="G2232" t="str" cm="1">
        <f t="array" ref="G2232">_xlfn.IFS(_xlfn.SINGLE(Table1[imd_decile])&lt;=3,"Most Deprived",F2232&lt;=7,"Moderately Deprived",F2232&lt;=10,"Least Deprived")</f>
        <v>Moderately Deprived</v>
      </c>
      <c r="H2232">
        <v>18</v>
      </c>
      <c r="I2232" t="s">
        <v>38</v>
      </c>
      <c r="J2232" t="s">
        <v>19</v>
      </c>
      <c r="K2232" s="1">
        <v>45937</v>
      </c>
      <c r="L2232" s="1">
        <v>45961</v>
      </c>
      <c r="M2232" s="1" t="str">
        <f>TEXT(Table1[[#This Row],[appointment_date]],"MM/YYYY")</f>
        <v>10/2025</v>
      </c>
      <c r="N2232">
        <v>24</v>
      </c>
      <c r="O2232" t="str" cm="1">
        <f t="array" ref="O2232">_xlfn.IFS(Table1[[#This Row],[lead_time_days]]&lt;=7,"0-7 days",N2232&lt;=14,"8-14 days",N2232&lt;=30,"15-30 days",N2232&lt;=60,"31-60 days",TRUE,"61+ days")</f>
        <v>15-30 days</v>
      </c>
      <c r="P2232" t="s">
        <v>52</v>
      </c>
      <c r="Q2232" t="s">
        <v>21</v>
      </c>
      <c r="R2232">
        <v>1</v>
      </c>
      <c r="S2232" t="str">
        <f>IF(Table1[prior_dna_count]&gt;=1,"Has prior DNA history","No prior DNA history")</f>
        <v>Has prior DNA history</v>
      </c>
      <c r="T2232" t="s">
        <v>22</v>
      </c>
      <c r="U2232" t="str">
        <f t="shared" si="34"/>
        <v>1</v>
      </c>
      <c r="V2232" t="str">
        <f>IF(Table1[appointment_status]="Attended","1","0")</f>
        <v>1</v>
      </c>
      <c r="W2232" t="str">
        <f>IF(Table1[appointment_status]="Cancelled","1","0")</f>
        <v>0</v>
      </c>
    </row>
    <row r="2233" spans="1:23">
      <c r="A2233" t="s">
        <v>3464</v>
      </c>
      <c r="B2233" t="s">
        <v>2175</v>
      </c>
      <c r="C2233">
        <v>25</v>
      </c>
      <c r="D2233" t="str" cm="1">
        <f t="array" ref="D2233">_xlfn.IFS(Table1[[#This Row],[age]]&lt;=17,"0-17",C2233&lt;=29,"18-29",C2233&lt;=44,"30-44",C2233&lt;=59,"45-59",C2233&lt;=74,"60-74",TRUE,"75+")</f>
        <v>18-29</v>
      </c>
      <c r="E2233" t="s">
        <v>29</v>
      </c>
      <c r="F2233">
        <v>7</v>
      </c>
      <c r="G2233" t="str" cm="1">
        <f t="array" ref="G2233">_xlfn.IFS(_xlfn.SINGLE(Table1[imd_decile])&lt;=3,"Most Deprived",F2233&lt;=7,"Moderately Deprived",F2233&lt;=10,"Least Deprived")</f>
        <v>Moderately Deprived</v>
      </c>
      <c r="H2233">
        <v>13.6</v>
      </c>
      <c r="I2233" t="s">
        <v>49</v>
      </c>
      <c r="J2233" t="s">
        <v>19</v>
      </c>
      <c r="K2233" s="1">
        <v>45910</v>
      </c>
      <c r="L2233" s="1">
        <v>45961</v>
      </c>
      <c r="M2233" s="1" t="str">
        <f>TEXT(Table1[[#This Row],[appointment_date]],"MM/YYYY")</f>
        <v>10/2025</v>
      </c>
      <c r="N2233">
        <v>51</v>
      </c>
      <c r="O2233" t="str" cm="1">
        <f t="array" ref="O2233">_xlfn.IFS(Table1[[#This Row],[lead_time_days]]&lt;=7,"0-7 days",N2233&lt;=14,"8-14 days",N2233&lt;=30,"15-30 days",N2233&lt;=60,"31-60 days",TRUE,"61+ days")</f>
        <v>31-60 days</v>
      </c>
      <c r="P2233" t="s">
        <v>52</v>
      </c>
      <c r="Q2233" t="s">
        <v>21</v>
      </c>
      <c r="R2233">
        <v>0</v>
      </c>
      <c r="S2233" t="str">
        <f>IF(Table1[prior_dna_count]&gt;=1,"Has prior DNA history","No prior DNA history")</f>
        <v>No prior DNA history</v>
      </c>
      <c r="T2233" t="s">
        <v>22</v>
      </c>
      <c r="U2233" t="str">
        <f t="shared" si="34"/>
        <v>1</v>
      </c>
      <c r="V2233" t="str">
        <f>IF(Table1[appointment_status]="Attended","1","0")</f>
        <v>1</v>
      </c>
      <c r="W2233" t="str">
        <f>IF(Table1[appointment_status]="Cancelled","1","0")</f>
        <v>0</v>
      </c>
    </row>
    <row r="2234" spans="1:23">
      <c r="A2234" t="s">
        <v>3465</v>
      </c>
      <c r="B2234" t="s">
        <v>1366</v>
      </c>
      <c r="C2234">
        <v>49</v>
      </c>
      <c r="D2234" t="str" cm="1">
        <f t="array" ref="D2234">_xlfn.IFS(Table1[[#This Row],[age]]&lt;=17,"0-17",C2234&lt;=29,"18-29",C2234&lt;=44,"30-44",C2234&lt;=59,"45-59",C2234&lt;=74,"60-74",TRUE,"75+")</f>
        <v>45-59</v>
      </c>
      <c r="E2234" t="s">
        <v>17</v>
      </c>
      <c r="F2234">
        <v>9</v>
      </c>
      <c r="G2234" t="str" cm="1">
        <f t="array" ref="G2234">_xlfn.IFS(_xlfn.SINGLE(Table1[imd_decile])&lt;=3,"Most Deprived",F2234&lt;=7,"Moderately Deprived",F2234&lt;=10,"Least Deprived")</f>
        <v>Least Deprived</v>
      </c>
      <c r="H2234">
        <v>5.0999999999999996</v>
      </c>
      <c r="I2234" t="s">
        <v>49</v>
      </c>
      <c r="J2234" t="s">
        <v>19</v>
      </c>
      <c r="K2234" s="1">
        <v>45905</v>
      </c>
      <c r="L2234" s="1">
        <v>45961</v>
      </c>
      <c r="M2234" s="1" t="str">
        <f>TEXT(Table1[[#This Row],[appointment_date]],"MM/YYYY")</f>
        <v>10/2025</v>
      </c>
      <c r="N2234">
        <v>56</v>
      </c>
      <c r="O2234" t="str" cm="1">
        <f t="array" ref="O2234">_xlfn.IFS(Table1[[#This Row],[lead_time_days]]&lt;=7,"0-7 days",N2234&lt;=14,"8-14 days",N2234&lt;=30,"15-30 days",N2234&lt;=60,"31-60 days",TRUE,"61+ days")</f>
        <v>31-60 days</v>
      </c>
      <c r="P2234" t="s">
        <v>52</v>
      </c>
      <c r="Q2234" t="s">
        <v>21</v>
      </c>
      <c r="R2234">
        <v>0</v>
      </c>
      <c r="S2234" t="str">
        <f>IF(Table1[prior_dna_count]&gt;=1,"Has prior DNA history","No prior DNA history")</f>
        <v>No prior DNA history</v>
      </c>
      <c r="T2234" t="s">
        <v>39</v>
      </c>
      <c r="U2234" t="str">
        <f t="shared" si="34"/>
        <v>1</v>
      </c>
      <c r="V2234" t="str">
        <f>IF(Table1[appointment_status]="Attended","1","0")</f>
        <v>0</v>
      </c>
      <c r="W2234" t="str">
        <f>IF(Table1[appointment_status]="Cancelled","1","0")</f>
        <v>0</v>
      </c>
    </row>
    <row r="2235" spans="1:23">
      <c r="A2235" t="s">
        <v>3466</v>
      </c>
      <c r="B2235" t="s">
        <v>3467</v>
      </c>
      <c r="C2235">
        <v>45</v>
      </c>
      <c r="D2235" t="str" cm="1">
        <f t="array" ref="D2235">_xlfn.IFS(Table1[[#This Row],[age]]&lt;=17,"0-17",C2235&lt;=29,"18-29",C2235&lt;=44,"30-44",C2235&lt;=59,"45-59",C2235&lt;=74,"60-74",TRUE,"75+")</f>
        <v>45-59</v>
      </c>
      <c r="E2235" t="s">
        <v>17</v>
      </c>
      <c r="F2235">
        <v>4</v>
      </c>
      <c r="G2235" t="str" cm="1">
        <f t="array" ref="G2235">_xlfn.IFS(_xlfn.SINGLE(Table1[imd_decile])&lt;=3,"Most Deprived",F2235&lt;=7,"Moderately Deprived",F2235&lt;=10,"Least Deprived")</f>
        <v>Moderately Deprived</v>
      </c>
      <c r="H2235">
        <v>4.5</v>
      </c>
      <c r="I2235" t="s">
        <v>38</v>
      </c>
      <c r="J2235" t="s">
        <v>26</v>
      </c>
      <c r="K2235" s="1">
        <v>45956</v>
      </c>
      <c r="L2235" s="1">
        <v>45961</v>
      </c>
      <c r="M2235" s="1" t="str">
        <f>TEXT(Table1[[#This Row],[appointment_date]],"MM/YYYY")</f>
        <v>10/2025</v>
      </c>
      <c r="N2235">
        <v>5</v>
      </c>
      <c r="O2235" t="str" cm="1">
        <f t="array" ref="O2235">_xlfn.IFS(Table1[[#This Row],[lead_time_days]]&lt;=7,"0-7 days",N2235&lt;=14,"8-14 days",N2235&lt;=30,"15-30 days",N2235&lt;=60,"31-60 days",TRUE,"61+ days")</f>
        <v>0-7 days</v>
      </c>
      <c r="P2235" t="s">
        <v>52</v>
      </c>
      <c r="Q2235" t="s">
        <v>32</v>
      </c>
      <c r="R2235">
        <v>0</v>
      </c>
      <c r="S2235" t="str">
        <f>IF(Table1[prior_dna_count]&gt;=1,"Has prior DNA history","No prior DNA history")</f>
        <v>No prior DNA history</v>
      </c>
      <c r="T2235" t="s">
        <v>22</v>
      </c>
      <c r="U2235" t="str">
        <f t="shared" si="34"/>
        <v>0</v>
      </c>
      <c r="V2235" t="str">
        <f>IF(Table1[appointment_status]="Attended","1","0")</f>
        <v>1</v>
      </c>
      <c r="W2235" t="str">
        <f>IF(Table1[appointment_status]="Cancelled","1","0")</f>
        <v>0</v>
      </c>
    </row>
    <row r="2236" spans="1:23">
      <c r="A2236" t="s">
        <v>3468</v>
      </c>
      <c r="B2236" t="s">
        <v>3469</v>
      </c>
      <c r="C2236">
        <v>33</v>
      </c>
      <c r="D2236" t="str" cm="1">
        <f t="array" ref="D2236">_xlfn.IFS(Table1[[#This Row],[age]]&lt;=17,"0-17",C2236&lt;=29,"18-29",C2236&lt;=44,"30-44",C2236&lt;=59,"45-59",C2236&lt;=74,"60-74",TRUE,"75+")</f>
        <v>30-44</v>
      </c>
      <c r="E2236" t="s">
        <v>29</v>
      </c>
      <c r="F2236">
        <v>2</v>
      </c>
      <c r="G2236" t="str" cm="1">
        <f t="array" ref="G2236">_xlfn.IFS(_xlfn.SINGLE(Table1[imd_decile])&lt;=3,"Most Deprived",F2236&lt;=7,"Moderately Deprived",F2236&lt;=10,"Least Deprived")</f>
        <v>Most Deprived</v>
      </c>
      <c r="H2236">
        <v>12.4</v>
      </c>
      <c r="I2236" t="s">
        <v>30</v>
      </c>
      <c r="J2236" t="s">
        <v>26</v>
      </c>
      <c r="K2236" s="1">
        <v>45960</v>
      </c>
      <c r="L2236" s="1">
        <v>45961</v>
      </c>
      <c r="M2236" s="1" t="str">
        <f>TEXT(Table1[[#This Row],[appointment_date]],"MM/YYYY")</f>
        <v>10/2025</v>
      </c>
      <c r="N2236">
        <v>1</v>
      </c>
      <c r="O2236" t="str" cm="1">
        <f t="array" ref="O2236">_xlfn.IFS(Table1[[#This Row],[lead_time_days]]&lt;=7,"0-7 days",N2236&lt;=14,"8-14 days",N2236&lt;=30,"15-30 days",N2236&lt;=60,"31-60 days",TRUE,"61+ days")</f>
        <v>0-7 days</v>
      </c>
      <c r="P2236" t="s">
        <v>52</v>
      </c>
      <c r="Q2236" t="s">
        <v>32</v>
      </c>
      <c r="R2236">
        <v>0</v>
      </c>
      <c r="S2236" t="str">
        <f>IF(Table1[prior_dna_count]&gt;=1,"Has prior DNA history","No prior DNA history")</f>
        <v>No prior DNA history</v>
      </c>
      <c r="T2236" t="s">
        <v>22</v>
      </c>
      <c r="U2236" t="str">
        <f t="shared" si="34"/>
        <v>1</v>
      </c>
      <c r="V2236" t="str">
        <f>IF(Table1[appointment_status]="Attended","1","0")</f>
        <v>1</v>
      </c>
      <c r="W2236" t="str">
        <f>IF(Table1[appointment_status]="Cancelled","1","0")</f>
        <v>0</v>
      </c>
    </row>
    <row r="2237" spans="1:23">
      <c r="A2237" t="s">
        <v>3470</v>
      </c>
      <c r="B2237" t="s">
        <v>2527</v>
      </c>
      <c r="C2237">
        <v>29</v>
      </c>
      <c r="D2237" t="str" cm="1">
        <f t="array" ref="D2237">_xlfn.IFS(Table1[[#This Row],[age]]&lt;=17,"0-17",C2237&lt;=29,"18-29",C2237&lt;=44,"30-44",C2237&lt;=59,"45-59",C2237&lt;=74,"60-74",TRUE,"75+")</f>
        <v>18-29</v>
      </c>
      <c r="E2237" t="s">
        <v>29</v>
      </c>
      <c r="F2237">
        <v>9</v>
      </c>
      <c r="G2237" t="str" cm="1">
        <f t="array" ref="G2237">_xlfn.IFS(_xlfn.SINGLE(Table1[imd_decile])&lt;=3,"Most Deprived",F2237&lt;=7,"Moderately Deprived",F2237&lt;=10,"Least Deprived")</f>
        <v>Least Deprived</v>
      </c>
      <c r="H2237">
        <v>7.6</v>
      </c>
      <c r="I2237" t="s">
        <v>49</v>
      </c>
      <c r="J2237" t="s">
        <v>19</v>
      </c>
      <c r="K2237" s="1">
        <v>45909</v>
      </c>
      <c r="L2237" s="1">
        <v>45961</v>
      </c>
      <c r="M2237" s="1" t="str">
        <f>TEXT(Table1[[#This Row],[appointment_date]],"MM/YYYY")</f>
        <v>10/2025</v>
      </c>
      <c r="N2237">
        <v>52</v>
      </c>
      <c r="O2237" t="str" cm="1">
        <f t="array" ref="O2237">_xlfn.IFS(Table1[[#This Row],[lead_time_days]]&lt;=7,"0-7 days",N2237&lt;=14,"8-14 days",N2237&lt;=30,"15-30 days",N2237&lt;=60,"31-60 days",TRUE,"61+ days")</f>
        <v>31-60 days</v>
      </c>
      <c r="P2237" t="s">
        <v>52</v>
      </c>
      <c r="Q2237" t="s">
        <v>21</v>
      </c>
      <c r="R2237">
        <v>0</v>
      </c>
      <c r="S2237" t="str">
        <f>IF(Table1[prior_dna_count]&gt;=1,"Has prior DNA history","No prior DNA history")</f>
        <v>No prior DNA history</v>
      </c>
      <c r="T2237" t="s">
        <v>22</v>
      </c>
      <c r="U2237" t="str">
        <f t="shared" si="34"/>
        <v>1</v>
      </c>
      <c r="V2237" t="str">
        <f>IF(Table1[appointment_status]="Attended","1","0")</f>
        <v>1</v>
      </c>
      <c r="W2237" t="str">
        <f>IF(Table1[appointment_status]="Cancelled","1","0")</f>
        <v>0</v>
      </c>
    </row>
    <row r="2238" spans="1:23">
      <c r="A2238" t="s">
        <v>3471</v>
      </c>
      <c r="B2238" t="s">
        <v>391</v>
      </c>
      <c r="C2238">
        <v>8</v>
      </c>
      <c r="D2238" t="str" cm="1">
        <f t="array" ref="D2238">_xlfn.IFS(Table1[[#This Row],[age]]&lt;=17,"0-17",C2238&lt;=29,"18-29",C2238&lt;=44,"30-44",C2238&lt;=59,"45-59",C2238&lt;=74,"60-74",TRUE,"75+")</f>
        <v>0-17</v>
      </c>
      <c r="E2238" t="s">
        <v>29</v>
      </c>
      <c r="F2238">
        <v>1</v>
      </c>
      <c r="G2238" t="str" cm="1">
        <f t="array" ref="G2238">_xlfn.IFS(_xlfn.SINGLE(Table1[imd_decile])&lt;=3,"Most Deprived",F2238&lt;=7,"Moderately Deprived",F2238&lt;=10,"Least Deprived")</f>
        <v>Most Deprived</v>
      </c>
      <c r="H2238">
        <v>9.8000000000000007</v>
      </c>
      <c r="I2238" t="s">
        <v>25</v>
      </c>
      <c r="J2238" t="s">
        <v>26</v>
      </c>
      <c r="K2238" s="1">
        <v>45949</v>
      </c>
      <c r="L2238" s="1">
        <v>45962</v>
      </c>
      <c r="M2238" s="1" t="str">
        <f>TEXT(Table1[[#This Row],[appointment_date]],"MM/YYYY")</f>
        <v>11/2025</v>
      </c>
      <c r="N2238">
        <v>13</v>
      </c>
      <c r="O2238" t="str" cm="1">
        <f t="array" ref="O2238">_xlfn.IFS(Table1[[#This Row],[lead_time_days]]&lt;=7,"0-7 days",N2238&lt;=14,"8-14 days",N2238&lt;=30,"15-30 days",N2238&lt;=60,"31-60 days",TRUE,"61+ days")</f>
        <v>8-14 days</v>
      </c>
      <c r="P2238" t="s">
        <v>55</v>
      </c>
      <c r="Q2238" t="s">
        <v>21</v>
      </c>
      <c r="R2238">
        <v>0</v>
      </c>
      <c r="S2238" t="str">
        <f>IF(Table1[prior_dna_count]&gt;=1,"Has prior DNA history","No prior DNA history")</f>
        <v>No prior DNA history</v>
      </c>
      <c r="T2238" t="s">
        <v>39</v>
      </c>
      <c r="U2238" t="str">
        <f t="shared" si="34"/>
        <v>1</v>
      </c>
      <c r="V2238" t="str">
        <f>IF(Table1[appointment_status]="Attended","1","0")</f>
        <v>0</v>
      </c>
      <c r="W2238" t="str">
        <f>IF(Table1[appointment_status]="Cancelled","1","0")</f>
        <v>0</v>
      </c>
    </row>
    <row r="2239" spans="1:23">
      <c r="A2239" t="s">
        <v>3472</v>
      </c>
      <c r="B2239" t="s">
        <v>3473</v>
      </c>
      <c r="C2239">
        <v>40</v>
      </c>
      <c r="D2239" t="str" cm="1">
        <f t="array" ref="D2239">_xlfn.IFS(Table1[[#This Row],[age]]&lt;=17,"0-17",C2239&lt;=29,"18-29",C2239&lt;=44,"30-44",C2239&lt;=59,"45-59",C2239&lt;=74,"60-74",TRUE,"75+")</f>
        <v>30-44</v>
      </c>
      <c r="E2239" t="s">
        <v>29</v>
      </c>
      <c r="F2239">
        <v>5</v>
      </c>
      <c r="G2239" t="str" cm="1">
        <f t="array" ref="G2239">_xlfn.IFS(_xlfn.SINGLE(Table1[imd_decile])&lt;=3,"Most Deprived",F2239&lt;=7,"Moderately Deprived",F2239&lt;=10,"Least Deprived")</f>
        <v>Moderately Deprived</v>
      </c>
      <c r="H2239">
        <v>2.6</v>
      </c>
      <c r="I2239" t="s">
        <v>58</v>
      </c>
      <c r="J2239" t="s">
        <v>19</v>
      </c>
      <c r="K2239" s="1">
        <v>45955</v>
      </c>
      <c r="L2239" s="1">
        <v>45962</v>
      </c>
      <c r="M2239" s="1" t="str">
        <f>TEXT(Table1[[#This Row],[appointment_date]],"MM/YYYY")</f>
        <v>11/2025</v>
      </c>
      <c r="N2239">
        <v>7</v>
      </c>
      <c r="O2239" t="str" cm="1">
        <f t="array" ref="O2239">_xlfn.IFS(Table1[[#This Row],[lead_time_days]]&lt;=7,"0-7 days",N2239&lt;=14,"8-14 days",N2239&lt;=30,"15-30 days",N2239&lt;=60,"31-60 days",TRUE,"61+ days")</f>
        <v>0-7 days</v>
      </c>
      <c r="P2239" t="s">
        <v>55</v>
      </c>
      <c r="Q2239" t="s">
        <v>21</v>
      </c>
      <c r="R2239">
        <v>0</v>
      </c>
      <c r="S2239" t="str">
        <f>IF(Table1[prior_dna_count]&gt;=1,"Has prior DNA history","No prior DNA history")</f>
        <v>No prior DNA history</v>
      </c>
      <c r="T2239" t="s">
        <v>22</v>
      </c>
      <c r="U2239" t="str">
        <f t="shared" si="34"/>
        <v>0</v>
      </c>
      <c r="V2239" t="str">
        <f>IF(Table1[appointment_status]="Attended","1","0")</f>
        <v>1</v>
      </c>
      <c r="W2239" t="str">
        <f>IF(Table1[appointment_status]="Cancelled","1","0")</f>
        <v>0</v>
      </c>
    </row>
    <row r="2240" spans="1:23">
      <c r="A2240" t="s">
        <v>3474</v>
      </c>
      <c r="B2240" t="s">
        <v>1269</v>
      </c>
      <c r="C2240">
        <v>72</v>
      </c>
      <c r="D2240" t="str" cm="1">
        <f t="array" ref="D2240">_xlfn.IFS(Table1[[#This Row],[age]]&lt;=17,"0-17",C2240&lt;=29,"18-29",C2240&lt;=44,"30-44",C2240&lt;=59,"45-59",C2240&lt;=74,"60-74",TRUE,"75+")</f>
        <v>60-74</v>
      </c>
      <c r="E2240" t="s">
        <v>29</v>
      </c>
      <c r="F2240">
        <v>1</v>
      </c>
      <c r="G2240" t="str" cm="1">
        <f t="array" ref="G2240">_xlfn.IFS(_xlfn.SINGLE(Table1[imd_decile])&lt;=3,"Most Deprived",F2240&lt;=7,"Moderately Deprived",F2240&lt;=10,"Least Deprived")</f>
        <v>Most Deprived</v>
      </c>
      <c r="H2240">
        <v>3.7</v>
      </c>
      <c r="I2240" t="s">
        <v>45</v>
      </c>
      <c r="J2240" t="s">
        <v>19</v>
      </c>
      <c r="K2240" s="1">
        <v>45938</v>
      </c>
      <c r="L2240" s="1">
        <v>45962</v>
      </c>
      <c r="M2240" s="1" t="str">
        <f>TEXT(Table1[[#This Row],[appointment_date]],"MM/YYYY")</f>
        <v>11/2025</v>
      </c>
      <c r="N2240">
        <v>24</v>
      </c>
      <c r="O2240" t="str" cm="1">
        <f t="array" ref="O2240">_xlfn.IFS(Table1[[#This Row],[lead_time_days]]&lt;=7,"0-7 days",N2240&lt;=14,"8-14 days",N2240&lt;=30,"15-30 days",N2240&lt;=60,"31-60 days",TRUE,"61+ days")</f>
        <v>15-30 days</v>
      </c>
      <c r="P2240" t="s">
        <v>55</v>
      </c>
      <c r="Q2240" t="s">
        <v>21</v>
      </c>
      <c r="R2240">
        <v>0</v>
      </c>
      <c r="S2240" t="str">
        <f>IF(Table1[prior_dna_count]&gt;=1,"Has prior DNA history","No prior DNA history")</f>
        <v>No prior DNA history</v>
      </c>
      <c r="T2240" t="s">
        <v>22</v>
      </c>
      <c r="U2240" t="str">
        <f t="shared" si="34"/>
        <v>1</v>
      </c>
      <c r="V2240" t="str">
        <f>IF(Table1[appointment_status]="Attended","1","0")</f>
        <v>1</v>
      </c>
      <c r="W2240" t="str">
        <f>IF(Table1[appointment_status]="Cancelled","1","0")</f>
        <v>0</v>
      </c>
    </row>
    <row r="2241" spans="1:23">
      <c r="A2241" t="s">
        <v>3475</v>
      </c>
      <c r="B2241" t="s">
        <v>3476</v>
      </c>
      <c r="C2241">
        <v>28</v>
      </c>
      <c r="D2241" t="str" cm="1">
        <f t="array" ref="D2241">_xlfn.IFS(Table1[[#This Row],[age]]&lt;=17,"0-17",C2241&lt;=29,"18-29",C2241&lt;=44,"30-44",C2241&lt;=59,"45-59",C2241&lt;=74,"60-74",TRUE,"75+")</f>
        <v>18-29</v>
      </c>
      <c r="E2241" t="s">
        <v>29</v>
      </c>
      <c r="F2241">
        <v>7</v>
      </c>
      <c r="G2241" t="str" cm="1">
        <f t="array" ref="G2241">_xlfn.IFS(_xlfn.SINGLE(Table1[imd_decile])&lt;=3,"Most Deprived",F2241&lt;=7,"Moderately Deprived",F2241&lt;=10,"Least Deprived")</f>
        <v>Moderately Deprived</v>
      </c>
      <c r="H2241">
        <v>6.2</v>
      </c>
      <c r="I2241" t="s">
        <v>38</v>
      </c>
      <c r="J2241" t="s">
        <v>19</v>
      </c>
      <c r="K2241" s="1">
        <v>45928</v>
      </c>
      <c r="L2241" s="1">
        <v>45962</v>
      </c>
      <c r="M2241" s="1" t="str">
        <f>TEXT(Table1[[#This Row],[appointment_date]],"MM/YYYY")</f>
        <v>11/2025</v>
      </c>
      <c r="N2241">
        <v>34</v>
      </c>
      <c r="O2241" t="str" cm="1">
        <f t="array" ref="O2241">_xlfn.IFS(Table1[[#This Row],[lead_time_days]]&lt;=7,"0-7 days",N2241&lt;=14,"8-14 days",N2241&lt;=30,"15-30 days",N2241&lt;=60,"31-60 days",TRUE,"61+ days")</f>
        <v>31-60 days</v>
      </c>
      <c r="P2241" t="s">
        <v>55</v>
      </c>
      <c r="Q2241" t="s">
        <v>21</v>
      </c>
      <c r="R2241">
        <v>0</v>
      </c>
      <c r="S2241" t="str">
        <f>IF(Table1[prior_dna_count]&gt;=1,"Has prior DNA history","No prior DNA history")</f>
        <v>No prior DNA history</v>
      </c>
      <c r="T2241" t="s">
        <v>22</v>
      </c>
      <c r="U2241" t="str">
        <f t="shared" si="34"/>
        <v>1</v>
      </c>
      <c r="V2241" t="str">
        <f>IF(Table1[appointment_status]="Attended","1","0")</f>
        <v>1</v>
      </c>
      <c r="W2241" t="str">
        <f>IF(Table1[appointment_status]="Cancelled","1","0")</f>
        <v>0</v>
      </c>
    </row>
    <row r="2242" spans="1:23">
      <c r="A2242" t="s">
        <v>3477</v>
      </c>
      <c r="B2242" t="s">
        <v>2364</v>
      </c>
      <c r="C2242">
        <v>40</v>
      </c>
      <c r="D2242" t="str" cm="1">
        <f t="array" ref="D2242">_xlfn.IFS(Table1[[#This Row],[age]]&lt;=17,"0-17",C2242&lt;=29,"18-29",C2242&lt;=44,"30-44",C2242&lt;=59,"45-59",C2242&lt;=74,"60-74",TRUE,"75+")</f>
        <v>30-44</v>
      </c>
      <c r="E2242" t="s">
        <v>29</v>
      </c>
      <c r="F2242">
        <v>6</v>
      </c>
      <c r="G2242" t="str" cm="1">
        <f t="array" ref="G2242">_xlfn.IFS(_xlfn.SINGLE(Table1[imd_decile])&lt;=3,"Most Deprived",F2242&lt;=7,"Moderately Deprived",F2242&lt;=10,"Least Deprived")</f>
        <v>Moderately Deprived</v>
      </c>
      <c r="H2242">
        <v>1.5</v>
      </c>
      <c r="I2242" t="s">
        <v>38</v>
      </c>
      <c r="J2242" t="s">
        <v>19</v>
      </c>
      <c r="K2242" s="1">
        <v>45935</v>
      </c>
      <c r="L2242" s="1">
        <v>45962</v>
      </c>
      <c r="M2242" s="1" t="str">
        <f>TEXT(Table1[[#This Row],[appointment_date]],"MM/YYYY")</f>
        <v>11/2025</v>
      </c>
      <c r="N2242">
        <v>27</v>
      </c>
      <c r="O2242" t="str" cm="1">
        <f t="array" ref="O2242">_xlfn.IFS(Table1[[#This Row],[lead_time_days]]&lt;=7,"0-7 days",N2242&lt;=14,"8-14 days",N2242&lt;=30,"15-30 days",N2242&lt;=60,"31-60 days",TRUE,"61+ days")</f>
        <v>15-30 days</v>
      </c>
      <c r="P2242" t="s">
        <v>55</v>
      </c>
      <c r="Q2242" t="s">
        <v>21</v>
      </c>
      <c r="R2242">
        <v>0</v>
      </c>
      <c r="S2242" t="str">
        <f>IF(Table1[prior_dna_count]&gt;=1,"Has prior DNA history","No prior DNA history")</f>
        <v>No prior DNA history</v>
      </c>
      <c r="T2242" t="s">
        <v>22</v>
      </c>
      <c r="U2242" t="str">
        <f t="shared" ref="U2242:U2305" si="35">V2241</f>
        <v>1</v>
      </c>
      <c r="V2242" t="str">
        <f>IF(Table1[appointment_status]="Attended","1","0")</f>
        <v>1</v>
      </c>
      <c r="W2242" t="str">
        <f>IF(Table1[appointment_status]="Cancelled","1","0")</f>
        <v>0</v>
      </c>
    </row>
    <row r="2243" spans="1:23">
      <c r="A2243" t="s">
        <v>3478</v>
      </c>
      <c r="B2243" t="s">
        <v>787</v>
      </c>
      <c r="C2243">
        <v>37</v>
      </c>
      <c r="D2243" t="str" cm="1">
        <f t="array" ref="D2243">_xlfn.IFS(Table1[[#This Row],[age]]&lt;=17,"0-17",C2243&lt;=29,"18-29",C2243&lt;=44,"30-44",C2243&lt;=59,"45-59",C2243&lt;=74,"60-74",TRUE,"75+")</f>
        <v>30-44</v>
      </c>
      <c r="E2243" t="s">
        <v>29</v>
      </c>
      <c r="F2243">
        <v>5</v>
      </c>
      <c r="G2243" t="str" cm="1">
        <f t="array" ref="G2243">_xlfn.IFS(_xlfn.SINGLE(Table1[imd_decile])&lt;=3,"Most Deprived",F2243&lt;=7,"Moderately Deprived",F2243&lt;=10,"Least Deprived")</f>
        <v>Moderately Deprived</v>
      </c>
      <c r="H2243">
        <v>4.3</v>
      </c>
      <c r="I2243" t="s">
        <v>25</v>
      </c>
      <c r="J2243" t="s">
        <v>19</v>
      </c>
      <c r="K2243" s="1">
        <v>45902</v>
      </c>
      <c r="L2243" s="1">
        <v>45962</v>
      </c>
      <c r="M2243" s="1" t="str">
        <f>TEXT(Table1[[#This Row],[appointment_date]],"MM/YYYY")</f>
        <v>11/2025</v>
      </c>
      <c r="N2243">
        <v>60</v>
      </c>
      <c r="O2243" t="str" cm="1">
        <f t="array" ref="O2243">_xlfn.IFS(Table1[[#This Row],[lead_time_days]]&lt;=7,"0-7 days",N2243&lt;=14,"8-14 days",N2243&lt;=30,"15-30 days",N2243&lt;=60,"31-60 days",TRUE,"61+ days")</f>
        <v>31-60 days</v>
      </c>
      <c r="P2243" t="s">
        <v>55</v>
      </c>
      <c r="Q2243" t="s">
        <v>21</v>
      </c>
      <c r="R2243">
        <v>0</v>
      </c>
      <c r="S2243" t="str">
        <f>IF(Table1[prior_dna_count]&gt;=1,"Has prior DNA history","No prior DNA history")</f>
        <v>No prior DNA history</v>
      </c>
      <c r="T2243" t="s">
        <v>22</v>
      </c>
      <c r="U2243" t="str">
        <f t="shared" si="35"/>
        <v>1</v>
      </c>
      <c r="V2243" t="str">
        <f>IF(Table1[appointment_status]="Attended","1","0")</f>
        <v>1</v>
      </c>
      <c r="W2243" t="str">
        <f>IF(Table1[appointment_status]="Cancelled","1","0")</f>
        <v>0</v>
      </c>
    </row>
    <row r="2244" spans="1:23">
      <c r="A2244" t="s">
        <v>3479</v>
      </c>
      <c r="B2244" t="s">
        <v>302</v>
      </c>
      <c r="C2244">
        <v>39</v>
      </c>
      <c r="D2244" t="str" cm="1">
        <f t="array" ref="D2244">_xlfn.IFS(Table1[[#This Row],[age]]&lt;=17,"0-17",C2244&lt;=29,"18-29",C2244&lt;=44,"30-44",C2244&lt;=59,"45-59",C2244&lt;=74,"60-74",TRUE,"75+")</f>
        <v>30-44</v>
      </c>
      <c r="E2244" t="s">
        <v>29</v>
      </c>
      <c r="F2244">
        <v>2</v>
      </c>
      <c r="G2244" t="str" cm="1">
        <f t="array" ref="G2244">_xlfn.IFS(_xlfn.SINGLE(Table1[imd_decile])&lt;=3,"Most Deprived",F2244&lt;=7,"Moderately Deprived",F2244&lt;=10,"Least Deprived")</f>
        <v>Most Deprived</v>
      </c>
      <c r="H2244">
        <v>8.6999999999999993</v>
      </c>
      <c r="I2244" t="s">
        <v>49</v>
      </c>
      <c r="J2244" t="s">
        <v>19</v>
      </c>
      <c r="K2244" s="1">
        <v>45878</v>
      </c>
      <c r="L2244" s="1">
        <v>45962</v>
      </c>
      <c r="M2244" s="1" t="str">
        <f>TEXT(Table1[[#This Row],[appointment_date]],"MM/YYYY")</f>
        <v>11/2025</v>
      </c>
      <c r="N2244">
        <v>84</v>
      </c>
      <c r="O2244" t="str" cm="1">
        <f t="array" ref="O2244">_xlfn.IFS(Table1[[#This Row],[lead_time_days]]&lt;=7,"0-7 days",N2244&lt;=14,"8-14 days",N2244&lt;=30,"15-30 days",N2244&lt;=60,"31-60 days",TRUE,"61+ days")</f>
        <v>61+ days</v>
      </c>
      <c r="P2244" t="s">
        <v>55</v>
      </c>
      <c r="Q2244" t="s">
        <v>21</v>
      </c>
      <c r="R2244">
        <v>0</v>
      </c>
      <c r="S2244" t="str">
        <f>IF(Table1[prior_dna_count]&gt;=1,"Has prior DNA history","No prior DNA history")</f>
        <v>No prior DNA history</v>
      </c>
      <c r="T2244" t="s">
        <v>22</v>
      </c>
      <c r="U2244" t="str">
        <f t="shared" si="35"/>
        <v>1</v>
      </c>
      <c r="V2244" t="str">
        <f>IF(Table1[appointment_status]="Attended","1","0")</f>
        <v>1</v>
      </c>
      <c r="W2244" t="str">
        <f>IF(Table1[appointment_status]="Cancelled","1","0")</f>
        <v>0</v>
      </c>
    </row>
    <row r="2245" spans="1:23">
      <c r="A2245" t="s">
        <v>3480</v>
      </c>
      <c r="B2245" t="s">
        <v>1642</v>
      </c>
      <c r="C2245">
        <v>46</v>
      </c>
      <c r="D2245" t="str" cm="1">
        <f t="array" ref="D2245">_xlfn.IFS(Table1[[#This Row],[age]]&lt;=17,"0-17",C2245&lt;=29,"18-29",C2245&lt;=44,"30-44",C2245&lt;=59,"45-59",C2245&lt;=74,"60-74",TRUE,"75+")</f>
        <v>45-59</v>
      </c>
      <c r="E2245" t="s">
        <v>17</v>
      </c>
      <c r="F2245">
        <v>3</v>
      </c>
      <c r="G2245" t="str" cm="1">
        <f t="array" ref="G2245">_xlfn.IFS(_xlfn.SINGLE(Table1[imd_decile])&lt;=3,"Most Deprived",F2245&lt;=7,"Moderately Deprived",F2245&lt;=10,"Least Deprived")</f>
        <v>Most Deprived</v>
      </c>
      <c r="H2245">
        <v>1.1000000000000001</v>
      </c>
      <c r="I2245" t="s">
        <v>18</v>
      </c>
      <c r="J2245" t="s">
        <v>19</v>
      </c>
      <c r="K2245" s="1">
        <v>45866</v>
      </c>
      <c r="L2245" s="1">
        <v>45962</v>
      </c>
      <c r="M2245" s="1" t="str">
        <f>TEXT(Table1[[#This Row],[appointment_date]],"MM/YYYY")</f>
        <v>11/2025</v>
      </c>
      <c r="N2245">
        <v>96</v>
      </c>
      <c r="O2245" t="str" cm="1">
        <f t="array" ref="O2245">_xlfn.IFS(Table1[[#This Row],[lead_time_days]]&lt;=7,"0-7 days",N2245&lt;=14,"8-14 days",N2245&lt;=30,"15-30 days",N2245&lt;=60,"31-60 days",TRUE,"61+ days")</f>
        <v>61+ days</v>
      </c>
      <c r="P2245" t="s">
        <v>55</v>
      </c>
      <c r="Q2245" t="s">
        <v>32</v>
      </c>
      <c r="R2245">
        <v>0</v>
      </c>
      <c r="S2245" t="str">
        <f>IF(Table1[prior_dna_count]&gt;=1,"Has prior DNA history","No prior DNA history")</f>
        <v>No prior DNA history</v>
      </c>
      <c r="T2245" t="s">
        <v>22</v>
      </c>
      <c r="U2245" t="str">
        <f t="shared" si="35"/>
        <v>1</v>
      </c>
      <c r="V2245" t="str">
        <f>IF(Table1[appointment_status]="Attended","1","0")</f>
        <v>1</v>
      </c>
      <c r="W2245" t="str">
        <f>IF(Table1[appointment_status]="Cancelled","1","0")</f>
        <v>0</v>
      </c>
    </row>
    <row r="2246" spans="1:23">
      <c r="A2246" t="s">
        <v>3481</v>
      </c>
      <c r="B2246" t="s">
        <v>169</v>
      </c>
      <c r="C2246">
        <v>44</v>
      </c>
      <c r="D2246" t="str" cm="1">
        <f t="array" ref="D2246">_xlfn.IFS(Table1[[#This Row],[age]]&lt;=17,"0-17",C2246&lt;=29,"18-29",C2246&lt;=44,"30-44",C2246&lt;=59,"45-59",C2246&lt;=74,"60-74",TRUE,"75+")</f>
        <v>30-44</v>
      </c>
      <c r="E2246" t="s">
        <v>17</v>
      </c>
      <c r="F2246">
        <v>3</v>
      </c>
      <c r="G2246" t="str" cm="1">
        <f t="array" ref="G2246">_xlfn.IFS(_xlfn.SINGLE(Table1[imd_decile])&lt;=3,"Most Deprived",F2246&lt;=7,"Moderately Deprived",F2246&lt;=10,"Least Deprived")</f>
        <v>Most Deprived</v>
      </c>
      <c r="H2246">
        <v>6.6</v>
      </c>
      <c r="I2246" t="s">
        <v>49</v>
      </c>
      <c r="J2246" t="s">
        <v>19</v>
      </c>
      <c r="K2246" s="1">
        <v>45932</v>
      </c>
      <c r="L2246" s="1">
        <v>45962</v>
      </c>
      <c r="M2246" s="1" t="str">
        <f>TEXT(Table1[[#This Row],[appointment_date]],"MM/YYYY")</f>
        <v>11/2025</v>
      </c>
      <c r="N2246">
        <v>30</v>
      </c>
      <c r="O2246" t="str" cm="1">
        <f t="array" ref="O2246">_xlfn.IFS(Table1[[#This Row],[lead_time_days]]&lt;=7,"0-7 days",N2246&lt;=14,"8-14 days",N2246&lt;=30,"15-30 days",N2246&lt;=60,"31-60 days",TRUE,"61+ days")</f>
        <v>15-30 days</v>
      </c>
      <c r="P2246" t="s">
        <v>55</v>
      </c>
      <c r="Q2246" t="s">
        <v>21</v>
      </c>
      <c r="R2246">
        <v>0</v>
      </c>
      <c r="S2246" t="str">
        <f>IF(Table1[prior_dna_count]&gt;=1,"Has prior DNA history","No prior DNA history")</f>
        <v>No prior DNA history</v>
      </c>
      <c r="T2246" t="s">
        <v>46</v>
      </c>
      <c r="U2246" t="str">
        <f t="shared" si="35"/>
        <v>1</v>
      </c>
      <c r="V2246" t="str">
        <f>IF(Table1[appointment_status]="Attended","1","0")</f>
        <v>0</v>
      </c>
      <c r="W2246" t="str">
        <f>IF(Table1[appointment_status]="Cancelled","1","0")</f>
        <v>1</v>
      </c>
    </row>
    <row r="2247" spans="1:23">
      <c r="A2247" t="s">
        <v>3482</v>
      </c>
      <c r="B2247" t="s">
        <v>2653</v>
      </c>
      <c r="C2247">
        <v>90</v>
      </c>
      <c r="D2247" t="str" cm="1">
        <f t="array" ref="D2247">_xlfn.IFS(Table1[[#This Row],[age]]&lt;=17,"0-17",C2247&lt;=29,"18-29",C2247&lt;=44,"30-44",C2247&lt;=59,"45-59",C2247&lt;=74,"60-74",TRUE,"75+")</f>
        <v>75+</v>
      </c>
      <c r="E2247" t="s">
        <v>29</v>
      </c>
      <c r="F2247">
        <v>9</v>
      </c>
      <c r="G2247" t="str" cm="1">
        <f t="array" ref="G2247">_xlfn.IFS(_xlfn.SINGLE(Table1[imd_decile])&lt;=3,"Most Deprived",F2247&lt;=7,"Moderately Deprived",F2247&lt;=10,"Least Deprived")</f>
        <v>Least Deprived</v>
      </c>
      <c r="H2247">
        <v>2.2999999999999998</v>
      </c>
      <c r="I2247" t="s">
        <v>45</v>
      </c>
      <c r="J2247" t="s">
        <v>19</v>
      </c>
      <c r="K2247" s="1">
        <v>45917</v>
      </c>
      <c r="L2247" s="1">
        <v>45962</v>
      </c>
      <c r="M2247" s="1" t="str">
        <f>TEXT(Table1[[#This Row],[appointment_date]],"MM/YYYY")</f>
        <v>11/2025</v>
      </c>
      <c r="N2247">
        <v>45</v>
      </c>
      <c r="O2247" t="str" cm="1">
        <f t="array" ref="O2247">_xlfn.IFS(Table1[[#This Row],[lead_time_days]]&lt;=7,"0-7 days",N2247&lt;=14,"8-14 days",N2247&lt;=30,"15-30 days",N2247&lt;=60,"31-60 days",TRUE,"61+ days")</f>
        <v>31-60 days</v>
      </c>
      <c r="P2247" t="s">
        <v>55</v>
      </c>
      <c r="Q2247" t="s">
        <v>21</v>
      </c>
      <c r="R2247">
        <v>0</v>
      </c>
      <c r="S2247" t="str">
        <f>IF(Table1[prior_dna_count]&gt;=1,"Has prior DNA history","No prior DNA history")</f>
        <v>No prior DNA history</v>
      </c>
      <c r="T2247" t="s">
        <v>22</v>
      </c>
      <c r="U2247" t="str">
        <f t="shared" si="35"/>
        <v>0</v>
      </c>
      <c r="V2247" t="str">
        <f>IF(Table1[appointment_status]="Attended","1","0")</f>
        <v>1</v>
      </c>
      <c r="W2247" t="str">
        <f>IF(Table1[appointment_status]="Cancelled","1","0")</f>
        <v>0</v>
      </c>
    </row>
    <row r="2248" spans="1:23">
      <c r="A2248" t="s">
        <v>3483</v>
      </c>
      <c r="B2248" t="s">
        <v>3484</v>
      </c>
      <c r="C2248">
        <v>17</v>
      </c>
      <c r="D2248" t="str" cm="1">
        <f t="array" ref="D2248">_xlfn.IFS(Table1[[#This Row],[age]]&lt;=17,"0-17",C2248&lt;=29,"18-29",C2248&lt;=44,"30-44",C2248&lt;=59,"45-59",C2248&lt;=74,"60-74",TRUE,"75+")</f>
        <v>0-17</v>
      </c>
      <c r="E2248" t="s">
        <v>29</v>
      </c>
      <c r="F2248">
        <v>7</v>
      </c>
      <c r="G2248" t="str" cm="1">
        <f t="array" ref="G2248">_xlfn.IFS(_xlfn.SINGLE(Table1[imd_decile])&lt;=3,"Most Deprived",F2248&lt;=7,"Moderately Deprived",F2248&lt;=10,"Least Deprived")</f>
        <v>Moderately Deprived</v>
      </c>
      <c r="H2248">
        <v>6.1</v>
      </c>
      <c r="I2248" t="s">
        <v>18</v>
      </c>
      <c r="J2248" t="s">
        <v>26</v>
      </c>
      <c r="K2248" s="1">
        <v>45953</v>
      </c>
      <c r="L2248" s="1">
        <v>45962</v>
      </c>
      <c r="M2248" s="1" t="str">
        <f>TEXT(Table1[[#This Row],[appointment_date]],"MM/YYYY")</f>
        <v>11/2025</v>
      </c>
      <c r="N2248">
        <v>9</v>
      </c>
      <c r="O2248" t="str" cm="1">
        <f t="array" ref="O2248">_xlfn.IFS(Table1[[#This Row],[lead_time_days]]&lt;=7,"0-7 days",N2248&lt;=14,"8-14 days",N2248&lt;=30,"15-30 days",N2248&lt;=60,"31-60 days",TRUE,"61+ days")</f>
        <v>8-14 days</v>
      </c>
      <c r="P2248" t="s">
        <v>55</v>
      </c>
      <c r="Q2248" t="s">
        <v>21</v>
      </c>
      <c r="R2248">
        <v>0</v>
      </c>
      <c r="S2248" t="str">
        <f>IF(Table1[prior_dna_count]&gt;=1,"Has prior DNA history","No prior DNA history")</f>
        <v>No prior DNA history</v>
      </c>
      <c r="T2248" t="s">
        <v>22</v>
      </c>
      <c r="U2248" t="str">
        <f t="shared" si="35"/>
        <v>1</v>
      </c>
      <c r="V2248" t="str">
        <f>IF(Table1[appointment_status]="Attended","1","0")</f>
        <v>1</v>
      </c>
      <c r="W2248" t="str">
        <f>IF(Table1[appointment_status]="Cancelled","1","0")</f>
        <v>0</v>
      </c>
    </row>
    <row r="2249" spans="1:23">
      <c r="A2249" t="s">
        <v>3485</v>
      </c>
      <c r="B2249" t="s">
        <v>2803</v>
      </c>
      <c r="C2249">
        <v>63</v>
      </c>
      <c r="D2249" t="str" cm="1">
        <f t="array" ref="D2249">_xlfn.IFS(Table1[[#This Row],[age]]&lt;=17,"0-17",C2249&lt;=29,"18-29",C2249&lt;=44,"30-44",C2249&lt;=59,"45-59",C2249&lt;=74,"60-74",TRUE,"75+")</f>
        <v>60-74</v>
      </c>
      <c r="E2249" t="s">
        <v>29</v>
      </c>
      <c r="F2249">
        <v>3</v>
      </c>
      <c r="G2249" t="str" cm="1">
        <f t="array" ref="G2249">_xlfn.IFS(_xlfn.SINGLE(Table1[imd_decile])&lt;=3,"Most Deprived",F2249&lt;=7,"Moderately Deprived",F2249&lt;=10,"Least Deprived")</f>
        <v>Most Deprived</v>
      </c>
      <c r="H2249">
        <v>1.9</v>
      </c>
      <c r="I2249" t="s">
        <v>42</v>
      </c>
      <c r="J2249" t="s">
        <v>26</v>
      </c>
      <c r="K2249" s="1">
        <v>45949</v>
      </c>
      <c r="L2249" s="1">
        <v>45962</v>
      </c>
      <c r="M2249" s="1" t="str">
        <f>TEXT(Table1[[#This Row],[appointment_date]],"MM/YYYY")</f>
        <v>11/2025</v>
      </c>
      <c r="N2249">
        <v>13</v>
      </c>
      <c r="O2249" t="str" cm="1">
        <f t="array" ref="O2249">_xlfn.IFS(Table1[[#This Row],[lead_time_days]]&lt;=7,"0-7 days",N2249&lt;=14,"8-14 days",N2249&lt;=30,"15-30 days",N2249&lt;=60,"31-60 days",TRUE,"61+ days")</f>
        <v>8-14 days</v>
      </c>
      <c r="P2249" t="s">
        <v>55</v>
      </c>
      <c r="Q2249" t="s">
        <v>21</v>
      </c>
      <c r="R2249">
        <v>0</v>
      </c>
      <c r="S2249" t="str">
        <f>IF(Table1[prior_dna_count]&gt;=1,"Has prior DNA history","No prior DNA history")</f>
        <v>No prior DNA history</v>
      </c>
      <c r="T2249" t="s">
        <v>22</v>
      </c>
      <c r="U2249" t="str">
        <f t="shared" si="35"/>
        <v>1</v>
      </c>
      <c r="V2249" t="str">
        <f>IF(Table1[appointment_status]="Attended","1","0")</f>
        <v>1</v>
      </c>
      <c r="W2249" t="str">
        <f>IF(Table1[appointment_status]="Cancelled","1","0")</f>
        <v>0</v>
      </c>
    </row>
    <row r="2250" spans="1:23">
      <c r="A2250" t="s">
        <v>3486</v>
      </c>
      <c r="B2250" t="s">
        <v>3487</v>
      </c>
      <c r="C2250">
        <v>19</v>
      </c>
      <c r="D2250" t="str" cm="1">
        <f t="array" ref="D2250">_xlfn.IFS(Table1[[#This Row],[age]]&lt;=17,"0-17",C2250&lt;=29,"18-29",C2250&lt;=44,"30-44",C2250&lt;=59,"45-59",C2250&lt;=74,"60-74",TRUE,"75+")</f>
        <v>18-29</v>
      </c>
      <c r="E2250" t="s">
        <v>17</v>
      </c>
      <c r="F2250">
        <v>4</v>
      </c>
      <c r="G2250" t="str" cm="1">
        <f t="array" ref="G2250">_xlfn.IFS(_xlfn.SINGLE(Table1[imd_decile])&lt;=3,"Most Deprived",F2250&lt;=7,"Moderately Deprived",F2250&lt;=10,"Least Deprived")</f>
        <v>Moderately Deprived</v>
      </c>
      <c r="H2250">
        <v>1.8</v>
      </c>
      <c r="I2250" t="s">
        <v>38</v>
      </c>
      <c r="J2250" t="s">
        <v>19</v>
      </c>
      <c r="K2250" s="1">
        <v>45890</v>
      </c>
      <c r="L2250" s="1">
        <v>45962</v>
      </c>
      <c r="M2250" s="1" t="str">
        <f>TEXT(Table1[[#This Row],[appointment_date]],"MM/YYYY")</f>
        <v>11/2025</v>
      </c>
      <c r="N2250">
        <v>72</v>
      </c>
      <c r="O2250" t="str" cm="1">
        <f t="array" ref="O2250">_xlfn.IFS(Table1[[#This Row],[lead_time_days]]&lt;=7,"0-7 days",N2250&lt;=14,"8-14 days",N2250&lt;=30,"15-30 days",N2250&lt;=60,"31-60 days",TRUE,"61+ days")</f>
        <v>61+ days</v>
      </c>
      <c r="P2250" t="s">
        <v>55</v>
      </c>
      <c r="Q2250" t="s">
        <v>21</v>
      </c>
      <c r="R2250">
        <v>0</v>
      </c>
      <c r="S2250" t="str">
        <f>IF(Table1[prior_dna_count]&gt;=1,"Has prior DNA history","No prior DNA history")</f>
        <v>No prior DNA history</v>
      </c>
      <c r="T2250" t="s">
        <v>22</v>
      </c>
      <c r="U2250" t="str">
        <f t="shared" si="35"/>
        <v>1</v>
      </c>
      <c r="V2250" t="str">
        <f>IF(Table1[appointment_status]="Attended","1","0")</f>
        <v>1</v>
      </c>
      <c r="W2250" t="str">
        <f>IF(Table1[appointment_status]="Cancelled","1","0")</f>
        <v>0</v>
      </c>
    </row>
    <row r="2251" spans="1:23">
      <c r="A2251" t="s">
        <v>3488</v>
      </c>
      <c r="B2251" t="s">
        <v>3084</v>
      </c>
      <c r="C2251">
        <v>25</v>
      </c>
      <c r="D2251" t="str" cm="1">
        <f t="array" ref="D2251">_xlfn.IFS(Table1[[#This Row],[age]]&lt;=17,"0-17",C2251&lt;=29,"18-29",C2251&lt;=44,"30-44",C2251&lt;=59,"45-59",C2251&lt;=74,"60-74",TRUE,"75+")</f>
        <v>18-29</v>
      </c>
      <c r="E2251" t="s">
        <v>29</v>
      </c>
      <c r="F2251">
        <v>7</v>
      </c>
      <c r="G2251" t="str" cm="1">
        <f t="array" ref="G2251">_xlfn.IFS(_xlfn.SINGLE(Table1[imd_decile])&lt;=3,"Most Deprived",F2251&lt;=7,"Moderately Deprived",F2251&lt;=10,"Least Deprived")</f>
        <v>Moderately Deprived</v>
      </c>
      <c r="H2251">
        <v>7.9</v>
      </c>
      <c r="I2251" t="s">
        <v>30</v>
      </c>
      <c r="J2251" t="s">
        <v>19</v>
      </c>
      <c r="K2251" s="1">
        <v>45922</v>
      </c>
      <c r="L2251" s="1">
        <v>45962</v>
      </c>
      <c r="M2251" s="1" t="str">
        <f>TEXT(Table1[[#This Row],[appointment_date]],"MM/YYYY")</f>
        <v>11/2025</v>
      </c>
      <c r="N2251">
        <v>40</v>
      </c>
      <c r="O2251" t="str" cm="1">
        <f t="array" ref="O2251">_xlfn.IFS(Table1[[#This Row],[lead_time_days]]&lt;=7,"0-7 days",N2251&lt;=14,"8-14 days",N2251&lt;=30,"15-30 days",N2251&lt;=60,"31-60 days",TRUE,"61+ days")</f>
        <v>31-60 days</v>
      </c>
      <c r="P2251" t="s">
        <v>55</v>
      </c>
      <c r="Q2251" t="s">
        <v>21</v>
      </c>
      <c r="R2251">
        <v>0</v>
      </c>
      <c r="S2251" t="str">
        <f>IF(Table1[prior_dna_count]&gt;=1,"Has prior DNA history","No prior DNA history")</f>
        <v>No prior DNA history</v>
      </c>
      <c r="T2251" t="s">
        <v>22</v>
      </c>
      <c r="U2251" t="str">
        <f t="shared" si="35"/>
        <v>1</v>
      </c>
      <c r="V2251" t="str">
        <f>IF(Table1[appointment_status]="Attended","1","0")</f>
        <v>1</v>
      </c>
      <c r="W2251" t="str">
        <f>IF(Table1[appointment_status]="Cancelled","1","0")</f>
        <v>0</v>
      </c>
    </row>
    <row r="2252" spans="1:23">
      <c r="A2252" t="s">
        <v>3489</v>
      </c>
      <c r="B2252" t="s">
        <v>3490</v>
      </c>
      <c r="C2252">
        <v>66</v>
      </c>
      <c r="D2252" t="str" cm="1">
        <f t="array" ref="D2252">_xlfn.IFS(Table1[[#This Row],[age]]&lt;=17,"0-17",C2252&lt;=29,"18-29",C2252&lt;=44,"30-44",C2252&lt;=59,"45-59",C2252&lt;=74,"60-74",TRUE,"75+")</f>
        <v>60-74</v>
      </c>
      <c r="E2252" t="s">
        <v>29</v>
      </c>
      <c r="F2252">
        <v>10</v>
      </c>
      <c r="G2252" t="str" cm="1">
        <f t="array" ref="G2252">_xlfn.IFS(_xlfn.SINGLE(Table1[imd_decile])&lt;=3,"Most Deprived",F2252&lt;=7,"Moderately Deprived",F2252&lt;=10,"Least Deprived")</f>
        <v>Least Deprived</v>
      </c>
      <c r="H2252">
        <v>13.8</v>
      </c>
      <c r="I2252" t="s">
        <v>25</v>
      </c>
      <c r="J2252" t="s">
        <v>19</v>
      </c>
      <c r="K2252" s="1">
        <v>45935</v>
      </c>
      <c r="L2252" s="1">
        <v>45962</v>
      </c>
      <c r="M2252" s="1" t="str">
        <f>TEXT(Table1[[#This Row],[appointment_date]],"MM/YYYY")</f>
        <v>11/2025</v>
      </c>
      <c r="N2252">
        <v>27</v>
      </c>
      <c r="O2252" t="str" cm="1">
        <f t="array" ref="O2252">_xlfn.IFS(Table1[[#This Row],[lead_time_days]]&lt;=7,"0-7 days",N2252&lt;=14,"8-14 days",N2252&lt;=30,"15-30 days",N2252&lt;=60,"31-60 days",TRUE,"61+ days")</f>
        <v>15-30 days</v>
      </c>
      <c r="P2252" t="s">
        <v>55</v>
      </c>
      <c r="Q2252" t="s">
        <v>21</v>
      </c>
      <c r="R2252">
        <v>0</v>
      </c>
      <c r="S2252" t="str">
        <f>IF(Table1[prior_dna_count]&gt;=1,"Has prior DNA history","No prior DNA history")</f>
        <v>No prior DNA history</v>
      </c>
      <c r="T2252" t="s">
        <v>22</v>
      </c>
      <c r="U2252" t="str">
        <f t="shared" si="35"/>
        <v>1</v>
      </c>
      <c r="V2252" t="str">
        <f>IF(Table1[appointment_status]="Attended","1","0")</f>
        <v>1</v>
      </c>
      <c r="W2252" t="str">
        <f>IF(Table1[appointment_status]="Cancelled","1","0")</f>
        <v>0</v>
      </c>
    </row>
    <row r="2253" spans="1:23">
      <c r="A2253" t="s">
        <v>3491</v>
      </c>
      <c r="B2253" t="s">
        <v>3086</v>
      </c>
      <c r="C2253">
        <v>38</v>
      </c>
      <c r="D2253" t="str" cm="1">
        <f t="array" ref="D2253">_xlfn.IFS(Table1[[#This Row],[age]]&lt;=17,"0-17",C2253&lt;=29,"18-29",C2253&lt;=44,"30-44",C2253&lt;=59,"45-59",C2253&lt;=74,"60-74",TRUE,"75+")</f>
        <v>30-44</v>
      </c>
      <c r="E2253" t="s">
        <v>29</v>
      </c>
      <c r="F2253">
        <v>3</v>
      </c>
      <c r="G2253" t="str" cm="1">
        <f t="array" ref="G2253">_xlfn.IFS(_xlfn.SINGLE(Table1[imd_decile])&lt;=3,"Most Deprived",F2253&lt;=7,"Moderately Deprived",F2253&lt;=10,"Least Deprived")</f>
        <v>Most Deprived</v>
      </c>
      <c r="H2253">
        <v>11.3</v>
      </c>
      <c r="I2253" t="s">
        <v>49</v>
      </c>
      <c r="J2253" t="s">
        <v>19</v>
      </c>
      <c r="K2253" s="1">
        <v>45928</v>
      </c>
      <c r="L2253" s="1">
        <v>45963</v>
      </c>
      <c r="M2253" s="1" t="str">
        <f>TEXT(Table1[[#This Row],[appointment_date]],"MM/YYYY")</f>
        <v>11/2025</v>
      </c>
      <c r="N2253">
        <v>35</v>
      </c>
      <c r="O2253" t="str" cm="1">
        <f t="array" ref="O2253">_xlfn.IFS(Table1[[#This Row],[lead_time_days]]&lt;=7,"0-7 days",N2253&lt;=14,"8-14 days",N2253&lt;=30,"15-30 days",N2253&lt;=60,"31-60 days",TRUE,"61+ days")</f>
        <v>31-60 days</v>
      </c>
      <c r="P2253" t="s">
        <v>31</v>
      </c>
      <c r="Q2253" t="s">
        <v>32</v>
      </c>
      <c r="R2253">
        <v>0</v>
      </c>
      <c r="S2253" t="str">
        <f>IF(Table1[prior_dna_count]&gt;=1,"Has prior DNA history","No prior DNA history")</f>
        <v>No prior DNA history</v>
      </c>
      <c r="T2253" t="s">
        <v>22</v>
      </c>
      <c r="U2253" t="str">
        <f t="shared" si="35"/>
        <v>1</v>
      </c>
      <c r="V2253" t="str">
        <f>IF(Table1[appointment_status]="Attended","1","0")</f>
        <v>1</v>
      </c>
      <c r="W2253" t="str">
        <f>IF(Table1[appointment_status]="Cancelled","1","0")</f>
        <v>0</v>
      </c>
    </row>
    <row r="2254" spans="1:23">
      <c r="A2254" t="s">
        <v>3492</v>
      </c>
      <c r="B2254" t="s">
        <v>261</v>
      </c>
      <c r="C2254">
        <v>43</v>
      </c>
      <c r="D2254" t="str" cm="1">
        <f t="array" ref="D2254">_xlfn.IFS(Table1[[#This Row],[age]]&lt;=17,"0-17",C2254&lt;=29,"18-29",C2254&lt;=44,"30-44",C2254&lt;=59,"45-59",C2254&lt;=74,"60-74",TRUE,"75+")</f>
        <v>30-44</v>
      </c>
      <c r="E2254" t="s">
        <v>17</v>
      </c>
      <c r="F2254">
        <v>3</v>
      </c>
      <c r="G2254" t="str" cm="1">
        <f t="array" ref="G2254">_xlfn.IFS(_xlfn.SINGLE(Table1[imd_decile])&lt;=3,"Most Deprived",F2254&lt;=7,"Moderately Deprived",F2254&lt;=10,"Least Deprived")</f>
        <v>Most Deprived</v>
      </c>
      <c r="H2254">
        <v>2.7</v>
      </c>
      <c r="I2254" t="s">
        <v>18</v>
      </c>
      <c r="J2254" t="s">
        <v>19</v>
      </c>
      <c r="K2254" s="1">
        <v>45939</v>
      </c>
      <c r="L2254" s="1">
        <v>45963</v>
      </c>
      <c r="M2254" s="1" t="str">
        <f>TEXT(Table1[[#This Row],[appointment_date]],"MM/YYYY")</f>
        <v>11/2025</v>
      </c>
      <c r="N2254">
        <v>24</v>
      </c>
      <c r="O2254" t="str" cm="1">
        <f t="array" ref="O2254">_xlfn.IFS(Table1[[#This Row],[lead_time_days]]&lt;=7,"0-7 days",N2254&lt;=14,"8-14 days",N2254&lt;=30,"15-30 days",N2254&lt;=60,"31-60 days",TRUE,"61+ days")</f>
        <v>15-30 days</v>
      </c>
      <c r="P2254" t="s">
        <v>31</v>
      </c>
      <c r="Q2254" t="s">
        <v>21</v>
      </c>
      <c r="R2254">
        <v>0</v>
      </c>
      <c r="S2254" t="str">
        <f>IF(Table1[prior_dna_count]&gt;=1,"Has prior DNA history","No prior DNA history")</f>
        <v>No prior DNA history</v>
      </c>
      <c r="T2254" t="s">
        <v>46</v>
      </c>
      <c r="U2254" t="str">
        <f t="shared" si="35"/>
        <v>1</v>
      </c>
      <c r="V2254" t="str">
        <f>IF(Table1[appointment_status]="Attended","1","0")</f>
        <v>0</v>
      </c>
      <c r="W2254" t="str">
        <f>IF(Table1[appointment_status]="Cancelled","1","0")</f>
        <v>1</v>
      </c>
    </row>
    <row r="2255" spans="1:23">
      <c r="A2255" t="s">
        <v>3493</v>
      </c>
      <c r="B2255" t="s">
        <v>1646</v>
      </c>
      <c r="C2255">
        <v>43</v>
      </c>
      <c r="D2255" t="str" cm="1">
        <f t="array" ref="D2255">_xlfn.IFS(Table1[[#This Row],[age]]&lt;=17,"0-17",C2255&lt;=29,"18-29",C2255&lt;=44,"30-44",C2255&lt;=59,"45-59",C2255&lt;=74,"60-74",TRUE,"75+")</f>
        <v>30-44</v>
      </c>
      <c r="E2255" t="s">
        <v>17</v>
      </c>
      <c r="F2255">
        <v>10</v>
      </c>
      <c r="G2255" t="str" cm="1">
        <f t="array" ref="G2255">_xlfn.IFS(_xlfn.SINGLE(Table1[imd_decile])&lt;=3,"Most Deprived",F2255&lt;=7,"Moderately Deprived",F2255&lt;=10,"Least Deprived")</f>
        <v>Least Deprived</v>
      </c>
      <c r="H2255">
        <v>4.8</v>
      </c>
      <c r="I2255" t="s">
        <v>30</v>
      </c>
      <c r="J2255" t="s">
        <v>19</v>
      </c>
      <c r="K2255" s="1">
        <v>45919</v>
      </c>
      <c r="L2255" s="1">
        <v>45963</v>
      </c>
      <c r="M2255" s="1" t="str">
        <f>TEXT(Table1[[#This Row],[appointment_date]],"MM/YYYY")</f>
        <v>11/2025</v>
      </c>
      <c r="N2255">
        <v>44</v>
      </c>
      <c r="O2255" t="str" cm="1">
        <f t="array" ref="O2255">_xlfn.IFS(Table1[[#This Row],[lead_time_days]]&lt;=7,"0-7 days",N2255&lt;=14,"8-14 days",N2255&lt;=30,"15-30 days",N2255&lt;=60,"31-60 days",TRUE,"61+ days")</f>
        <v>31-60 days</v>
      </c>
      <c r="P2255" t="s">
        <v>31</v>
      </c>
      <c r="Q2255" t="s">
        <v>21</v>
      </c>
      <c r="R2255">
        <v>0</v>
      </c>
      <c r="S2255" t="str">
        <f>IF(Table1[prior_dna_count]&gt;=1,"Has prior DNA history","No prior DNA history")</f>
        <v>No prior DNA history</v>
      </c>
      <c r="T2255" t="s">
        <v>22</v>
      </c>
      <c r="U2255" t="str">
        <f t="shared" si="35"/>
        <v>0</v>
      </c>
      <c r="V2255" t="str">
        <f>IF(Table1[appointment_status]="Attended","1","0")</f>
        <v>1</v>
      </c>
      <c r="W2255" t="str">
        <f>IF(Table1[appointment_status]="Cancelled","1","0")</f>
        <v>0</v>
      </c>
    </row>
    <row r="2256" spans="1:23">
      <c r="A2256" t="s">
        <v>3494</v>
      </c>
      <c r="B2256" t="s">
        <v>2184</v>
      </c>
      <c r="C2256">
        <v>64</v>
      </c>
      <c r="D2256" t="str" cm="1">
        <f t="array" ref="D2256">_xlfn.IFS(Table1[[#This Row],[age]]&lt;=17,"0-17",C2256&lt;=29,"18-29",C2256&lt;=44,"30-44",C2256&lt;=59,"45-59",C2256&lt;=74,"60-74",TRUE,"75+")</f>
        <v>60-74</v>
      </c>
      <c r="E2256" t="s">
        <v>17</v>
      </c>
      <c r="F2256">
        <v>4</v>
      </c>
      <c r="G2256" t="str" cm="1">
        <f t="array" ref="G2256">_xlfn.IFS(_xlfn.SINGLE(Table1[imd_decile])&lt;=3,"Most Deprived",F2256&lt;=7,"Moderately Deprived",F2256&lt;=10,"Least Deprived")</f>
        <v>Moderately Deprived</v>
      </c>
      <c r="H2256">
        <v>5</v>
      </c>
      <c r="I2256" t="s">
        <v>18</v>
      </c>
      <c r="J2256" t="s">
        <v>19</v>
      </c>
      <c r="K2256" s="1">
        <v>45925</v>
      </c>
      <c r="L2256" s="1">
        <v>45963</v>
      </c>
      <c r="M2256" s="1" t="str">
        <f>TEXT(Table1[[#This Row],[appointment_date]],"MM/YYYY")</f>
        <v>11/2025</v>
      </c>
      <c r="N2256">
        <v>38</v>
      </c>
      <c r="O2256" t="str" cm="1">
        <f t="array" ref="O2256">_xlfn.IFS(Table1[[#This Row],[lead_time_days]]&lt;=7,"0-7 days",N2256&lt;=14,"8-14 days",N2256&lt;=30,"15-30 days",N2256&lt;=60,"31-60 days",TRUE,"61+ days")</f>
        <v>31-60 days</v>
      </c>
      <c r="P2256" t="s">
        <v>31</v>
      </c>
      <c r="Q2256" t="s">
        <v>21</v>
      </c>
      <c r="R2256">
        <v>0</v>
      </c>
      <c r="S2256" t="str">
        <f>IF(Table1[prior_dna_count]&gt;=1,"Has prior DNA history","No prior DNA history")</f>
        <v>No prior DNA history</v>
      </c>
      <c r="T2256" t="s">
        <v>22</v>
      </c>
      <c r="U2256" t="str">
        <f t="shared" si="35"/>
        <v>1</v>
      </c>
      <c r="V2256" t="str">
        <f>IF(Table1[appointment_status]="Attended","1","0")</f>
        <v>1</v>
      </c>
      <c r="W2256" t="str">
        <f>IF(Table1[appointment_status]="Cancelled","1","0")</f>
        <v>0</v>
      </c>
    </row>
    <row r="2257" spans="1:23">
      <c r="A2257" t="s">
        <v>3495</v>
      </c>
      <c r="B2257" t="s">
        <v>2593</v>
      </c>
      <c r="C2257">
        <v>67</v>
      </c>
      <c r="D2257" t="str" cm="1">
        <f t="array" ref="D2257">_xlfn.IFS(Table1[[#This Row],[age]]&lt;=17,"0-17",C2257&lt;=29,"18-29",C2257&lt;=44,"30-44",C2257&lt;=59,"45-59",C2257&lt;=74,"60-74",TRUE,"75+")</f>
        <v>60-74</v>
      </c>
      <c r="E2257" t="s">
        <v>17</v>
      </c>
      <c r="F2257">
        <v>5</v>
      </c>
      <c r="G2257" t="str" cm="1">
        <f t="array" ref="G2257">_xlfn.IFS(_xlfn.SINGLE(Table1[imd_decile])&lt;=3,"Most Deprived",F2257&lt;=7,"Moderately Deprived",F2257&lt;=10,"Least Deprived")</f>
        <v>Moderately Deprived</v>
      </c>
      <c r="H2257">
        <v>8.8000000000000007</v>
      </c>
      <c r="I2257" t="s">
        <v>49</v>
      </c>
      <c r="J2257" t="s">
        <v>26</v>
      </c>
      <c r="K2257" s="1">
        <v>45957</v>
      </c>
      <c r="L2257" s="1">
        <v>45963</v>
      </c>
      <c r="M2257" s="1" t="str">
        <f>TEXT(Table1[[#This Row],[appointment_date]],"MM/YYYY")</f>
        <v>11/2025</v>
      </c>
      <c r="N2257">
        <v>6</v>
      </c>
      <c r="O2257" t="str" cm="1">
        <f t="array" ref="O2257">_xlfn.IFS(Table1[[#This Row],[lead_time_days]]&lt;=7,"0-7 days",N2257&lt;=14,"8-14 days",N2257&lt;=30,"15-30 days",N2257&lt;=60,"31-60 days",TRUE,"61+ days")</f>
        <v>0-7 days</v>
      </c>
      <c r="P2257" t="s">
        <v>31</v>
      </c>
      <c r="Q2257" t="s">
        <v>32</v>
      </c>
      <c r="R2257">
        <v>0</v>
      </c>
      <c r="S2257" t="str">
        <f>IF(Table1[prior_dna_count]&gt;=1,"Has prior DNA history","No prior DNA history")</f>
        <v>No prior DNA history</v>
      </c>
      <c r="T2257" t="s">
        <v>22</v>
      </c>
      <c r="U2257" t="str">
        <f t="shared" si="35"/>
        <v>1</v>
      </c>
      <c r="V2257" t="str">
        <f>IF(Table1[appointment_status]="Attended","1","0")</f>
        <v>1</v>
      </c>
      <c r="W2257" t="str">
        <f>IF(Table1[appointment_status]="Cancelled","1","0")</f>
        <v>0</v>
      </c>
    </row>
    <row r="2258" spans="1:23">
      <c r="A2258" t="s">
        <v>3496</v>
      </c>
      <c r="B2258" t="s">
        <v>2516</v>
      </c>
      <c r="C2258">
        <v>66</v>
      </c>
      <c r="D2258" t="str" cm="1">
        <f t="array" ref="D2258">_xlfn.IFS(Table1[[#This Row],[age]]&lt;=17,"0-17",C2258&lt;=29,"18-29",C2258&lt;=44,"30-44",C2258&lt;=59,"45-59",C2258&lt;=74,"60-74",TRUE,"75+")</f>
        <v>60-74</v>
      </c>
      <c r="E2258" t="s">
        <v>17</v>
      </c>
      <c r="F2258">
        <v>6</v>
      </c>
      <c r="G2258" t="str" cm="1">
        <f t="array" ref="G2258">_xlfn.IFS(_xlfn.SINGLE(Table1[imd_decile])&lt;=3,"Most Deprived",F2258&lt;=7,"Moderately Deprived",F2258&lt;=10,"Least Deprived")</f>
        <v>Moderately Deprived</v>
      </c>
      <c r="H2258">
        <v>11.6</v>
      </c>
      <c r="I2258" t="s">
        <v>38</v>
      </c>
      <c r="J2258" t="s">
        <v>19</v>
      </c>
      <c r="K2258" s="1">
        <v>45923</v>
      </c>
      <c r="L2258" s="1">
        <v>45963</v>
      </c>
      <c r="M2258" s="1" t="str">
        <f>TEXT(Table1[[#This Row],[appointment_date]],"MM/YYYY")</f>
        <v>11/2025</v>
      </c>
      <c r="N2258">
        <v>40</v>
      </c>
      <c r="O2258" t="str" cm="1">
        <f t="array" ref="O2258">_xlfn.IFS(Table1[[#This Row],[lead_time_days]]&lt;=7,"0-7 days",N2258&lt;=14,"8-14 days",N2258&lt;=30,"15-30 days",N2258&lt;=60,"31-60 days",TRUE,"61+ days")</f>
        <v>31-60 days</v>
      </c>
      <c r="P2258" t="s">
        <v>31</v>
      </c>
      <c r="Q2258" t="s">
        <v>21</v>
      </c>
      <c r="R2258">
        <v>0</v>
      </c>
      <c r="S2258" t="str">
        <f>IF(Table1[prior_dna_count]&gt;=1,"Has prior DNA history","No prior DNA history")</f>
        <v>No prior DNA history</v>
      </c>
      <c r="T2258" t="s">
        <v>46</v>
      </c>
      <c r="U2258" t="str">
        <f t="shared" si="35"/>
        <v>1</v>
      </c>
      <c r="V2258" t="str">
        <f>IF(Table1[appointment_status]="Attended","1","0")</f>
        <v>0</v>
      </c>
      <c r="W2258" t="str">
        <f>IF(Table1[appointment_status]="Cancelled","1","0")</f>
        <v>1</v>
      </c>
    </row>
    <row r="2259" spans="1:23">
      <c r="A2259" t="s">
        <v>3497</v>
      </c>
      <c r="B2259" t="s">
        <v>3498</v>
      </c>
      <c r="C2259">
        <v>42</v>
      </c>
      <c r="D2259" t="str" cm="1">
        <f t="array" ref="D2259">_xlfn.IFS(Table1[[#This Row],[age]]&lt;=17,"0-17",C2259&lt;=29,"18-29",C2259&lt;=44,"30-44",C2259&lt;=59,"45-59",C2259&lt;=74,"60-74",TRUE,"75+")</f>
        <v>30-44</v>
      </c>
      <c r="E2259" t="s">
        <v>29</v>
      </c>
      <c r="F2259">
        <v>3</v>
      </c>
      <c r="G2259" t="str" cm="1">
        <f t="array" ref="G2259">_xlfn.IFS(_xlfn.SINGLE(Table1[imd_decile])&lt;=3,"Most Deprived",F2259&lt;=7,"Moderately Deprived",F2259&lt;=10,"Least Deprived")</f>
        <v>Most Deprived</v>
      </c>
      <c r="H2259">
        <v>8.1999999999999993</v>
      </c>
      <c r="I2259" t="s">
        <v>18</v>
      </c>
      <c r="J2259" t="s">
        <v>19</v>
      </c>
      <c r="K2259" s="1">
        <v>45917</v>
      </c>
      <c r="L2259" s="1">
        <v>45963</v>
      </c>
      <c r="M2259" s="1" t="str">
        <f>TEXT(Table1[[#This Row],[appointment_date]],"MM/YYYY")</f>
        <v>11/2025</v>
      </c>
      <c r="N2259">
        <v>46</v>
      </c>
      <c r="O2259" t="str" cm="1">
        <f t="array" ref="O2259">_xlfn.IFS(Table1[[#This Row],[lead_time_days]]&lt;=7,"0-7 days",N2259&lt;=14,"8-14 days",N2259&lt;=30,"15-30 days",N2259&lt;=60,"31-60 days",TRUE,"61+ days")</f>
        <v>31-60 days</v>
      </c>
      <c r="P2259" t="s">
        <v>31</v>
      </c>
      <c r="Q2259" t="s">
        <v>21</v>
      </c>
      <c r="R2259">
        <v>0</v>
      </c>
      <c r="S2259" t="str">
        <f>IF(Table1[prior_dna_count]&gt;=1,"Has prior DNA history","No prior DNA history")</f>
        <v>No prior DNA history</v>
      </c>
      <c r="T2259" t="s">
        <v>22</v>
      </c>
      <c r="U2259" t="str">
        <f t="shared" si="35"/>
        <v>0</v>
      </c>
      <c r="V2259" t="str">
        <f>IF(Table1[appointment_status]="Attended","1","0")</f>
        <v>1</v>
      </c>
      <c r="W2259" t="str">
        <f>IF(Table1[appointment_status]="Cancelled","1","0")</f>
        <v>0</v>
      </c>
    </row>
    <row r="2260" spans="1:23">
      <c r="A2260" t="s">
        <v>3499</v>
      </c>
      <c r="B2260" t="s">
        <v>1729</v>
      </c>
      <c r="C2260">
        <v>46</v>
      </c>
      <c r="D2260" t="str" cm="1">
        <f t="array" ref="D2260">_xlfn.IFS(Table1[[#This Row],[age]]&lt;=17,"0-17",C2260&lt;=29,"18-29",C2260&lt;=44,"30-44",C2260&lt;=59,"45-59",C2260&lt;=74,"60-74",TRUE,"75+")</f>
        <v>45-59</v>
      </c>
      <c r="E2260" t="s">
        <v>17</v>
      </c>
      <c r="F2260">
        <v>2</v>
      </c>
      <c r="G2260" t="str" cm="1">
        <f t="array" ref="G2260">_xlfn.IFS(_xlfn.SINGLE(Table1[imd_decile])&lt;=3,"Most Deprived",F2260&lt;=7,"Moderately Deprived",F2260&lt;=10,"Least Deprived")</f>
        <v>Most Deprived</v>
      </c>
      <c r="H2260">
        <v>9.6</v>
      </c>
      <c r="I2260" t="s">
        <v>45</v>
      </c>
      <c r="J2260" t="s">
        <v>26</v>
      </c>
      <c r="K2260" s="1">
        <v>45951</v>
      </c>
      <c r="L2260" s="1">
        <v>45963</v>
      </c>
      <c r="M2260" s="1" t="str">
        <f>TEXT(Table1[[#This Row],[appointment_date]],"MM/YYYY")</f>
        <v>11/2025</v>
      </c>
      <c r="N2260">
        <v>12</v>
      </c>
      <c r="O2260" t="str" cm="1">
        <f t="array" ref="O2260">_xlfn.IFS(Table1[[#This Row],[lead_time_days]]&lt;=7,"0-7 days",N2260&lt;=14,"8-14 days",N2260&lt;=30,"15-30 days",N2260&lt;=60,"31-60 days",TRUE,"61+ days")</f>
        <v>8-14 days</v>
      </c>
      <c r="P2260" t="s">
        <v>31</v>
      </c>
      <c r="Q2260" t="s">
        <v>21</v>
      </c>
      <c r="R2260">
        <v>0</v>
      </c>
      <c r="S2260" t="str">
        <f>IF(Table1[prior_dna_count]&gt;=1,"Has prior DNA history","No prior DNA history")</f>
        <v>No prior DNA history</v>
      </c>
      <c r="T2260" t="s">
        <v>22</v>
      </c>
      <c r="U2260" t="str">
        <f t="shared" si="35"/>
        <v>1</v>
      </c>
      <c r="V2260" t="str">
        <f>IF(Table1[appointment_status]="Attended","1","0")</f>
        <v>1</v>
      </c>
      <c r="W2260" t="str">
        <f>IF(Table1[appointment_status]="Cancelled","1","0")</f>
        <v>0</v>
      </c>
    </row>
    <row r="2261" spans="1:23">
      <c r="A2261" t="s">
        <v>3500</v>
      </c>
      <c r="B2261" t="s">
        <v>2330</v>
      </c>
      <c r="C2261">
        <v>54</v>
      </c>
      <c r="D2261" t="str" cm="1">
        <f t="array" ref="D2261">_xlfn.IFS(Table1[[#This Row],[age]]&lt;=17,"0-17",C2261&lt;=29,"18-29",C2261&lt;=44,"30-44",C2261&lt;=59,"45-59",C2261&lt;=74,"60-74",TRUE,"75+")</f>
        <v>45-59</v>
      </c>
      <c r="E2261" t="s">
        <v>29</v>
      </c>
      <c r="F2261">
        <v>9</v>
      </c>
      <c r="G2261" t="str" cm="1">
        <f t="array" ref="G2261">_xlfn.IFS(_xlfn.SINGLE(Table1[imd_decile])&lt;=3,"Most Deprived",F2261&lt;=7,"Moderately Deprived",F2261&lt;=10,"Least Deprived")</f>
        <v>Least Deprived</v>
      </c>
      <c r="H2261">
        <v>2.1</v>
      </c>
      <c r="I2261" t="s">
        <v>18</v>
      </c>
      <c r="J2261" t="s">
        <v>26</v>
      </c>
      <c r="K2261" s="1">
        <v>45948</v>
      </c>
      <c r="L2261" s="1">
        <v>45963</v>
      </c>
      <c r="M2261" s="1" t="str">
        <f>TEXT(Table1[[#This Row],[appointment_date]],"MM/YYYY")</f>
        <v>11/2025</v>
      </c>
      <c r="N2261">
        <v>15</v>
      </c>
      <c r="O2261" t="str" cm="1">
        <f t="array" ref="O2261">_xlfn.IFS(Table1[[#This Row],[lead_time_days]]&lt;=7,"0-7 days",N2261&lt;=14,"8-14 days",N2261&lt;=30,"15-30 days",N2261&lt;=60,"31-60 days",TRUE,"61+ days")</f>
        <v>15-30 days</v>
      </c>
      <c r="P2261" t="s">
        <v>31</v>
      </c>
      <c r="Q2261" t="s">
        <v>21</v>
      </c>
      <c r="R2261">
        <v>0</v>
      </c>
      <c r="S2261" t="str">
        <f>IF(Table1[prior_dna_count]&gt;=1,"Has prior DNA history","No prior DNA history")</f>
        <v>No prior DNA history</v>
      </c>
      <c r="T2261" t="s">
        <v>22</v>
      </c>
      <c r="U2261" t="str">
        <f t="shared" si="35"/>
        <v>1</v>
      </c>
      <c r="V2261" t="str">
        <f>IF(Table1[appointment_status]="Attended","1","0")</f>
        <v>1</v>
      </c>
      <c r="W2261" t="str">
        <f>IF(Table1[appointment_status]="Cancelled","1","0")</f>
        <v>0</v>
      </c>
    </row>
    <row r="2262" spans="1:23">
      <c r="A2262" t="s">
        <v>3501</v>
      </c>
      <c r="B2262" t="s">
        <v>1539</v>
      </c>
      <c r="C2262">
        <v>60</v>
      </c>
      <c r="D2262" t="str" cm="1">
        <f t="array" ref="D2262">_xlfn.IFS(Table1[[#This Row],[age]]&lt;=17,"0-17",C2262&lt;=29,"18-29",C2262&lt;=44,"30-44",C2262&lt;=59,"45-59",C2262&lt;=74,"60-74",TRUE,"75+")</f>
        <v>60-74</v>
      </c>
      <c r="E2262" t="s">
        <v>17</v>
      </c>
      <c r="F2262">
        <v>4</v>
      </c>
      <c r="G2262" t="str" cm="1">
        <f t="array" ref="G2262">_xlfn.IFS(_xlfn.SINGLE(Table1[imd_decile])&lt;=3,"Most Deprived",F2262&lt;=7,"Moderately Deprived",F2262&lt;=10,"Least Deprived")</f>
        <v>Moderately Deprived</v>
      </c>
      <c r="H2262">
        <v>4.8</v>
      </c>
      <c r="I2262" t="s">
        <v>42</v>
      </c>
      <c r="J2262" t="s">
        <v>26</v>
      </c>
      <c r="K2262" s="1">
        <v>45925</v>
      </c>
      <c r="L2262" s="1">
        <v>45963</v>
      </c>
      <c r="M2262" s="1" t="str">
        <f>TEXT(Table1[[#This Row],[appointment_date]],"MM/YYYY")</f>
        <v>11/2025</v>
      </c>
      <c r="N2262">
        <v>38</v>
      </c>
      <c r="O2262" t="str" cm="1">
        <f t="array" ref="O2262">_xlfn.IFS(Table1[[#This Row],[lead_time_days]]&lt;=7,"0-7 days",N2262&lt;=14,"8-14 days",N2262&lt;=30,"15-30 days",N2262&lt;=60,"31-60 days",TRUE,"61+ days")</f>
        <v>31-60 days</v>
      </c>
      <c r="P2262" t="s">
        <v>31</v>
      </c>
      <c r="Q2262" t="s">
        <v>21</v>
      </c>
      <c r="R2262">
        <v>0</v>
      </c>
      <c r="S2262" t="str">
        <f>IF(Table1[prior_dna_count]&gt;=1,"Has prior DNA history","No prior DNA history")</f>
        <v>No prior DNA history</v>
      </c>
      <c r="T2262" t="s">
        <v>22</v>
      </c>
      <c r="U2262" t="str">
        <f t="shared" si="35"/>
        <v>1</v>
      </c>
      <c r="V2262" t="str">
        <f>IF(Table1[appointment_status]="Attended","1","0")</f>
        <v>1</v>
      </c>
      <c r="W2262" t="str">
        <f>IF(Table1[appointment_status]="Cancelled","1","0")</f>
        <v>0</v>
      </c>
    </row>
    <row r="2263" spans="1:23">
      <c r="A2263" t="s">
        <v>3502</v>
      </c>
      <c r="B2263" t="s">
        <v>3024</v>
      </c>
      <c r="C2263">
        <v>59</v>
      </c>
      <c r="D2263" t="str" cm="1">
        <f t="array" ref="D2263">_xlfn.IFS(Table1[[#This Row],[age]]&lt;=17,"0-17",C2263&lt;=29,"18-29",C2263&lt;=44,"30-44",C2263&lt;=59,"45-59",C2263&lt;=74,"60-74",TRUE,"75+")</f>
        <v>45-59</v>
      </c>
      <c r="E2263" t="s">
        <v>29</v>
      </c>
      <c r="F2263">
        <v>5</v>
      </c>
      <c r="G2263" t="str" cm="1">
        <f t="array" ref="G2263">_xlfn.IFS(_xlfn.SINGLE(Table1[imd_decile])&lt;=3,"Most Deprived",F2263&lt;=7,"Moderately Deprived",F2263&lt;=10,"Least Deprived")</f>
        <v>Moderately Deprived</v>
      </c>
      <c r="H2263">
        <v>2.7</v>
      </c>
      <c r="I2263" t="s">
        <v>49</v>
      </c>
      <c r="J2263" t="s">
        <v>26</v>
      </c>
      <c r="K2263" s="1">
        <v>45954</v>
      </c>
      <c r="L2263" s="1">
        <v>45963</v>
      </c>
      <c r="M2263" s="1" t="str">
        <f>TEXT(Table1[[#This Row],[appointment_date]],"MM/YYYY")</f>
        <v>11/2025</v>
      </c>
      <c r="N2263">
        <v>9</v>
      </c>
      <c r="O2263" t="str" cm="1">
        <f t="array" ref="O2263">_xlfn.IFS(Table1[[#This Row],[lead_time_days]]&lt;=7,"0-7 days",N2263&lt;=14,"8-14 days",N2263&lt;=30,"15-30 days",N2263&lt;=60,"31-60 days",TRUE,"61+ days")</f>
        <v>8-14 days</v>
      </c>
      <c r="P2263" t="s">
        <v>31</v>
      </c>
      <c r="Q2263" t="s">
        <v>32</v>
      </c>
      <c r="R2263">
        <v>0</v>
      </c>
      <c r="S2263" t="str">
        <f>IF(Table1[prior_dna_count]&gt;=1,"Has prior DNA history","No prior DNA history")</f>
        <v>No prior DNA history</v>
      </c>
      <c r="T2263" t="s">
        <v>22</v>
      </c>
      <c r="U2263" t="str">
        <f t="shared" si="35"/>
        <v>1</v>
      </c>
      <c r="V2263" t="str">
        <f>IF(Table1[appointment_status]="Attended","1","0")</f>
        <v>1</v>
      </c>
      <c r="W2263" t="str">
        <f>IF(Table1[appointment_status]="Cancelled","1","0")</f>
        <v>0</v>
      </c>
    </row>
    <row r="2264" spans="1:23">
      <c r="A2264" t="s">
        <v>3503</v>
      </c>
      <c r="B2264" t="s">
        <v>468</v>
      </c>
      <c r="C2264">
        <v>35</v>
      </c>
      <c r="D2264" t="str" cm="1">
        <f t="array" ref="D2264">_xlfn.IFS(Table1[[#This Row],[age]]&lt;=17,"0-17",C2264&lt;=29,"18-29",C2264&lt;=44,"30-44",C2264&lt;=59,"45-59",C2264&lt;=74,"60-74",TRUE,"75+")</f>
        <v>30-44</v>
      </c>
      <c r="E2264" t="s">
        <v>17</v>
      </c>
      <c r="F2264">
        <v>3</v>
      </c>
      <c r="G2264" t="str" cm="1">
        <f t="array" ref="G2264">_xlfn.IFS(_xlfn.SINGLE(Table1[imd_decile])&lt;=3,"Most Deprived",F2264&lt;=7,"Moderately Deprived",F2264&lt;=10,"Least Deprived")</f>
        <v>Most Deprived</v>
      </c>
      <c r="H2264">
        <v>11.7</v>
      </c>
      <c r="I2264" t="s">
        <v>25</v>
      </c>
      <c r="J2264" t="s">
        <v>19</v>
      </c>
      <c r="K2264" s="1">
        <v>45882</v>
      </c>
      <c r="L2264" s="1">
        <v>45964</v>
      </c>
      <c r="M2264" s="1" t="str">
        <f>TEXT(Table1[[#This Row],[appointment_date]],"MM/YYYY")</f>
        <v>11/2025</v>
      </c>
      <c r="N2264">
        <v>82</v>
      </c>
      <c r="O2264" t="str" cm="1">
        <f t="array" ref="O2264">_xlfn.IFS(Table1[[#This Row],[lead_time_days]]&lt;=7,"0-7 days",N2264&lt;=14,"8-14 days",N2264&lt;=30,"15-30 days",N2264&lt;=60,"31-60 days",TRUE,"61+ days")</f>
        <v>61+ days</v>
      </c>
      <c r="P2264" t="s">
        <v>35</v>
      </c>
      <c r="Q2264" t="s">
        <v>21</v>
      </c>
      <c r="R2264">
        <v>0</v>
      </c>
      <c r="S2264" t="str">
        <f>IF(Table1[prior_dna_count]&gt;=1,"Has prior DNA history","No prior DNA history")</f>
        <v>No prior DNA history</v>
      </c>
      <c r="T2264" t="s">
        <v>22</v>
      </c>
      <c r="U2264" t="str">
        <f t="shared" si="35"/>
        <v>1</v>
      </c>
      <c r="V2264" t="str">
        <f>IF(Table1[appointment_status]="Attended","1","0")</f>
        <v>1</v>
      </c>
      <c r="W2264" t="str">
        <f>IF(Table1[appointment_status]="Cancelled","1","0")</f>
        <v>0</v>
      </c>
    </row>
    <row r="2265" spans="1:23">
      <c r="A2265" t="s">
        <v>3504</v>
      </c>
      <c r="B2265" t="s">
        <v>1794</v>
      </c>
      <c r="C2265">
        <v>66</v>
      </c>
      <c r="D2265" t="str" cm="1">
        <f t="array" ref="D2265">_xlfn.IFS(Table1[[#This Row],[age]]&lt;=17,"0-17",C2265&lt;=29,"18-29",C2265&lt;=44,"30-44",C2265&lt;=59,"45-59",C2265&lt;=74,"60-74",TRUE,"75+")</f>
        <v>60-74</v>
      </c>
      <c r="E2265" t="s">
        <v>29</v>
      </c>
      <c r="F2265">
        <v>7</v>
      </c>
      <c r="G2265" t="str" cm="1">
        <f t="array" ref="G2265">_xlfn.IFS(_xlfn.SINGLE(Table1[imd_decile])&lt;=3,"Most Deprived",F2265&lt;=7,"Moderately Deprived",F2265&lt;=10,"Least Deprived")</f>
        <v>Moderately Deprived</v>
      </c>
      <c r="H2265">
        <v>18.3</v>
      </c>
      <c r="I2265" t="s">
        <v>91</v>
      </c>
      <c r="J2265" t="s">
        <v>26</v>
      </c>
      <c r="K2265" s="1">
        <v>45943</v>
      </c>
      <c r="L2265" s="1">
        <v>45964</v>
      </c>
      <c r="M2265" s="1" t="str">
        <f>TEXT(Table1[[#This Row],[appointment_date]],"MM/YYYY")</f>
        <v>11/2025</v>
      </c>
      <c r="N2265">
        <v>21</v>
      </c>
      <c r="O2265" t="str" cm="1">
        <f t="array" ref="O2265">_xlfn.IFS(Table1[[#This Row],[lead_time_days]]&lt;=7,"0-7 days",N2265&lt;=14,"8-14 days",N2265&lt;=30,"15-30 days",N2265&lt;=60,"31-60 days",TRUE,"61+ days")</f>
        <v>15-30 days</v>
      </c>
      <c r="P2265" t="s">
        <v>35</v>
      </c>
      <c r="Q2265" t="s">
        <v>32</v>
      </c>
      <c r="R2265">
        <v>0</v>
      </c>
      <c r="S2265" t="str">
        <f>IF(Table1[prior_dna_count]&gt;=1,"Has prior DNA history","No prior DNA history")</f>
        <v>No prior DNA history</v>
      </c>
      <c r="T2265" t="s">
        <v>22</v>
      </c>
      <c r="U2265" t="str">
        <f t="shared" si="35"/>
        <v>1</v>
      </c>
      <c r="V2265" t="str">
        <f>IF(Table1[appointment_status]="Attended","1","0")</f>
        <v>1</v>
      </c>
      <c r="W2265" t="str">
        <f>IF(Table1[appointment_status]="Cancelled","1","0")</f>
        <v>0</v>
      </c>
    </row>
    <row r="2266" spans="1:23">
      <c r="A2266" t="s">
        <v>3505</v>
      </c>
      <c r="B2266" t="s">
        <v>3129</v>
      </c>
      <c r="C2266">
        <v>64</v>
      </c>
      <c r="D2266" t="str" cm="1">
        <f t="array" ref="D2266">_xlfn.IFS(Table1[[#This Row],[age]]&lt;=17,"0-17",C2266&lt;=29,"18-29",C2266&lt;=44,"30-44",C2266&lt;=59,"45-59",C2266&lt;=74,"60-74",TRUE,"75+")</f>
        <v>60-74</v>
      </c>
      <c r="E2266" t="s">
        <v>17</v>
      </c>
      <c r="F2266">
        <v>10</v>
      </c>
      <c r="G2266" t="str" cm="1">
        <f t="array" ref="G2266">_xlfn.IFS(_xlfn.SINGLE(Table1[imd_decile])&lt;=3,"Most Deprived",F2266&lt;=7,"Moderately Deprived",F2266&lt;=10,"Least Deprived")</f>
        <v>Least Deprived</v>
      </c>
      <c r="H2266">
        <v>4</v>
      </c>
      <c r="I2266" t="s">
        <v>25</v>
      </c>
      <c r="J2266" t="s">
        <v>19</v>
      </c>
      <c r="K2266" s="1">
        <v>45947</v>
      </c>
      <c r="L2266" s="1">
        <v>45964</v>
      </c>
      <c r="M2266" s="1" t="str">
        <f>TEXT(Table1[[#This Row],[appointment_date]],"MM/YYYY")</f>
        <v>11/2025</v>
      </c>
      <c r="N2266">
        <v>17</v>
      </c>
      <c r="O2266" t="str" cm="1">
        <f t="array" ref="O2266">_xlfn.IFS(Table1[[#This Row],[lead_time_days]]&lt;=7,"0-7 days",N2266&lt;=14,"8-14 days",N2266&lt;=30,"15-30 days",N2266&lt;=60,"31-60 days",TRUE,"61+ days")</f>
        <v>15-30 days</v>
      </c>
      <c r="P2266" t="s">
        <v>35</v>
      </c>
      <c r="Q2266" t="s">
        <v>21</v>
      </c>
      <c r="R2266">
        <v>0</v>
      </c>
      <c r="S2266" t="str">
        <f>IF(Table1[prior_dna_count]&gt;=1,"Has prior DNA history","No prior DNA history")</f>
        <v>No prior DNA history</v>
      </c>
      <c r="T2266" t="s">
        <v>22</v>
      </c>
      <c r="U2266" t="str">
        <f t="shared" si="35"/>
        <v>1</v>
      </c>
      <c r="V2266" t="str">
        <f>IF(Table1[appointment_status]="Attended","1","0")</f>
        <v>1</v>
      </c>
      <c r="W2266" t="str">
        <f>IF(Table1[appointment_status]="Cancelled","1","0")</f>
        <v>0</v>
      </c>
    </row>
    <row r="2267" spans="1:23">
      <c r="A2267" t="s">
        <v>3506</v>
      </c>
      <c r="B2267" t="s">
        <v>3507</v>
      </c>
      <c r="C2267">
        <v>58</v>
      </c>
      <c r="D2267" t="str" cm="1">
        <f t="array" ref="D2267">_xlfn.IFS(Table1[[#This Row],[age]]&lt;=17,"0-17",C2267&lt;=29,"18-29",C2267&lt;=44,"30-44",C2267&lt;=59,"45-59",C2267&lt;=74,"60-74",TRUE,"75+")</f>
        <v>45-59</v>
      </c>
      <c r="E2267" t="s">
        <v>17</v>
      </c>
      <c r="F2267">
        <v>8</v>
      </c>
      <c r="G2267" t="str" cm="1">
        <f t="array" ref="G2267">_xlfn.IFS(_xlfn.SINGLE(Table1[imd_decile])&lt;=3,"Most Deprived",F2267&lt;=7,"Moderately Deprived",F2267&lt;=10,"Least Deprived")</f>
        <v>Least Deprived</v>
      </c>
      <c r="H2267">
        <v>4.5</v>
      </c>
      <c r="I2267" t="s">
        <v>25</v>
      </c>
      <c r="J2267" t="s">
        <v>19</v>
      </c>
      <c r="K2267" s="1">
        <v>45938</v>
      </c>
      <c r="L2267" s="1">
        <v>45964</v>
      </c>
      <c r="M2267" s="1" t="str">
        <f>TEXT(Table1[[#This Row],[appointment_date]],"MM/YYYY")</f>
        <v>11/2025</v>
      </c>
      <c r="N2267">
        <v>26</v>
      </c>
      <c r="O2267" t="str" cm="1">
        <f t="array" ref="O2267">_xlfn.IFS(Table1[[#This Row],[lead_time_days]]&lt;=7,"0-7 days",N2267&lt;=14,"8-14 days",N2267&lt;=30,"15-30 days",N2267&lt;=60,"31-60 days",TRUE,"61+ days")</f>
        <v>15-30 days</v>
      </c>
      <c r="P2267" t="s">
        <v>35</v>
      </c>
      <c r="Q2267" t="s">
        <v>32</v>
      </c>
      <c r="R2267">
        <v>0</v>
      </c>
      <c r="S2267" t="str">
        <f>IF(Table1[prior_dna_count]&gt;=1,"Has prior DNA history","No prior DNA history")</f>
        <v>No prior DNA history</v>
      </c>
      <c r="T2267" t="s">
        <v>39</v>
      </c>
      <c r="U2267" t="str">
        <f t="shared" si="35"/>
        <v>1</v>
      </c>
      <c r="V2267" t="str">
        <f>IF(Table1[appointment_status]="Attended","1","0")</f>
        <v>0</v>
      </c>
      <c r="W2267" t="str">
        <f>IF(Table1[appointment_status]="Cancelled","1","0")</f>
        <v>0</v>
      </c>
    </row>
    <row r="2268" spans="1:23">
      <c r="A2268" t="s">
        <v>3508</v>
      </c>
      <c r="B2268" t="s">
        <v>1133</v>
      </c>
      <c r="C2268">
        <v>41</v>
      </c>
      <c r="D2268" t="str" cm="1">
        <f t="array" ref="D2268">_xlfn.IFS(Table1[[#This Row],[age]]&lt;=17,"0-17",C2268&lt;=29,"18-29",C2268&lt;=44,"30-44",C2268&lt;=59,"45-59",C2268&lt;=74,"60-74",TRUE,"75+")</f>
        <v>30-44</v>
      </c>
      <c r="E2268" t="s">
        <v>29</v>
      </c>
      <c r="F2268">
        <v>2</v>
      </c>
      <c r="G2268" t="str" cm="1">
        <f t="array" ref="G2268">_xlfn.IFS(_xlfn.SINGLE(Table1[imd_decile])&lt;=3,"Most Deprived",F2268&lt;=7,"Moderately Deprived",F2268&lt;=10,"Least Deprived")</f>
        <v>Most Deprived</v>
      </c>
      <c r="H2268">
        <v>3.5</v>
      </c>
      <c r="I2268" t="s">
        <v>45</v>
      </c>
      <c r="J2268" t="s">
        <v>19</v>
      </c>
      <c r="K2268" s="1">
        <v>45910</v>
      </c>
      <c r="L2268" s="1">
        <v>45964</v>
      </c>
      <c r="M2268" s="1" t="str">
        <f>TEXT(Table1[[#This Row],[appointment_date]],"MM/YYYY")</f>
        <v>11/2025</v>
      </c>
      <c r="N2268">
        <v>54</v>
      </c>
      <c r="O2268" t="str" cm="1">
        <f t="array" ref="O2268">_xlfn.IFS(Table1[[#This Row],[lead_time_days]]&lt;=7,"0-7 days",N2268&lt;=14,"8-14 days",N2268&lt;=30,"15-30 days",N2268&lt;=60,"31-60 days",TRUE,"61+ days")</f>
        <v>31-60 days</v>
      </c>
      <c r="P2268" t="s">
        <v>35</v>
      </c>
      <c r="Q2268" t="s">
        <v>21</v>
      </c>
      <c r="R2268">
        <v>0</v>
      </c>
      <c r="S2268" t="str">
        <f>IF(Table1[prior_dna_count]&gt;=1,"Has prior DNA history","No prior DNA history")</f>
        <v>No prior DNA history</v>
      </c>
      <c r="T2268" t="s">
        <v>39</v>
      </c>
      <c r="U2268" t="str">
        <f t="shared" si="35"/>
        <v>0</v>
      </c>
      <c r="V2268" t="str">
        <f>IF(Table1[appointment_status]="Attended","1","0")</f>
        <v>0</v>
      </c>
      <c r="W2268" t="str">
        <f>IF(Table1[appointment_status]="Cancelled","1","0")</f>
        <v>0</v>
      </c>
    </row>
    <row r="2269" spans="1:23">
      <c r="A2269" t="s">
        <v>3509</v>
      </c>
      <c r="B2269" t="s">
        <v>1005</v>
      </c>
      <c r="C2269">
        <v>56</v>
      </c>
      <c r="D2269" t="str" cm="1">
        <f t="array" ref="D2269">_xlfn.IFS(Table1[[#This Row],[age]]&lt;=17,"0-17",C2269&lt;=29,"18-29",C2269&lt;=44,"30-44",C2269&lt;=59,"45-59",C2269&lt;=74,"60-74",TRUE,"75+")</f>
        <v>45-59</v>
      </c>
      <c r="E2269" t="s">
        <v>29</v>
      </c>
      <c r="F2269">
        <v>5</v>
      </c>
      <c r="G2269" t="str" cm="1">
        <f t="array" ref="G2269">_xlfn.IFS(_xlfn.SINGLE(Table1[imd_decile])&lt;=3,"Most Deprived",F2269&lt;=7,"Moderately Deprived",F2269&lt;=10,"Least Deprived")</f>
        <v>Moderately Deprived</v>
      </c>
      <c r="H2269">
        <v>6.4</v>
      </c>
      <c r="I2269" t="s">
        <v>25</v>
      </c>
      <c r="J2269" t="s">
        <v>26</v>
      </c>
      <c r="K2269" s="1">
        <v>45955</v>
      </c>
      <c r="L2269" s="1">
        <v>45964</v>
      </c>
      <c r="M2269" s="1" t="str">
        <f>TEXT(Table1[[#This Row],[appointment_date]],"MM/YYYY")</f>
        <v>11/2025</v>
      </c>
      <c r="N2269">
        <v>9</v>
      </c>
      <c r="O2269" t="str" cm="1">
        <f t="array" ref="O2269">_xlfn.IFS(Table1[[#This Row],[lead_time_days]]&lt;=7,"0-7 days",N2269&lt;=14,"8-14 days",N2269&lt;=30,"15-30 days",N2269&lt;=60,"31-60 days",TRUE,"61+ days")</f>
        <v>8-14 days</v>
      </c>
      <c r="P2269" t="s">
        <v>35</v>
      </c>
      <c r="Q2269" t="s">
        <v>21</v>
      </c>
      <c r="R2269">
        <v>0</v>
      </c>
      <c r="S2269" t="str">
        <f>IF(Table1[prior_dna_count]&gt;=1,"Has prior DNA history","No prior DNA history")</f>
        <v>No prior DNA history</v>
      </c>
      <c r="T2269" t="s">
        <v>22</v>
      </c>
      <c r="U2269" t="str">
        <f t="shared" si="35"/>
        <v>0</v>
      </c>
      <c r="V2269" t="str">
        <f>IF(Table1[appointment_status]="Attended","1","0")</f>
        <v>1</v>
      </c>
      <c r="W2269" t="str">
        <f>IF(Table1[appointment_status]="Cancelled","1","0")</f>
        <v>0</v>
      </c>
    </row>
    <row r="2270" spans="1:23">
      <c r="A2270" t="s">
        <v>3510</v>
      </c>
      <c r="B2270" t="s">
        <v>3018</v>
      </c>
      <c r="C2270">
        <v>21</v>
      </c>
      <c r="D2270" t="str" cm="1">
        <f t="array" ref="D2270">_xlfn.IFS(Table1[[#This Row],[age]]&lt;=17,"0-17",C2270&lt;=29,"18-29",C2270&lt;=44,"30-44",C2270&lt;=59,"45-59",C2270&lt;=74,"60-74",TRUE,"75+")</f>
        <v>18-29</v>
      </c>
      <c r="E2270" t="s">
        <v>29</v>
      </c>
      <c r="F2270">
        <v>2</v>
      </c>
      <c r="G2270" t="str" cm="1">
        <f t="array" ref="G2270">_xlfn.IFS(_xlfn.SINGLE(Table1[imd_decile])&lt;=3,"Most Deprived",F2270&lt;=7,"Moderately Deprived",F2270&lt;=10,"Least Deprived")</f>
        <v>Most Deprived</v>
      </c>
      <c r="H2270">
        <v>11.6</v>
      </c>
      <c r="I2270" t="s">
        <v>58</v>
      </c>
      <c r="J2270" t="s">
        <v>19</v>
      </c>
      <c r="K2270" s="1">
        <v>45921</v>
      </c>
      <c r="L2270" s="1">
        <v>45964</v>
      </c>
      <c r="M2270" s="1" t="str">
        <f>TEXT(Table1[[#This Row],[appointment_date]],"MM/YYYY")</f>
        <v>11/2025</v>
      </c>
      <c r="N2270">
        <v>43</v>
      </c>
      <c r="O2270" t="str" cm="1">
        <f t="array" ref="O2270">_xlfn.IFS(Table1[[#This Row],[lead_time_days]]&lt;=7,"0-7 days",N2270&lt;=14,"8-14 days",N2270&lt;=30,"15-30 days",N2270&lt;=60,"31-60 days",TRUE,"61+ days")</f>
        <v>31-60 days</v>
      </c>
      <c r="P2270" t="s">
        <v>35</v>
      </c>
      <c r="Q2270" t="s">
        <v>21</v>
      </c>
      <c r="R2270">
        <v>0</v>
      </c>
      <c r="S2270" t="str">
        <f>IF(Table1[prior_dna_count]&gt;=1,"Has prior DNA history","No prior DNA history")</f>
        <v>No prior DNA history</v>
      </c>
      <c r="T2270" t="s">
        <v>22</v>
      </c>
      <c r="U2270" t="str">
        <f t="shared" si="35"/>
        <v>1</v>
      </c>
      <c r="V2270" t="str">
        <f>IF(Table1[appointment_status]="Attended","1","0")</f>
        <v>1</v>
      </c>
      <c r="W2270" t="str">
        <f>IF(Table1[appointment_status]="Cancelled","1","0")</f>
        <v>0</v>
      </c>
    </row>
    <row r="2271" spans="1:23">
      <c r="A2271" t="s">
        <v>3511</v>
      </c>
      <c r="B2271" t="s">
        <v>3512</v>
      </c>
      <c r="C2271">
        <v>54</v>
      </c>
      <c r="D2271" t="str" cm="1">
        <f t="array" ref="D2271">_xlfn.IFS(Table1[[#This Row],[age]]&lt;=17,"0-17",C2271&lt;=29,"18-29",C2271&lt;=44,"30-44",C2271&lt;=59,"45-59",C2271&lt;=74,"60-74",TRUE,"75+")</f>
        <v>45-59</v>
      </c>
      <c r="E2271" t="s">
        <v>17</v>
      </c>
      <c r="F2271">
        <v>9</v>
      </c>
      <c r="G2271" t="str" cm="1">
        <f t="array" ref="G2271">_xlfn.IFS(_xlfn.SINGLE(Table1[imd_decile])&lt;=3,"Most Deprived",F2271&lt;=7,"Moderately Deprived",F2271&lt;=10,"Least Deprived")</f>
        <v>Least Deprived</v>
      </c>
      <c r="H2271">
        <v>7.3</v>
      </c>
      <c r="I2271" t="s">
        <v>42</v>
      </c>
      <c r="J2271" t="s">
        <v>19</v>
      </c>
      <c r="K2271" s="1">
        <v>45948</v>
      </c>
      <c r="L2271" s="1">
        <v>45964</v>
      </c>
      <c r="M2271" s="1" t="str">
        <f>TEXT(Table1[[#This Row],[appointment_date]],"MM/YYYY")</f>
        <v>11/2025</v>
      </c>
      <c r="N2271">
        <v>16</v>
      </c>
      <c r="O2271" t="str" cm="1">
        <f t="array" ref="O2271">_xlfn.IFS(Table1[[#This Row],[lead_time_days]]&lt;=7,"0-7 days",N2271&lt;=14,"8-14 days",N2271&lt;=30,"15-30 days",N2271&lt;=60,"31-60 days",TRUE,"61+ days")</f>
        <v>15-30 days</v>
      </c>
      <c r="P2271" t="s">
        <v>35</v>
      </c>
      <c r="Q2271" t="s">
        <v>21</v>
      </c>
      <c r="R2271">
        <v>0</v>
      </c>
      <c r="S2271" t="str">
        <f>IF(Table1[prior_dna_count]&gt;=1,"Has prior DNA history","No prior DNA history")</f>
        <v>No prior DNA history</v>
      </c>
      <c r="T2271" t="s">
        <v>22</v>
      </c>
      <c r="U2271" t="str">
        <f t="shared" si="35"/>
        <v>1</v>
      </c>
      <c r="V2271" t="str">
        <f>IF(Table1[appointment_status]="Attended","1","0")</f>
        <v>1</v>
      </c>
      <c r="W2271" t="str">
        <f>IF(Table1[appointment_status]="Cancelled","1","0")</f>
        <v>0</v>
      </c>
    </row>
    <row r="2272" spans="1:23">
      <c r="A2272" t="s">
        <v>3513</v>
      </c>
      <c r="B2272" t="s">
        <v>704</v>
      </c>
      <c r="C2272">
        <v>40</v>
      </c>
      <c r="D2272" t="str" cm="1">
        <f t="array" ref="D2272">_xlfn.IFS(Table1[[#This Row],[age]]&lt;=17,"0-17",C2272&lt;=29,"18-29",C2272&lt;=44,"30-44",C2272&lt;=59,"45-59",C2272&lt;=74,"60-74",TRUE,"75+")</f>
        <v>30-44</v>
      </c>
      <c r="E2272" t="s">
        <v>29</v>
      </c>
      <c r="F2272">
        <v>3</v>
      </c>
      <c r="G2272" t="str" cm="1">
        <f t="array" ref="G2272">_xlfn.IFS(_xlfn.SINGLE(Table1[imd_decile])&lt;=3,"Most Deprived",F2272&lt;=7,"Moderately Deprived",F2272&lt;=10,"Least Deprived")</f>
        <v>Most Deprived</v>
      </c>
      <c r="H2272">
        <v>9.3000000000000007</v>
      </c>
      <c r="I2272" t="s">
        <v>30</v>
      </c>
      <c r="J2272" t="s">
        <v>19</v>
      </c>
      <c r="K2272" s="1">
        <v>45958</v>
      </c>
      <c r="L2272" s="1">
        <v>45964</v>
      </c>
      <c r="M2272" s="1" t="str">
        <f>TEXT(Table1[[#This Row],[appointment_date]],"MM/YYYY")</f>
        <v>11/2025</v>
      </c>
      <c r="N2272">
        <v>6</v>
      </c>
      <c r="O2272" t="str" cm="1">
        <f t="array" ref="O2272">_xlfn.IFS(Table1[[#This Row],[lead_time_days]]&lt;=7,"0-7 days",N2272&lt;=14,"8-14 days",N2272&lt;=30,"15-30 days",N2272&lt;=60,"31-60 days",TRUE,"61+ days")</f>
        <v>0-7 days</v>
      </c>
      <c r="P2272" t="s">
        <v>35</v>
      </c>
      <c r="Q2272" t="s">
        <v>21</v>
      </c>
      <c r="R2272">
        <v>0</v>
      </c>
      <c r="S2272" t="str">
        <f>IF(Table1[prior_dna_count]&gt;=1,"Has prior DNA history","No prior DNA history")</f>
        <v>No prior DNA history</v>
      </c>
      <c r="T2272" t="s">
        <v>22</v>
      </c>
      <c r="U2272" t="str">
        <f t="shared" si="35"/>
        <v>1</v>
      </c>
      <c r="V2272" t="str">
        <f>IF(Table1[appointment_status]="Attended","1","0")</f>
        <v>1</v>
      </c>
      <c r="W2272" t="str">
        <f>IF(Table1[appointment_status]="Cancelled","1","0")</f>
        <v>0</v>
      </c>
    </row>
    <row r="2273" spans="1:23">
      <c r="A2273" t="s">
        <v>3514</v>
      </c>
      <c r="B2273" t="s">
        <v>3515</v>
      </c>
      <c r="C2273">
        <v>41</v>
      </c>
      <c r="D2273" t="str" cm="1">
        <f t="array" ref="D2273">_xlfn.IFS(Table1[[#This Row],[age]]&lt;=17,"0-17",C2273&lt;=29,"18-29",C2273&lt;=44,"30-44",C2273&lt;=59,"45-59",C2273&lt;=74,"60-74",TRUE,"75+")</f>
        <v>30-44</v>
      </c>
      <c r="E2273" t="s">
        <v>17</v>
      </c>
      <c r="F2273">
        <v>1</v>
      </c>
      <c r="G2273" t="str" cm="1">
        <f t="array" ref="G2273">_xlfn.IFS(_xlfn.SINGLE(Table1[imd_decile])&lt;=3,"Most Deprived",F2273&lt;=7,"Moderately Deprived",F2273&lt;=10,"Least Deprived")</f>
        <v>Most Deprived</v>
      </c>
      <c r="H2273">
        <v>0.8</v>
      </c>
      <c r="I2273" t="s">
        <v>42</v>
      </c>
      <c r="J2273" t="s">
        <v>19</v>
      </c>
      <c r="K2273" s="1">
        <v>45940</v>
      </c>
      <c r="L2273" s="1">
        <v>45964</v>
      </c>
      <c r="M2273" s="1" t="str">
        <f>TEXT(Table1[[#This Row],[appointment_date]],"MM/YYYY")</f>
        <v>11/2025</v>
      </c>
      <c r="N2273">
        <v>24</v>
      </c>
      <c r="O2273" t="str" cm="1">
        <f t="array" ref="O2273">_xlfn.IFS(Table1[[#This Row],[lead_time_days]]&lt;=7,"0-7 days",N2273&lt;=14,"8-14 days",N2273&lt;=30,"15-30 days",N2273&lt;=60,"31-60 days",TRUE,"61+ days")</f>
        <v>15-30 days</v>
      </c>
      <c r="P2273" t="s">
        <v>35</v>
      </c>
      <c r="Q2273" t="s">
        <v>21</v>
      </c>
      <c r="R2273">
        <v>0</v>
      </c>
      <c r="S2273" t="str">
        <f>IF(Table1[prior_dna_count]&gt;=1,"Has prior DNA history","No prior DNA history")</f>
        <v>No prior DNA history</v>
      </c>
      <c r="T2273" t="s">
        <v>22</v>
      </c>
      <c r="U2273" t="str">
        <f t="shared" si="35"/>
        <v>1</v>
      </c>
      <c r="V2273" t="str">
        <f>IF(Table1[appointment_status]="Attended","1","0")</f>
        <v>1</v>
      </c>
      <c r="W2273" t="str">
        <f>IF(Table1[appointment_status]="Cancelled","1","0")</f>
        <v>0</v>
      </c>
    </row>
    <row r="2274" spans="1:23">
      <c r="A2274" t="s">
        <v>3516</v>
      </c>
      <c r="B2274" t="s">
        <v>2624</v>
      </c>
      <c r="C2274">
        <v>39</v>
      </c>
      <c r="D2274" t="str" cm="1">
        <f t="array" ref="D2274">_xlfn.IFS(Table1[[#This Row],[age]]&lt;=17,"0-17",C2274&lt;=29,"18-29",C2274&lt;=44,"30-44",C2274&lt;=59,"45-59",C2274&lt;=74,"60-74",TRUE,"75+")</f>
        <v>30-44</v>
      </c>
      <c r="E2274" t="s">
        <v>17</v>
      </c>
      <c r="F2274">
        <v>4</v>
      </c>
      <c r="G2274" t="str" cm="1">
        <f t="array" ref="G2274">_xlfn.IFS(_xlfn.SINGLE(Table1[imd_decile])&lt;=3,"Most Deprived",F2274&lt;=7,"Moderately Deprived",F2274&lt;=10,"Least Deprived")</f>
        <v>Moderately Deprived</v>
      </c>
      <c r="H2274">
        <v>4.3</v>
      </c>
      <c r="I2274" t="s">
        <v>91</v>
      </c>
      <c r="J2274" t="s">
        <v>26</v>
      </c>
      <c r="K2274" s="1">
        <v>45954</v>
      </c>
      <c r="L2274" s="1">
        <v>45964</v>
      </c>
      <c r="M2274" s="1" t="str">
        <f>TEXT(Table1[[#This Row],[appointment_date]],"MM/YYYY")</f>
        <v>11/2025</v>
      </c>
      <c r="N2274">
        <v>10</v>
      </c>
      <c r="O2274" t="str" cm="1">
        <f t="array" ref="O2274">_xlfn.IFS(Table1[[#This Row],[lead_time_days]]&lt;=7,"0-7 days",N2274&lt;=14,"8-14 days",N2274&lt;=30,"15-30 days",N2274&lt;=60,"31-60 days",TRUE,"61+ days")</f>
        <v>8-14 days</v>
      </c>
      <c r="P2274" t="s">
        <v>35</v>
      </c>
      <c r="Q2274" t="s">
        <v>21</v>
      </c>
      <c r="R2274">
        <v>0</v>
      </c>
      <c r="S2274" t="str">
        <f>IF(Table1[prior_dna_count]&gt;=1,"Has prior DNA history","No prior DNA history")</f>
        <v>No prior DNA history</v>
      </c>
      <c r="T2274" t="s">
        <v>39</v>
      </c>
      <c r="U2274" t="str">
        <f t="shared" si="35"/>
        <v>1</v>
      </c>
      <c r="V2274" t="str">
        <f>IF(Table1[appointment_status]="Attended","1","0")</f>
        <v>0</v>
      </c>
      <c r="W2274" t="str">
        <f>IF(Table1[appointment_status]="Cancelled","1","0")</f>
        <v>0</v>
      </c>
    </row>
    <row r="2275" spans="1:23">
      <c r="A2275" t="s">
        <v>3517</v>
      </c>
      <c r="B2275" t="s">
        <v>1596</v>
      </c>
      <c r="C2275">
        <v>63</v>
      </c>
      <c r="D2275" t="str" cm="1">
        <f t="array" ref="D2275">_xlfn.IFS(Table1[[#This Row],[age]]&lt;=17,"0-17",C2275&lt;=29,"18-29",C2275&lt;=44,"30-44",C2275&lt;=59,"45-59",C2275&lt;=74,"60-74",TRUE,"75+")</f>
        <v>60-74</v>
      </c>
      <c r="E2275" t="s">
        <v>17</v>
      </c>
      <c r="F2275">
        <v>7</v>
      </c>
      <c r="G2275" t="str" cm="1">
        <f t="array" ref="G2275">_xlfn.IFS(_xlfn.SINGLE(Table1[imd_decile])&lt;=3,"Most Deprived",F2275&lt;=7,"Moderately Deprived",F2275&lt;=10,"Least Deprived")</f>
        <v>Moderately Deprived</v>
      </c>
      <c r="H2275">
        <v>4</v>
      </c>
      <c r="I2275" t="s">
        <v>42</v>
      </c>
      <c r="J2275" t="s">
        <v>19</v>
      </c>
      <c r="K2275" s="1">
        <v>45899</v>
      </c>
      <c r="L2275" s="1">
        <v>45964</v>
      </c>
      <c r="M2275" s="1" t="str">
        <f>TEXT(Table1[[#This Row],[appointment_date]],"MM/YYYY")</f>
        <v>11/2025</v>
      </c>
      <c r="N2275">
        <v>65</v>
      </c>
      <c r="O2275" t="str" cm="1">
        <f t="array" ref="O2275">_xlfn.IFS(Table1[[#This Row],[lead_time_days]]&lt;=7,"0-7 days",N2275&lt;=14,"8-14 days",N2275&lt;=30,"15-30 days",N2275&lt;=60,"31-60 days",TRUE,"61+ days")</f>
        <v>61+ days</v>
      </c>
      <c r="P2275" t="s">
        <v>35</v>
      </c>
      <c r="Q2275" t="s">
        <v>21</v>
      </c>
      <c r="R2275">
        <v>0</v>
      </c>
      <c r="S2275" t="str">
        <f>IF(Table1[prior_dna_count]&gt;=1,"Has prior DNA history","No prior DNA history")</f>
        <v>No prior DNA history</v>
      </c>
      <c r="T2275" t="s">
        <v>46</v>
      </c>
      <c r="U2275" t="str">
        <f t="shared" si="35"/>
        <v>0</v>
      </c>
      <c r="V2275" t="str">
        <f>IF(Table1[appointment_status]="Attended","1","0")</f>
        <v>0</v>
      </c>
      <c r="W2275" t="str">
        <f>IF(Table1[appointment_status]="Cancelled","1","0")</f>
        <v>1</v>
      </c>
    </row>
    <row r="2276" spans="1:23">
      <c r="A2276" t="s">
        <v>3518</v>
      </c>
      <c r="B2276" t="s">
        <v>611</v>
      </c>
      <c r="C2276">
        <v>20</v>
      </c>
      <c r="D2276" t="str" cm="1">
        <f t="array" ref="D2276">_xlfn.IFS(Table1[[#This Row],[age]]&lt;=17,"0-17",C2276&lt;=29,"18-29",C2276&lt;=44,"30-44",C2276&lt;=59,"45-59",C2276&lt;=74,"60-74",TRUE,"75+")</f>
        <v>18-29</v>
      </c>
      <c r="E2276" t="s">
        <v>17</v>
      </c>
      <c r="F2276">
        <v>3</v>
      </c>
      <c r="G2276" t="str" cm="1">
        <f t="array" ref="G2276">_xlfn.IFS(_xlfn.SINGLE(Table1[imd_decile])&lt;=3,"Most Deprived",F2276&lt;=7,"Moderately Deprived",F2276&lt;=10,"Least Deprived")</f>
        <v>Most Deprived</v>
      </c>
      <c r="H2276">
        <v>3.7</v>
      </c>
      <c r="I2276" t="s">
        <v>155</v>
      </c>
      <c r="J2276" t="s">
        <v>26</v>
      </c>
      <c r="K2276" s="1">
        <v>45938</v>
      </c>
      <c r="L2276" s="1">
        <v>45965</v>
      </c>
      <c r="M2276" s="1" t="str">
        <f>TEXT(Table1[[#This Row],[appointment_date]],"MM/YYYY")</f>
        <v>11/2025</v>
      </c>
      <c r="N2276">
        <v>27</v>
      </c>
      <c r="O2276" t="str" cm="1">
        <f t="array" ref="O2276">_xlfn.IFS(Table1[[#This Row],[lead_time_days]]&lt;=7,"0-7 days",N2276&lt;=14,"8-14 days",N2276&lt;=30,"15-30 days",N2276&lt;=60,"31-60 days",TRUE,"61+ days")</f>
        <v>15-30 days</v>
      </c>
      <c r="P2276" t="s">
        <v>71</v>
      </c>
      <c r="Q2276" t="s">
        <v>32</v>
      </c>
      <c r="R2276">
        <v>0</v>
      </c>
      <c r="S2276" t="str">
        <f>IF(Table1[prior_dna_count]&gt;=1,"Has prior DNA history","No prior DNA history")</f>
        <v>No prior DNA history</v>
      </c>
      <c r="T2276" t="s">
        <v>39</v>
      </c>
      <c r="U2276" t="str">
        <f t="shared" si="35"/>
        <v>0</v>
      </c>
      <c r="V2276" t="str">
        <f>IF(Table1[appointment_status]="Attended","1","0")</f>
        <v>0</v>
      </c>
      <c r="W2276" t="str">
        <f>IF(Table1[appointment_status]="Cancelled","1","0")</f>
        <v>0</v>
      </c>
    </row>
    <row r="2277" spans="1:23">
      <c r="A2277" t="s">
        <v>3519</v>
      </c>
      <c r="B2277" t="s">
        <v>3133</v>
      </c>
      <c r="C2277">
        <v>87</v>
      </c>
      <c r="D2277" t="str" cm="1">
        <f t="array" ref="D2277">_xlfn.IFS(Table1[[#This Row],[age]]&lt;=17,"0-17",C2277&lt;=29,"18-29",C2277&lt;=44,"30-44",C2277&lt;=59,"45-59",C2277&lt;=74,"60-74",TRUE,"75+")</f>
        <v>75+</v>
      </c>
      <c r="E2277" t="s">
        <v>17</v>
      </c>
      <c r="F2277">
        <v>7</v>
      </c>
      <c r="G2277" t="str" cm="1">
        <f t="array" ref="G2277">_xlfn.IFS(_xlfn.SINGLE(Table1[imd_decile])&lt;=3,"Most Deprived",F2277&lt;=7,"Moderately Deprived",F2277&lt;=10,"Least Deprived")</f>
        <v>Moderately Deprived</v>
      </c>
      <c r="H2277">
        <v>15</v>
      </c>
      <c r="I2277" t="s">
        <v>45</v>
      </c>
      <c r="J2277" t="s">
        <v>26</v>
      </c>
      <c r="K2277" s="1">
        <v>45954</v>
      </c>
      <c r="L2277" s="1">
        <v>45965</v>
      </c>
      <c r="M2277" s="1" t="str">
        <f>TEXT(Table1[[#This Row],[appointment_date]],"MM/YYYY")</f>
        <v>11/2025</v>
      </c>
      <c r="N2277">
        <v>11</v>
      </c>
      <c r="O2277" t="str" cm="1">
        <f t="array" ref="O2277">_xlfn.IFS(Table1[[#This Row],[lead_time_days]]&lt;=7,"0-7 days",N2277&lt;=14,"8-14 days",N2277&lt;=30,"15-30 days",N2277&lt;=60,"31-60 days",TRUE,"61+ days")</f>
        <v>8-14 days</v>
      </c>
      <c r="P2277" t="s">
        <v>71</v>
      </c>
      <c r="Q2277" t="s">
        <v>21</v>
      </c>
      <c r="R2277">
        <v>0</v>
      </c>
      <c r="S2277" t="str">
        <f>IF(Table1[prior_dna_count]&gt;=1,"Has prior DNA history","No prior DNA history")</f>
        <v>No prior DNA history</v>
      </c>
      <c r="T2277" t="s">
        <v>22</v>
      </c>
      <c r="U2277" t="str">
        <f t="shared" si="35"/>
        <v>0</v>
      </c>
      <c r="V2277" t="str">
        <f>IF(Table1[appointment_status]="Attended","1","0")</f>
        <v>1</v>
      </c>
      <c r="W2277" t="str">
        <f>IF(Table1[appointment_status]="Cancelled","1","0")</f>
        <v>0</v>
      </c>
    </row>
    <row r="2278" spans="1:23">
      <c r="A2278" t="s">
        <v>3520</v>
      </c>
      <c r="B2278" t="s">
        <v>1524</v>
      </c>
      <c r="C2278">
        <v>73</v>
      </c>
      <c r="D2278" t="str" cm="1">
        <f t="array" ref="D2278">_xlfn.IFS(Table1[[#This Row],[age]]&lt;=17,"0-17",C2278&lt;=29,"18-29",C2278&lt;=44,"30-44",C2278&lt;=59,"45-59",C2278&lt;=74,"60-74",TRUE,"75+")</f>
        <v>60-74</v>
      </c>
      <c r="E2278" t="s">
        <v>29</v>
      </c>
      <c r="F2278">
        <v>8</v>
      </c>
      <c r="G2278" t="str" cm="1">
        <f t="array" ref="G2278">_xlfn.IFS(_xlfn.SINGLE(Table1[imd_decile])&lt;=3,"Most Deprived",F2278&lt;=7,"Moderately Deprived",F2278&lt;=10,"Least Deprived")</f>
        <v>Least Deprived</v>
      </c>
      <c r="H2278">
        <v>9.6999999999999993</v>
      </c>
      <c r="I2278" t="s">
        <v>38</v>
      </c>
      <c r="J2278" t="s">
        <v>26</v>
      </c>
      <c r="K2278" s="1">
        <v>45961</v>
      </c>
      <c r="L2278" s="1">
        <v>45965</v>
      </c>
      <c r="M2278" s="1" t="str">
        <f>TEXT(Table1[[#This Row],[appointment_date]],"MM/YYYY")</f>
        <v>11/2025</v>
      </c>
      <c r="N2278">
        <v>4</v>
      </c>
      <c r="O2278" t="str" cm="1">
        <f t="array" ref="O2278">_xlfn.IFS(Table1[[#This Row],[lead_time_days]]&lt;=7,"0-7 days",N2278&lt;=14,"8-14 days",N2278&lt;=30,"15-30 days",N2278&lt;=60,"31-60 days",TRUE,"61+ days")</f>
        <v>0-7 days</v>
      </c>
      <c r="P2278" t="s">
        <v>71</v>
      </c>
      <c r="Q2278" t="s">
        <v>21</v>
      </c>
      <c r="R2278">
        <v>0</v>
      </c>
      <c r="S2278" t="str">
        <f>IF(Table1[prior_dna_count]&gt;=1,"Has prior DNA history","No prior DNA history")</f>
        <v>No prior DNA history</v>
      </c>
      <c r="T2278" t="s">
        <v>22</v>
      </c>
      <c r="U2278" t="str">
        <f t="shared" si="35"/>
        <v>1</v>
      </c>
      <c r="V2278" t="str">
        <f>IF(Table1[appointment_status]="Attended","1","0")</f>
        <v>1</v>
      </c>
      <c r="W2278" t="str">
        <f>IF(Table1[appointment_status]="Cancelled","1","0")</f>
        <v>0</v>
      </c>
    </row>
    <row r="2279" spans="1:23">
      <c r="A2279" t="s">
        <v>3521</v>
      </c>
      <c r="B2279" t="s">
        <v>3522</v>
      </c>
      <c r="C2279">
        <v>52</v>
      </c>
      <c r="D2279" t="str" cm="1">
        <f t="array" ref="D2279">_xlfn.IFS(Table1[[#This Row],[age]]&lt;=17,"0-17",C2279&lt;=29,"18-29",C2279&lt;=44,"30-44",C2279&lt;=59,"45-59",C2279&lt;=74,"60-74",TRUE,"75+")</f>
        <v>45-59</v>
      </c>
      <c r="E2279" t="s">
        <v>29</v>
      </c>
      <c r="F2279">
        <v>3</v>
      </c>
      <c r="G2279" t="str" cm="1">
        <f t="array" ref="G2279">_xlfn.IFS(_xlfn.SINGLE(Table1[imd_decile])&lt;=3,"Most Deprived",F2279&lt;=7,"Moderately Deprived",F2279&lt;=10,"Least Deprived")</f>
        <v>Most Deprived</v>
      </c>
      <c r="H2279">
        <v>5.8</v>
      </c>
      <c r="I2279" t="s">
        <v>91</v>
      </c>
      <c r="J2279" t="s">
        <v>19</v>
      </c>
      <c r="K2279" s="1">
        <v>45903</v>
      </c>
      <c r="L2279" s="1">
        <v>45965</v>
      </c>
      <c r="M2279" s="1" t="str">
        <f>TEXT(Table1[[#This Row],[appointment_date]],"MM/YYYY")</f>
        <v>11/2025</v>
      </c>
      <c r="N2279">
        <v>62</v>
      </c>
      <c r="O2279" t="str" cm="1">
        <f t="array" ref="O2279">_xlfn.IFS(Table1[[#This Row],[lead_time_days]]&lt;=7,"0-7 days",N2279&lt;=14,"8-14 days",N2279&lt;=30,"15-30 days",N2279&lt;=60,"31-60 days",TRUE,"61+ days")</f>
        <v>61+ days</v>
      </c>
      <c r="P2279" t="s">
        <v>71</v>
      </c>
      <c r="Q2279" t="s">
        <v>21</v>
      </c>
      <c r="R2279">
        <v>0</v>
      </c>
      <c r="S2279" t="str">
        <f>IF(Table1[prior_dna_count]&gt;=1,"Has prior DNA history","No prior DNA history")</f>
        <v>No prior DNA history</v>
      </c>
      <c r="T2279" t="s">
        <v>22</v>
      </c>
      <c r="U2279" t="str">
        <f t="shared" si="35"/>
        <v>1</v>
      </c>
      <c r="V2279" t="str">
        <f>IF(Table1[appointment_status]="Attended","1","0")</f>
        <v>1</v>
      </c>
      <c r="W2279" t="str">
        <f>IF(Table1[appointment_status]="Cancelled","1","0")</f>
        <v>0</v>
      </c>
    </row>
    <row r="2280" spans="1:23">
      <c r="A2280" t="s">
        <v>3523</v>
      </c>
      <c r="B2280" t="s">
        <v>1965</v>
      </c>
      <c r="C2280">
        <v>26</v>
      </c>
      <c r="D2280" t="str" cm="1">
        <f t="array" ref="D2280">_xlfn.IFS(Table1[[#This Row],[age]]&lt;=17,"0-17",C2280&lt;=29,"18-29",C2280&lt;=44,"30-44",C2280&lt;=59,"45-59",C2280&lt;=74,"60-74",TRUE,"75+")</f>
        <v>18-29</v>
      </c>
      <c r="E2280" t="s">
        <v>17</v>
      </c>
      <c r="F2280">
        <v>9</v>
      </c>
      <c r="G2280" t="str" cm="1">
        <f t="array" ref="G2280">_xlfn.IFS(_xlfn.SINGLE(Table1[imd_decile])&lt;=3,"Most Deprived",F2280&lt;=7,"Moderately Deprived",F2280&lt;=10,"Least Deprived")</f>
        <v>Least Deprived</v>
      </c>
      <c r="H2280">
        <v>4.5999999999999996</v>
      </c>
      <c r="I2280" t="s">
        <v>25</v>
      </c>
      <c r="J2280" t="s">
        <v>26</v>
      </c>
      <c r="K2280" s="1">
        <v>45957</v>
      </c>
      <c r="L2280" s="1">
        <v>45965</v>
      </c>
      <c r="M2280" s="1" t="str">
        <f>TEXT(Table1[[#This Row],[appointment_date]],"MM/YYYY")</f>
        <v>11/2025</v>
      </c>
      <c r="N2280">
        <v>8</v>
      </c>
      <c r="O2280" t="str" cm="1">
        <f t="array" ref="O2280">_xlfn.IFS(Table1[[#This Row],[lead_time_days]]&lt;=7,"0-7 days",N2280&lt;=14,"8-14 days",N2280&lt;=30,"15-30 days",N2280&lt;=60,"31-60 days",TRUE,"61+ days")</f>
        <v>8-14 days</v>
      </c>
      <c r="P2280" t="s">
        <v>71</v>
      </c>
      <c r="Q2280" t="s">
        <v>32</v>
      </c>
      <c r="R2280">
        <v>0</v>
      </c>
      <c r="S2280" t="str">
        <f>IF(Table1[prior_dna_count]&gt;=1,"Has prior DNA history","No prior DNA history")</f>
        <v>No prior DNA history</v>
      </c>
      <c r="T2280" t="s">
        <v>46</v>
      </c>
      <c r="U2280" t="str">
        <f t="shared" si="35"/>
        <v>1</v>
      </c>
      <c r="V2280" t="str">
        <f>IF(Table1[appointment_status]="Attended","1","0")</f>
        <v>0</v>
      </c>
      <c r="W2280" t="str">
        <f>IF(Table1[appointment_status]="Cancelled","1","0")</f>
        <v>1</v>
      </c>
    </row>
    <row r="2281" spans="1:23">
      <c r="A2281" t="s">
        <v>3524</v>
      </c>
      <c r="B2281" t="s">
        <v>2076</v>
      </c>
      <c r="C2281">
        <v>51</v>
      </c>
      <c r="D2281" t="str" cm="1">
        <f t="array" ref="D2281">_xlfn.IFS(Table1[[#This Row],[age]]&lt;=17,"0-17",C2281&lt;=29,"18-29",C2281&lt;=44,"30-44",C2281&lt;=59,"45-59",C2281&lt;=74,"60-74",TRUE,"75+")</f>
        <v>45-59</v>
      </c>
      <c r="E2281" t="s">
        <v>29</v>
      </c>
      <c r="F2281">
        <v>9</v>
      </c>
      <c r="G2281" t="str" cm="1">
        <f t="array" ref="G2281">_xlfn.IFS(_xlfn.SINGLE(Table1[imd_decile])&lt;=3,"Most Deprived",F2281&lt;=7,"Moderately Deprived",F2281&lt;=10,"Least Deprived")</f>
        <v>Least Deprived</v>
      </c>
      <c r="H2281">
        <v>3.1</v>
      </c>
      <c r="I2281" t="s">
        <v>38</v>
      </c>
      <c r="J2281" t="s">
        <v>19</v>
      </c>
      <c r="K2281" s="1">
        <v>45944</v>
      </c>
      <c r="L2281" s="1">
        <v>45965</v>
      </c>
      <c r="M2281" s="1" t="str">
        <f>TEXT(Table1[[#This Row],[appointment_date]],"MM/YYYY")</f>
        <v>11/2025</v>
      </c>
      <c r="N2281">
        <v>21</v>
      </c>
      <c r="O2281" t="str" cm="1">
        <f t="array" ref="O2281">_xlfn.IFS(Table1[[#This Row],[lead_time_days]]&lt;=7,"0-7 days",N2281&lt;=14,"8-14 days",N2281&lt;=30,"15-30 days",N2281&lt;=60,"31-60 days",TRUE,"61+ days")</f>
        <v>15-30 days</v>
      </c>
      <c r="P2281" t="s">
        <v>71</v>
      </c>
      <c r="Q2281" t="s">
        <v>21</v>
      </c>
      <c r="R2281">
        <v>0</v>
      </c>
      <c r="S2281" t="str">
        <f>IF(Table1[prior_dna_count]&gt;=1,"Has prior DNA history","No prior DNA history")</f>
        <v>No prior DNA history</v>
      </c>
      <c r="T2281" t="s">
        <v>22</v>
      </c>
      <c r="U2281" t="str">
        <f t="shared" si="35"/>
        <v>0</v>
      </c>
      <c r="V2281" t="str">
        <f>IF(Table1[appointment_status]="Attended","1","0")</f>
        <v>1</v>
      </c>
      <c r="W2281" t="str">
        <f>IF(Table1[appointment_status]="Cancelled","1","0")</f>
        <v>0</v>
      </c>
    </row>
    <row r="2282" spans="1:23">
      <c r="A2282" t="s">
        <v>3525</v>
      </c>
      <c r="B2282" t="s">
        <v>2514</v>
      </c>
      <c r="C2282">
        <v>85</v>
      </c>
      <c r="D2282" t="str" cm="1">
        <f t="array" ref="D2282">_xlfn.IFS(Table1[[#This Row],[age]]&lt;=17,"0-17",C2282&lt;=29,"18-29",C2282&lt;=44,"30-44",C2282&lt;=59,"45-59",C2282&lt;=74,"60-74",TRUE,"75+")</f>
        <v>75+</v>
      </c>
      <c r="E2282" t="s">
        <v>29</v>
      </c>
      <c r="F2282">
        <v>1</v>
      </c>
      <c r="G2282" t="str" cm="1">
        <f t="array" ref="G2282">_xlfn.IFS(_xlfn.SINGLE(Table1[imd_decile])&lt;=3,"Most Deprived",F2282&lt;=7,"Moderately Deprived",F2282&lt;=10,"Least Deprived")</f>
        <v>Most Deprived</v>
      </c>
      <c r="H2282">
        <v>0.7</v>
      </c>
      <c r="I2282" t="s">
        <v>45</v>
      </c>
      <c r="J2282" t="s">
        <v>26</v>
      </c>
      <c r="K2282" s="1">
        <v>45961</v>
      </c>
      <c r="L2282" s="1">
        <v>45965</v>
      </c>
      <c r="M2282" s="1" t="str">
        <f>TEXT(Table1[[#This Row],[appointment_date]],"MM/YYYY")</f>
        <v>11/2025</v>
      </c>
      <c r="N2282">
        <v>4</v>
      </c>
      <c r="O2282" t="str" cm="1">
        <f t="array" ref="O2282">_xlfn.IFS(Table1[[#This Row],[lead_time_days]]&lt;=7,"0-7 days",N2282&lt;=14,"8-14 days",N2282&lt;=30,"15-30 days",N2282&lt;=60,"31-60 days",TRUE,"61+ days")</f>
        <v>0-7 days</v>
      </c>
      <c r="P2282" t="s">
        <v>71</v>
      </c>
      <c r="Q2282" t="s">
        <v>21</v>
      </c>
      <c r="R2282">
        <v>0</v>
      </c>
      <c r="S2282" t="str">
        <f>IF(Table1[prior_dna_count]&gt;=1,"Has prior DNA history","No prior DNA history")</f>
        <v>No prior DNA history</v>
      </c>
      <c r="T2282" t="s">
        <v>22</v>
      </c>
      <c r="U2282" t="str">
        <f t="shared" si="35"/>
        <v>1</v>
      </c>
      <c r="V2282" t="str">
        <f>IF(Table1[appointment_status]="Attended","1","0")</f>
        <v>1</v>
      </c>
      <c r="W2282" t="str">
        <f>IF(Table1[appointment_status]="Cancelled","1","0")</f>
        <v>0</v>
      </c>
    </row>
    <row r="2283" spans="1:23">
      <c r="A2283" t="s">
        <v>3526</v>
      </c>
      <c r="B2283" t="s">
        <v>3527</v>
      </c>
      <c r="C2283">
        <v>37</v>
      </c>
      <c r="D2283" t="str" cm="1">
        <f t="array" ref="D2283">_xlfn.IFS(Table1[[#This Row],[age]]&lt;=17,"0-17",C2283&lt;=29,"18-29",C2283&lt;=44,"30-44",C2283&lt;=59,"45-59",C2283&lt;=74,"60-74",TRUE,"75+")</f>
        <v>30-44</v>
      </c>
      <c r="E2283" t="s">
        <v>17</v>
      </c>
      <c r="F2283">
        <v>7</v>
      </c>
      <c r="G2283" t="str" cm="1">
        <f t="array" ref="G2283">_xlfn.IFS(_xlfn.SINGLE(Table1[imd_decile])&lt;=3,"Most Deprived",F2283&lt;=7,"Moderately Deprived",F2283&lt;=10,"Least Deprived")</f>
        <v>Moderately Deprived</v>
      </c>
      <c r="H2283">
        <v>1.3</v>
      </c>
      <c r="I2283" t="s">
        <v>58</v>
      </c>
      <c r="J2283" t="s">
        <v>26</v>
      </c>
      <c r="K2283" s="1">
        <v>45961</v>
      </c>
      <c r="L2283" s="1">
        <v>45965</v>
      </c>
      <c r="M2283" s="1" t="str">
        <f>TEXT(Table1[[#This Row],[appointment_date]],"MM/YYYY")</f>
        <v>11/2025</v>
      </c>
      <c r="N2283">
        <v>4</v>
      </c>
      <c r="O2283" t="str" cm="1">
        <f t="array" ref="O2283">_xlfn.IFS(Table1[[#This Row],[lead_time_days]]&lt;=7,"0-7 days",N2283&lt;=14,"8-14 days",N2283&lt;=30,"15-30 days",N2283&lt;=60,"31-60 days",TRUE,"61+ days")</f>
        <v>0-7 days</v>
      </c>
      <c r="P2283" t="s">
        <v>71</v>
      </c>
      <c r="Q2283" t="s">
        <v>32</v>
      </c>
      <c r="R2283">
        <v>0</v>
      </c>
      <c r="S2283" t="str">
        <f>IF(Table1[prior_dna_count]&gt;=1,"Has prior DNA history","No prior DNA history")</f>
        <v>No prior DNA history</v>
      </c>
      <c r="T2283" t="s">
        <v>39</v>
      </c>
      <c r="U2283" t="str">
        <f t="shared" si="35"/>
        <v>1</v>
      </c>
      <c r="V2283" t="str">
        <f>IF(Table1[appointment_status]="Attended","1","0")</f>
        <v>0</v>
      </c>
      <c r="W2283" t="str">
        <f>IF(Table1[appointment_status]="Cancelled","1","0")</f>
        <v>0</v>
      </c>
    </row>
    <row r="2284" spans="1:23">
      <c r="A2284" t="s">
        <v>3528</v>
      </c>
      <c r="B2284" t="s">
        <v>619</v>
      </c>
      <c r="C2284">
        <v>57</v>
      </c>
      <c r="D2284" t="str" cm="1">
        <f t="array" ref="D2284">_xlfn.IFS(Table1[[#This Row],[age]]&lt;=17,"0-17",C2284&lt;=29,"18-29",C2284&lt;=44,"30-44",C2284&lt;=59,"45-59",C2284&lt;=74,"60-74",TRUE,"75+")</f>
        <v>45-59</v>
      </c>
      <c r="E2284" t="s">
        <v>17</v>
      </c>
      <c r="F2284">
        <v>8</v>
      </c>
      <c r="G2284" t="str" cm="1">
        <f t="array" ref="G2284">_xlfn.IFS(_xlfn.SINGLE(Table1[imd_decile])&lt;=3,"Most Deprived",F2284&lt;=7,"Moderately Deprived",F2284&lt;=10,"Least Deprived")</f>
        <v>Least Deprived</v>
      </c>
      <c r="H2284">
        <v>3.1</v>
      </c>
      <c r="I2284" t="s">
        <v>30</v>
      </c>
      <c r="J2284" t="s">
        <v>19</v>
      </c>
      <c r="K2284" s="1">
        <v>45926</v>
      </c>
      <c r="L2284" s="1">
        <v>45966</v>
      </c>
      <c r="M2284" s="1" t="str">
        <f>TEXT(Table1[[#This Row],[appointment_date]],"MM/YYYY")</f>
        <v>11/2025</v>
      </c>
      <c r="N2284">
        <v>40</v>
      </c>
      <c r="O2284" t="str" cm="1">
        <f t="array" ref="O2284">_xlfn.IFS(Table1[[#This Row],[lead_time_days]]&lt;=7,"0-7 days",N2284&lt;=14,"8-14 days",N2284&lt;=30,"15-30 days",N2284&lt;=60,"31-60 days",TRUE,"61+ days")</f>
        <v>31-60 days</v>
      </c>
      <c r="P2284" t="s">
        <v>80</v>
      </c>
      <c r="Q2284" t="s">
        <v>21</v>
      </c>
      <c r="R2284">
        <v>0</v>
      </c>
      <c r="S2284" t="str">
        <f>IF(Table1[prior_dna_count]&gt;=1,"Has prior DNA history","No prior DNA history")</f>
        <v>No prior DNA history</v>
      </c>
      <c r="T2284" t="s">
        <v>22</v>
      </c>
      <c r="U2284" t="str">
        <f t="shared" si="35"/>
        <v>0</v>
      </c>
      <c r="V2284" t="str">
        <f>IF(Table1[appointment_status]="Attended","1","0")</f>
        <v>1</v>
      </c>
      <c r="W2284" t="str">
        <f>IF(Table1[appointment_status]="Cancelled","1","0")</f>
        <v>0</v>
      </c>
    </row>
    <row r="2285" spans="1:23">
      <c r="A2285" t="s">
        <v>3529</v>
      </c>
      <c r="B2285" t="s">
        <v>1557</v>
      </c>
      <c r="C2285">
        <v>78</v>
      </c>
      <c r="D2285" t="str" cm="1">
        <f t="array" ref="D2285">_xlfn.IFS(Table1[[#This Row],[age]]&lt;=17,"0-17",C2285&lt;=29,"18-29",C2285&lt;=44,"30-44",C2285&lt;=59,"45-59",C2285&lt;=74,"60-74",TRUE,"75+")</f>
        <v>75+</v>
      </c>
      <c r="E2285" t="s">
        <v>29</v>
      </c>
      <c r="F2285">
        <v>1</v>
      </c>
      <c r="G2285" t="str" cm="1">
        <f t="array" ref="G2285">_xlfn.IFS(_xlfn.SINGLE(Table1[imd_decile])&lt;=3,"Most Deprived",F2285&lt;=7,"Moderately Deprived",F2285&lt;=10,"Least Deprived")</f>
        <v>Most Deprived</v>
      </c>
      <c r="H2285">
        <v>10.1</v>
      </c>
      <c r="I2285" t="s">
        <v>45</v>
      </c>
      <c r="J2285" t="s">
        <v>19</v>
      </c>
      <c r="K2285" s="1">
        <v>45938</v>
      </c>
      <c r="L2285" s="1">
        <v>45966</v>
      </c>
      <c r="M2285" s="1" t="str">
        <f>TEXT(Table1[[#This Row],[appointment_date]],"MM/YYYY")</f>
        <v>11/2025</v>
      </c>
      <c r="N2285">
        <v>28</v>
      </c>
      <c r="O2285" t="str" cm="1">
        <f t="array" ref="O2285">_xlfn.IFS(Table1[[#This Row],[lead_time_days]]&lt;=7,"0-7 days",N2285&lt;=14,"8-14 days",N2285&lt;=30,"15-30 days",N2285&lt;=60,"31-60 days",TRUE,"61+ days")</f>
        <v>15-30 days</v>
      </c>
      <c r="P2285" t="s">
        <v>80</v>
      </c>
      <c r="Q2285" t="s">
        <v>21</v>
      </c>
      <c r="R2285">
        <v>0</v>
      </c>
      <c r="S2285" t="str">
        <f>IF(Table1[prior_dna_count]&gt;=1,"Has prior DNA history","No prior DNA history")</f>
        <v>No prior DNA history</v>
      </c>
      <c r="T2285" t="s">
        <v>22</v>
      </c>
      <c r="U2285" t="str">
        <f t="shared" si="35"/>
        <v>1</v>
      </c>
      <c r="V2285" t="str">
        <f>IF(Table1[appointment_status]="Attended","1","0")</f>
        <v>1</v>
      </c>
      <c r="W2285" t="str">
        <f>IF(Table1[appointment_status]="Cancelled","1","0")</f>
        <v>0</v>
      </c>
    </row>
    <row r="2286" spans="1:23">
      <c r="A2286" t="s">
        <v>3530</v>
      </c>
      <c r="B2286" t="s">
        <v>2255</v>
      </c>
      <c r="C2286">
        <v>58</v>
      </c>
      <c r="D2286" t="str" cm="1">
        <f t="array" ref="D2286">_xlfn.IFS(Table1[[#This Row],[age]]&lt;=17,"0-17",C2286&lt;=29,"18-29",C2286&lt;=44,"30-44",C2286&lt;=59,"45-59",C2286&lt;=74,"60-74",TRUE,"75+")</f>
        <v>45-59</v>
      </c>
      <c r="E2286" t="s">
        <v>17</v>
      </c>
      <c r="F2286">
        <v>8</v>
      </c>
      <c r="G2286" t="str" cm="1">
        <f t="array" ref="G2286">_xlfn.IFS(_xlfn.SINGLE(Table1[imd_decile])&lt;=3,"Most Deprived",F2286&lt;=7,"Moderately Deprived",F2286&lt;=10,"Least Deprived")</f>
        <v>Least Deprived</v>
      </c>
      <c r="H2286">
        <v>4</v>
      </c>
      <c r="I2286" t="s">
        <v>91</v>
      </c>
      <c r="J2286" t="s">
        <v>19</v>
      </c>
      <c r="K2286" s="1">
        <v>45922</v>
      </c>
      <c r="L2286" s="1">
        <v>45966</v>
      </c>
      <c r="M2286" s="1" t="str">
        <f>TEXT(Table1[[#This Row],[appointment_date]],"MM/YYYY")</f>
        <v>11/2025</v>
      </c>
      <c r="N2286">
        <v>44</v>
      </c>
      <c r="O2286" t="str" cm="1">
        <f t="array" ref="O2286">_xlfn.IFS(Table1[[#This Row],[lead_time_days]]&lt;=7,"0-7 days",N2286&lt;=14,"8-14 days",N2286&lt;=30,"15-30 days",N2286&lt;=60,"31-60 days",TRUE,"61+ days")</f>
        <v>31-60 days</v>
      </c>
      <c r="P2286" t="s">
        <v>80</v>
      </c>
      <c r="Q2286" t="s">
        <v>21</v>
      </c>
      <c r="R2286">
        <v>0</v>
      </c>
      <c r="S2286" t="str">
        <f>IF(Table1[prior_dna_count]&gt;=1,"Has prior DNA history","No prior DNA history")</f>
        <v>No prior DNA history</v>
      </c>
      <c r="T2286" t="s">
        <v>22</v>
      </c>
      <c r="U2286" t="str">
        <f t="shared" si="35"/>
        <v>1</v>
      </c>
      <c r="V2286" t="str">
        <f>IF(Table1[appointment_status]="Attended","1","0")</f>
        <v>1</v>
      </c>
      <c r="W2286" t="str">
        <f>IF(Table1[appointment_status]="Cancelled","1","0")</f>
        <v>0</v>
      </c>
    </row>
    <row r="2287" spans="1:23">
      <c r="A2287" t="s">
        <v>3531</v>
      </c>
      <c r="B2287" t="s">
        <v>3467</v>
      </c>
      <c r="C2287">
        <v>45</v>
      </c>
      <c r="D2287" t="str" cm="1">
        <f t="array" ref="D2287">_xlfn.IFS(Table1[[#This Row],[age]]&lt;=17,"0-17",C2287&lt;=29,"18-29",C2287&lt;=44,"30-44",C2287&lt;=59,"45-59",C2287&lt;=74,"60-74",TRUE,"75+")</f>
        <v>45-59</v>
      </c>
      <c r="E2287" t="s">
        <v>17</v>
      </c>
      <c r="F2287">
        <v>4</v>
      </c>
      <c r="G2287" t="str" cm="1">
        <f t="array" ref="G2287">_xlfn.IFS(_xlfn.SINGLE(Table1[imd_decile])&lt;=3,"Most Deprived",F2287&lt;=7,"Moderately Deprived",F2287&lt;=10,"Least Deprived")</f>
        <v>Moderately Deprived</v>
      </c>
      <c r="H2287">
        <v>4.5</v>
      </c>
      <c r="I2287" t="s">
        <v>155</v>
      </c>
      <c r="J2287" t="s">
        <v>26</v>
      </c>
      <c r="K2287" s="1">
        <v>45962</v>
      </c>
      <c r="L2287" s="1">
        <v>45966</v>
      </c>
      <c r="M2287" s="1" t="str">
        <f>TEXT(Table1[[#This Row],[appointment_date]],"MM/YYYY")</f>
        <v>11/2025</v>
      </c>
      <c r="N2287">
        <v>4</v>
      </c>
      <c r="O2287" t="str" cm="1">
        <f t="array" ref="O2287">_xlfn.IFS(Table1[[#This Row],[lead_time_days]]&lt;=7,"0-7 days",N2287&lt;=14,"8-14 days",N2287&lt;=30,"15-30 days",N2287&lt;=60,"31-60 days",TRUE,"61+ days")</f>
        <v>0-7 days</v>
      </c>
      <c r="P2287" t="s">
        <v>80</v>
      </c>
      <c r="Q2287" t="s">
        <v>21</v>
      </c>
      <c r="R2287">
        <v>0</v>
      </c>
      <c r="S2287" t="str">
        <f>IF(Table1[prior_dna_count]&gt;=1,"Has prior DNA history","No prior DNA history")</f>
        <v>No prior DNA history</v>
      </c>
      <c r="T2287" t="s">
        <v>22</v>
      </c>
      <c r="U2287" t="str">
        <f t="shared" si="35"/>
        <v>1</v>
      </c>
      <c r="V2287" t="str">
        <f>IF(Table1[appointment_status]="Attended","1","0")</f>
        <v>1</v>
      </c>
      <c r="W2287" t="str">
        <f>IF(Table1[appointment_status]="Cancelled","1","0")</f>
        <v>0</v>
      </c>
    </row>
    <row r="2288" spans="1:23">
      <c r="A2288" t="s">
        <v>3532</v>
      </c>
      <c r="B2288" t="s">
        <v>939</v>
      </c>
      <c r="C2288">
        <v>88</v>
      </c>
      <c r="D2288" t="str" cm="1">
        <f t="array" ref="D2288">_xlfn.IFS(Table1[[#This Row],[age]]&lt;=17,"0-17",C2288&lt;=29,"18-29",C2288&lt;=44,"30-44",C2288&lt;=59,"45-59",C2288&lt;=74,"60-74",TRUE,"75+")</f>
        <v>75+</v>
      </c>
      <c r="E2288" t="s">
        <v>17</v>
      </c>
      <c r="F2288">
        <v>3</v>
      </c>
      <c r="G2288" t="str" cm="1">
        <f t="array" ref="G2288">_xlfn.IFS(_xlfn.SINGLE(Table1[imd_decile])&lt;=3,"Most Deprived",F2288&lt;=7,"Moderately Deprived",F2288&lt;=10,"Least Deprived")</f>
        <v>Most Deprived</v>
      </c>
      <c r="H2288">
        <v>6.4</v>
      </c>
      <c r="I2288" t="s">
        <v>91</v>
      </c>
      <c r="J2288" t="s">
        <v>19</v>
      </c>
      <c r="K2288" s="1">
        <v>45903</v>
      </c>
      <c r="L2288" s="1">
        <v>45966</v>
      </c>
      <c r="M2288" s="1" t="str">
        <f>TEXT(Table1[[#This Row],[appointment_date]],"MM/YYYY")</f>
        <v>11/2025</v>
      </c>
      <c r="N2288">
        <v>63</v>
      </c>
      <c r="O2288" t="str" cm="1">
        <f t="array" ref="O2288">_xlfn.IFS(Table1[[#This Row],[lead_time_days]]&lt;=7,"0-7 days",N2288&lt;=14,"8-14 days",N2288&lt;=30,"15-30 days",N2288&lt;=60,"31-60 days",TRUE,"61+ days")</f>
        <v>61+ days</v>
      </c>
      <c r="P2288" t="s">
        <v>80</v>
      </c>
      <c r="Q2288" t="s">
        <v>21</v>
      </c>
      <c r="R2288">
        <v>0</v>
      </c>
      <c r="S2288" t="str">
        <f>IF(Table1[prior_dna_count]&gt;=1,"Has prior DNA history","No prior DNA history")</f>
        <v>No prior DNA history</v>
      </c>
      <c r="T2288" t="s">
        <v>22</v>
      </c>
      <c r="U2288" t="str">
        <f t="shared" si="35"/>
        <v>1</v>
      </c>
      <c r="V2288" t="str">
        <f>IF(Table1[appointment_status]="Attended","1","0")</f>
        <v>1</v>
      </c>
      <c r="W2288" t="str">
        <f>IF(Table1[appointment_status]="Cancelled","1","0")</f>
        <v>0</v>
      </c>
    </row>
    <row r="2289" spans="1:23">
      <c r="A2289" t="s">
        <v>3533</v>
      </c>
      <c r="B2289" t="s">
        <v>3534</v>
      </c>
      <c r="C2289">
        <v>11</v>
      </c>
      <c r="D2289" t="str" cm="1">
        <f t="array" ref="D2289">_xlfn.IFS(Table1[[#This Row],[age]]&lt;=17,"0-17",C2289&lt;=29,"18-29",C2289&lt;=44,"30-44",C2289&lt;=59,"45-59",C2289&lt;=74,"60-74",TRUE,"75+")</f>
        <v>0-17</v>
      </c>
      <c r="E2289" t="s">
        <v>29</v>
      </c>
      <c r="F2289">
        <v>2</v>
      </c>
      <c r="G2289" t="str" cm="1">
        <f t="array" ref="G2289">_xlfn.IFS(_xlfn.SINGLE(Table1[imd_decile])&lt;=3,"Most Deprived",F2289&lt;=7,"Moderately Deprived",F2289&lt;=10,"Least Deprived")</f>
        <v>Most Deprived</v>
      </c>
      <c r="H2289">
        <v>1.5</v>
      </c>
      <c r="I2289" t="s">
        <v>42</v>
      </c>
      <c r="J2289" t="s">
        <v>19</v>
      </c>
      <c r="K2289" s="1">
        <v>45855</v>
      </c>
      <c r="L2289" s="1">
        <v>45966</v>
      </c>
      <c r="M2289" s="1" t="str">
        <f>TEXT(Table1[[#This Row],[appointment_date]],"MM/YYYY")</f>
        <v>11/2025</v>
      </c>
      <c r="N2289">
        <v>111</v>
      </c>
      <c r="O2289" t="str" cm="1">
        <f t="array" ref="O2289">_xlfn.IFS(Table1[[#This Row],[lead_time_days]]&lt;=7,"0-7 days",N2289&lt;=14,"8-14 days",N2289&lt;=30,"15-30 days",N2289&lt;=60,"31-60 days",TRUE,"61+ days")</f>
        <v>61+ days</v>
      </c>
      <c r="P2289" t="s">
        <v>80</v>
      </c>
      <c r="Q2289" t="s">
        <v>32</v>
      </c>
      <c r="R2289">
        <v>0</v>
      </c>
      <c r="S2289" t="str">
        <f>IF(Table1[prior_dna_count]&gt;=1,"Has prior DNA history","No prior DNA history")</f>
        <v>No prior DNA history</v>
      </c>
      <c r="T2289" t="s">
        <v>39</v>
      </c>
      <c r="U2289" t="str">
        <f t="shared" si="35"/>
        <v>1</v>
      </c>
      <c r="V2289" t="str">
        <f>IF(Table1[appointment_status]="Attended","1","0")</f>
        <v>0</v>
      </c>
      <c r="W2289" t="str">
        <f>IF(Table1[appointment_status]="Cancelled","1","0")</f>
        <v>0</v>
      </c>
    </row>
    <row r="2290" spans="1:23">
      <c r="A2290" t="s">
        <v>3535</v>
      </c>
      <c r="B2290" t="s">
        <v>903</v>
      </c>
      <c r="C2290">
        <v>62</v>
      </c>
      <c r="D2290" t="str" cm="1">
        <f t="array" ref="D2290">_xlfn.IFS(Table1[[#This Row],[age]]&lt;=17,"0-17",C2290&lt;=29,"18-29",C2290&lt;=44,"30-44",C2290&lt;=59,"45-59",C2290&lt;=74,"60-74",TRUE,"75+")</f>
        <v>60-74</v>
      </c>
      <c r="E2290" t="s">
        <v>17</v>
      </c>
      <c r="F2290">
        <v>10</v>
      </c>
      <c r="G2290" t="str" cm="1">
        <f t="array" ref="G2290">_xlfn.IFS(_xlfn.SINGLE(Table1[imd_decile])&lt;=3,"Most Deprived",F2290&lt;=7,"Moderately Deprived",F2290&lt;=10,"Least Deprived")</f>
        <v>Least Deprived</v>
      </c>
      <c r="H2290">
        <v>28.1</v>
      </c>
      <c r="I2290" t="s">
        <v>91</v>
      </c>
      <c r="J2290" t="s">
        <v>19</v>
      </c>
      <c r="K2290" s="1">
        <v>45948</v>
      </c>
      <c r="L2290" s="1">
        <v>45966</v>
      </c>
      <c r="M2290" s="1" t="str">
        <f>TEXT(Table1[[#This Row],[appointment_date]],"MM/YYYY")</f>
        <v>11/2025</v>
      </c>
      <c r="N2290">
        <v>18</v>
      </c>
      <c r="O2290" t="str" cm="1">
        <f t="array" ref="O2290">_xlfn.IFS(Table1[[#This Row],[lead_time_days]]&lt;=7,"0-7 days",N2290&lt;=14,"8-14 days",N2290&lt;=30,"15-30 days",N2290&lt;=60,"31-60 days",TRUE,"61+ days")</f>
        <v>15-30 days</v>
      </c>
      <c r="P2290" t="s">
        <v>80</v>
      </c>
      <c r="Q2290" t="s">
        <v>21</v>
      </c>
      <c r="R2290">
        <v>0</v>
      </c>
      <c r="S2290" t="str">
        <f>IF(Table1[prior_dna_count]&gt;=1,"Has prior DNA history","No prior DNA history")</f>
        <v>No prior DNA history</v>
      </c>
      <c r="T2290" t="s">
        <v>22</v>
      </c>
      <c r="U2290" t="str">
        <f t="shared" si="35"/>
        <v>0</v>
      </c>
      <c r="V2290" t="str">
        <f>IF(Table1[appointment_status]="Attended","1","0")</f>
        <v>1</v>
      </c>
      <c r="W2290" t="str">
        <f>IF(Table1[appointment_status]="Cancelled","1","0")</f>
        <v>0</v>
      </c>
    </row>
    <row r="2291" spans="1:23">
      <c r="A2291" t="s">
        <v>3536</v>
      </c>
      <c r="B2291" t="s">
        <v>3537</v>
      </c>
      <c r="C2291">
        <v>48</v>
      </c>
      <c r="D2291" t="str" cm="1">
        <f t="array" ref="D2291">_xlfn.IFS(Table1[[#This Row],[age]]&lt;=17,"0-17",C2291&lt;=29,"18-29",C2291&lt;=44,"30-44",C2291&lt;=59,"45-59",C2291&lt;=74,"60-74",TRUE,"75+")</f>
        <v>45-59</v>
      </c>
      <c r="E2291" t="s">
        <v>17</v>
      </c>
      <c r="F2291">
        <v>7</v>
      </c>
      <c r="G2291" t="str" cm="1">
        <f t="array" ref="G2291">_xlfn.IFS(_xlfn.SINGLE(Table1[imd_decile])&lt;=3,"Most Deprived",F2291&lt;=7,"Moderately Deprived",F2291&lt;=10,"Least Deprived")</f>
        <v>Moderately Deprived</v>
      </c>
      <c r="H2291">
        <v>6.4</v>
      </c>
      <c r="I2291" t="s">
        <v>155</v>
      </c>
      <c r="J2291" t="s">
        <v>26</v>
      </c>
      <c r="K2291" s="1">
        <v>45956</v>
      </c>
      <c r="L2291" s="1">
        <v>45966</v>
      </c>
      <c r="M2291" s="1" t="str">
        <f>TEXT(Table1[[#This Row],[appointment_date]],"MM/YYYY")</f>
        <v>11/2025</v>
      </c>
      <c r="N2291">
        <v>10</v>
      </c>
      <c r="O2291" t="str" cm="1">
        <f t="array" ref="O2291">_xlfn.IFS(Table1[[#This Row],[lead_time_days]]&lt;=7,"0-7 days",N2291&lt;=14,"8-14 days",N2291&lt;=30,"15-30 days",N2291&lt;=60,"31-60 days",TRUE,"61+ days")</f>
        <v>8-14 days</v>
      </c>
      <c r="P2291" t="s">
        <v>80</v>
      </c>
      <c r="Q2291" t="s">
        <v>21</v>
      </c>
      <c r="R2291">
        <v>0</v>
      </c>
      <c r="S2291" t="str">
        <f>IF(Table1[prior_dna_count]&gt;=1,"Has prior DNA history","No prior DNA history")</f>
        <v>No prior DNA history</v>
      </c>
      <c r="T2291" t="s">
        <v>22</v>
      </c>
      <c r="U2291" t="str">
        <f t="shared" si="35"/>
        <v>1</v>
      </c>
      <c r="V2291" t="str">
        <f>IF(Table1[appointment_status]="Attended","1","0")</f>
        <v>1</v>
      </c>
      <c r="W2291" t="str">
        <f>IF(Table1[appointment_status]="Cancelled","1","0")</f>
        <v>0</v>
      </c>
    </row>
    <row r="2292" spans="1:23">
      <c r="A2292" t="s">
        <v>3538</v>
      </c>
      <c r="B2292" t="s">
        <v>3425</v>
      </c>
      <c r="C2292">
        <v>33</v>
      </c>
      <c r="D2292" t="str" cm="1">
        <f t="array" ref="D2292">_xlfn.IFS(Table1[[#This Row],[age]]&lt;=17,"0-17",C2292&lt;=29,"18-29",C2292&lt;=44,"30-44",C2292&lt;=59,"45-59",C2292&lt;=74,"60-74",TRUE,"75+")</f>
        <v>30-44</v>
      </c>
      <c r="E2292" t="s">
        <v>29</v>
      </c>
      <c r="F2292">
        <v>6</v>
      </c>
      <c r="G2292" t="str" cm="1">
        <f t="array" ref="G2292">_xlfn.IFS(_xlfn.SINGLE(Table1[imd_decile])&lt;=3,"Most Deprived",F2292&lt;=7,"Moderately Deprived",F2292&lt;=10,"Least Deprived")</f>
        <v>Moderately Deprived</v>
      </c>
      <c r="H2292">
        <v>2.8</v>
      </c>
      <c r="I2292" t="s">
        <v>49</v>
      </c>
      <c r="J2292" t="s">
        <v>19</v>
      </c>
      <c r="K2292" s="1">
        <v>45932</v>
      </c>
      <c r="L2292" s="1">
        <v>45966</v>
      </c>
      <c r="M2292" s="1" t="str">
        <f>TEXT(Table1[[#This Row],[appointment_date]],"MM/YYYY")</f>
        <v>11/2025</v>
      </c>
      <c r="N2292">
        <v>34</v>
      </c>
      <c r="O2292" t="str" cm="1">
        <f t="array" ref="O2292">_xlfn.IFS(Table1[[#This Row],[lead_time_days]]&lt;=7,"0-7 days",N2292&lt;=14,"8-14 days",N2292&lt;=30,"15-30 days",N2292&lt;=60,"31-60 days",TRUE,"61+ days")</f>
        <v>31-60 days</v>
      </c>
      <c r="P2292" t="s">
        <v>80</v>
      </c>
      <c r="Q2292" t="s">
        <v>21</v>
      </c>
      <c r="R2292">
        <v>0</v>
      </c>
      <c r="S2292" t="str">
        <f>IF(Table1[prior_dna_count]&gt;=1,"Has prior DNA history","No prior DNA history")</f>
        <v>No prior DNA history</v>
      </c>
      <c r="T2292" t="s">
        <v>22</v>
      </c>
      <c r="U2292" t="str">
        <f t="shared" si="35"/>
        <v>1</v>
      </c>
      <c r="V2292" t="str">
        <f>IF(Table1[appointment_status]="Attended","1","0")</f>
        <v>1</v>
      </c>
      <c r="W2292" t="str">
        <f>IF(Table1[appointment_status]="Cancelled","1","0")</f>
        <v>0</v>
      </c>
    </row>
    <row r="2293" spans="1:23">
      <c r="A2293" t="s">
        <v>3539</v>
      </c>
      <c r="B2293" t="s">
        <v>2357</v>
      </c>
      <c r="C2293">
        <v>45</v>
      </c>
      <c r="D2293" t="str" cm="1">
        <f t="array" ref="D2293">_xlfn.IFS(Table1[[#This Row],[age]]&lt;=17,"0-17",C2293&lt;=29,"18-29",C2293&lt;=44,"30-44",C2293&lt;=59,"45-59",C2293&lt;=74,"60-74",TRUE,"75+")</f>
        <v>45-59</v>
      </c>
      <c r="E2293" t="s">
        <v>29</v>
      </c>
      <c r="F2293">
        <v>4</v>
      </c>
      <c r="G2293" t="str" cm="1">
        <f t="array" ref="G2293">_xlfn.IFS(_xlfn.SINGLE(Table1[imd_decile])&lt;=3,"Most Deprived",F2293&lt;=7,"Moderately Deprived",F2293&lt;=10,"Least Deprived")</f>
        <v>Moderately Deprived</v>
      </c>
      <c r="H2293">
        <v>9.9</v>
      </c>
      <c r="I2293" t="s">
        <v>25</v>
      </c>
      <c r="J2293" t="s">
        <v>26</v>
      </c>
      <c r="K2293" s="1">
        <v>45949</v>
      </c>
      <c r="L2293" s="1">
        <v>45966</v>
      </c>
      <c r="M2293" s="1" t="str">
        <f>TEXT(Table1[[#This Row],[appointment_date]],"MM/YYYY")</f>
        <v>11/2025</v>
      </c>
      <c r="N2293">
        <v>17</v>
      </c>
      <c r="O2293" t="str" cm="1">
        <f t="array" ref="O2293">_xlfn.IFS(Table1[[#This Row],[lead_time_days]]&lt;=7,"0-7 days",N2293&lt;=14,"8-14 days",N2293&lt;=30,"15-30 days",N2293&lt;=60,"31-60 days",TRUE,"61+ days")</f>
        <v>15-30 days</v>
      </c>
      <c r="P2293" t="s">
        <v>80</v>
      </c>
      <c r="Q2293" t="s">
        <v>32</v>
      </c>
      <c r="R2293">
        <v>0</v>
      </c>
      <c r="S2293" t="str">
        <f>IF(Table1[prior_dna_count]&gt;=1,"Has prior DNA history","No prior DNA history")</f>
        <v>No prior DNA history</v>
      </c>
      <c r="T2293" t="s">
        <v>22</v>
      </c>
      <c r="U2293" t="str">
        <f t="shared" si="35"/>
        <v>1</v>
      </c>
      <c r="V2293" t="str">
        <f>IF(Table1[appointment_status]="Attended","1","0")</f>
        <v>1</v>
      </c>
      <c r="W2293" t="str">
        <f>IF(Table1[appointment_status]="Cancelled","1","0")</f>
        <v>0</v>
      </c>
    </row>
    <row r="2294" spans="1:23">
      <c r="A2294" t="s">
        <v>3540</v>
      </c>
      <c r="B2294" t="s">
        <v>738</v>
      </c>
      <c r="C2294">
        <v>50</v>
      </c>
      <c r="D2294" t="str" cm="1">
        <f t="array" ref="D2294">_xlfn.IFS(Table1[[#This Row],[age]]&lt;=17,"0-17",C2294&lt;=29,"18-29",C2294&lt;=44,"30-44",C2294&lt;=59,"45-59",C2294&lt;=74,"60-74",TRUE,"75+")</f>
        <v>45-59</v>
      </c>
      <c r="E2294" t="s">
        <v>29</v>
      </c>
      <c r="F2294">
        <v>10</v>
      </c>
      <c r="G2294" t="str" cm="1">
        <f t="array" ref="G2294">_xlfn.IFS(_xlfn.SINGLE(Table1[imd_decile])&lt;=3,"Most Deprived",F2294&lt;=7,"Moderately Deprived",F2294&lt;=10,"Least Deprived")</f>
        <v>Least Deprived</v>
      </c>
      <c r="H2294">
        <v>7.1</v>
      </c>
      <c r="I2294" t="s">
        <v>42</v>
      </c>
      <c r="J2294" t="s">
        <v>26</v>
      </c>
      <c r="K2294" s="1">
        <v>45955</v>
      </c>
      <c r="L2294" s="1">
        <v>45966</v>
      </c>
      <c r="M2294" s="1" t="str">
        <f>TEXT(Table1[[#This Row],[appointment_date]],"MM/YYYY")</f>
        <v>11/2025</v>
      </c>
      <c r="N2294">
        <v>11</v>
      </c>
      <c r="O2294" t="str" cm="1">
        <f t="array" ref="O2294">_xlfn.IFS(Table1[[#This Row],[lead_time_days]]&lt;=7,"0-7 days",N2294&lt;=14,"8-14 days",N2294&lt;=30,"15-30 days",N2294&lt;=60,"31-60 days",TRUE,"61+ days")</f>
        <v>8-14 days</v>
      </c>
      <c r="P2294" t="s">
        <v>80</v>
      </c>
      <c r="Q2294" t="s">
        <v>21</v>
      </c>
      <c r="R2294">
        <v>0</v>
      </c>
      <c r="S2294" t="str">
        <f>IF(Table1[prior_dna_count]&gt;=1,"Has prior DNA history","No prior DNA history")</f>
        <v>No prior DNA history</v>
      </c>
      <c r="T2294" t="s">
        <v>46</v>
      </c>
      <c r="U2294" t="str">
        <f t="shared" si="35"/>
        <v>1</v>
      </c>
      <c r="V2294" t="str">
        <f>IF(Table1[appointment_status]="Attended","1","0")</f>
        <v>0</v>
      </c>
      <c r="W2294" t="str">
        <f>IF(Table1[appointment_status]="Cancelled","1","0")</f>
        <v>1</v>
      </c>
    </row>
    <row r="2295" spans="1:23">
      <c r="A2295" t="s">
        <v>3541</v>
      </c>
      <c r="B2295" t="s">
        <v>1266</v>
      </c>
      <c r="C2295">
        <v>30</v>
      </c>
      <c r="D2295" t="str" cm="1">
        <f t="array" ref="D2295">_xlfn.IFS(Table1[[#This Row],[age]]&lt;=17,"0-17",C2295&lt;=29,"18-29",C2295&lt;=44,"30-44",C2295&lt;=59,"45-59",C2295&lt;=74,"60-74",TRUE,"75+")</f>
        <v>30-44</v>
      </c>
      <c r="E2295" t="s">
        <v>17</v>
      </c>
      <c r="F2295">
        <v>5</v>
      </c>
      <c r="G2295" t="str" cm="1">
        <f t="array" ref="G2295">_xlfn.IFS(_xlfn.SINGLE(Table1[imd_decile])&lt;=3,"Most Deprived",F2295&lt;=7,"Moderately Deprived",F2295&lt;=10,"Least Deprived")</f>
        <v>Moderately Deprived</v>
      </c>
      <c r="H2295">
        <v>18</v>
      </c>
      <c r="I2295" t="s">
        <v>30</v>
      </c>
      <c r="J2295" t="s">
        <v>26</v>
      </c>
      <c r="K2295" s="1">
        <v>45961</v>
      </c>
      <c r="L2295" s="1">
        <v>45967</v>
      </c>
      <c r="M2295" s="1" t="str">
        <f>TEXT(Table1[[#This Row],[appointment_date]],"MM/YYYY")</f>
        <v>11/2025</v>
      </c>
      <c r="N2295">
        <v>6</v>
      </c>
      <c r="O2295" t="str" cm="1">
        <f t="array" ref="O2295">_xlfn.IFS(Table1[[#This Row],[lead_time_days]]&lt;=7,"0-7 days",N2295&lt;=14,"8-14 days",N2295&lt;=30,"15-30 days",N2295&lt;=60,"31-60 days",TRUE,"61+ days")</f>
        <v>0-7 days</v>
      </c>
      <c r="P2295" t="s">
        <v>20</v>
      </c>
      <c r="Q2295" t="s">
        <v>21</v>
      </c>
      <c r="R2295">
        <v>0</v>
      </c>
      <c r="S2295" t="str">
        <f>IF(Table1[prior_dna_count]&gt;=1,"Has prior DNA history","No prior DNA history")</f>
        <v>No prior DNA history</v>
      </c>
      <c r="T2295" t="s">
        <v>39</v>
      </c>
      <c r="U2295" t="str">
        <f t="shared" si="35"/>
        <v>0</v>
      </c>
      <c r="V2295" t="str">
        <f>IF(Table1[appointment_status]="Attended","1","0")</f>
        <v>0</v>
      </c>
      <c r="W2295" t="str">
        <f>IF(Table1[appointment_status]="Cancelled","1","0")</f>
        <v>0</v>
      </c>
    </row>
    <row r="2296" spans="1:23">
      <c r="A2296" t="s">
        <v>3542</v>
      </c>
      <c r="B2296" t="s">
        <v>932</v>
      </c>
      <c r="C2296">
        <v>51</v>
      </c>
      <c r="D2296" t="str" cm="1">
        <f t="array" ref="D2296">_xlfn.IFS(Table1[[#This Row],[age]]&lt;=17,"0-17",C2296&lt;=29,"18-29",C2296&lt;=44,"30-44",C2296&lt;=59,"45-59",C2296&lt;=74,"60-74",TRUE,"75+")</f>
        <v>45-59</v>
      </c>
      <c r="E2296" t="s">
        <v>17</v>
      </c>
      <c r="F2296">
        <v>7</v>
      </c>
      <c r="G2296" t="str" cm="1">
        <f t="array" ref="G2296">_xlfn.IFS(_xlfn.SINGLE(Table1[imd_decile])&lt;=3,"Most Deprived",F2296&lt;=7,"Moderately Deprived",F2296&lt;=10,"Least Deprived")</f>
        <v>Moderately Deprived</v>
      </c>
      <c r="H2296">
        <v>11.3</v>
      </c>
      <c r="I2296" t="s">
        <v>91</v>
      </c>
      <c r="J2296" t="s">
        <v>19</v>
      </c>
      <c r="K2296" s="1">
        <v>45936</v>
      </c>
      <c r="L2296" s="1">
        <v>45967</v>
      </c>
      <c r="M2296" s="1" t="str">
        <f>TEXT(Table1[[#This Row],[appointment_date]],"MM/YYYY")</f>
        <v>11/2025</v>
      </c>
      <c r="N2296">
        <v>31</v>
      </c>
      <c r="O2296" t="str" cm="1">
        <f t="array" ref="O2296">_xlfn.IFS(Table1[[#This Row],[lead_time_days]]&lt;=7,"0-7 days",N2296&lt;=14,"8-14 days",N2296&lt;=30,"15-30 days",N2296&lt;=60,"31-60 days",TRUE,"61+ days")</f>
        <v>31-60 days</v>
      </c>
      <c r="P2296" t="s">
        <v>20</v>
      </c>
      <c r="Q2296" t="s">
        <v>21</v>
      </c>
      <c r="R2296">
        <v>0</v>
      </c>
      <c r="S2296" t="str">
        <f>IF(Table1[prior_dna_count]&gt;=1,"Has prior DNA history","No prior DNA history")</f>
        <v>No prior DNA history</v>
      </c>
      <c r="T2296" t="s">
        <v>22</v>
      </c>
      <c r="U2296" t="str">
        <f t="shared" si="35"/>
        <v>0</v>
      </c>
      <c r="V2296" t="str">
        <f>IF(Table1[appointment_status]="Attended","1","0")</f>
        <v>1</v>
      </c>
      <c r="W2296" t="str">
        <f>IF(Table1[appointment_status]="Cancelled","1","0")</f>
        <v>0</v>
      </c>
    </row>
    <row r="2297" spans="1:23">
      <c r="A2297" t="s">
        <v>3543</v>
      </c>
      <c r="B2297" t="s">
        <v>3312</v>
      </c>
      <c r="C2297">
        <v>27</v>
      </c>
      <c r="D2297" t="str" cm="1">
        <f t="array" ref="D2297">_xlfn.IFS(Table1[[#This Row],[age]]&lt;=17,"0-17",C2297&lt;=29,"18-29",C2297&lt;=44,"30-44",C2297&lt;=59,"45-59",C2297&lt;=74,"60-74",TRUE,"75+")</f>
        <v>18-29</v>
      </c>
      <c r="E2297" t="s">
        <v>17</v>
      </c>
      <c r="F2297">
        <v>1</v>
      </c>
      <c r="G2297" t="str" cm="1">
        <f t="array" ref="G2297">_xlfn.IFS(_xlfn.SINGLE(Table1[imd_decile])&lt;=3,"Most Deprived",F2297&lt;=7,"Moderately Deprived",F2297&lt;=10,"Least Deprived")</f>
        <v>Most Deprived</v>
      </c>
      <c r="H2297">
        <v>22.8</v>
      </c>
      <c r="I2297" t="s">
        <v>42</v>
      </c>
      <c r="J2297" t="s">
        <v>19</v>
      </c>
      <c r="K2297" s="1">
        <v>45940</v>
      </c>
      <c r="L2297" s="1">
        <v>45967</v>
      </c>
      <c r="M2297" s="1" t="str">
        <f>TEXT(Table1[[#This Row],[appointment_date]],"MM/YYYY")</f>
        <v>11/2025</v>
      </c>
      <c r="N2297">
        <v>27</v>
      </c>
      <c r="O2297" t="str" cm="1">
        <f t="array" ref="O2297">_xlfn.IFS(Table1[[#This Row],[lead_time_days]]&lt;=7,"0-7 days",N2297&lt;=14,"8-14 days",N2297&lt;=30,"15-30 days",N2297&lt;=60,"31-60 days",TRUE,"61+ days")</f>
        <v>15-30 days</v>
      </c>
      <c r="P2297" t="s">
        <v>20</v>
      </c>
      <c r="Q2297" t="s">
        <v>21</v>
      </c>
      <c r="R2297">
        <v>0</v>
      </c>
      <c r="S2297" t="str">
        <f>IF(Table1[prior_dna_count]&gt;=1,"Has prior DNA history","No prior DNA history")</f>
        <v>No prior DNA history</v>
      </c>
      <c r="T2297" t="s">
        <v>46</v>
      </c>
      <c r="U2297" t="str">
        <f t="shared" si="35"/>
        <v>1</v>
      </c>
      <c r="V2297" t="str">
        <f>IF(Table1[appointment_status]="Attended","1","0")</f>
        <v>0</v>
      </c>
      <c r="W2297" t="str">
        <f>IF(Table1[appointment_status]="Cancelled","1","0")</f>
        <v>1</v>
      </c>
    </row>
    <row r="2298" spans="1:23">
      <c r="A2298" t="s">
        <v>3544</v>
      </c>
      <c r="B2298" t="s">
        <v>2138</v>
      </c>
      <c r="C2298">
        <v>24</v>
      </c>
      <c r="D2298" t="str" cm="1">
        <f t="array" ref="D2298">_xlfn.IFS(Table1[[#This Row],[age]]&lt;=17,"0-17",C2298&lt;=29,"18-29",C2298&lt;=44,"30-44",C2298&lt;=59,"45-59",C2298&lt;=74,"60-74",TRUE,"75+")</f>
        <v>18-29</v>
      </c>
      <c r="E2298" t="s">
        <v>17</v>
      </c>
      <c r="F2298">
        <v>6</v>
      </c>
      <c r="G2298" t="str" cm="1">
        <f t="array" ref="G2298">_xlfn.IFS(_xlfn.SINGLE(Table1[imd_decile])&lt;=3,"Most Deprived",F2298&lt;=7,"Moderately Deprived",F2298&lt;=10,"Least Deprived")</f>
        <v>Moderately Deprived</v>
      </c>
      <c r="H2298">
        <v>13.9</v>
      </c>
      <c r="I2298" t="s">
        <v>155</v>
      </c>
      <c r="J2298" t="s">
        <v>26</v>
      </c>
      <c r="K2298" s="1">
        <v>45950</v>
      </c>
      <c r="L2298" s="1">
        <v>45967</v>
      </c>
      <c r="M2298" s="1" t="str">
        <f>TEXT(Table1[[#This Row],[appointment_date]],"MM/YYYY")</f>
        <v>11/2025</v>
      </c>
      <c r="N2298">
        <v>17</v>
      </c>
      <c r="O2298" t="str" cm="1">
        <f t="array" ref="O2298">_xlfn.IFS(Table1[[#This Row],[lead_time_days]]&lt;=7,"0-7 days",N2298&lt;=14,"8-14 days",N2298&lt;=30,"15-30 days",N2298&lt;=60,"31-60 days",TRUE,"61+ days")</f>
        <v>15-30 days</v>
      </c>
      <c r="P2298" t="s">
        <v>20</v>
      </c>
      <c r="Q2298" t="s">
        <v>21</v>
      </c>
      <c r="R2298">
        <v>0</v>
      </c>
      <c r="S2298" t="str">
        <f>IF(Table1[prior_dna_count]&gt;=1,"Has prior DNA history","No prior DNA history")</f>
        <v>No prior DNA history</v>
      </c>
      <c r="T2298" t="s">
        <v>22</v>
      </c>
      <c r="U2298" t="str">
        <f t="shared" si="35"/>
        <v>0</v>
      </c>
      <c r="V2298" t="str">
        <f>IF(Table1[appointment_status]="Attended","1","0")</f>
        <v>1</v>
      </c>
      <c r="W2298" t="str">
        <f>IF(Table1[appointment_status]="Cancelled","1","0")</f>
        <v>0</v>
      </c>
    </row>
    <row r="2299" spans="1:23">
      <c r="A2299" t="s">
        <v>3545</v>
      </c>
      <c r="B2299" t="s">
        <v>221</v>
      </c>
      <c r="C2299">
        <v>70</v>
      </c>
      <c r="D2299" t="str" cm="1">
        <f t="array" ref="D2299">_xlfn.IFS(Table1[[#This Row],[age]]&lt;=17,"0-17",C2299&lt;=29,"18-29",C2299&lt;=44,"30-44",C2299&lt;=59,"45-59",C2299&lt;=74,"60-74",TRUE,"75+")</f>
        <v>60-74</v>
      </c>
      <c r="E2299" t="s">
        <v>29</v>
      </c>
      <c r="F2299">
        <v>9</v>
      </c>
      <c r="G2299" t="str" cm="1">
        <f t="array" ref="G2299">_xlfn.IFS(_xlfn.SINGLE(Table1[imd_decile])&lt;=3,"Most Deprived",F2299&lt;=7,"Moderately Deprived",F2299&lt;=10,"Least Deprived")</f>
        <v>Least Deprived</v>
      </c>
      <c r="H2299">
        <v>11.6</v>
      </c>
      <c r="I2299" t="s">
        <v>58</v>
      </c>
      <c r="J2299" t="s">
        <v>19</v>
      </c>
      <c r="K2299" s="1">
        <v>45930</v>
      </c>
      <c r="L2299" s="1">
        <v>45967</v>
      </c>
      <c r="M2299" s="1" t="str">
        <f>TEXT(Table1[[#This Row],[appointment_date]],"MM/YYYY")</f>
        <v>11/2025</v>
      </c>
      <c r="N2299">
        <v>37</v>
      </c>
      <c r="O2299" t="str" cm="1">
        <f t="array" ref="O2299">_xlfn.IFS(Table1[[#This Row],[lead_time_days]]&lt;=7,"0-7 days",N2299&lt;=14,"8-14 days",N2299&lt;=30,"15-30 days",N2299&lt;=60,"31-60 days",TRUE,"61+ days")</f>
        <v>31-60 days</v>
      </c>
      <c r="P2299" t="s">
        <v>20</v>
      </c>
      <c r="Q2299" t="s">
        <v>21</v>
      </c>
      <c r="R2299">
        <v>0</v>
      </c>
      <c r="S2299" t="str">
        <f>IF(Table1[prior_dna_count]&gt;=1,"Has prior DNA history","No prior DNA history")</f>
        <v>No prior DNA history</v>
      </c>
      <c r="T2299" t="s">
        <v>22</v>
      </c>
      <c r="U2299" t="str">
        <f t="shared" si="35"/>
        <v>1</v>
      </c>
      <c r="V2299" t="str">
        <f>IF(Table1[appointment_status]="Attended","1","0")</f>
        <v>1</v>
      </c>
      <c r="W2299" t="str">
        <f>IF(Table1[appointment_status]="Cancelled","1","0")</f>
        <v>0</v>
      </c>
    </row>
    <row r="2300" spans="1:23">
      <c r="A2300" t="s">
        <v>3546</v>
      </c>
      <c r="B2300" t="s">
        <v>2011</v>
      </c>
      <c r="C2300">
        <v>75</v>
      </c>
      <c r="D2300" t="str" cm="1">
        <f t="array" ref="D2300">_xlfn.IFS(Table1[[#This Row],[age]]&lt;=17,"0-17",C2300&lt;=29,"18-29",C2300&lt;=44,"30-44",C2300&lt;=59,"45-59",C2300&lt;=74,"60-74",TRUE,"75+")</f>
        <v>75+</v>
      </c>
      <c r="E2300" t="s">
        <v>17</v>
      </c>
      <c r="F2300">
        <v>5</v>
      </c>
      <c r="G2300" t="str" cm="1">
        <f t="array" ref="G2300">_xlfn.IFS(_xlfn.SINGLE(Table1[imd_decile])&lt;=3,"Most Deprived",F2300&lt;=7,"Moderately Deprived",F2300&lt;=10,"Least Deprived")</f>
        <v>Moderately Deprived</v>
      </c>
      <c r="H2300">
        <v>3.2</v>
      </c>
      <c r="I2300" t="s">
        <v>45</v>
      </c>
      <c r="J2300" t="s">
        <v>19</v>
      </c>
      <c r="K2300" s="1">
        <v>45945</v>
      </c>
      <c r="L2300" s="1">
        <v>45967</v>
      </c>
      <c r="M2300" s="1" t="str">
        <f>TEXT(Table1[[#This Row],[appointment_date]],"MM/YYYY")</f>
        <v>11/2025</v>
      </c>
      <c r="N2300">
        <v>22</v>
      </c>
      <c r="O2300" t="str" cm="1">
        <f t="array" ref="O2300">_xlfn.IFS(Table1[[#This Row],[lead_time_days]]&lt;=7,"0-7 days",N2300&lt;=14,"8-14 days",N2300&lt;=30,"15-30 days",N2300&lt;=60,"31-60 days",TRUE,"61+ days")</f>
        <v>15-30 days</v>
      </c>
      <c r="P2300" t="s">
        <v>20</v>
      </c>
      <c r="Q2300" t="s">
        <v>21</v>
      </c>
      <c r="R2300">
        <v>0</v>
      </c>
      <c r="S2300" t="str">
        <f>IF(Table1[prior_dna_count]&gt;=1,"Has prior DNA history","No prior DNA history")</f>
        <v>No prior DNA history</v>
      </c>
      <c r="T2300" t="s">
        <v>22</v>
      </c>
      <c r="U2300" t="str">
        <f t="shared" si="35"/>
        <v>1</v>
      </c>
      <c r="V2300" t="str">
        <f>IF(Table1[appointment_status]="Attended","1","0")</f>
        <v>1</v>
      </c>
      <c r="W2300" t="str">
        <f>IF(Table1[appointment_status]="Cancelled","1","0")</f>
        <v>0</v>
      </c>
    </row>
    <row r="2301" spans="1:23">
      <c r="A2301" t="s">
        <v>3547</v>
      </c>
      <c r="B2301" t="s">
        <v>678</v>
      </c>
      <c r="C2301">
        <v>66</v>
      </c>
      <c r="D2301" t="str" cm="1">
        <f t="array" ref="D2301">_xlfn.IFS(Table1[[#This Row],[age]]&lt;=17,"0-17",C2301&lt;=29,"18-29",C2301&lt;=44,"30-44",C2301&lt;=59,"45-59",C2301&lt;=74,"60-74",TRUE,"75+")</f>
        <v>60-74</v>
      </c>
      <c r="E2301" t="s">
        <v>17</v>
      </c>
      <c r="F2301">
        <v>9</v>
      </c>
      <c r="G2301" t="str" cm="1">
        <f t="array" ref="G2301">_xlfn.IFS(_xlfn.SINGLE(Table1[imd_decile])&lt;=3,"Most Deprived",F2301&lt;=7,"Moderately Deprived",F2301&lt;=10,"Least Deprived")</f>
        <v>Least Deprived</v>
      </c>
      <c r="H2301">
        <v>3.4</v>
      </c>
      <c r="I2301" t="s">
        <v>25</v>
      </c>
      <c r="J2301" t="s">
        <v>26</v>
      </c>
      <c r="K2301" s="1">
        <v>45959</v>
      </c>
      <c r="L2301" s="1">
        <v>45967</v>
      </c>
      <c r="M2301" s="1" t="str">
        <f>TEXT(Table1[[#This Row],[appointment_date]],"MM/YYYY")</f>
        <v>11/2025</v>
      </c>
      <c r="N2301">
        <v>8</v>
      </c>
      <c r="O2301" t="str" cm="1">
        <f t="array" ref="O2301">_xlfn.IFS(Table1[[#This Row],[lead_time_days]]&lt;=7,"0-7 days",N2301&lt;=14,"8-14 days",N2301&lt;=30,"15-30 days",N2301&lt;=60,"31-60 days",TRUE,"61+ days")</f>
        <v>8-14 days</v>
      </c>
      <c r="P2301" t="s">
        <v>20</v>
      </c>
      <c r="Q2301" t="s">
        <v>21</v>
      </c>
      <c r="R2301">
        <v>0</v>
      </c>
      <c r="S2301" t="str">
        <f>IF(Table1[prior_dna_count]&gt;=1,"Has prior DNA history","No prior DNA history")</f>
        <v>No prior DNA history</v>
      </c>
      <c r="T2301" t="s">
        <v>22</v>
      </c>
      <c r="U2301" t="str">
        <f t="shared" si="35"/>
        <v>1</v>
      </c>
      <c r="V2301" t="str">
        <f>IF(Table1[appointment_status]="Attended","1","0")</f>
        <v>1</v>
      </c>
      <c r="W2301" t="str">
        <f>IF(Table1[appointment_status]="Cancelled","1","0")</f>
        <v>0</v>
      </c>
    </row>
    <row r="2302" spans="1:23">
      <c r="A2302" t="s">
        <v>3548</v>
      </c>
      <c r="B2302" t="s">
        <v>3549</v>
      </c>
      <c r="C2302">
        <v>16</v>
      </c>
      <c r="D2302" t="str" cm="1">
        <f t="array" ref="D2302">_xlfn.IFS(Table1[[#This Row],[age]]&lt;=17,"0-17",C2302&lt;=29,"18-29",C2302&lt;=44,"30-44",C2302&lt;=59,"45-59",C2302&lt;=74,"60-74",TRUE,"75+")</f>
        <v>0-17</v>
      </c>
      <c r="E2302" t="s">
        <v>29</v>
      </c>
      <c r="F2302">
        <v>3</v>
      </c>
      <c r="G2302" t="str" cm="1">
        <f t="array" ref="G2302">_xlfn.IFS(_xlfn.SINGLE(Table1[imd_decile])&lt;=3,"Most Deprived",F2302&lt;=7,"Moderately Deprived",F2302&lt;=10,"Least Deprived")</f>
        <v>Most Deprived</v>
      </c>
      <c r="H2302">
        <v>7.6</v>
      </c>
      <c r="I2302" t="s">
        <v>30</v>
      </c>
      <c r="J2302" t="s">
        <v>26</v>
      </c>
      <c r="K2302" s="1">
        <v>45942</v>
      </c>
      <c r="L2302" s="1">
        <v>45968</v>
      </c>
      <c r="M2302" s="1" t="str">
        <f>TEXT(Table1[[#This Row],[appointment_date]],"MM/YYYY")</f>
        <v>11/2025</v>
      </c>
      <c r="N2302">
        <v>26</v>
      </c>
      <c r="O2302" t="str" cm="1">
        <f t="array" ref="O2302">_xlfn.IFS(Table1[[#This Row],[lead_time_days]]&lt;=7,"0-7 days",N2302&lt;=14,"8-14 days",N2302&lt;=30,"15-30 days",N2302&lt;=60,"31-60 days",TRUE,"61+ days")</f>
        <v>15-30 days</v>
      </c>
      <c r="P2302" t="s">
        <v>52</v>
      </c>
      <c r="Q2302" t="s">
        <v>32</v>
      </c>
      <c r="R2302">
        <v>0</v>
      </c>
      <c r="S2302" t="str">
        <f>IF(Table1[prior_dna_count]&gt;=1,"Has prior DNA history","No prior DNA history")</f>
        <v>No prior DNA history</v>
      </c>
      <c r="T2302" t="s">
        <v>22</v>
      </c>
      <c r="U2302" t="str">
        <f t="shared" si="35"/>
        <v>1</v>
      </c>
      <c r="V2302" t="str">
        <f>IF(Table1[appointment_status]="Attended","1","0")</f>
        <v>1</v>
      </c>
      <c r="W2302" t="str">
        <f>IF(Table1[appointment_status]="Cancelled","1","0")</f>
        <v>0</v>
      </c>
    </row>
    <row r="2303" spans="1:23">
      <c r="A2303" t="s">
        <v>3550</v>
      </c>
      <c r="B2303" t="s">
        <v>2502</v>
      </c>
      <c r="C2303">
        <v>55</v>
      </c>
      <c r="D2303" t="str" cm="1">
        <f t="array" ref="D2303">_xlfn.IFS(Table1[[#This Row],[age]]&lt;=17,"0-17",C2303&lt;=29,"18-29",C2303&lt;=44,"30-44",C2303&lt;=59,"45-59",C2303&lt;=74,"60-74",TRUE,"75+")</f>
        <v>45-59</v>
      </c>
      <c r="E2303" t="s">
        <v>17</v>
      </c>
      <c r="F2303">
        <v>9</v>
      </c>
      <c r="G2303" t="str" cm="1">
        <f t="array" ref="G2303">_xlfn.IFS(_xlfn.SINGLE(Table1[imd_decile])&lt;=3,"Most Deprived",F2303&lt;=7,"Moderately Deprived",F2303&lt;=10,"Least Deprived")</f>
        <v>Least Deprived</v>
      </c>
      <c r="H2303">
        <v>11.5</v>
      </c>
      <c r="I2303" t="s">
        <v>25</v>
      </c>
      <c r="J2303" t="s">
        <v>26</v>
      </c>
      <c r="K2303" s="1">
        <v>45940</v>
      </c>
      <c r="L2303" s="1">
        <v>45968</v>
      </c>
      <c r="M2303" s="1" t="str">
        <f>TEXT(Table1[[#This Row],[appointment_date]],"MM/YYYY")</f>
        <v>11/2025</v>
      </c>
      <c r="N2303">
        <v>28</v>
      </c>
      <c r="O2303" t="str" cm="1">
        <f t="array" ref="O2303">_xlfn.IFS(Table1[[#This Row],[lead_time_days]]&lt;=7,"0-7 days",N2303&lt;=14,"8-14 days",N2303&lt;=30,"15-30 days",N2303&lt;=60,"31-60 days",TRUE,"61+ days")</f>
        <v>15-30 days</v>
      </c>
      <c r="P2303" t="s">
        <v>52</v>
      </c>
      <c r="Q2303" t="s">
        <v>32</v>
      </c>
      <c r="R2303">
        <v>0</v>
      </c>
      <c r="S2303" t="str">
        <f>IF(Table1[prior_dna_count]&gt;=1,"Has prior DNA history","No prior DNA history")</f>
        <v>No prior DNA history</v>
      </c>
      <c r="T2303" t="s">
        <v>22</v>
      </c>
      <c r="U2303" t="str">
        <f t="shared" si="35"/>
        <v>1</v>
      </c>
      <c r="V2303" t="str">
        <f>IF(Table1[appointment_status]="Attended","1","0")</f>
        <v>1</v>
      </c>
      <c r="W2303" t="str">
        <f>IF(Table1[appointment_status]="Cancelled","1","0")</f>
        <v>0</v>
      </c>
    </row>
    <row r="2304" spans="1:23">
      <c r="A2304" t="s">
        <v>3551</v>
      </c>
      <c r="B2304" t="s">
        <v>3552</v>
      </c>
      <c r="C2304">
        <v>43</v>
      </c>
      <c r="D2304" t="str" cm="1">
        <f t="array" ref="D2304">_xlfn.IFS(Table1[[#This Row],[age]]&lt;=17,"0-17",C2304&lt;=29,"18-29",C2304&lt;=44,"30-44",C2304&lt;=59,"45-59",C2304&lt;=74,"60-74",TRUE,"75+")</f>
        <v>30-44</v>
      </c>
      <c r="E2304" t="s">
        <v>17</v>
      </c>
      <c r="F2304">
        <v>5</v>
      </c>
      <c r="G2304" t="str" cm="1">
        <f t="array" ref="G2304">_xlfn.IFS(_xlfn.SINGLE(Table1[imd_decile])&lt;=3,"Most Deprived",F2304&lt;=7,"Moderately Deprived",F2304&lt;=10,"Least Deprived")</f>
        <v>Moderately Deprived</v>
      </c>
      <c r="H2304">
        <v>2.4</v>
      </c>
      <c r="I2304" t="s">
        <v>91</v>
      </c>
      <c r="J2304" t="s">
        <v>26</v>
      </c>
      <c r="K2304" s="1">
        <v>45961</v>
      </c>
      <c r="L2304" s="1">
        <v>45968</v>
      </c>
      <c r="M2304" s="1" t="str">
        <f>TEXT(Table1[[#This Row],[appointment_date]],"MM/YYYY")</f>
        <v>11/2025</v>
      </c>
      <c r="N2304">
        <v>7</v>
      </c>
      <c r="O2304" t="str" cm="1">
        <f t="array" ref="O2304">_xlfn.IFS(Table1[[#This Row],[lead_time_days]]&lt;=7,"0-7 days",N2304&lt;=14,"8-14 days",N2304&lt;=30,"15-30 days",N2304&lt;=60,"31-60 days",TRUE,"61+ days")</f>
        <v>0-7 days</v>
      </c>
      <c r="P2304" t="s">
        <v>52</v>
      </c>
      <c r="Q2304" t="s">
        <v>21</v>
      </c>
      <c r="R2304">
        <v>0</v>
      </c>
      <c r="S2304" t="str">
        <f>IF(Table1[prior_dna_count]&gt;=1,"Has prior DNA history","No prior DNA history")</f>
        <v>No prior DNA history</v>
      </c>
      <c r="T2304" t="s">
        <v>22</v>
      </c>
      <c r="U2304" t="str">
        <f t="shared" si="35"/>
        <v>1</v>
      </c>
      <c r="V2304" t="str">
        <f>IF(Table1[appointment_status]="Attended","1","0")</f>
        <v>1</v>
      </c>
      <c r="W2304" t="str">
        <f>IF(Table1[appointment_status]="Cancelled","1","0")</f>
        <v>0</v>
      </c>
    </row>
    <row r="2305" spans="1:23">
      <c r="A2305" t="s">
        <v>3553</v>
      </c>
      <c r="B2305" t="s">
        <v>2430</v>
      </c>
      <c r="C2305">
        <v>3</v>
      </c>
      <c r="D2305" t="str" cm="1">
        <f t="array" ref="D2305">_xlfn.IFS(Table1[[#This Row],[age]]&lt;=17,"0-17",C2305&lt;=29,"18-29",C2305&lt;=44,"30-44",C2305&lt;=59,"45-59",C2305&lt;=74,"60-74",TRUE,"75+")</f>
        <v>0-17</v>
      </c>
      <c r="E2305" t="s">
        <v>29</v>
      </c>
      <c r="F2305">
        <v>8</v>
      </c>
      <c r="G2305" t="str" cm="1">
        <f t="array" ref="G2305">_xlfn.IFS(_xlfn.SINGLE(Table1[imd_decile])&lt;=3,"Most Deprived",F2305&lt;=7,"Moderately Deprived",F2305&lt;=10,"Least Deprived")</f>
        <v>Least Deprived</v>
      </c>
      <c r="H2305">
        <v>6.8</v>
      </c>
      <c r="I2305" t="s">
        <v>155</v>
      </c>
      <c r="J2305" t="s">
        <v>19</v>
      </c>
      <c r="K2305" s="1">
        <v>45917</v>
      </c>
      <c r="L2305" s="1">
        <v>45968</v>
      </c>
      <c r="M2305" s="1" t="str">
        <f>TEXT(Table1[[#This Row],[appointment_date]],"MM/YYYY")</f>
        <v>11/2025</v>
      </c>
      <c r="N2305">
        <v>51</v>
      </c>
      <c r="O2305" t="str" cm="1">
        <f t="array" ref="O2305">_xlfn.IFS(Table1[[#This Row],[lead_time_days]]&lt;=7,"0-7 days",N2305&lt;=14,"8-14 days",N2305&lt;=30,"15-30 days",N2305&lt;=60,"31-60 days",TRUE,"61+ days")</f>
        <v>31-60 days</v>
      </c>
      <c r="P2305" t="s">
        <v>52</v>
      </c>
      <c r="Q2305" t="s">
        <v>32</v>
      </c>
      <c r="R2305">
        <v>0</v>
      </c>
      <c r="S2305" t="str">
        <f>IF(Table1[prior_dna_count]&gt;=1,"Has prior DNA history","No prior DNA history")</f>
        <v>No prior DNA history</v>
      </c>
      <c r="T2305" t="s">
        <v>22</v>
      </c>
      <c r="U2305" t="str">
        <f t="shared" si="35"/>
        <v>1</v>
      </c>
      <c r="V2305" t="str">
        <f>IF(Table1[appointment_status]="Attended","1","0")</f>
        <v>1</v>
      </c>
      <c r="W2305" t="str">
        <f>IF(Table1[appointment_status]="Cancelled","1","0")</f>
        <v>0</v>
      </c>
    </row>
    <row r="2306" spans="1:23">
      <c r="A2306" t="s">
        <v>3554</v>
      </c>
      <c r="B2306" t="s">
        <v>2214</v>
      </c>
      <c r="C2306">
        <v>37</v>
      </c>
      <c r="D2306" t="str" cm="1">
        <f t="array" ref="D2306">_xlfn.IFS(Table1[[#This Row],[age]]&lt;=17,"0-17",C2306&lt;=29,"18-29",C2306&lt;=44,"30-44",C2306&lt;=59,"45-59",C2306&lt;=74,"60-74",TRUE,"75+")</f>
        <v>30-44</v>
      </c>
      <c r="E2306" t="s">
        <v>29</v>
      </c>
      <c r="F2306">
        <v>1</v>
      </c>
      <c r="G2306" t="str" cm="1">
        <f t="array" ref="G2306">_xlfn.IFS(_xlfn.SINGLE(Table1[imd_decile])&lt;=3,"Most Deprived",F2306&lt;=7,"Moderately Deprived",F2306&lt;=10,"Least Deprived")</f>
        <v>Most Deprived</v>
      </c>
      <c r="H2306">
        <v>8.8000000000000007</v>
      </c>
      <c r="I2306" t="s">
        <v>18</v>
      </c>
      <c r="J2306" t="s">
        <v>19</v>
      </c>
      <c r="K2306" s="1">
        <v>45911</v>
      </c>
      <c r="L2306" s="1">
        <v>45968</v>
      </c>
      <c r="M2306" s="1" t="str">
        <f>TEXT(Table1[[#This Row],[appointment_date]],"MM/YYYY")</f>
        <v>11/2025</v>
      </c>
      <c r="N2306">
        <v>57</v>
      </c>
      <c r="O2306" t="str" cm="1">
        <f t="array" ref="O2306">_xlfn.IFS(Table1[[#This Row],[lead_time_days]]&lt;=7,"0-7 days",N2306&lt;=14,"8-14 days",N2306&lt;=30,"15-30 days",N2306&lt;=60,"31-60 days",TRUE,"61+ days")</f>
        <v>31-60 days</v>
      </c>
      <c r="P2306" t="s">
        <v>52</v>
      </c>
      <c r="Q2306" t="s">
        <v>21</v>
      </c>
      <c r="R2306">
        <v>0</v>
      </c>
      <c r="S2306" t="str">
        <f>IF(Table1[prior_dna_count]&gt;=1,"Has prior DNA history","No prior DNA history")</f>
        <v>No prior DNA history</v>
      </c>
      <c r="T2306" t="s">
        <v>22</v>
      </c>
      <c r="U2306" t="str">
        <f t="shared" ref="U2306:U2369" si="36">V2305</f>
        <v>1</v>
      </c>
      <c r="V2306" t="str">
        <f>IF(Table1[appointment_status]="Attended","1","0")</f>
        <v>1</v>
      </c>
      <c r="W2306" t="str">
        <f>IF(Table1[appointment_status]="Cancelled","1","0")</f>
        <v>0</v>
      </c>
    </row>
    <row r="2307" spans="1:23">
      <c r="A2307" t="s">
        <v>3555</v>
      </c>
      <c r="B2307" t="s">
        <v>2630</v>
      </c>
      <c r="C2307">
        <v>29</v>
      </c>
      <c r="D2307" t="str" cm="1">
        <f t="array" ref="D2307">_xlfn.IFS(Table1[[#This Row],[age]]&lt;=17,"0-17",C2307&lt;=29,"18-29",C2307&lt;=44,"30-44",C2307&lt;=59,"45-59",C2307&lt;=74,"60-74",TRUE,"75+")</f>
        <v>18-29</v>
      </c>
      <c r="E2307" t="s">
        <v>29</v>
      </c>
      <c r="F2307">
        <v>9</v>
      </c>
      <c r="G2307" t="str" cm="1">
        <f t="array" ref="G2307">_xlfn.IFS(_xlfn.SINGLE(Table1[imd_decile])&lt;=3,"Most Deprived",F2307&lt;=7,"Moderately Deprived",F2307&lt;=10,"Least Deprived")</f>
        <v>Least Deprived</v>
      </c>
      <c r="H2307">
        <v>8.5</v>
      </c>
      <c r="I2307" t="s">
        <v>45</v>
      </c>
      <c r="J2307" t="s">
        <v>26</v>
      </c>
      <c r="K2307" s="1">
        <v>45939</v>
      </c>
      <c r="L2307" s="1">
        <v>45968</v>
      </c>
      <c r="M2307" s="1" t="str">
        <f>TEXT(Table1[[#This Row],[appointment_date]],"MM/YYYY")</f>
        <v>11/2025</v>
      </c>
      <c r="N2307">
        <v>29</v>
      </c>
      <c r="O2307" t="str" cm="1">
        <f t="array" ref="O2307">_xlfn.IFS(Table1[[#This Row],[lead_time_days]]&lt;=7,"0-7 days",N2307&lt;=14,"8-14 days",N2307&lt;=30,"15-30 days",N2307&lt;=60,"31-60 days",TRUE,"61+ days")</f>
        <v>15-30 days</v>
      </c>
      <c r="P2307" t="s">
        <v>52</v>
      </c>
      <c r="Q2307" t="s">
        <v>32</v>
      </c>
      <c r="R2307">
        <v>0</v>
      </c>
      <c r="S2307" t="str">
        <f>IF(Table1[prior_dna_count]&gt;=1,"Has prior DNA history","No prior DNA history")</f>
        <v>No prior DNA history</v>
      </c>
      <c r="T2307" t="s">
        <v>46</v>
      </c>
      <c r="U2307" t="str">
        <f t="shared" si="36"/>
        <v>1</v>
      </c>
      <c r="V2307" t="str">
        <f>IF(Table1[appointment_status]="Attended","1","0")</f>
        <v>0</v>
      </c>
      <c r="W2307" t="str">
        <f>IF(Table1[appointment_status]="Cancelled","1","0")</f>
        <v>1</v>
      </c>
    </row>
    <row r="2308" spans="1:23">
      <c r="A2308" t="s">
        <v>3556</v>
      </c>
      <c r="B2308" t="s">
        <v>764</v>
      </c>
      <c r="C2308">
        <v>30</v>
      </c>
      <c r="D2308" t="str" cm="1">
        <f t="array" ref="D2308">_xlfn.IFS(Table1[[#This Row],[age]]&lt;=17,"0-17",C2308&lt;=29,"18-29",C2308&lt;=44,"30-44",C2308&lt;=59,"45-59",C2308&lt;=74,"60-74",TRUE,"75+")</f>
        <v>30-44</v>
      </c>
      <c r="E2308" t="s">
        <v>17</v>
      </c>
      <c r="F2308">
        <v>6</v>
      </c>
      <c r="G2308" t="str" cm="1">
        <f t="array" ref="G2308">_xlfn.IFS(_xlfn.SINGLE(Table1[imd_decile])&lt;=3,"Most Deprived",F2308&lt;=7,"Moderately Deprived",F2308&lt;=10,"Least Deprived")</f>
        <v>Moderately Deprived</v>
      </c>
      <c r="H2308">
        <v>5</v>
      </c>
      <c r="I2308" t="s">
        <v>49</v>
      </c>
      <c r="J2308" t="s">
        <v>19</v>
      </c>
      <c r="K2308" s="1">
        <v>45930</v>
      </c>
      <c r="L2308" s="1">
        <v>45968</v>
      </c>
      <c r="M2308" s="1" t="str">
        <f>TEXT(Table1[[#This Row],[appointment_date]],"MM/YYYY")</f>
        <v>11/2025</v>
      </c>
      <c r="N2308">
        <v>38</v>
      </c>
      <c r="O2308" t="str" cm="1">
        <f t="array" ref="O2308">_xlfn.IFS(Table1[[#This Row],[lead_time_days]]&lt;=7,"0-7 days",N2308&lt;=14,"8-14 days",N2308&lt;=30,"15-30 days",N2308&lt;=60,"31-60 days",TRUE,"61+ days")</f>
        <v>31-60 days</v>
      </c>
      <c r="P2308" t="s">
        <v>52</v>
      </c>
      <c r="Q2308" t="s">
        <v>21</v>
      </c>
      <c r="R2308">
        <v>1</v>
      </c>
      <c r="S2308" t="str">
        <f>IF(Table1[prior_dna_count]&gt;=1,"Has prior DNA history","No prior DNA history")</f>
        <v>Has prior DNA history</v>
      </c>
      <c r="T2308" t="s">
        <v>39</v>
      </c>
      <c r="U2308" t="str">
        <f t="shared" si="36"/>
        <v>0</v>
      </c>
      <c r="V2308" t="str">
        <f>IF(Table1[appointment_status]="Attended","1","0")</f>
        <v>0</v>
      </c>
      <c r="W2308" t="str">
        <f>IF(Table1[appointment_status]="Cancelled","1","0")</f>
        <v>0</v>
      </c>
    </row>
    <row r="2309" spans="1:23">
      <c r="A2309" t="s">
        <v>3557</v>
      </c>
      <c r="B2309" t="s">
        <v>3558</v>
      </c>
      <c r="C2309">
        <v>20</v>
      </c>
      <c r="D2309" t="str" cm="1">
        <f t="array" ref="D2309">_xlfn.IFS(Table1[[#This Row],[age]]&lt;=17,"0-17",C2309&lt;=29,"18-29",C2309&lt;=44,"30-44",C2309&lt;=59,"45-59",C2309&lt;=74,"60-74",TRUE,"75+")</f>
        <v>18-29</v>
      </c>
      <c r="E2309" t="s">
        <v>17</v>
      </c>
      <c r="F2309">
        <v>5</v>
      </c>
      <c r="G2309" t="str" cm="1">
        <f t="array" ref="G2309">_xlfn.IFS(_xlfn.SINGLE(Table1[imd_decile])&lt;=3,"Most Deprived",F2309&lt;=7,"Moderately Deprived",F2309&lt;=10,"Least Deprived")</f>
        <v>Moderately Deprived</v>
      </c>
      <c r="H2309">
        <v>12.4</v>
      </c>
      <c r="I2309" t="s">
        <v>25</v>
      </c>
      <c r="J2309" t="s">
        <v>19</v>
      </c>
      <c r="K2309" s="1">
        <v>45947</v>
      </c>
      <c r="L2309" s="1">
        <v>45969</v>
      </c>
      <c r="M2309" s="1" t="str">
        <f>TEXT(Table1[[#This Row],[appointment_date]],"MM/YYYY")</f>
        <v>11/2025</v>
      </c>
      <c r="N2309">
        <v>22</v>
      </c>
      <c r="O2309" t="str" cm="1">
        <f t="array" ref="O2309">_xlfn.IFS(Table1[[#This Row],[lead_time_days]]&lt;=7,"0-7 days",N2309&lt;=14,"8-14 days",N2309&lt;=30,"15-30 days",N2309&lt;=60,"31-60 days",TRUE,"61+ days")</f>
        <v>15-30 days</v>
      </c>
      <c r="P2309" t="s">
        <v>55</v>
      </c>
      <c r="Q2309" t="s">
        <v>21</v>
      </c>
      <c r="R2309">
        <v>0</v>
      </c>
      <c r="S2309" t="str">
        <f>IF(Table1[prior_dna_count]&gt;=1,"Has prior DNA history","No prior DNA history")</f>
        <v>No prior DNA history</v>
      </c>
      <c r="T2309" t="s">
        <v>22</v>
      </c>
      <c r="U2309" t="str">
        <f t="shared" si="36"/>
        <v>0</v>
      </c>
      <c r="V2309" t="str">
        <f>IF(Table1[appointment_status]="Attended","1","0")</f>
        <v>1</v>
      </c>
      <c r="W2309" t="str">
        <f>IF(Table1[appointment_status]="Cancelled","1","0")</f>
        <v>0</v>
      </c>
    </row>
    <row r="2310" spans="1:23">
      <c r="A2310" t="s">
        <v>3559</v>
      </c>
      <c r="B2310" t="s">
        <v>1417</v>
      </c>
      <c r="C2310">
        <v>64</v>
      </c>
      <c r="D2310" t="str" cm="1">
        <f t="array" ref="D2310">_xlfn.IFS(Table1[[#This Row],[age]]&lt;=17,"0-17",C2310&lt;=29,"18-29",C2310&lt;=44,"30-44",C2310&lt;=59,"45-59",C2310&lt;=74,"60-74",TRUE,"75+")</f>
        <v>60-74</v>
      </c>
      <c r="E2310" t="s">
        <v>29</v>
      </c>
      <c r="F2310">
        <v>1</v>
      </c>
      <c r="G2310" t="str" cm="1">
        <f t="array" ref="G2310">_xlfn.IFS(_xlfn.SINGLE(Table1[imd_decile])&lt;=3,"Most Deprived",F2310&lt;=7,"Moderately Deprived",F2310&lt;=10,"Least Deprived")</f>
        <v>Most Deprived</v>
      </c>
      <c r="H2310">
        <v>3.7</v>
      </c>
      <c r="I2310" t="s">
        <v>25</v>
      </c>
      <c r="J2310" t="s">
        <v>19</v>
      </c>
      <c r="K2310" s="1">
        <v>45927</v>
      </c>
      <c r="L2310" s="1">
        <v>45969</v>
      </c>
      <c r="M2310" s="1" t="str">
        <f>TEXT(Table1[[#This Row],[appointment_date]],"MM/YYYY")</f>
        <v>11/2025</v>
      </c>
      <c r="N2310">
        <v>42</v>
      </c>
      <c r="O2310" t="str" cm="1">
        <f t="array" ref="O2310">_xlfn.IFS(Table1[[#This Row],[lead_time_days]]&lt;=7,"0-7 days",N2310&lt;=14,"8-14 days",N2310&lt;=30,"15-30 days",N2310&lt;=60,"31-60 days",TRUE,"61+ days")</f>
        <v>31-60 days</v>
      </c>
      <c r="P2310" t="s">
        <v>55</v>
      </c>
      <c r="Q2310" t="s">
        <v>32</v>
      </c>
      <c r="R2310">
        <v>0</v>
      </c>
      <c r="S2310" t="str">
        <f>IF(Table1[prior_dna_count]&gt;=1,"Has prior DNA history","No prior DNA history")</f>
        <v>No prior DNA history</v>
      </c>
      <c r="T2310" t="s">
        <v>22</v>
      </c>
      <c r="U2310" t="str">
        <f t="shared" si="36"/>
        <v>1</v>
      </c>
      <c r="V2310" t="str">
        <f>IF(Table1[appointment_status]="Attended","1","0")</f>
        <v>1</v>
      </c>
      <c r="W2310" t="str">
        <f>IF(Table1[appointment_status]="Cancelled","1","0")</f>
        <v>0</v>
      </c>
    </row>
    <row r="2311" spans="1:23">
      <c r="A2311" t="s">
        <v>3560</v>
      </c>
      <c r="B2311" t="s">
        <v>758</v>
      </c>
      <c r="C2311">
        <v>80</v>
      </c>
      <c r="D2311" t="str" cm="1">
        <f t="array" ref="D2311">_xlfn.IFS(Table1[[#This Row],[age]]&lt;=17,"0-17",C2311&lt;=29,"18-29",C2311&lt;=44,"30-44",C2311&lt;=59,"45-59",C2311&lt;=74,"60-74",TRUE,"75+")</f>
        <v>75+</v>
      </c>
      <c r="E2311" t="s">
        <v>29</v>
      </c>
      <c r="F2311">
        <v>1</v>
      </c>
      <c r="G2311" t="str" cm="1">
        <f t="array" ref="G2311">_xlfn.IFS(_xlfn.SINGLE(Table1[imd_decile])&lt;=3,"Most Deprived",F2311&lt;=7,"Moderately Deprived",F2311&lt;=10,"Least Deprived")</f>
        <v>Most Deprived</v>
      </c>
      <c r="H2311">
        <v>1.4</v>
      </c>
      <c r="I2311" t="s">
        <v>18</v>
      </c>
      <c r="J2311" t="s">
        <v>19</v>
      </c>
      <c r="K2311" s="1">
        <v>45952</v>
      </c>
      <c r="L2311" s="1">
        <v>45969</v>
      </c>
      <c r="M2311" s="1" t="str">
        <f>TEXT(Table1[[#This Row],[appointment_date]],"MM/YYYY")</f>
        <v>11/2025</v>
      </c>
      <c r="N2311">
        <v>17</v>
      </c>
      <c r="O2311" t="str" cm="1">
        <f t="array" ref="O2311">_xlfn.IFS(Table1[[#This Row],[lead_time_days]]&lt;=7,"0-7 days",N2311&lt;=14,"8-14 days",N2311&lt;=30,"15-30 days",N2311&lt;=60,"31-60 days",TRUE,"61+ days")</f>
        <v>15-30 days</v>
      </c>
      <c r="P2311" t="s">
        <v>55</v>
      </c>
      <c r="Q2311" t="s">
        <v>32</v>
      </c>
      <c r="R2311">
        <v>0</v>
      </c>
      <c r="S2311" t="str">
        <f>IF(Table1[prior_dna_count]&gt;=1,"Has prior DNA history","No prior DNA history")</f>
        <v>No prior DNA history</v>
      </c>
      <c r="T2311" t="s">
        <v>22</v>
      </c>
      <c r="U2311" t="str">
        <f t="shared" si="36"/>
        <v>1</v>
      </c>
      <c r="V2311" t="str">
        <f>IF(Table1[appointment_status]="Attended","1","0")</f>
        <v>1</v>
      </c>
      <c r="W2311" t="str">
        <f>IF(Table1[appointment_status]="Cancelled","1","0")</f>
        <v>0</v>
      </c>
    </row>
    <row r="2312" spans="1:23">
      <c r="A2312" t="s">
        <v>3561</v>
      </c>
      <c r="B2312" t="s">
        <v>1585</v>
      </c>
      <c r="C2312">
        <v>23</v>
      </c>
      <c r="D2312" t="str" cm="1">
        <f t="array" ref="D2312">_xlfn.IFS(Table1[[#This Row],[age]]&lt;=17,"0-17",C2312&lt;=29,"18-29",C2312&lt;=44,"30-44",C2312&lt;=59,"45-59",C2312&lt;=74,"60-74",TRUE,"75+")</f>
        <v>18-29</v>
      </c>
      <c r="E2312" t="s">
        <v>17</v>
      </c>
      <c r="F2312">
        <v>8</v>
      </c>
      <c r="G2312" t="str" cm="1">
        <f t="array" ref="G2312">_xlfn.IFS(_xlfn.SINGLE(Table1[imd_decile])&lt;=3,"Most Deprived",F2312&lt;=7,"Moderately Deprived",F2312&lt;=10,"Least Deprived")</f>
        <v>Least Deprived</v>
      </c>
      <c r="H2312">
        <v>6</v>
      </c>
      <c r="I2312" t="s">
        <v>30</v>
      </c>
      <c r="J2312" t="s">
        <v>19</v>
      </c>
      <c r="K2312" s="1">
        <v>45946</v>
      </c>
      <c r="L2312" s="1">
        <v>45969</v>
      </c>
      <c r="M2312" s="1" t="str">
        <f>TEXT(Table1[[#This Row],[appointment_date]],"MM/YYYY")</f>
        <v>11/2025</v>
      </c>
      <c r="N2312">
        <v>23</v>
      </c>
      <c r="O2312" t="str" cm="1">
        <f t="array" ref="O2312">_xlfn.IFS(Table1[[#This Row],[lead_time_days]]&lt;=7,"0-7 days",N2312&lt;=14,"8-14 days",N2312&lt;=30,"15-30 days",N2312&lt;=60,"31-60 days",TRUE,"61+ days")</f>
        <v>15-30 days</v>
      </c>
      <c r="P2312" t="s">
        <v>55</v>
      </c>
      <c r="Q2312" t="s">
        <v>21</v>
      </c>
      <c r="R2312">
        <v>3</v>
      </c>
      <c r="S2312" t="str">
        <f>IF(Table1[prior_dna_count]&gt;=1,"Has prior DNA history","No prior DNA history")</f>
        <v>Has prior DNA history</v>
      </c>
      <c r="T2312" t="s">
        <v>22</v>
      </c>
      <c r="U2312" t="str">
        <f t="shared" si="36"/>
        <v>1</v>
      </c>
      <c r="V2312" t="str">
        <f>IF(Table1[appointment_status]="Attended","1","0")</f>
        <v>1</v>
      </c>
      <c r="W2312" t="str">
        <f>IF(Table1[appointment_status]="Cancelled","1","0")</f>
        <v>0</v>
      </c>
    </row>
    <row r="2313" spans="1:23">
      <c r="A2313" t="s">
        <v>3562</v>
      </c>
      <c r="B2313" t="s">
        <v>3563</v>
      </c>
      <c r="C2313">
        <v>44</v>
      </c>
      <c r="D2313" t="str" cm="1">
        <f t="array" ref="D2313">_xlfn.IFS(Table1[[#This Row],[age]]&lt;=17,"0-17",C2313&lt;=29,"18-29",C2313&lt;=44,"30-44",C2313&lt;=59,"45-59",C2313&lt;=74,"60-74",TRUE,"75+")</f>
        <v>30-44</v>
      </c>
      <c r="E2313" t="s">
        <v>17</v>
      </c>
      <c r="F2313">
        <v>9</v>
      </c>
      <c r="G2313" t="str" cm="1">
        <f t="array" ref="G2313">_xlfn.IFS(_xlfn.SINGLE(Table1[imd_decile])&lt;=3,"Most Deprived",F2313&lt;=7,"Moderately Deprived",F2313&lt;=10,"Least Deprived")</f>
        <v>Least Deprived</v>
      </c>
      <c r="H2313">
        <v>24.5</v>
      </c>
      <c r="I2313" t="s">
        <v>91</v>
      </c>
      <c r="J2313" t="s">
        <v>19</v>
      </c>
      <c r="K2313" s="1">
        <v>45953</v>
      </c>
      <c r="L2313" s="1">
        <v>45969</v>
      </c>
      <c r="M2313" s="1" t="str">
        <f>TEXT(Table1[[#This Row],[appointment_date]],"MM/YYYY")</f>
        <v>11/2025</v>
      </c>
      <c r="N2313">
        <v>16</v>
      </c>
      <c r="O2313" t="str" cm="1">
        <f t="array" ref="O2313">_xlfn.IFS(Table1[[#This Row],[lead_time_days]]&lt;=7,"0-7 days",N2313&lt;=14,"8-14 days",N2313&lt;=30,"15-30 days",N2313&lt;=60,"31-60 days",TRUE,"61+ days")</f>
        <v>15-30 days</v>
      </c>
      <c r="P2313" t="s">
        <v>55</v>
      </c>
      <c r="Q2313" t="s">
        <v>32</v>
      </c>
      <c r="R2313">
        <v>0</v>
      </c>
      <c r="S2313" t="str">
        <f>IF(Table1[prior_dna_count]&gt;=1,"Has prior DNA history","No prior DNA history")</f>
        <v>No prior DNA history</v>
      </c>
      <c r="T2313" t="s">
        <v>22</v>
      </c>
      <c r="U2313" t="str">
        <f t="shared" si="36"/>
        <v>1</v>
      </c>
      <c r="V2313" t="str">
        <f>IF(Table1[appointment_status]="Attended","1","0")</f>
        <v>1</v>
      </c>
      <c r="W2313" t="str">
        <f>IF(Table1[appointment_status]="Cancelled","1","0")</f>
        <v>0</v>
      </c>
    </row>
    <row r="2314" spans="1:23">
      <c r="A2314" t="s">
        <v>3564</v>
      </c>
      <c r="B2314" t="s">
        <v>3082</v>
      </c>
      <c r="C2314">
        <v>33</v>
      </c>
      <c r="D2314" t="str" cm="1">
        <f t="array" ref="D2314">_xlfn.IFS(Table1[[#This Row],[age]]&lt;=17,"0-17",C2314&lt;=29,"18-29",C2314&lt;=44,"30-44",C2314&lt;=59,"45-59",C2314&lt;=74,"60-74",TRUE,"75+")</f>
        <v>30-44</v>
      </c>
      <c r="E2314" t="s">
        <v>29</v>
      </c>
      <c r="F2314">
        <v>5</v>
      </c>
      <c r="G2314" t="str" cm="1">
        <f t="array" ref="G2314">_xlfn.IFS(_xlfn.SINGLE(Table1[imd_decile])&lt;=3,"Most Deprived",F2314&lt;=7,"Moderately Deprived",F2314&lt;=10,"Least Deprived")</f>
        <v>Moderately Deprived</v>
      </c>
      <c r="H2314">
        <v>3.8</v>
      </c>
      <c r="I2314" t="s">
        <v>42</v>
      </c>
      <c r="J2314" t="s">
        <v>19</v>
      </c>
      <c r="K2314" s="1">
        <v>45956</v>
      </c>
      <c r="L2314" s="1">
        <v>45969</v>
      </c>
      <c r="M2314" s="1" t="str">
        <f>TEXT(Table1[[#This Row],[appointment_date]],"MM/YYYY")</f>
        <v>11/2025</v>
      </c>
      <c r="N2314">
        <v>13</v>
      </c>
      <c r="O2314" t="str" cm="1">
        <f t="array" ref="O2314">_xlfn.IFS(Table1[[#This Row],[lead_time_days]]&lt;=7,"0-7 days",N2314&lt;=14,"8-14 days",N2314&lt;=30,"15-30 days",N2314&lt;=60,"31-60 days",TRUE,"61+ days")</f>
        <v>8-14 days</v>
      </c>
      <c r="P2314" t="s">
        <v>55</v>
      </c>
      <c r="Q2314" t="s">
        <v>21</v>
      </c>
      <c r="R2314">
        <v>0</v>
      </c>
      <c r="S2314" t="str">
        <f>IF(Table1[prior_dna_count]&gt;=1,"Has prior DNA history","No prior DNA history")</f>
        <v>No prior DNA history</v>
      </c>
      <c r="T2314" t="s">
        <v>22</v>
      </c>
      <c r="U2314" t="str">
        <f t="shared" si="36"/>
        <v>1</v>
      </c>
      <c r="V2314" t="str">
        <f>IF(Table1[appointment_status]="Attended","1","0")</f>
        <v>1</v>
      </c>
      <c r="W2314" t="str">
        <f>IF(Table1[appointment_status]="Cancelled","1","0")</f>
        <v>0</v>
      </c>
    </row>
    <row r="2315" spans="1:23">
      <c r="A2315" t="s">
        <v>3565</v>
      </c>
      <c r="B2315" t="s">
        <v>290</v>
      </c>
      <c r="C2315">
        <v>56</v>
      </c>
      <c r="D2315" t="str" cm="1">
        <f t="array" ref="D2315">_xlfn.IFS(Table1[[#This Row],[age]]&lt;=17,"0-17",C2315&lt;=29,"18-29",C2315&lt;=44,"30-44",C2315&lt;=59,"45-59",C2315&lt;=74,"60-74",TRUE,"75+")</f>
        <v>45-59</v>
      </c>
      <c r="E2315" t="s">
        <v>17</v>
      </c>
      <c r="F2315">
        <v>9</v>
      </c>
      <c r="G2315" t="str" cm="1">
        <f t="array" ref="G2315">_xlfn.IFS(_xlfn.SINGLE(Table1[imd_decile])&lt;=3,"Most Deprived",F2315&lt;=7,"Moderately Deprived",F2315&lt;=10,"Least Deprived")</f>
        <v>Least Deprived</v>
      </c>
      <c r="H2315">
        <v>2.2999999999999998</v>
      </c>
      <c r="I2315" t="s">
        <v>42</v>
      </c>
      <c r="J2315" t="s">
        <v>19</v>
      </c>
      <c r="K2315" s="1">
        <v>45952</v>
      </c>
      <c r="L2315" s="1">
        <v>45969</v>
      </c>
      <c r="M2315" s="1" t="str">
        <f>TEXT(Table1[[#This Row],[appointment_date]],"MM/YYYY")</f>
        <v>11/2025</v>
      </c>
      <c r="N2315">
        <v>17</v>
      </c>
      <c r="O2315" t="str" cm="1">
        <f t="array" ref="O2315">_xlfn.IFS(Table1[[#This Row],[lead_time_days]]&lt;=7,"0-7 days",N2315&lt;=14,"8-14 days",N2315&lt;=30,"15-30 days",N2315&lt;=60,"31-60 days",TRUE,"61+ days")</f>
        <v>15-30 days</v>
      </c>
      <c r="P2315" t="s">
        <v>55</v>
      </c>
      <c r="Q2315" t="s">
        <v>21</v>
      </c>
      <c r="R2315">
        <v>0</v>
      </c>
      <c r="S2315" t="str">
        <f>IF(Table1[prior_dna_count]&gt;=1,"Has prior DNA history","No prior DNA history")</f>
        <v>No prior DNA history</v>
      </c>
      <c r="T2315" t="s">
        <v>46</v>
      </c>
      <c r="U2315" t="str">
        <f t="shared" si="36"/>
        <v>1</v>
      </c>
      <c r="V2315" t="str">
        <f>IF(Table1[appointment_status]="Attended","1","0")</f>
        <v>0</v>
      </c>
      <c r="W2315" t="str">
        <f>IF(Table1[appointment_status]="Cancelled","1","0")</f>
        <v>1</v>
      </c>
    </row>
    <row r="2316" spans="1:23">
      <c r="A2316" t="s">
        <v>3566</v>
      </c>
      <c r="B2316" t="s">
        <v>2030</v>
      </c>
      <c r="C2316">
        <v>42</v>
      </c>
      <c r="D2316" t="str" cm="1">
        <f t="array" ref="D2316">_xlfn.IFS(Table1[[#This Row],[age]]&lt;=17,"0-17",C2316&lt;=29,"18-29",C2316&lt;=44,"30-44",C2316&lt;=59,"45-59",C2316&lt;=74,"60-74",TRUE,"75+")</f>
        <v>30-44</v>
      </c>
      <c r="E2316" t="s">
        <v>29</v>
      </c>
      <c r="F2316">
        <v>6</v>
      </c>
      <c r="G2316" t="str" cm="1">
        <f t="array" ref="G2316">_xlfn.IFS(_xlfn.SINGLE(Table1[imd_decile])&lt;=3,"Most Deprived",F2316&lt;=7,"Moderately Deprived",F2316&lt;=10,"Least Deprived")</f>
        <v>Moderately Deprived</v>
      </c>
      <c r="H2316">
        <v>7.4</v>
      </c>
      <c r="I2316" t="s">
        <v>49</v>
      </c>
      <c r="J2316" t="s">
        <v>19</v>
      </c>
      <c r="K2316" s="1">
        <v>45958</v>
      </c>
      <c r="L2316" s="1">
        <v>45969</v>
      </c>
      <c r="M2316" s="1" t="str">
        <f>TEXT(Table1[[#This Row],[appointment_date]],"MM/YYYY")</f>
        <v>11/2025</v>
      </c>
      <c r="N2316">
        <v>11</v>
      </c>
      <c r="O2316" t="str" cm="1">
        <f t="array" ref="O2316">_xlfn.IFS(Table1[[#This Row],[lead_time_days]]&lt;=7,"0-7 days",N2316&lt;=14,"8-14 days",N2316&lt;=30,"15-30 days",N2316&lt;=60,"31-60 days",TRUE,"61+ days")</f>
        <v>8-14 days</v>
      </c>
      <c r="P2316" t="s">
        <v>55</v>
      </c>
      <c r="Q2316" t="s">
        <v>32</v>
      </c>
      <c r="R2316">
        <v>0</v>
      </c>
      <c r="S2316" t="str">
        <f>IF(Table1[prior_dna_count]&gt;=1,"Has prior DNA history","No prior DNA history")</f>
        <v>No prior DNA history</v>
      </c>
      <c r="T2316" t="s">
        <v>39</v>
      </c>
      <c r="U2316" t="str">
        <f t="shared" si="36"/>
        <v>0</v>
      </c>
      <c r="V2316" t="str">
        <f>IF(Table1[appointment_status]="Attended","1","0")</f>
        <v>0</v>
      </c>
      <c r="W2316" t="str">
        <f>IF(Table1[appointment_status]="Cancelled","1","0")</f>
        <v>0</v>
      </c>
    </row>
    <row r="2317" spans="1:23">
      <c r="A2317" t="s">
        <v>3567</v>
      </c>
      <c r="B2317" t="s">
        <v>865</v>
      </c>
      <c r="C2317">
        <v>57</v>
      </c>
      <c r="D2317" t="str" cm="1">
        <f t="array" ref="D2317">_xlfn.IFS(Table1[[#This Row],[age]]&lt;=17,"0-17",C2317&lt;=29,"18-29",C2317&lt;=44,"30-44",C2317&lt;=59,"45-59",C2317&lt;=74,"60-74",TRUE,"75+")</f>
        <v>45-59</v>
      </c>
      <c r="E2317" t="s">
        <v>17</v>
      </c>
      <c r="F2317">
        <v>3</v>
      </c>
      <c r="G2317" t="str" cm="1">
        <f t="array" ref="G2317">_xlfn.IFS(_xlfn.SINGLE(Table1[imd_decile])&lt;=3,"Most Deprived",F2317&lt;=7,"Moderately Deprived",F2317&lt;=10,"Least Deprived")</f>
        <v>Most Deprived</v>
      </c>
      <c r="H2317">
        <v>14.3</v>
      </c>
      <c r="I2317" t="s">
        <v>58</v>
      </c>
      <c r="J2317" t="s">
        <v>19</v>
      </c>
      <c r="K2317" s="1">
        <v>45942</v>
      </c>
      <c r="L2317" s="1">
        <v>45969</v>
      </c>
      <c r="M2317" s="1" t="str">
        <f>TEXT(Table1[[#This Row],[appointment_date]],"MM/YYYY")</f>
        <v>11/2025</v>
      </c>
      <c r="N2317">
        <v>27</v>
      </c>
      <c r="O2317" t="str" cm="1">
        <f t="array" ref="O2317">_xlfn.IFS(Table1[[#This Row],[lead_time_days]]&lt;=7,"0-7 days",N2317&lt;=14,"8-14 days",N2317&lt;=30,"15-30 days",N2317&lt;=60,"31-60 days",TRUE,"61+ days")</f>
        <v>15-30 days</v>
      </c>
      <c r="P2317" t="s">
        <v>55</v>
      </c>
      <c r="Q2317" t="s">
        <v>21</v>
      </c>
      <c r="R2317">
        <v>1</v>
      </c>
      <c r="S2317" t="str">
        <f>IF(Table1[prior_dna_count]&gt;=1,"Has prior DNA history","No prior DNA history")</f>
        <v>Has prior DNA history</v>
      </c>
      <c r="T2317" t="s">
        <v>22</v>
      </c>
      <c r="U2317" t="str">
        <f t="shared" si="36"/>
        <v>0</v>
      </c>
      <c r="V2317" t="str">
        <f>IF(Table1[appointment_status]="Attended","1","0")</f>
        <v>1</v>
      </c>
      <c r="W2317" t="str">
        <f>IF(Table1[appointment_status]="Cancelled","1","0")</f>
        <v>0</v>
      </c>
    </row>
    <row r="2318" spans="1:23">
      <c r="A2318" t="s">
        <v>3568</v>
      </c>
      <c r="B2318" t="s">
        <v>1360</v>
      </c>
      <c r="C2318">
        <v>18</v>
      </c>
      <c r="D2318" t="str" cm="1">
        <f t="array" ref="D2318">_xlfn.IFS(Table1[[#This Row],[age]]&lt;=17,"0-17",C2318&lt;=29,"18-29",C2318&lt;=44,"30-44",C2318&lt;=59,"45-59",C2318&lt;=74,"60-74",TRUE,"75+")</f>
        <v>18-29</v>
      </c>
      <c r="E2318" t="s">
        <v>29</v>
      </c>
      <c r="F2318">
        <v>9</v>
      </c>
      <c r="G2318" t="str" cm="1">
        <f t="array" ref="G2318">_xlfn.IFS(_xlfn.SINGLE(Table1[imd_decile])&lt;=3,"Most Deprived",F2318&lt;=7,"Moderately Deprived",F2318&lt;=10,"Least Deprived")</f>
        <v>Least Deprived</v>
      </c>
      <c r="H2318">
        <v>12</v>
      </c>
      <c r="I2318" t="s">
        <v>91</v>
      </c>
      <c r="J2318" t="s">
        <v>19</v>
      </c>
      <c r="K2318" s="1">
        <v>45934</v>
      </c>
      <c r="L2318" s="1">
        <v>45970</v>
      </c>
      <c r="M2318" s="1" t="str">
        <f>TEXT(Table1[[#This Row],[appointment_date]],"MM/YYYY")</f>
        <v>11/2025</v>
      </c>
      <c r="N2318">
        <v>36</v>
      </c>
      <c r="O2318" t="str" cm="1">
        <f t="array" ref="O2318">_xlfn.IFS(Table1[[#This Row],[lead_time_days]]&lt;=7,"0-7 days",N2318&lt;=14,"8-14 days",N2318&lt;=30,"15-30 days",N2318&lt;=60,"31-60 days",TRUE,"61+ days")</f>
        <v>31-60 days</v>
      </c>
      <c r="P2318" t="s">
        <v>31</v>
      </c>
      <c r="Q2318" t="s">
        <v>32</v>
      </c>
      <c r="R2318">
        <v>0</v>
      </c>
      <c r="S2318" t="str">
        <f>IF(Table1[prior_dna_count]&gt;=1,"Has prior DNA history","No prior DNA history")</f>
        <v>No prior DNA history</v>
      </c>
      <c r="T2318" t="s">
        <v>46</v>
      </c>
      <c r="U2318" t="str">
        <f t="shared" si="36"/>
        <v>1</v>
      </c>
      <c r="V2318" t="str">
        <f>IF(Table1[appointment_status]="Attended","1","0")</f>
        <v>0</v>
      </c>
      <c r="W2318" t="str">
        <f>IF(Table1[appointment_status]="Cancelled","1","0")</f>
        <v>1</v>
      </c>
    </row>
    <row r="2319" spans="1:23">
      <c r="A2319" t="s">
        <v>3569</v>
      </c>
      <c r="B2319" t="s">
        <v>1873</v>
      </c>
      <c r="C2319">
        <v>81</v>
      </c>
      <c r="D2319" t="str" cm="1">
        <f t="array" ref="D2319">_xlfn.IFS(Table1[[#This Row],[age]]&lt;=17,"0-17",C2319&lt;=29,"18-29",C2319&lt;=44,"30-44",C2319&lt;=59,"45-59",C2319&lt;=74,"60-74",TRUE,"75+")</f>
        <v>75+</v>
      </c>
      <c r="E2319" t="s">
        <v>29</v>
      </c>
      <c r="F2319">
        <v>7</v>
      </c>
      <c r="G2319" t="str" cm="1">
        <f t="array" ref="G2319">_xlfn.IFS(_xlfn.SINGLE(Table1[imd_decile])&lt;=3,"Most Deprived",F2319&lt;=7,"Moderately Deprived",F2319&lt;=10,"Least Deprived")</f>
        <v>Moderately Deprived</v>
      </c>
      <c r="H2319">
        <v>6.6</v>
      </c>
      <c r="I2319" t="s">
        <v>58</v>
      </c>
      <c r="J2319" t="s">
        <v>26</v>
      </c>
      <c r="K2319" s="1">
        <v>45937</v>
      </c>
      <c r="L2319" s="1">
        <v>45970</v>
      </c>
      <c r="M2319" s="1" t="str">
        <f>TEXT(Table1[[#This Row],[appointment_date]],"MM/YYYY")</f>
        <v>11/2025</v>
      </c>
      <c r="N2319">
        <v>33</v>
      </c>
      <c r="O2319" t="str" cm="1">
        <f t="array" ref="O2319">_xlfn.IFS(Table1[[#This Row],[lead_time_days]]&lt;=7,"0-7 days",N2319&lt;=14,"8-14 days",N2319&lt;=30,"15-30 days",N2319&lt;=60,"31-60 days",TRUE,"61+ days")</f>
        <v>31-60 days</v>
      </c>
      <c r="P2319" t="s">
        <v>31</v>
      </c>
      <c r="Q2319" t="s">
        <v>21</v>
      </c>
      <c r="R2319">
        <v>1</v>
      </c>
      <c r="S2319" t="str">
        <f>IF(Table1[prior_dna_count]&gt;=1,"Has prior DNA history","No prior DNA history")</f>
        <v>Has prior DNA history</v>
      </c>
      <c r="T2319" t="s">
        <v>22</v>
      </c>
      <c r="U2319" t="str">
        <f t="shared" si="36"/>
        <v>0</v>
      </c>
      <c r="V2319" t="str">
        <f>IF(Table1[appointment_status]="Attended","1","0")</f>
        <v>1</v>
      </c>
      <c r="W2319" t="str">
        <f>IF(Table1[appointment_status]="Cancelled","1","0")</f>
        <v>0</v>
      </c>
    </row>
    <row r="2320" spans="1:23">
      <c r="A2320" t="s">
        <v>3570</v>
      </c>
      <c r="B2320" t="s">
        <v>3571</v>
      </c>
      <c r="C2320">
        <v>46</v>
      </c>
      <c r="D2320" t="str" cm="1">
        <f t="array" ref="D2320">_xlfn.IFS(Table1[[#This Row],[age]]&lt;=17,"0-17",C2320&lt;=29,"18-29",C2320&lt;=44,"30-44",C2320&lt;=59,"45-59",C2320&lt;=74,"60-74",TRUE,"75+")</f>
        <v>45-59</v>
      </c>
      <c r="E2320" t="s">
        <v>17</v>
      </c>
      <c r="F2320">
        <v>2</v>
      </c>
      <c r="G2320" t="str" cm="1">
        <f t="array" ref="G2320">_xlfn.IFS(_xlfn.SINGLE(Table1[imd_decile])&lt;=3,"Most Deprived",F2320&lt;=7,"Moderately Deprived",F2320&lt;=10,"Least Deprived")</f>
        <v>Most Deprived</v>
      </c>
      <c r="H2320">
        <v>10.4</v>
      </c>
      <c r="I2320" t="s">
        <v>155</v>
      </c>
      <c r="J2320" t="s">
        <v>19</v>
      </c>
      <c r="K2320" s="1">
        <v>45921</v>
      </c>
      <c r="L2320" s="1">
        <v>45970</v>
      </c>
      <c r="M2320" s="1" t="str">
        <f>TEXT(Table1[[#This Row],[appointment_date]],"MM/YYYY")</f>
        <v>11/2025</v>
      </c>
      <c r="N2320">
        <v>49</v>
      </c>
      <c r="O2320" t="str" cm="1">
        <f t="array" ref="O2320">_xlfn.IFS(Table1[[#This Row],[lead_time_days]]&lt;=7,"0-7 days",N2320&lt;=14,"8-14 days",N2320&lt;=30,"15-30 days",N2320&lt;=60,"31-60 days",TRUE,"61+ days")</f>
        <v>31-60 days</v>
      </c>
      <c r="P2320" t="s">
        <v>31</v>
      </c>
      <c r="Q2320" t="s">
        <v>32</v>
      </c>
      <c r="R2320">
        <v>0</v>
      </c>
      <c r="S2320" t="str">
        <f>IF(Table1[prior_dna_count]&gt;=1,"Has prior DNA history","No prior DNA history")</f>
        <v>No prior DNA history</v>
      </c>
      <c r="T2320" t="s">
        <v>22</v>
      </c>
      <c r="U2320" t="str">
        <f t="shared" si="36"/>
        <v>1</v>
      </c>
      <c r="V2320" t="str">
        <f>IF(Table1[appointment_status]="Attended","1","0")</f>
        <v>1</v>
      </c>
      <c r="W2320" t="str">
        <f>IF(Table1[appointment_status]="Cancelled","1","0")</f>
        <v>0</v>
      </c>
    </row>
    <row r="2321" spans="1:23">
      <c r="A2321" t="s">
        <v>3572</v>
      </c>
      <c r="B2321" t="s">
        <v>3573</v>
      </c>
      <c r="C2321">
        <v>70</v>
      </c>
      <c r="D2321" t="str" cm="1">
        <f t="array" ref="D2321">_xlfn.IFS(Table1[[#This Row],[age]]&lt;=17,"0-17",C2321&lt;=29,"18-29",C2321&lt;=44,"30-44",C2321&lt;=59,"45-59",C2321&lt;=74,"60-74",TRUE,"75+")</f>
        <v>60-74</v>
      </c>
      <c r="E2321" t="s">
        <v>29</v>
      </c>
      <c r="F2321">
        <v>4</v>
      </c>
      <c r="G2321" t="str" cm="1">
        <f t="array" ref="G2321">_xlfn.IFS(_xlfn.SINGLE(Table1[imd_decile])&lt;=3,"Most Deprived",F2321&lt;=7,"Moderately Deprived",F2321&lt;=10,"Least Deprived")</f>
        <v>Moderately Deprived</v>
      </c>
      <c r="H2321">
        <v>2.8</v>
      </c>
      <c r="I2321" t="s">
        <v>30</v>
      </c>
      <c r="J2321" t="s">
        <v>19</v>
      </c>
      <c r="K2321" s="1">
        <v>45947</v>
      </c>
      <c r="L2321" s="1">
        <v>45970</v>
      </c>
      <c r="M2321" s="1" t="str">
        <f>TEXT(Table1[[#This Row],[appointment_date]],"MM/YYYY")</f>
        <v>11/2025</v>
      </c>
      <c r="N2321">
        <v>23</v>
      </c>
      <c r="O2321" t="str" cm="1">
        <f t="array" ref="O2321">_xlfn.IFS(Table1[[#This Row],[lead_time_days]]&lt;=7,"0-7 days",N2321&lt;=14,"8-14 days",N2321&lt;=30,"15-30 days",N2321&lt;=60,"31-60 days",TRUE,"61+ days")</f>
        <v>15-30 days</v>
      </c>
      <c r="P2321" t="s">
        <v>31</v>
      </c>
      <c r="Q2321" t="s">
        <v>21</v>
      </c>
      <c r="R2321">
        <v>0</v>
      </c>
      <c r="S2321" t="str">
        <f>IF(Table1[prior_dna_count]&gt;=1,"Has prior DNA history","No prior DNA history")</f>
        <v>No prior DNA history</v>
      </c>
      <c r="T2321" t="s">
        <v>22</v>
      </c>
      <c r="U2321" t="str">
        <f t="shared" si="36"/>
        <v>1</v>
      </c>
      <c r="V2321" t="str">
        <f>IF(Table1[appointment_status]="Attended","1","0")</f>
        <v>1</v>
      </c>
      <c r="W2321" t="str">
        <f>IF(Table1[appointment_status]="Cancelled","1","0")</f>
        <v>0</v>
      </c>
    </row>
    <row r="2322" spans="1:23">
      <c r="A2322" t="s">
        <v>3574</v>
      </c>
      <c r="B2322" t="s">
        <v>1748</v>
      </c>
      <c r="C2322">
        <v>26</v>
      </c>
      <c r="D2322" t="str" cm="1">
        <f t="array" ref="D2322">_xlfn.IFS(Table1[[#This Row],[age]]&lt;=17,"0-17",C2322&lt;=29,"18-29",C2322&lt;=44,"30-44",C2322&lt;=59,"45-59",C2322&lt;=74,"60-74",TRUE,"75+")</f>
        <v>18-29</v>
      </c>
      <c r="E2322" t="s">
        <v>17</v>
      </c>
      <c r="F2322">
        <v>5</v>
      </c>
      <c r="G2322" t="str" cm="1">
        <f t="array" ref="G2322">_xlfn.IFS(_xlfn.SINGLE(Table1[imd_decile])&lt;=3,"Most Deprived",F2322&lt;=7,"Moderately Deprived",F2322&lt;=10,"Least Deprived")</f>
        <v>Moderately Deprived</v>
      </c>
      <c r="H2322">
        <v>10.3</v>
      </c>
      <c r="I2322" t="s">
        <v>45</v>
      </c>
      <c r="J2322" t="s">
        <v>19</v>
      </c>
      <c r="K2322" s="1">
        <v>45918</v>
      </c>
      <c r="L2322" s="1">
        <v>45970</v>
      </c>
      <c r="M2322" s="1" t="str">
        <f>TEXT(Table1[[#This Row],[appointment_date]],"MM/YYYY")</f>
        <v>11/2025</v>
      </c>
      <c r="N2322">
        <v>52</v>
      </c>
      <c r="O2322" t="str" cm="1">
        <f t="array" ref="O2322">_xlfn.IFS(Table1[[#This Row],[lead_time_days]]&lt;=7,"0-7 days",N2322&lt;=14,"8-14 days",N2322&lt;=30,"15-30 days",N2322&lt;=60,"31-60 days",TRUE,"61+ days")</f>
        <v>31-60 days</v>
      </c>
      <c r="P2322" t="s">
        <v>31</v>
      </c>
      <c r="Q2322" t="s">
        <v>21</v>
      </c>
      <c r="R2322">
        <v>0</v>
      </c>
      <c r="S2322" t="str">
        <f>IF(Table1[prior_dna_count]&gt;=1,"Has prior DNA history","No prior DNA history")</f>
        <v>No prior DNA history</v>
      </c>
      <c r="T2322" t="s">
        <v>22</v>
      </c>
      <c r="U2322" t="str">
        <f t="shared" si="36"/>
        <v>1</v>
      </c>
      <c r="V2322" t="str">
        <f>IF(Table1[appointment_status]="Attended","1","0")</f>
        <v>1</v>
      </c>
      <c r="W2322" t="str">
        <f>IF(Table1[appointment_status]="Cancelled","1","0")</f>
        <v>0</v>
      </c>
    </row>
    <row r="2323" spans="1:23">
      <c r="A2323" t="s">
        <v>3575</v>
      </c>
      <c r="B2323" t="s">
        <v>1201</v>
      </c>
      <c r="C2323">
        <v>30</v>
      </c>
      <c r="D2323" t="str" cm="1">
        <f t="array" ref="D2323">_xlfn.IFS(Table1[[#This Row],[age]]&lt;=17,"0-17",C2323&lt;=29,"18-29",C2323&lt;=44,"30-44",C2323&lt;=59,"45-59",C2323&lt;=74,"60-74",TRUE,"75+")</f>
        <v>30-44</v>
      </c>
      <c r="E2323" t="s">
        <v>17</v>
      </c>
      <c r="F2323">
        <v>10</v>
      </c>
      <c r="G2323" t="str" cm="1">
        <f t="array" ref="G2323">_xlfn.IFS(_xlfn.SINGLE(Table1[imd_decile])&lt;=3,"Most Deprived",F2323&lt;=7,"Moderately Deprived",F2323&lt;=10,"Least Deprived")</f>
        <v>Least Deprived</v>
      </c>
      <c r="H2323">
        <v>8.6999999999999993</v>
      </c>
      <c r="I2323" t="s">
        <v>45</v>
      </c>
      <c r="J2323" t="s">
        <v>19</v>
      </c>
      <c r="K2323" s="1">
        <v>45927</v>
      </c>
      <c r="L2323" s="1">
        <v>45970</v>
      </c>
      <c r="M2323" s="1" t="str">
        <f>TEXT(Table1[[#This Row],[appointment_date]],"MM/YYYY")</f>
        <v>11/2025</v>
      </c>
      <c r="N2323">
        <v>43</v>
      </c>
      <c r="O2323" t="str" cm="1">
        <f t="array" ref="O2323">_xlfn.IFS(Table1[[#This Row],[lead_time_days]]&lt;=7,"0-7 days",N2323&lt;=14,"8-14 days",N2323&lt;=30,"15-30 days",N2323&lt;=60,"31-60 days",TRUE,"61+ days")</f>
        <v>31-60 days</v>
      </c>
      <c r="P2323" t="s">
        <v>31</v>
      </c>
      <c r="Q2323" t="s">
        <v>21</v>
      </c>
      <c r="R2323">
        <v>0</v>
      </c>
      <c r="S2323" t="str">
        <f>IF(Table1[prior_dna_count]&gt;=1,"Has prior DNA history","No prior DNA history")</f>
        <v>No prior DNA history</v>
      </c>
      <c r="T2323" t="s">
        <v>22</v>
      </c>
      <c r="U2323" t="str">
        <f t="shared" si="36"/>
        <v>1</v>
      </c>
      <c r="V2323" t="str">
        <f>IF(Table1[appointment_status]="Attended","1","0")</f>
        <v>1</v>
      </c>
      <c r="W2323" t="str">
        <f>IF(Table1[appointment_status]="Cancelled","1","0")</f>
        <v>0</v>
      </c>
    </row>
    <row r="2324" spans="1:23">
      <c r="A2324" t="s">
        <v>3576</v>
      </c>
      <c r="B2324" t="s">
        <v>3008</v>
      </c>
      <c r="C2324">
        <v>44</v>
      </c>
      <c r="D2324" t="str" cm="1">
        <f t="array" ref="D2324">_xlfn.IFS(Table1[[#This Row],[age]]&lt;=17,"0-17",C2324&lt;=29,"18-29",C2324&lt;=44,"30-44",C2324&lt;=59,"45-59",C2324&lt;=74,"60-74",TRUE,"75+")</f>
        <v>30-44</v>
      </c>
      <c r="E2324" t="s">
        <v>29</v>
      </c>
      <c r="F2324">
        <v>5</v>
      </c>
      <c r="G2324" t="str" cm="1">
        <f t="array" ref="G2324">_xlfn.IFS(_xlfn.SINGLE(Table1[imd_decile])&lt;=3,"Most Deprived",F2324&lt;=7,"Moderately Deprived",F2324&lt;=10,"Least Deprived")</f>
        <v>Moderately Deprived</v>
      </c>
      <c r="H2324">
        <v>7.1</v>
      </c>
      <c r="I2324" t="s">
        <v>42</v>
      </c>
      <c r="J2324" t="s">
        <v>19</v>
      </c>
      <c r="K2324" s="1">
        <v>45948</v>
      </c>
      <c r="L2324" s="1">
        <v>45970</v>
      </c>
      <c r="M2324" s="1" t="str">
        <f>TEXT(Table1[[#This Row],[appointment_date]],"MM/YYYY")</f>
        <v>11/2025</v>
      </c>
      <c r="N2324">
        <v>22</v>
      </c>
      <c r="O2324" t="str" cm="1">
        <f t="array" ref="O2324">_xlfn.IFS(Table1[[#This Row],[lead_time_days]]&lt;=7,"0-7 days",N2324&lt;=14,"8-14 days",N2324&lt;=30,"15-30 days",N2324&lt;=60,"31-60 days",TRUE,"61+ days")</f>
        <v>15-30 days</v>
      </c>
      <c r="P2324" t="s">
        <v>31</v>
      </c>
      <c r="Q2324" t="s">
        <v>32</v>
      </c>
      <c r="R2324">
        <v>0</v>
      </c>
      <c r="S2324" t="str">
        <f>IF(Table1[prior_dna_count]&gt;=1,"Has prior DNA history","No prior DNA history")</f>
        <v>No prior DNA history</v>
      </c>
      <c r="T2324" t="s">
        <v>22</v>
      </c>
      <c r="U2324" t="str">
        <f t="shared" si="36"/>
        <v>1</v>
      </c>
      <c r="V2324" t="str">
        <f>IF(Table1[appointment_status]="Attended","1","0")</f>
        <v>1</v>
      </c>
      <c r="W2324" t="str">
        <f>IF(Table1[appointment_status]="Cancelled","1","0")</f>
        <v>0</v>
      </c>
    </row>
    <row r="2325" spans="1:23">
      <c r="A2325" t="s">
        <v>3577</v>
      </c>
      <c r="B2325" t="s">
        <v>3578</v>
      </c>
      <c r="C2325">
        <v>43</v>
      </c>
      <c r="D2325" t="str" cm="1">
        <f t="array" ref="D2325">_xlfn.IFS(Table1[[#This Row],[age]]&lt;=17,"0-17",C2325&lt;=29,"18-29",C2325&lt;=44,"30-44",C2325&lt;=59,"45-59",C2325&lt;=74,"60-74",TRUE,"75+")</f>
        <v>30-44</v>
      </c>
      <c r="E2325" t="s">
        <v>29</v>
      </c>
      <c r="F2325">
        <v>3</v>
      </c>
      <c r="G2325" t="str" cm="1">
        <f t="array" ref="G2325">_xlfn.IFS(_xlfn.SINGLE(Table1[imd_decile])&lt;=3,"Most Deprived",F2325&lt;=7,"Moderately Deprived",F2325&lt;=10,"Least Deprived")</f>
        <v>Most Deprived</v>
      </c>
      <c r="H2325">
        <v>1.5</v>
      </c>
      <c r="I2325" t="s">
        <v>155</v>
      </c>
      <c r="J2325" t="s">
        <v>19</v>
      </c>
      <c r="K2325" s="1">
        <v>45938</v>
      </c>
      <c r="L2325" s="1">
        <v>45970</v>
      </c>
      <c r="M2325" s="1" t="str">
        <f>TEXT(Table1[[#This Row],[appointment_date]],"MM/YYYY")</f>
        <v>11/2025</v>
      </c>
      <c r="N2325">
        <v>32</v>
      </c>
      <c r="O2325" t="str" cm="1">
        <f t="array" ref="O2325">_xlfn.IFS(Table1[[#This Row],[lead_time_days]]&lt;=7,"0-7 days",N2325&lt;=14,"8-14 days",N2325&lt;=30,"15-30 days",N2325&lt;=60,"31-60 days",TRUE,"61+ days")</f>
        <v>31-60 days</v>
      </c>
      <c r="P2325" t="s">
        <v>31</v>
      </c>
      <c r="Q2325" t="s">
        <v>21</v>
      </c>
      <c r="R2325">
        <v>0</v>
      </c>
      <c r="S2325" t="str">
        <f>IF(Table1[prior_dna_count]&gt;=1,"Has prior DNA history","No prior DNA history")</f>
        <v>No prior DNA history</v>
      </c>
      <c r="T2325" t="s">
        <v>22</v>
      </c>
      <c r="U2325" t="str">
        <f t="shared" si="36"/>
        <v>1</v>
      </c>
      <c r="V2325" t="str">
        <f>IF(Table1[appointment_status]="Attended","1","0")</f>
        <v>1</v>
      </c>
      <c r="W2325" t="str">
        <f>IF(Table1[appointment_status]="Cancelled","1","0")</f>
        <v>0</v>
      </c>
    </row>
    <row r="2326" spans="1:23">
      <c r="A2326" t="s">
        <v>3579</v>
      </c>
      <c r="B2326" t="s">
        <v>3580</v>
      </c>
      <c r="C2326">
        <v>91</v>
      </c>
      <c r="D2326" t="str" cm="1">
        <f t="array" ref="D2326">_xlfn.IFS(Table1[[#This Row],[age]]&lt;=17,"0-17",C2326&lt;=29,"18-29",C2326&lt;=44,"30-44",C2326&lt;=59,"45-59",C2326&lt;=74,"60-74",TRUE,"75+")</f>
        <v>75+</v>
      </c>
      <c r="E2326" t="s">
        <v>17</v>
      </c>
      <c r="F2326">
        <v>2</v>
      </c>
      <c r="G2326" t="str" cm="1">
        <f t="array" ref="G2326">_xlfn.IFS(_xlfn.SINGLE(Table1[imd_decile])&lt;=3,"Most Deprived",F2326&lt;=7,"Moderately Deprived",F2326&lt;=10,"Least Deprived")</f>
        <v>Most Deprived</v>
      </c>
      <c r="H2326">
        <v>4.7</v>
      </c>
      <c r="I2326" t="s">
        <v>18</v>
      </c>
      <c r="J2326" t="s">
        <v>26</v>
      </c>
      <c r="K2326" s="1">
        <v>45960</v>
      </c>
      <c r="L2326" s="1">
        <v>45970</v>
      </c>
      <c r="M2326" s="1" t="str">
        <f>TEXT(Table1[[#This Row],[appointment_date]],"MM/YYYY")</f>
        <v>11/2025</v>
      </c>
      <c r="N2326">
        <v>10</v>
      </c>
      <c r="O2326" t="str" cm="1">
        <f t="array" ref="O2326">_xlfn.IFS(Table1[[#This Row],[lead_time_days]]&lt;=7,"0-7 days",N2326&lt;=14,"8-14 days",N2326&lt;=30,"15-30 days",N2326&lt;=60,"31-60 days",TRUE,"61+ days")</f>
        <v>8-14 days</v>
      </c>
      <c r="P2326" t="s">
        <v>31</v>
      </c>
      <c r="Q2326" t="s">
        <v>32</v>
      </c>
      <c r="R2326">
        <v>0</v>
      </c>
      <c r="S2326" t="str">
        <f>IF(Table1[prior_dna_count]&gt;=1,"Has prior DNA history","No prior DNA history")</f>
        <v>No prior DNA history</v>
      </c>
      <c r="T2326" t="s">
        <v>22</v>
      </c>
      <c r="U2326" t="str">
        <f t="shared" si="36"/>
        <v>1</v>
      </c>
      <c r="V2326" t="str">
        <f>IF(Table1[appointment_status]="Attended","1","0")</f>
        <v>1</v>
      </c>
      <c r="W2326" t="str">
        <f>IF(Table1[appointment_status]="Cancelled","1","0")</f>
        <v>0</v>
      </c>
    </row>
    <row r="2327" spans="1:23">
      <c r="A2327" t="s">
        <v>3581</v>
      </c>
      <c r="B2327" t="s">
        <v>3582</v>
      </c>
      <c r="C2327">
        <v>39</v>
      </c>
      <c r="D2327" t="str" cm="1">
        <f t="array" ref="D2327">_xlfn.IFS(Table1[[#This Row],[age]]&lt;=17,"0-17",C2327&lt;=29,"18-29",C2327&lt;=44,"30-44",C2327&lt;=59,"45-59",C2327&lt;=74,"60-74",TRUE,"75+")</f>
        <v>30-44</v>
      </c>
      <c r="E2327" t="s">
        <v>17</v>
      </c>
      <c r="F2327">
        <v>7</v>
      </c>
      <c r="G2327" t="str" cm="1">
        <f t="array" ref="G2327">_xlfn.IFS(_xlfn.SINGLE(Table1[imd_decile])&lt;=3,"Most Deprived",F2327&lt;=7,"Moderately Deprived",F2327&lt;=10,"Least Deprived")</f>
        <v>Moderately Deprived</v>
      </c>
      <c r="H2327">
        <v>3.4</v>
      </c>
      <c r="I2327" t="s">
        <v>45</v>
      </c>
      <c r="J2327" t="s">
        <v>19</v>
      </c>
      <c r="K2327" s="1">
        <v>45903</v>
      </c>
      <c r="L2327" s="1">
        <v>45970</v>
      </c>
      <c r="M2327" s="1" t="str">
        <f>TEXT(Table1[[#This Row],[appointment_date]],"MM/YYYY")</f>
        <v>11/2025</v>
      </c>
      <c r="N2327">
        <v>67</v>
      </c>
      <c r="O2327" t="str" cm="1">
        <f t="array" ref="O2327">_xlfn.IFS(Table1[[#This Row],[lead_time_days]]&lt;=7,"0-7 days",N2327&lt;=14,"8-14 days",N2327&lt;=30,"15-30 days",N2327&lt;=60,"31-60 days",TRUE,"61+ days")</f>
        <v>61+ days</v>
      </c>
      <c r="P2327" t="s">
        <v>31</v>
      </c>
      <c r="Q2327" t="s">
        <v>21</v>
      </c>
      <c r="R2327">
        <v>0</v>
      </c>
      <c r="S2327" t="str">
        <f>IF(Table1[prior_dna_count]&gt;=1,"Has prior DNA history","No prior DNA history")</f>
        <v>No prior DNA history</v>
      </c>
      <c r="T2327" t="s">
        <v>22</v>
      </c>
      <c r="U2327" t="str">
        <f t="shared" si="36"/>
        <v>1</v>
      </c>
      <c r="V2327" t="str">
        <f>IF(Table1[appointment_status]="Attended","1","0")</f>
        <v>1</v>
      </c>
      <c r="W2327" t="str">
        <f>IF(Table1[appointment_status]="Cancelled","1","0")</f>
        <v>0</v>
      </c>
    </row>
    <row r="2328" spans="1:23">
      <c r="A2328" t="s">
        <v>3583</v>
      </c>
      <c r="B2328" t="s">
        <v>2438</v>
      </c>
      <c r="C2328">
        <v>34</v>
      </c>
      <c r="D2328" t="str" cm="1">
        <f t="array" ref="D2328">_xlfn.IFS(Table1[[#This Row],[age]]&lt;=17,"0-17",C2328&lt;=29,"18-29",C2328&lt;=44,"30-44",C2328&lt;=59,"45-59",C2328&lt;=74,"60-74",TRUE,"75+")</f>
        <v>30-44</v>
      </c>
      <c r="E2328" t="s">
        <v>29</v>
      </c>
      <c r="F2328">
        <v>3</v>
      </c>
      <c r="G2328" t="str" cm="1">
        <f t="array" ref="G2328">_xlfn.IFS(_xlfn.SINGLE(Table1[imd_decile])&lt;=3,"Most Deprived",F2328&lt;=7,"Moderately Deprived",F2328&lt;=10,"Least Deprived")</f>
        <v>Most Deprived</v>
      </c>
      <c r="H2328">
        <v>5.5</v>
      </c>
      <c r="I2328" t="s">
        <v>49</v>
      </c>
      <c r="J2328" t="s">
        <v>19</v>
      </c>
      <c r="K2328" s="1">
        <v>45904</v>
      </c>
      <c r="L2328" s="1">
        <v>45970</v>
      </c>
      <c r="M2328" s="1" t="str">
        <f>TEXT(Table1[[#This Row],[appointment_date]],"MM/YYYY")</f>
        <v>11/2025</v>
      </c>
      <c r="N2328">
        <v>66</v>
      </c>
      <c r="O2328" t="str" cm="1">
        <f t="array" ref="O2328">_xlfn.IFS(Table1[[#This Row],[lead_time_days]]&lt;=7,"0-7 days",N2328&lt;=14,"8-14 days",N2328&lt;=30,"15-30 days",N2328&lt;=60,"31-60 days",TRUE,"61+ days")</f>
        <v>61+ days</v>
      </c>
      <c r="P2328" t="s">
        <v>31</v>
      </c>
      <c r="Q2328" t="s">
        <v>32</v>
      </c>
      <c r="R2328">
        <v>0</v>
      </c>
      <c r="S2328" t="str">
        <f>IF(Table1[prior_dna_count]&gt;=1,"Has prior DNA history","No prior DNA history")</f>
        <v>No prior DNA history</v>
      </c>
      <c r="T2328" t="s">
        <v>39</v>
      </c>
      <c r="U2328" t="str">
        <f t="shared" si="36"/>
        <v>1</v>
      </c>
      <c r="V2328" t="str">
        <f>IF(Table1[appointment_status]="Attended","1","0")</f>
        <v>0</v>
      </c>
      <c r="W2328" t="str">
        <f>IF(Table1[appointment_status]="Cancelled","1","0")</f>
        <v>0</v>
      </c>
    </row>
    <row r="2329" spans="1:23">
      <c r="A2329" t="s">
        <v>3584</v>
      </c>
      <c r="B2329" t="s">
        <v>3585</v>
      </c>
      <c r="C2329">
        <v>64</v>
      </c>
      <c r="D2329" t="str" cm="1">
        <f t="array" ref="D2329">_xlfn.IFS(Table1[[#This Row],[age]]&lt;=17,"0-17",C2329&lt;=29,"18-29",C2329&lt;=44,"30-44",C2329&lt;=59,"45-59",C2329&lt;=74,"60-74",TRUE,"75+")</f>
        <v>60-74</v>
      </c>
      <c r="E2329" t="s">
        <v>29</v>
      </c>
      <c r="F2329">
        <v>5</v>
      </c>
      <c r="G2329" t="str" cm="1">
        <f t="array" ref="G2329">_xlfn.IFS(_xlfn.SINGLE(Table1[imd_decile])&lt;=3,"Most Deprived",F2329&lt;=7,"Moderately Deprived",F2329&lt;=10,"Least Deprived")</f>
        <v>Moderately Deprived</v>
      </c>
      <c r="H2329">
        <v>2.1</v>
      </c>
      <c r="I2329" t="s">
        <v>49</v>
      </c>
      <c r="J2329" t="s">
        <v>19</v>
      </c>
      <c r="K2329" s="1">
        <v>45952</v>
      </c>
      <c r="L2329" s="1">
        <v>45971</v>
      </c>
      <c r="M2329" s="1" t="str">
        <f>TEXT(Table1[[#This Row],[appointment_date]],"MM/YYYY")</f>
        <v>11/2025</v>
      </c>
      <c r="N2329">
        <v>19</v>
      </c>
      <c r="O2329" t="str" cm="1">
        <f t="array" ref="O2329">_xlfn.IFS(Table1[[#This Row],[lead_time_days]]&lt;=7,"0-7 days",N2329&lt;=14,"8-14 days",N2329&lt;=30,"15-30 days",N2329&lt;=60,"31-60 days",TRUE,"61+ days")</f>
        <v>15-30 days</v>
      </c>
      <c r="P2329" t="s">
        <v>35</v>
      </c>
      <c r="Q2329" t="s">
        <v>21</v>
      </c>
      <c r="R2329">
        <v>0</v>
      </c>
      <c r="S2329" t="str">
        <f>IF(Table1[prior_dna_count]&gt;=1,"Has prior DNA history","No prior DNA history")</f>
        <v>No prior DNA history</v>
      </c>
      <c r="T2329" t="s">
        <v>22</v>
      </c>
      <c r="U2329" t="str">
        <f t="shared" si="36"/>
        <v>0</v>
      </c>
      <c r="V2329" t="str">
        <f>IF(Table1[appointment_status]="Attended","1","0")</f>
        <v>1</v>
      </c>
      <c r="W2329" t="str">
        <f>IF(Table1[appointment_status]="Cancelled","1","0")</f>
        <v>0</v>
      </c>
    </row>
    <row r="2330" spans="1:23">
      <c r="A2330" t="s">
        <v>3586</v>
      </c>
      <c r="B2330" t="s">
        <v>1722</v>
      </c>
      <c r="C2330">
        <v>5</v>
      </c>
      <c r="D2330" t="str" cm="1">
        <f t="array" ref="D2330">_xlfn.IFS(Table1[[#This Row],[age]]&lt;=17,"0-17",C2330&lt;=29,"18-29",C2330&lt;=44,"30-44",C2330&lt;=59,"45-59",C2330&lt;=74,"60-74",TRUE,"75+")</f>
        <v>0-17</v>
      </c>
      <c r="E2330" t="s">
        <v>29</v>
      </c>
      <c r="F2330">
        <v>3</v>
      </c>
      <c r="G2330" t="str" cm="1">
        <f t="array" ref="G2330">_xlfn.IFS(_xlfn.SINGLE(Table1[imd_decile])&lt;=3,"Most Deprived",F2330&lt;=7,"Moderately Deprived",F2330&lt;=10,"Least Deprived")</f>
        <v>Most Deprived</v>
      </c>
      <c r="H2330">
        <v>2.5</v>
      </c>
      <c r="I2330" t="s">
        <v>18</v>
      </c>
      <c r="J2330" t="s">
        <v>19</v>
      </c>
      <c r="K2330" s="1">
        <v>45922</v>
      </c>
      <c r="L2330" s="1">
        <v>45971</v>
      </c>
      <c r="M2330" s="1" t="str">
        <f>TEXT(Table1[[#This Row],[appointment_date]],"MM/YYYY")</f>
        <v>11/2025</v>
      </c>
      <c r="N2330">
        <v>49</v>
      </c>
      <c r="O2330" t="str" cm="1">
        <f t="array" ref="O2330">_xlfn.IFS(Table1[[#This Row],[lead_time_days]]&lt;=7,"0-7 days",N2330&lt;=14,"8-14 days",N2330&lt;=30,"15-30 days",N2330&lt;=60,"31-60 days",TRUE,"61+ days")</f>
        <v>31-60 days</v>
      </c>
      <c r="P2330" t="s">
        <v>35</v>
      </c>
      <c r="Q2330" t="s">
        <v>32</v>
      </c>
      <c r="R2330">
        <v>0</v>
      </c>
      <c r="S2330" t="str">
        <f>IF(Table1[prior_dna_count]&gt;=1,"Has prior DNA history","No prior DNA history")</f>
        <v>No prior DNA history</v>
      </c>
      <c r="T2330" t="s">
        <v>22</v>
      </c>
      <c r="U2330" t="str">
        <f t="shared" si="36"/>
        <v>1</v>
      </c>
      <c r="V2330" t="str">
        <f>IF(Table1[appointment_status]="Attended","1","0")</f>
        <v>1</v>
      </c>
      <c r="W2330" t="str">
        <f>IF(Table1[appointment_status]="Cancelled","1","0")</f>
        <v>0</v>
      </c>
    </row>
    <row r="2331" spans="1:23">
      <c r="A2331" t="s">
        <v>3587</v>
      </c>
      <c r="B2331" t="s">
        <v>3588</v>
      </c>
      <c r="C2331">
        <v>60</v>
      </c>
      <c r="D2331" t="str" cm="1">
        <f t="array" ref="D2331">_xlfn.IFS(Table1[[#This Row],[age]]&lt;=17,"0-17",C2331&lt;=29,"18-29",C2331&lt;=44,"30-44",C2331&lt;=59,"45-59",C2331&lt;=74,"60-74",TRUE,"75+")</f>
        <v>60-74</v>
      </c>
      <c r="E2331" t="s">
        <v>29</v>
      </c>
      <c r="F2331">
        <v>6</v>
      </c>
      <c r="G2331" t="str" cm="1">
        <f t="array" ref="G2331">_xlfn.IFS(_xlfn.SINGLE(Table1[imd_decile])&lt;=3,"Most Deprived",F2331&lt;=7,"Moderately Deprived",F2331&lt;=10,"Least Deprived")</f>
        <v>Moderately Deprived</v>
      </c>
      <c r="H2331">
        <v>1.4</v>
      </c>
      <c r="I2331" t="s">
        <v>58</v>
      </c>
      <c r="J2331" t="s">
        <v>19</v>
      </c>
      <c r="K2331" s="1">
        <v>45920</v>
      </c>
      <c r="L2331" s="1">
        <v>45971</v>
      </c>
      <c r="M2331" s="1" t="str">
        <f>TEXT(Table1[[#This Row],[appointment_date]],"MM/YYYY")</f>
        <v>11/2025</v>
      </c>
      <c r="N2331">
        <v>51</v>
      </c>
      <c r="O2331" t="str" cm="1">
        <f t="array" ref="O2331">_xlfn.IFS(Table1[[#This Row],[lead_time_days]]&lt;=7,"0-7 days",N2331&lt;=14,"8-14 days",N2331&lt;=30,"15-30 days",N2331&lt;=60,"31-60 days",TRUE,"61+ days")</f>
        <v>31-60 days</v>
      </c>
      <c r="P2331" t="s">
        <v>35</v>
      </c>
      <c r="Q2331" t="s">
        <v>21</v>
      </c>
      <c r="R2331">
        <v>0</v>
      </c>
      <c r="S2331" t="str">
        <f>IF(Table1[prior_dna_count]&gt;=1,"Has prior DNA history","No prior DNA history")</f>
        <v>No prior DNA history</v>
      </c>
      <c r="T2331" t="s">
        <v>22</v>
      </c>
      <c r="U2331" t="str">
        <f t="shared" si="36"/>
        <v>1</v>
      </c>
      <c r="V2331" t="str">
        <f>IF(Table1[appointment_status]="Attended","1","0")</f>
        <v>1</v>
      </c>
      <c r="W2331" t="str">
        <f>IF(Table1[appointment_status]="Cancelled","1","0")</f>
        <v>0</v>
      </c>
    </row>
    <row r="2332" spans="1:23">
      <c r="A2332" t="s">
        <v>3589</v>
      </c>
      <c r="B2332" t="s">
        <v>3590</v>
      </c>
      <c r="C2332">
        <v>31</v>
      </c>
      <c r="D2332" t="str" cm="1">
        <f t="array" ref="D2332">_xlfn.IFS(Table1[[#This Row],[age]]&lt;=17,"0-17",C2332&lt;=29,"18-29",C2332&lt;=44,"30-44",C2332&lt;=59,"45-59",C2332&lt;=74,"60-74",TRUE,"75+")</f>
        <v>30-44</v>
      </c>
      <c r="E2332" t="s">
        <v>17</v>
      </c>
      <c r="F2332">
        <v>2</v>
      </c>
      <c r="G2332" t="str" cm="1">
        <f t="array" ref="G2332">_xlfn.IFS(_xlfn.SINGLE(Table1[imd_decile])&lt;=3,"Most Deprived",F2332&lt;=7,"Moderately Deprived",F2332&lt;=10,"Least Deprived")</f>
        <v>Most Deprived</v>
      </c>
      <c r="H2332">
        <v>2.6</v>
      </c>
      <c r="I2332" t="s">
        <v>30</v>
      </c>
      <c r="J2332" t="s">
        <v>19</v>
      </c>
      <c r="K2332" s="1">
        <v>45940</v>
      </c>
      <c r="L2332" s="1">
        <v>45971</v>
      </c>
      <c r="M2332" s="1" t="str">
        <f>TEXT(Table1[[#This Row],[appointment_date]],"MM/YYYY")</f>
        <v>11/2025</v>
      </c>
      <c r="N2332">
        <v>31</v>
      </c>
      <c r="O2332" t="str" cm="1">
        <f t="array" ref="O2332">_xlfn.IFS(Table1[[#This Row],[lead_time_days]]&lt;=7,"0-7 days",N2332&lt;=14,"8-14 days",N2332&lt;=30,"15-30 days",N2332&lt;=60,"31-60 days",TRUE,"61+ days")</f>
        <v>31-60 days</v>
      </c>
      <c r="P2332" t="s">
        <v>35</v>
      </c>
      <c r="Q2332" t="s">
        <v>32</v>
      </c>
      <c r="R2332">
        <v>0</v>
      </c>
      <c r="S2332" t="str">
        <f>IF(Table1[prior_dna_count]&gt;=1,"Has prior DNA history","No prior DNA history")</f>
        <v>No prior DNA history</v>
      </c>
      <c r="T2332" t="s">
        <v>22</v>
      </c>
      <c r="U2332" t="str">
        <f t="shared" si="36"/>
        <v>1</v>
      </c>
      <c r="V2332" t="str">
        <f>IF(Table1[appointment_status]="Attended","1","0")</f>
        <v>1</v>
      </c>
      <c r="W2332" t="str">
        <f>IF(Table1[appointment_status]="Cancelled","1","0")</f>
        <v>0</v>
      </c>
    </row>
    <row r="2333" spans="1:23">
      <c r="A2333" t="s">
        <v>3591</v>
      </c>
      <c r="B2333" t="s">
        <v>2079</v>
      </c>
      <c r="C2333">
        <v>65</v>
      </c>
      <c r="D2333" t="str" cm="1">
        <f t="array" ref="D2333">_xlfn.IFS(Table1[[#This Row],[age]]&lt;=17,"0-17",C2333&lt;=29,"18-29",C2333&lt;=44,"30-44",C2333&lt;=59,"45-59",C2333&lt;=74,"60-74",TRUE,"75+")</f>
        <v>60-74</v>
      </c>
      <c r="E2333" t="s">
        <v>17</v>
      </c>
      <c r="F2333">
        <v>2</v>
      </c>
      <c r="G2333" t="str" cm="1">
        <f t="array" ref="G2333">_xlfn.IFS(_xlfn.SINGLE(Table1[imd_decile])&lt;=3,"Most Deprived",F2333&lt;=7,"Moderately Deprived",F2333&lt;=10,"Least Deprived")</f>
        <v>Most Deprived</v>
      </c>
      <c r="H2333">
        <v>8.9</v>
      </c>
      <c r="I2333" t="s">
        <v>42</v>
      </c>
      <c r="J2333" t="s">
        <v>26</v>
      </c>
      <c r="K2333" s="1">
        <v>45948</v>
      </c>
      <c r="L2333" s="1">
        <v>45971</v>
      </c>
      <c r="M2333" s="1" t="str">
        <f>TEXT(Table1[[#This Row],[appointment_date]],"MM/YYYY")</f>
        <v>11/2025</v>
      </c>
      <c r="N2333">
        <v>23</v>
      </c>
      <c r="O2333" t="str" cm="1">
        <f t="array" ref="O2333">_xlfn.IFS(Table1[[#This Row],[lead_time_days]]&lt;=7,"0-7 days",N2333&lt;=14,"8-14 days",N2333&lt;=30,"15-30 days",N2333&lt;=60,"31-60 days",TRUE,"61+ days")</f>
        <v>15-30 days</v>
      </c>
      <c r="P2333" t="s">
        <v>35</v>
      </c>
      <c r="Q2333" t="s">
        <v>21</v>
      </c>
      <c r="R2333">
        <v>0</v>
      </c>
      <c r="S2333" t="str">
        <f>IF(Table1[prior_dna_count]&gt;=1,"Has prior DNA history","No prior DNA history")</f>
        <v>No prior DNA history</v>
      </c>
      <c r="T2333" t="s">
        <v>22</v>
      </c>
      <c r="U2333" t="str">
        <f t="shared" si="36"/>
        <v>1</v>
      </c>
      <c r="V2333" t="str">
        <f>IF(Table1[appointment_status]="Attended","1","0")</f>
        <v>1</v>
      </c>
      <c r="W2333" t="str">
        <f>IF(Table1[appointment_status]="Cancelled","1","0")</f>
        <v>0</v>
      </c>
    </row>
    <row r="2334" spans="1:23">
      <c r="A2334" t="s">
        <v>3592</v>
      </c>
      <c r="B2334" t="s">
        <v>3593</v>
      </c>
      <c r="C2334">
        <v>20</v>
      </c>
      <c r="D2334" t="str" cm="1">
        <f t="array" ref="D2334">_xlfn.IFS(Table1[[#This Row],[age]]&lt;=17,"0-17",C2334&lt;=29,"18-29",C2334&lt;=44,"30-44",C2334&lt;=59,"45-59",C2334&lt;=74,"60-74",TRUE,"75+")</f>
        <v>18-29</v>
      </c>
      <c r="E2334" t="s">
        <v>29</v>
      </c>
      <c r="F2334">
        <v>4</v>
      </c>
      <c r="G2334" t="str" cm="1">
        <f t="array" ref="G2334">_xlfn.IFS(_xlfn.SINGLE(Table1[imd_decile])&lt;=3,"Most Deprived",F2334&lt;=7,"Moderately Deprived",F2334&lt;=10,"Least Deprived")</f>
        <v>Moderately Deprived</v>
      </c>
      <c r="H2334">
        <v>11.5</v>
      </c>
      <c r="I2334" t="s">
        <v>91</v>
      </c>
      <c r="J2334" t="s">
        <v>26</v>
      </c>
      <c r="K2334" s="1">
        <v>45921</v>
      </c>
      <c r="L2334" s="1">
        <v>45971</v>
      </c>
      <c r="M2334" s="1" t="str">
        <f>TEXT(Table1[[#This Row],[appointment_date]],"MM/YYYY")</f>
        <v>11/2025</v>
      </c>
      <c r="N2334">
        <v>50</v>
      </c>
      <c r="O2334" t="str" cm="1">
        <f t="array" ref="O2334">_xlfn.IFS(Table1[[#This Row],[lead_time_days]]&lt;=7,"0-7 days",N2334&lt;=14,"8-14 days",N2334&lt;=30,"15-30 days",N2334&lt;=60,"31-60 days",TRUE,"61+ days")</f>
        <v>31-60 days</v>
      </c>
      <c r="P2334" t="s">
        <v>35</v>
      </c>
      <c r="Q2334" t="s">
        <v>21</v>
      </c>
      <c r="R2334">
        <v>0</v>
      </c>
      <c r="S2334" t="str">
        <f>IF(Table1[prior_dna_count]&gt;=1,"Has prior DNA history","No prior DNA history")</f>
        <v>No prior DNA history</v>
      </c>
      <c r="T2334" t="s">
        <v>46</v>
      </c>
      <c r="U2334" t="str">
        <f t="shared" si="36"/>
        <v>1</v>
      </c>
      <c r="V2334" t="str">
        <f>IF(Table1[appointment_status]="Attended","1","0")</f>
        <v>0</v>
      </c>
      <c r="W2334" t="str">
        <f>IF(Table1[appointment_status]="Cancelled","1","0")</f>
        <v>1</v>
      </c>
    </row>
    <row r="2335" spans="1:23">
      <c r="A2335" t="s">
        <v>3594</v>
      </c>
      <c r="B2335" t="s">
        <v>1646</v>
      </c>
      <c r="C2335">
        <v>43</v>
      </c>
      <c r="D2335" t="str" cm="1">
        <f t="array" ref="D2335">_xlfn.IFS(Table1[[#This Row],[age]]&lt;=17,"0-17",C2335&lt;=29,"18-29",C2335&lt;=44,"30-44",C2335&lt;=59,"45-59",C2335&lt;=74,"60-74",TRUE,"75+")</f>
        <v>30-44</v>
      </c>
      <c r="E2335" t="s">
        <v>17</v>
      </c>
      <c r="F2335">
        <v>10</v>
      </c>
      <c r="G2335" t="str" cm="1">
        <f t="array" ref="G2335">_xlfn.IFS(_xlfn.SINGLE(Table1[imd_decile])&lt;=3,"Most Deprived",F2335&lt;=7,"Moderately Deprived",F2335&lt;=10,"Least Deprived")</f>
        <v>Least Deprived</v>
      </c>
      <c r="H2335">
        <v>4.8</v>
      </c>
      <c r="I2335" t="s">
        <v>155</v>
      </c>
      <c r="J2335" t="s">
        <v>26</v>
      </c>
      <c r="K2335" s="1">
        <v>45942</v>
      </c>
      <c r="L2335" s="1">
        <v>45971</v>
      </c>
      <c r="M2335" s="1" t="str">
        <f>TEXT(Table1[[#This Row],[appointment_date]],"MM/YYYY")</f>
        <v>11/2025</v>
      </c>
      <c r="N2335">
        <v>29</v>
      </c>
      <c r="O2335" t="str" cm="1">
        <f t="array" ref="O2335">_xlfn.IFS(Table1[[#This Row],[lead_time_days]]&lt;=7,"0-7 days",N2335&lt;=14,"8-14 days",N2335&lt;=30,"15-30 days",N2335&lt;=60,"31-60 days",TRUE,"61+ days")</f>
        <v>15-30 days</v>
      </c>
      <c r="P2335" t="s">
        <v>35</v>
      </c>
      <c r="Q2335" t="s">
        <v>21</v>
      </c>
      <c r="R2335">
        <v>0</v>
      </c>
      <c r="S2335" t="str">
        <f>IF(Table1[prior_dna_count]&gt;=1,"Has prior DNA history","No prior DNA history")</f>
        <v>No prior DNA history</v>
      </c>
      <c r="T2335" t="s">
        <v>22</v>
      </c>
      <c r="U2335" t="str">
        <f t="shared" si="36"/>
        <v>0</v>
      </c>
      <c r="V2335" t="str">
        <f>IF(Table1[appointment_status]="Attended","1","0")</f>
        <v>1</v>
      </c>
      <c r="W2335" t="str">
        <f>IF(Table1[appointment_status]="Cancelled","1","0")</f>
        <v>0</v>
      </c>
    </row>
    <row r="2336" spans="1:23">
      <c r="A2336" t="s">
        <v>3595</v>
      </c>
      <c r="B2336" t="s">
        <v>3596</v>
      </c>
      <c r="C2336">
        <v>56</v>
      </c>
      <c r="D2336" t="str" cm="1">
        <f t="array" ref="D2336">_xlfn.IFS(Table1[[#This Row],[age]]&lt;=17,"0-17",C2336&lt;=29,"18-29",C2336&lt;=44,"30-44",C2336&lt;=59,"45-59",C2336&lt;=74,"60-74",TRUE,"75+")</f>
        <v>45-59</v>
      </c>
      <c r="E2336" t="s">
        <v>17</v>
      </c>
      <c r="F2336">
        <v>5</v>
      </c>
      <c r="G2336" t="str" cm="1">
        <f t="array" ref="G2336">_xlfn.IFS(_xlfn.SINGLE(Table1[imd_decile])&lt;=3,"Most Deprived",F2336&lt;=7,"Moderately Deprived",F2336&lt;=10,"Least Deprived")</f>
        <v>Moderately Deprived</v>
      </c>
      <c r="H2336">
        <v>13.3</v>
      </c>
      <c r="I2336" t="s">
        <v>42</v>
      </c>
      <c r="J2336" t="s">
        <v>19</v>
      </c>
      <c r="K2336" s="1">
        <v>45930</v>
      </c>
      <c r="L2336" s="1">
        <v>45971</v>
      </c>
      <c r="M2336" s="1" t="str">
        <f>TEXT(Table1[[#This Row],[appointment_date]],"MM/YYYY")</f>
        <v>11/2025</v>
      </c>
      <c r="N2336">
        <v>41</v>
      </c>
      <c r="O2336" t="str" cm="1">
        <f t="array" ref="O2336">_xlfn.IFS(Table1[[#This Row],[lead_time_days]]&lt;=7,"0-7 days",N2336&lt;=14,"8-14 days",N2336&lt;=30,"15-30 days",N2336&lt;=60,"31-60 days",TRUE,"61+ days")</f>
        <v>31-60 days</v>
      </c>
      <c r="P2336" t="s">
        <v>35</v>
      </c>
      <c r="Q2336" t="s">
        <v>21</v>
      </c>
      <c r="R2336">
        <v>0</v>
      </c>
      <c r="S2336" t="str">
        <f>IF(Table1[prior_dna_count]&gt;=1,"Has prior DNA history","No prior DNA history")</f>
        <v>No prior DNA history</v>
      </c>
      <c r="T2336" t="s">
        <v>22</v>
      </c>
      <c r="U2336" t="str">
        <f t="shared" si="36"/>
        <v>1</v>
      </c>
      <c r="V2336" t="str">
        <f>IF(Table1[appointment_status]="Attended","1","0")</f>
        <v>1</v>
      </c>
      <c r="W2336" t="str">
        <f>IF(Table1[appointment_status]="Cancelled","1","0")</f>
        <v>0</v>
      </c>
    </row>
    <row r="2337" spans="1:23">
      <c r="A2337" t="s">
        <v>3597</v>
      </c>
      <c r="B2337" t="s">
        <v>832</v>
      </c>
      <c r="C2337">
        <v>82</v>
      </c>
      <c r="D2337" t="str" cm="1">
        <f t="array" ref="D2337">_xlfn.IFS(Table1[[#This Row],[age]]&lt;=17,"0-17",C2337&lt;=29,"18-29",C2337&lt;=44,"30-44",C2337&lt;=59,"45-59",C2337&lt;=74,"60-74",TRUE,"75+")</f>
        <v>75+</v>
      </c>
      <c r="E2337" t="s">
        <v>29</v>
      </c>
      <c r="F2337">
        <v>1</v>
      </c>
      <c r="G2337" t="str" cm="1">
        <f t="array" ref="G2337">_xlfn.IFS(_xlfn.SINGLE(Table1[imd_decile])&lt;=3,"Most Deprived",F2337&lt;=7,"Moderately Deprived",F2337&lt;=10,"Least Deprived")</f>
        <v>Most Deprived</v>
      </c>
      <c r="H2337">
        <v>6.3</v>
      </c>
      <c r="I2337" t="s">
        <v>30</v>
      </c>
      <c r="J2337" t="s">
        <v>26</v>
      </c>
      <c r="K2337" s="1">
        <v>45956</v>
      </c>
      <c r="L2337" s="1">
        <v>45972</v>
      </c>
      <c r="M2337" s="1" t="str">
        <f>TEXT(Table1[[#This Row],[appointment_date]],"MM/YYYY")</f>
        <v>11/2025</v>
      </c>
      <c r="N2337">
        <v>16</v>
      </c>
      <c r="O2337" t="str" cm="1">
        <f t="array" ref="O2337">_xlfn.IFS(Table1[[#This Row],[lead_time_days]]&lt;=7,"0-7 days",N2337&lt;=14,"8-14 days",N2337&lt;=30,"15-30 days",N2337&lt;=60,"31-60 days",TRUE,"61+ days")</f>
        <v>15-30 days</v>
      </c>
      <c r="P2337" t="s">
        <v>71</v>
      </c>
      <c r="Q2337" t="s">
        <v>21</v>
      </c>
      <c r="R2337">
        <v>0</v>
      </c>
      <c r="S2337" t="str">
        <f>IF(Table1[prior_dna_count]&gt;=1,"Has prior DNA history","No prior DNA history")</f>
        <v>No prior DNA history</v>
      </c>
      <c r="T2337" t="s">
        <v>22</v>
      </c>
      <c r="U2337" t="str">
        <f t="shared" si="36"/>
        <v>1</v>
      </c>
      <c r="V2337" t="str">
        <f>IF(Table1[appointment_status]="Attended","1","0")</f>
        <v>1</v>
      </c>
      <c r="W2337" t="str">
        <f>IF(Table1[appointment_status]="Cancelled","1","0")</f>
        <v>0</v>
      </c>
    </row>
    <row r="2338" spans="1:23">
      <c r="A2338" t="s">
        <v>3598</v>
      </c>
      <c r="B2338" t="s">
        <v>3599</v>
      </c>
      <c r="C2338">
        <v>56</v>
      </c>
      <c r="D2338" t="str" cm="1">
        <f t="array" ref="D2338">_xlfn.IFS(Table1[[#This Row],[age]]&lt;=17,"0-17",C2338&lt;=29,"18-29",C2338&lt;=44,"30-44",C2338&lt;=59,"45-59",C2338&lt;=74,"60-74",TRUE,"75+")</f>
        <v>45-59</v>
      </c>
      <c r="E2338" t="s">
        <v>17</v>
      </c>
      <c r="F2338">
        <v>4</v>
      </c>
      <c r="G2338" t="str" cm="1">
        <f t="array" ref="G2338">_xlfn.IFS(_xlfn.SINGLE(Table1[imd_decile])&lt;=3,"Most Deprived",F2338&lt;=7,"Moderately Deprived",F2338&lt;=10,"Least Deprived")</f>
        <v>Moderately Deprived</v>
      </c>
      <c r="H2338">
        <v>2.5</v>
      </c>
      <c r="I2338" t="s">
        <v>25</v>
      </c>
      <c r="J2338" t="s">
        <v>19</v>
      </c>
      <c r="K2338" s="1">
        <v>45920</v>
      </c>
      <c r="L2338" s="1">
        <v>45972</v>
      </c>
      <c r="M2338" s="1" t="str">
        <f>TEXT(Table1[[#This Row],[appointment_date]],"MM/YYYY")</f>
        <v>11/2025</v>
      </c>
      <c r="N2338">
        <v>52</v>
      </c>
      <c r="O2338" t="str" cm="1">
        <f t="array" ref="O2338">_xlfn.IFS(Table1[[#This Row],[lead_time_days]]&lt;=7,"0-7 days",N2338&lt;=14,"8-14 days",N2338&lt;=30,"15-30 days",N2338&lt;=60,"31-60 days",TRUE,"61+ days")</f>
        <v>31-60 days</v>
      </c>
      <c r="P2338" t="s">
        <v>71</v>
      </c>
      <c r="Q2338" t="s">
        <v>21</v>
      </c>
      <c r="R2338">
        <v>0</v>
      </c>
      <c r="S2338" t="str">
        <f>IF(Table1[prior_dna_count]&gt;=1,"Has prior DNA history","No prior DNA history")</f>
        <v>No prior DNA history</v>
      </c>
      <c r="T2338" t="s">
        <v>22</v>
      </c>
      <c r="U2338" t="str">
        <f t="shared" si="36"/>
        <v>1</v>
      </c>
      <c r="V2338" t="str">
        <f>IF(Table1[appointment_status]="Attended","1","0")</f>
        <v>1</v>
      </c>
      <c r="W2338" t="str">
        <f>IF(Table1[appointment_status]="Cancelled","1","0")</f>
        <v>0</v>
      </c>
    </row>
    <row r="2339" spans="1:23">
      <c r="A2339" t="s">
        <v>3600</v>
      </c>
      <c r="B2339" t="s">
        <v>3419</v>
      </c>
      <c r="C2339">
        <v>59</v>
      </c>
      <c r="D2339" t="str" cm="1">
        <f t="array" ref="D2339">_xlfn.IFS(Table1[[#This Row],[age]]&lt;=17,"0-17",C2339&lt;=29,"18-29",C2339&lt;=44,"30-44",C2339&lt;=59,"45-59",C2339&lt;=74,"60-74",TRUE,"75+")</f>
        <v>45-59</v>
      </c>
      <c r="E2339" t="s">
        <v>17</v>
      </c>
      <c r="F2339">
        <v>8</v>
      </c>
      <c r="G2339" t="str" cm="1">
        <f t="array" ref="G2339">_xlfn.IFS(_xlfn.SINGLE(Table1[imd_decile])&lt;=3,"Most Deprived",F2339&lt;=7,"Moderately Deprived",F2339&lt;=10,"Least Deprived")</f>
        <v>Least Deprived</v>
      </c>
      <c r="H2339">
        <v>8.4</v>
      </c>
      <c r="I2339" t="s">
        <v>58</v>
      </c>
      <c r="J2339" t="s">
        <v>19</v>
      </c>
      <c r="K2339" s="1">
        <v>45944</v>
      </c>
      <c r="L2339" s="1">
        <v>45972</v>
      </c>
      <c r="M2339" s="1" t="str">
        <f>TEXT(Table1[[#This Row],[appointment_date]],"MM/YYYY")</f>
        <v>11/2025</v>
      </c>
      <c r="N2339">
        <v>28</v>
      </c>
      <c r="O2339" t="str" cm="1">
        <f t="array" ref="O2339">_xlfn.IFS(Table1[[#This Row],[lead_time_days]]&lt;=7,"0-7 days",N2339&lt;=14,"8-14 days",N2339&lt;=30,"15-30 days",N2339&lt;=60,"31-60 days",TRUE,"61+ days")</f>
        <v>15-30 days</v>
      </c>
      <c r="P2339" t="s">
        <v>71</v>
      </c>
      <c r="Q2339" t="s">
        <v>21</v>
      </c>
      <c r="R2339">
        <v>0</v>
      </c>
      <c r="S2339" t="str">
        <f>IF(Table1[prior_dna_count]&gt;=1,"Has prior DNA history","No prior DNA history")</f>
        <v>No prior DNA history</v>
      </c>
      <c r="T2339" t="s">
        <v>22</v>
      </c>
      <c r="U2339" t="str">
        <f t="shared" si="36"/>
        <v>1</v>
      </c>
      <c r="V2339" t="str">
        <f>IF(Table1[appointment_status]="Attended","1","0")</f>
        <v>1</v>
      </c>
      <c r="W2339" t="str">
        <f>IF(Table1[appointment_status]="Cancelled","1","0")</f>
        <v>0</v>
      </c>
    </row>
    <row r="2340" spans="1:23">
      <c r="A2340" t="s">
        <v>3601</v>
      </c>
      <c r="B2340" t="s">
        <v>3602</v>
      </c>
      <c r="C2340">
        <v>22</v>
      </c>
      <c r="D2340" t="str" cm="1">
        <f t="array" ref="D2340">_xlfn.IFS(Table1[[#This Row],[age]]&lt;=17,"0-17",C2340&lt;=29,"18-29",C2340&lt;=44,"30-44",C2340&lt;=59,"45-59",C2340&lt;=74,"60-74",TRUE,"75+")</f>
        <v>18-29</v>
      </c>
      <c r="E2340" t="s">
        <v>17</v>
      </c>
      <c r="F2340">
        <v>9</v>
      </c>
      <c r="G2340" t="str" cm="1">
        <f t="array" ref="G2340">_xlfn.IFS(_xlfn.SINGLE(Table1[imd_decile])&lt;=3,"Most Deprived",F2340&lt;=7,"Moderately Deprived",F2340&lt;=10,"Least Deprived")</f>
        <v>Least Deprived</v>
      </c>
      <c r="H2340">
        <v>4.5999999999999996</v>
      </c>
      <c r="I2340" t="s">
        <v>45</v>
      </c>
      <c r="J2340" t="s">
        <v>26</v>
      </c>
      <c r="K2340" s="1">
        <v>45941</v>
      </c>
      <c r="L2340" s="1">
        <v>45972</v>
      </c>
      <c r="M2340" s="1" t="str">
        <f>TEXT(Table1[[#This Row],[appointment_date]],"MM/YYYY")</f>
        <v>11/2025</v>
      </c>
      <c r="N2340">
        <v>31</v>
      </c>
      <c r="O2340" t="str" cm="1">
        <f t="array" ref="O2340">_xlfn.IFS(Table1[[#This Row],[lead_time_days]]&lt;=7,"0-7 days",N2340&lt;=14,"8-14 days",N2340&lt;=30,"15-30 days",N2340&lt;=60,"31-60 days",TRUE,"61+ days")</f>
        <v>31-60 days</v>
      </c>
      <c r="P2340" t="s">
        <v>71</v>
      </c>
      <c r="Q2340" t="s">
        <v>21</v>
      </c>
      <c r="R2340">
        <v>0</v>
      </c>
      <c r="S2340" t="str">
        <f>IF(Table1[prior_dna_count]&gt;=1,"Has prior DNA history","No prior DNA history")</f>
        <v>No prior DNA history</v>
      </c>
      <c r="T2340" t="s">
        <v>22</v>
      </c>
      <c r="U2340" t="str">
        <f t="shared" si="36"/>
        <v>1</v>
      </c>
      <c r="V2340" t="str">
        <f>IF(Table1[appointment_status]="Attended","1","0")</f>
        <v>1</v>
      </c>
      <c r="W2340" t="str">
        <f>IF(Table1[appointment_status]="Cancelled","1","0")</f>
        <v>0</v>
      </c>
    </row>
    <row r="2341" spans="1:23">
      <c r="A2341" t="s">
        <v>3603</v>
      </c>
      <c r="B2341" t="s">
        <v>3604</v>
      </c>
      <c r="C2341">
        <v>44</v>
      </c>
      <c r="D2341" t="str" cm="1">
        <f t="array" ref="D2341">_xlfn.IFS(Table1[[#This Row],[age]]&lt;=17,"0-17",C2341&lt;=29,"18-29",C2341&lt;=44,"30-44",C2341&lt;=59,"45-59",C2341&lt;=74,"60-74",TRUE,"75+")</f>
        <v>30-44</v>
      </c>
      <c r="E2341" t="s">
        <v>17</v>
      </c>
      <c r="F2341">
        <v>9</v>
      </c>
      <c r="G2341" t="str" cm="1">
        <f t="array" ref="G2341">_xlfn.IFS(_xlfn.SINGLE(Table1[imd_decile])&lt;=3,"Most Deprived",F2341&lt;=7,"Moderately Deprived",F2341&lt;=10,"Least Deprived")</f>
        <v>Least Deprived</v>
      </c>
      <c r="H2341">
        <v>17.7</v>
      </c>
      <c r="I2341" t="s">
        <v>45</v>
      </c>
      <c r="J2341" t="s">
        <v>26</v>
      </c>
      <c r="K2341" s="1">
        <v>45926</v>
      </c>
      <c r="L2341" s="1">
        <v>45972</v>
      </c>
      <c r="M2341" s="1" t="str">
        <f>TEXT(Table1[[#This Row],[appointment_date]],"MM/YYYY")</f>
        <v>11/2025</v>
      </c>
      <c r="N2341">
        <v>46</v>
      </c>
      <c r="O2341" t="str" cm="1">
        <f t="array" ref="O2341">_xlfn.IFS(Table1[[#This Row],[lead_time_days]]&lt;=7,"0-7 days",N2341&lt;=14,"8-14 days",N2341&lt;=30,"15-30 days",N2341&lt;=60,"31-60 days",TRUE,"61+ days")</f>
        <v>31-60 days</v>
      </c>
      <c r="P2341" t="s">
        <v>71</v>
      </c>
      <c r="Q2341" t="s">
        <v>21</v>
      </c>
      <c r="R2341">
        <v>0</v>
      </c>
      <c r="S2341" t="str">
        <f>IF(Table1[prior_dna_count]&gt;=1,"Has prior DNA history","No prior DNA history")</f>
        <v>No prior DNA history</v>
      </c>
      <c r="T2341" t="s">
        <v>22</v>
      </c>
      <c r="U2341" t="str">
        <f t="shared" si="36"/>
        <v>1</v>
      </c>
      <c r="V2341" t="str">
        <f>IF(Table1[appointment_status]="Attended","1","0")</f>
        <v>1</v>
      </c>
      <c r="W2341" t="str">
        <f>IF(Table1[appointment_status]="Cancelled","1","0")</f>
        <v>0</v>
      </c>
    </row>
    <row r="2342" spans="1:23">
      <c r="A2342" t="s">
        <v>3605</v>
      </c>
      <c r="B2342" t="s">
        <v>24</v>
      </c>
      <c r="C2342">
        <v>73</v>
      </c>
      <c r="D2342" t="str" cm="1">
        <f t="array" ref="D2342">_xlfn.IFS(Table1[[#This Row],[age]]&lt;=17,"0-17",C2342&lt;=29,"18-29",C2342&lt;=44,"30-44",C2342&lt;=59,"45-59",C2342&lt;=74,"60-74",TRUE,"75+")</f>
        <v>60-74</v>
      </c>
      <c r="E2342" t="s">
        <v>17</v>
      </c>
      <c r="F2342">
        <v>4</v>
      </c>
      <c r="G2342" t="str" cm="1">
        <f t="array" ref="G2342">_xlfn.IFS(_xlfn.SINGLE(Table1[imd_decile])&lt;=3,"Most Deprived",F2342&lt;=7,"Moderately Deprived",F2342&lt;=10,"Least Deprived")</f>
        <v>Moderately Deprived</v>
      </c>
      <c r="H2342">
        <v>2.8</v>
      </c>
      <c r="I2342" t="s">
        <v>42</v>
      </c>
      <c r="J2342" t="s">
        <v>19</v>
      </c>
      <c r="K2342" s="1">
        <v>45935</v>
      </c>
      <c r="L2342" s="1">
        <v>45972</v>
      </c>
      <c r="M2342" s="1" t="str">
        <f>TEXT(Table1[[#This Row],[appointment_date]],"MM/YYYY")</f>
        <v>11/2025</v>
      </c>
      <c r="N2342">
        <v>37</v>
      </c>
      <c r="O2342" t="str" cm="1">
        <f t="array" ref="O2342">_xlfn.IFS(Table1[[#This Row],[lead_time_days]]&lt;=7,"0-7 days",N2342&lt;=14,"8-14 days",N2342&lt;=30,"15-30 days",N2342&lt;=60,"31-60 days",TRUE,"61+ days")</f>
        <v>31-60 days</v>
      </c>
      <c r="P2342" t="s">
        <v>71</v>
      </c>
      <c r="Q2342" t="s">
        <v>21</v>
      </c>
      <c r="R2342">
        <v>0</v>
      </c>
      <c r="S2342" t="str">
        <f>IF(Table1[prior_dna_count]&gt;=1,"Has prior DNA history","No prior DNA history")</f>
        <v>No prior DNA history</v>
      </c>
      <c r="T2342" t="s">
        <v>22</v>
      </c>
      <c r="U2342" t="str">
        <f t="shared" si="36"/>
        <v>1</v>
      </c>
      <c r="V2342" t="str">
        <f>IF(Table1[appointment_status]="Attended","1","0")</f>
        <v>1</v>
      </c>
      <c r="W2342" t="str">
        <f>IF(Table1[appointment_status]="Cancelled","1","0")</f>
        <v>0</v>
      </c>
    </row>
    <row r="2343" spans="1:23">
      <c r="A2343" t="s">
        <v>3606</v>
      </c>
      <c r="B2343" t="s">
        <v>1845</v>
      </c>
      <c r="C2343">
        <v>40</v>
      </c>
      <c r="D2343" t="str" cm="1">
        <f t="array" ref="D2343">_xlfn.IFS(Table1[[#This Row],[age]]&lt;=17,"0-17",C2343&lt;=29,"18-29",C2343&lt;=44,"30-44",C2343&lt;=59,"45-59",C2343&lt;=74,"60-74",TRUE,"75+")</f>
        <v>30-44</v>
      </c>
      <c r="E2343" t="s">
        <v>29</v>
      </c>
      <c r="F2343">
        <v>6</v>
      </c>
      <c r="G2343" t="str" cm="1">
        <f t="array" ref="G2343">_xlfn.IFS(_xlfn.SINGLE(Table1[imd_decile])&lt;=3,"Most Deprived",F2343&lt;=7,"Moderately Deprived",F2343&lt;=10,"Least Deprived")</f>
        <v>Moderately Deprived</v>
      </c>
      <c r="H2343">
        <v>15.2</v>
      </c>
      <c r="I2343" t="s">
        <v>25</v>
      </c>
      <c r="J2343" t="s">
        <v>26</v>
      </c>
      <c r="K2343" s="1">
        <v>45962</v>
      </c>
      <c r="L2343" s="1">
        <v>45972</v>
      </c>
      <c r="M2343" s="1" t="str">
        <f>TEXT(Table1[[#This Row],[appointment_date]],"MM/YYYY")</f>
        <v>11/2025</v>
      </c>
      <c r="N2343">
        <v>10</v>
      </c>
      <c r="O2343" t="str" cm="1">
        <f t="array" ref="O2343">_xlfn.IFS(Table1[[#This Row],[lead_time_days]]&lt;=7,"0-7 days",N2343&lt;=14,"8-14 days",N2343&lt;=30,"15-30 days",N2343&lt;=60,"31-60 days",TRUE,"61+ days")</f>
        <v>8-14 days</v>
      </c>
      <c r="P2343" t="s">
        <v>71</v>
      </c>
      <c r="Q2343" t="s">
        <v>21</v>
      </c>
      <c r="R2343">
        <v>0</v>
      </c>
      <c r="S2343" t="str">
        <f>IF(Table1[prior_dna_count]&gt;=1,"Has prior DNA history","No prior DNA history")</f>
        <v>No prior DNA history</v>
      </c>
      <c r="T2343" t="s">
        <v>22</v>
      </c>
      <c r="U2343" t="str">
        <f t="shared" si="36"/>
        <v>1</v>
      </c>
      <c r="V2343" t="str">
        <f>IF(Table1[appointment_status]="Attended","1","0")</f>
        <v>1</v>
      </c>
      <c r="W2343" t="str">
        <f>IF(Table1[appointment_status]="Cancelled","1","0")</f>
        <v>0</v>
      </c>
    </row>
    <row r="2344" spans="1:23">
      <c r="A2344" t="s">
        <v>3607</v>
      </c>
      <c r="B2344" t="s">
        <v>1949</v>
      </c>
      <c r="C2344">
        <v>34</v>
      </c>
      <c r="D2344" t="str" cm="1">
        <f t="array" ref="D2344">_xlfn.IFS(Table1[[#This Row],[age]]&lt;=17,"0-17",C2344&lt;=29,"18-29",C2344&lt;=44,"30-44",C2344&lt;=59,"45-59",C2344&lt;=74,"60-74",TRUE,"75+")</f>
        <v>30-44</v>
      </c>
      <c r="E2344" t="s">
        <v>17</v>
      </c>
      <c r="F2344">
        <v>2</v>
      </c>
      <c r="G2344" t="str" cm="1">
        <f t="array" ref="G2344">_xlfn.IFS(_xlfn.SINGLE(Table1[imd_decile])&lt;=3,"Most Deprived",F2344&lt;=7,"Moderately Deprived",F2344&lt;=10,"Least Deprived")</f>
        <v>Most Deprived</v>
      </c>
      <c r="H2344">
        <v>7.3</v>
      </c>
      <c r="I2344" t="s">
        <v>38</v>
      </c>
      <c r="J2344" t="s">
        <v>19</v>
      </c>
      <c r="K2344" s="1">
        <v>45929</v>
      </c>
      <c r="L2344" s="1">
        <v>45972</v>
      </c>
      <c r="M2344" s="1" t="str">
        <f>TEXT(Table1[[#This Row],[appointment_date]],"MM/YYYY")</f>
        <v>11/2025</v>
      </c>
      <c r="N2344">
        <v>43</v>
      </c>
      <c r="O2344" t="str" cm="1">
        <f t="array" ref="O2344">_xlfn.IFS(Table1[[#This Row],[lead_time_days]]&lt;=7,"0-7 days",N2344&lt;=14,"8-14 days",N2344&lt;=30,"15-30 days",N2344&lt;=60,"31-60 days",TRUE,"61+ days")</f>
        <v>31-60 days</v>
      </c>
      <c r="P2344" t="s">
        <v>71</v>
      </c>
      <c r="Q2344" t="s">
        <v>21</v>
      </c>
      <c r="R2344">
        <v>0</v>
      </c>
      <c r="S2344" t="str">
        <f>IF(Table1[prior_dna_count]&gt;=1,"Has prior DNA history","No prior DNA history")</f>
        <v>No prior DNA history</v>
      </c>
      <c r="T2344" t="s">
        <v>39</v>
      </c>
      <c r="U2344" t="str">
        <f t="shared" si="36"/>
        <v>1</v>
      </c>
      <c r="V2344" t="str">
        <f>IF(Table1[appointment_status]="Attended","1","0")</f>
        <v>0</v>
      </c>
      <c r="W2344" t="str">
        <f>IF(Table1[appointment_status]="Cancelled","1","0")</f>
        <v>0</v>
      </c>
    </row>
    <row r="2345" spans="1:23">
      <c r="A2345" t="s">
        <v>3608</v>
      </c>
      <c r="B2345" t="s">
        <v>2632</v>
      </c>
      <c r="C2345">
        <v>82</v>
      </c>
      <c r="D2345" t="str" cm="1">
        <f t="array" ref="D2345">_xlfn.IFS(Table1[[#This Row],[age]]&lt;=17,"0-17",C2345&lt;=29,"18-29",C2345&lt;=44,"30-44",C2345&lt;=59,"45-59",C2345&lt;=74,"60-74",TRUE,"75+")</f>
        <v>75+</v>
      </c>
      <c r="E2345" t="s">
        <v>29</v>
      </c>
      <c r="F2345">
        <v>5</v>
      </c>
      <c r="G2345" t="str" cm="1">
        <f t="array" ref="G2345">_xlfn.IFS(_xlfn.SINGLE(Table1[imd_decile])&lt;=3,"Most Deprived",F2345&lt;=7,"Moderately Deprived",F2345&lt;=10,"Least Deprived")</f>
        <v>Moderately Deprived</v>
      </c>
      <c r="H2345">
        <v>5.3</v>
      </c>
      <c r="I2345" t="s">
        <v>45</v>
      </c>
      <c r="J2345" t="s">
        <v>26</v>
      </c>
      <c r="K2345" s="1">
        <v>45962</v>
      </c>
      <c r="L2345" s="1">
        <v>45973</v>
      </c>
      <c r="M2345" s="1" t="str">
        <f>TEXT(Table1[[#This Row],[appointment_date]],"MM/YYYY")</f>
        <v>11/2025</v>
      </c>
      <c r="N2345">
        <v>11</v>
      </c>
      <c r="O2345" t="str" cm="1">
        <f t="array" ref="O2345">_xlfn.IFS(Table1[[#This Row],[lead_time_days]]&lt;=7,"0-7 days",N2345&lt;=14,"8-14 days",N2345&lt;=30,"15-30 days",N2345&lt;=60,"31-60 days",TRUE,"61+ days")</f>
        <v>8-14 days</v>
      </c>
      <c r="P2345" t="s">
        <v>80</v>
      </c>
      <c r="Q2345" t="s">
        <v>32</v>
      </c>
      <c r="R2345">
        <v>0</v>
      </c>
      <c r="S2345" t="str">
        <f>IF(Table1[prior_dna_count]&gt;=1,"Has prior DNA history","No prior DNA history")</f>
        <v>No prior DNA history</v>
      </c>
      <c r="T2345" t="s">
        <v>22</v>
      </c>
      <c r="U2345" t="str">
        <f t="shared" si="36"/>
        <v>0</v>
      </c>
      <c r="V2345" t="str">
        <f>IF(Table1[appointment_status]="Attended","1","0")</f>
        <v>1</v>
      </c>
      <c r="W2345" t="str">
        <f>IF(Table1[appointment_status]="Cancelled","1","0")</f>
        <v>0</v>
      </c>
    </row>
    <row r="2346" spans="1:23">
      <c r="A2346" t="s">
        <v>3609</v>
      </c>
      <c r="B2346" t="s">
        <v>217</v>
      </c>
      <c r="C2346">
        <v>52</v>
      </c>
      <c r="D2346" t="str" cm="1">
        <f t="array" ref="D2346">_xlfn.IFS(Table1[[#This Row],[age]]&lt;=17,"0-17",C2346&lt;=29,"18-29",C2346&lt;=44,"30-44",C2346&lt;=59,"45-59",C2346&lt;=74,"60-74",TRUE,"75+")</f>
        <v>45-59</v>
      </c>
      <c r="E2346" t="s">
        <v>17</v>
      </c>
      <c r="F2346">
        <v>1</v>
      </c>
      <c r="G2346" t="str" cm="1">
        <f t="array" ref="G2346">_xlfn.IFS(_xlfn.SINGLE(Table1[imd_decile])&lt;=3,"Most Deprived",F2346&lt;=7,"Moderately Deprived",F2346&lt;=10,"Least Deprived")</f>
        <v>Most Deprived</v>
      </c>
      <c r="H2346">
        <v>2.5</v>
      </c>
      <c r="I2346" t="s">
        <v>155</v>
      </c>
      <c r="J2346" t="s">
        <v>19</v>
      </c>
      <c r="K2346" s="1">
        <v>45953</v>
      </c>
      <c r="L2346" s="1">
        <v>45973</v>
      </c>
      <c r="M2346" s="1" t="str">
        <f>TEXT(Table1[[#This Row],[appointment_date]],"MM/YYYY")</f>
        <v>11/2025</v>
      </c>
      <c r="N2346">
        <v>20</v>
      </c>
      <c r="O2346" t="str" cm="1">
        <f t="array" ref="O2346">_xlfn.IFS(Table1[[#This Row],[lead_time_days]]&lt;=7,"0-7 days",N2346&lt;=14,"8-14 days",N2346&lt;=30,"15-30 days",N2346&lt;=60,"31-60 days",TRUE,"61+ days")</f>
        <v>15-30 days</v>
      </c>
      <c r="P2346" t="s">
        <v>80</v>
      </c>
      <c r="Q2346" t="s">
        <v>32</v>
      </c>
      <c r="R2346">
        <v>0</v>
      </c>
      <c r="S2346" t="str">
        <f>IF(Table1[prior_dna_count]&gt;=1,"Has prior DNA history","No prior DNA history")</f>
        <v>No prior DNA history</v>
      </c>
      <c r="T2346" t="s">
        <v>22</v>
      </c>
      <c r="U2346" t="str">
        <f t="shared" si="36"/>
        <v>1</v>
      </c>
      <c r="V2346" t="str">
        <f>IF(Table1[appointment_status]="Attended","1","0")</f>
        <v>1</v>
      </c>
      <c r="W2346" t="str">
        <f>IF(Table1[appointment_status]="Cancelled","1","0")</f>
        <v>0</v>
      </c>
    </row>
    <row r="2347" spans="1:23">
      <c r="A2347" t="s">
        <v>3610</v>
      </c>
      <c r="B2347" t="s">
        <v>1585</v>
      </c>
      <c r="C2347">
        <v>23</v>
      </c>
      <c r="D2347" t="str" cm="1">
        <f t="array" ref="D2347">_xlfn.IFS(Table1[[#This Row],[age]]&lt;=17,"0-17",C2347&lt;=29,"18-29",C2347&lt;=44,"30-44",C2347&lt;=59,"45-59",C2347&lt;=74,"60-74",TRUE,"75+")</f>
        <v>18-29</v>
      </c>
      <c r="E2347" t="s">
        <v>17</v>
      </c>
      <c r="F2347">
        <v>8</v>
      </c>
      <c r="G2347" t="str" cm="1">
        <f t="array" ref="G2347">_xlfn.IFS(_xlfn.SINGLE(Table1[imd_decile])&lt;=3,"Most Deprived",F2347&lt;=7,"Moderately Deprived",F2347&lt;=10,"Least Deprived")</f>
        <v>Least Deprived</v>
      </c>
      <c r="H2347">
        <v>6</v>
      </c>
      <c r="I2347" t="s">
        <v>38</v>
      </c>
      <c r="J2347" t="s">
        <v>19</v>
      </c>
      <c r="K2347" s="1">
        <v>45961</v>
      </c>
      <c r="L2347" s="1">
        <v>45973</v>
      </c>
      <c r="M2347" s="1" t="str">
        <f>TEXT(Table1[[#This Row],[appointment_date]],"MM/YYYY")</f>
        <v>11/2025</v>
      </c>
      <c r="N2347">
        <v>12</v>
      </c>
      <c r="O2347" t="str" cm="1">
        <f t="array" ref="O2347">_xlfn.IFS(Table1[[#This Row],[lead_time_days]]&lt;=7,"0-7 days",N2347&lt;=14,"8-14 days",N2347&lt;=30,"15-30 days",N2347&lt;=60,"31-60 days",TRUE,"61+ days")</f>
        <v>8-14 days</v>
      </c>
      <c r="P2347" t="s">
        <v>80</v>
      </c>
      <c r="Q2347" t="s">
        <v>32</v>
      </c>
      <c r="R2347">
        <v>0</v>
      </c>
      <c r="S2347" t="str">
        <f>IF(Table1[prior_dna_count]&gt;=1,"Has prior DNA history","No prior DNA history")</f>
        <v>No prior DNA history</v>
      </c>
      <c r="T2347" t="s">
        <v>39</v>
      </c>
      <c r="U2347" t="str">
        <f t="shared" si="36"/>
        <v>1</v>
      </c>
      <c r="V2347" t="str">
        <f>IF(Table1[appointment_status]="Attended","1","0")</f>
        <v>0</v>
      </c>
      <c r="W2347" t="str">
        <f>IF(Table1[appointment_status]="Cancelled","1","0")</f>
        <v>0</v>
      </c>
    </row>
    <row r="2348" spans="1:23">
      <c r="A2348" t="s">
        <v>3611</v>
      </c>
      <c r="B2348" t="s">
        <v>3361</v>
      </c>
      <c r="C2348">
        <v>49</v>
      </c>
      <c r="D2348" t="str" cm="1">
        <f t="array" ref="D2348">_xlfn.IFS(Table1[[#This Row],[age]]&lt;=17,"0-17",C2348&lt;=29,"18-29",C2348&lt;=44,"30-44",C2348&lt;=59,"45-59",C2348&lt;=74,"60-74",TRUE,"75+")</f>
        <v>45-59</v>
      </c>
      <c r="E2348" t="s">
        <v>17</v>
      </c>
      <c r="F2348">
        <v>4</v>
      </c>
      <c r="G2348" t="str" cm="1">
        <f t="array" ref="G2348">_xlfn.IFS(_xlfn.SINGLE(Table1[imd_decile])&lt;=3,"Most Deprived",F2348&lt;=7,"Moderately Deprived",F2348&lt;=10,"Least Deprived")</f>
        <v>Moderately Deprived</v>
      </c>
      <c r="H2348">
        <v>1.3</v>
      </c>
      <c r="I2348" t="s">
        <v>42</v>
      </c>
      <c r="J2348" t="s">
        <v>19</v>
      </c>
      <c r="K2348" s="1">
        <v>45910</v>
      </c>
      <c r="L2348" s="1">
        <v>45973</v>
      </c>
      <c r="M2348" s="1" t="str">
        <f>TEXT(Table1[[#This Row],[appointment_date]],"MM/YYYY")</f>
        <v>11/2025</v>
      </c>
      <c r="N2348">
        <v>63</v>
      </c>
      <c r="O2348" t="str" cm="1">
        <f t="array" ref="O2348">_xlfn.IFS(Table1[[#This Row],[lead_time_days]]&lt;=7,"0-7 days",N2348&lt;=14,"8-14 days",N2348&lt;=30,"15-30 days",N2348&lt;=60,"31-60 days",TRUE,"61+ days")</f>
        <v>61+ days</v>
      </c>
      <c r="P2348" t="s">
        <v>80</v>
      </c>
      <c r="Q2348" t="s">
        <v>21</v>
      </c>
      <c r="R2348">
        <v>0</v>
      </c>
      <c r="S2348" t="str">
        <f>IF(Table1[prior_dna_count]&gt;=1,"Has prior DNA history","No prior DNA history")</f>
        <v>No prior DNA history</v>
      </c>
      <c r="T2348" t="s">
        <v>46</v>
      </c>
      <c r="U2348" t="str">
        <f t="shared" si="36"/>
        <v>0</v>
      </c>
      <c r="V2348" t="str">
        <f>IF(Table1[appointment_status]="Attended","1","0")</f>
        <v>0</v>
      </c>
      <c r="W2348" t="str">
        <f>IF(Table1[appointment_status]="Cancelled","1","0")</f>
        <v>1</v>
      </c>
    </row>
    <row r="2349" spans="1:23">
      <c r="A2349" t="s">
        <v>3612</v>
      </c>
      <c r="B2349" t="s">
        <v>789</v>
      </c>
      <c r="C2349">
        <v>39</v>
      </c>
      <c r="D2349" t="str" cm="1">
        <f t="array" ref="D2349">_xlfn.IFS(Table1[[#This Row],[age]]&lt;=17,"0-17",C2349&lt;=29,"18-29",C2349&lt;=44,"30-44",C2349&lt;=59,"45-59",C2349&lt;=74,"60-74",TRUE,"75+")</f>
        <v>30-44</v>
      </c>
      <c r="E2349" t="s">
        <v>29</v>
      </c>
      <c r="F2349">
        <v>10</v>
      </c>
      <c r="G2349" t="str" cm="1">
        <f t="array" ref="G2349">_xlfn.IFS(_xlfn.SINGLE(Table1[imd_decile])&lt;=3,"Most Deprived",F2349&lt;=7,"Moderately Deprived",F2349&lt;=10,"Least Deprived")</f>
        <v>Least Deprived</v>
      </c>
      <c r="H2349">
        <v>10.1</v>
      </c>
      <c r="I2349" t="s">
        <v>18</v>
      </c>
      <c r="J2349" t="s">
        <v>26</v>
      </c>
      <c r="K2349" s="1">
        <v>45955</v>
      </c>
      <c r="L2349" s="1">
        <v>45973</v>
      </c>
      <c r="M2349" s="1" t="str">
        <f>TEXT(Table1[[#This Row],[appointment_date]],"MM/YYYY")</f>
        <v>11/2025</v>
      </c>
      <c r="N2349">
        <v>18</v>
      </c>
      <c r="O2349" t="str" cm="1">
        <f t="array" ref="O2349">_xlfn.IFS(Table1[[#This Row],[lead_time_days]]&lt;=7,"0-7 days",N2349&lt;=14,"8-14 days",N2349&lt;=30,"15-30 days",N2349&lt;=60,"31-60 days",TRUE,"61+ days")</f>
        <v>15-30 days</v>
      </c>
      <c r="P2349" t="s">
        <v>80</v>
      </c>
      <c r="Q2349" t="s">
        <v>32</v>
      </c>
      <c r="R2349">
        <v>1</v>
      </c>
      <c r="S2349" t="str">
        <f>IF(Table1[prior_dna_count]&gt;=1,"Has prior DNA history","No prior DNA history")</f>
        <v>Has prior DNA history</v>
      </c>
      <c r="T2349" t="s">
        <v>46</v>
      </c>
      <c r="U2349" t="str">
        <f t="shared" si="36"/>
        <v>0</v>
      </c>
      <c r="V2349" t="str">
        <f>IF(Table1[appointment_status]="Attended","1","0")</f>
        <v>0</v>
      </c>
      <c r="W2349" t="str">
        <f>IF(Table1[appointment_status]="Cancelled","1","0")</f>
        <v>1</v>
      </c>
    </row>
    <row r="2350" spans="1:23">
      <c r="A2350" t="s">
        <v>3613</v>
      </c>
      <c r="B2350" t="s">
        <v>999</v>
      </c>
      <c r="C2350">
        <v>58</v>
      </c>
      <c r="D2350" t="str" cm="1">
        <f t="array" ref="D2350">_xlfn.IFS(Table1[[#This Row],[age]]&lt;=17,"0-17",C2350&lt;=29,"18-29",C2350&lt;=44,"30-44",C2350&lt;=59,"45-59",C2350&lt;=74,"60-74",TRUE,"75+")</f>
        <v>45-59</v>
      </c>
      <c r="E2350" t="s">
        <v>17</v>
      </c>
      <c r="F2350">
        <v>6</v>
      </c>
      <c r="G2350" t="str" cm="1">
        <f t="array" ref="G2350">_xlfn.IFS(_xlfn.SINGLE(Table1[imd_decile])&lt;=3,"Most Deprived",F2350&lt;=7,"Moderately Deprived",F2350&lt;=10,"Least Deprived")</f>
        <v>Moderately Deprived</v>
      </c>
      <c r="H2350">
        <v>9.1999999999999993</v>
      </c>
      <c r="I2350" t="s">
        <v>18</v>
      </c>
      <c r="J2350" t="s">
        <v>19</v>
      </c>
      <c r="K2350" s="1">
        <v>45931</v>
      </c>
      <c r="L2350" s="1">
        <v>45973</v>
      </c>
      <c r="M2350" s="1" t="str">
        <f>TEXT(Table1[[#This Row],[appointment_date]],"MM/YYYY")</f>
        <v>11/2025</v>
      </c>
      <c r="N2350">
        <v>42</v>
      </c>
      <c r="O2350" t="str" cm="1">
        <f t="array" ref="O2350">_xlfn.IFS(Table1[[#This Row],[lead_time_days]]&lt;=7,"0-7 days",N2350&lt;=14,"8-14 days",N2350&lt;=30,"15-30 days",N2350&lt;=60,"31-60 days",TRUE,"61+ days")</f>
        <v>31-60 days</v>
      </c>
      <c r="P2350" t="s">
        <v>80</v>
      </c>
      <c r="Q2350" t="s">
        <v>32</v>
      </c>
      <c r="R2350">
        <v>0</v>
      </c>
      <c r="S2350" t="str">
        <f>IF(Table1[prior_dna_count]&gt;=1,"Has prior DNA history","No prior DNA history")</f>
        <v>No prior DNA history</v>
      </c>
      <c r="T2350" t="s">
        <v>22</v>
      </c>
      <c r="U2350" t="str">
        <f t="shared" si="36"/>
        <v>0</v>
      </c>
      <c r="V2350" t="str">
        <f>IF(Table1[appointment_status]="Attended","1","0")</f>
        <v>1</v>
      </c>
      <c r="W2350" t="str">
        <f>IF(Table1[appointment_status]="Cancelled","1","0")</f>
        <v>0</v>
      </c>
    </row>
    <row r="2351" spans="1:23">
      <c r="A2351" t="s">
        <v>3614</v>
      </c>
      <c r="B2351" t="s">
        <v>3615</v>
      </c>
      <c r="C2351">
        <v>46</v>
      </c>
      <c r="D2351" t="str" cm="1">
        <f t="array" ref="D2351">_xlfn.IFS(Table1[[#This Row],[age]]&lt;=17,"0-17",C2351&lt;=29,"18-29",C2351&lt;=44,"30-44",C2351&lt;=59,"45-59",C2351&lt;=74,"60-74",TRUE,"75+")</f>
        <v>45-59</v>
      </c>
      <c r="E2351" t="s">
        <v>29</v>
      </c>
      <c r="F2351">
        <v>5</v>
      </c>
      <c r="G2351" t="str" cm="1">
        <f t="array" ref="G2351">_xlfn.IFS(_xlfn.SINGLE(Table1[imd_decile])&lt;=3,"Most Deprived",F2351&lt;=7,"Moderately Deprived",F2351&lt;=10,"Least Deprived")</f>
        <v>Moderately Deprived</v>
      </c>
      <c r="H2351">
        <v>5.2</v>
      </c>
      <c r="I2351" t="s">
        <v>49</v>
      </c>
      <c r="J2351" t="s">
        <v>19</v>
      </c>
      <c r="K2351" s="1">
        <v>45957</v>
      </c>
      <c r="L2351" s="1">
        <v>45974</v>
      </c>
      <c r="M2351" s="1" t="str">
        <f>TEXT(Table1[[#This Row],[appointment_date]],"MM/YYYY")</f>
        <v>11/2025</v>
      </c>
      <c r="N2351">
        <v>17</v>
      </c>
      <c r="O2351" t="str" cm="1">
        <f t="array" ref="O2351">_xlfn.IFS(Table1[[#This Row],[lead_time_days]]&lt;=7,"0-7 days",N2351&lt;=14,"8-14 days",N2351&lt;=30,"15-30 days",N2351&lt;=60,"31-60 days",TRUE,"61+ days")</f>
        <v>15-30 days</v>
      </c>
      <c r="P2351" t="s">
        <v>20</v>
      </c>
      <c r="Q2351" t="s">
        <v>21</v>
      </c>
      <c r="R2351">
        <v>0</v>
      </c>
      <c r="S2351" t="str">
        <f>IF(Table1[prior_dna_count]&gt;=1,"Has prior DNA history","No prior DNA history")</f>
        <v>No prior DNA history</v>
      </c>
      <c r="T2351" t="s">
        <v>46</v>
      </c>
      <c r="U2351" t="str">
        <f t="shared" si="36"/>
        <v>1</v>
      </c>
      <c r="V2351" t="str">
        <f>IF(Table1[appointment_status]="Attended","1","0")</f>
        <v>0</v>
      </c>
      <c r="W2351" t="str">
        <f>IF(Table1[appointment_status]="Cancelled","1","0")</f>
        <v>1</v>
      </c>
    </row>
    <row r="2352" spans="1:23">
      <c r="A2352" t="s">
        <v>3616</v>
      </c>
      <c r="B2352" t="s">
        <v>926</v>
      </c>
      <c r="C2352">
        <v>31</v>
      </c>
      <c r="D2352" t="str" cm="1">
        <f t="array" ref="D2352">_xlfn.IFS(Table1[[#This Row],[age]]&lt;=17,"0-17",C2352&lt;=29,"18-29",C2352&lt;=44,"30-44",C2352&lt;=59,"45-59",C2352&lt;=74,"60-74",TRUE,"75+")</f>
        <v>30-44</v>
      </c>
      <c r="E2352" t="s">
        <v>29</v>
      </c>
      <c r="F2352">
        <v>2</v>
      </c>
      <c r="G2352" t="str" cm="1">
        <f t="array" ref="G2352">_xlfn.IFS(_xlfn.SINGLE(Table1[imd_decile])&lt;=3,"Most Deprived",F2352&lt;=7,"Moderately Deprived",F2352&lt;=10,"Least Deprived")</f>
        <v>Most Deprived</v>
      </c>
      <c r="H2352">
        <v>5.5</v>
      </c>
      <c r="I2352" t="s">
        <v>45</v>
      </c>
      <c r="J2352" t="s">
        <v>19</v>
      </c>
      <c r="K2352" s="1">
        <v>45927</v>
      </c>
      <c r="L2352" s="1">
        <v>45974</v>
      </c>
      <c r="M2352" s="1" t="str">
        <f>TEXT(Table1[[#This Row],[appointment_date]],"MM/YYYY")</f>
        <v>11/2025</v>
      </c>
      <c r="N2352">
        <v>47</v>
      </c>
      <c r="O2352" t="str" cm="1">
        <f t="array" ref="O2352">_xlfn.IFS(Table1[[#This Row],[lead_time_days]]&lt;=7,"0-7 days",N2352&lt;=14,"8-14 days",N2352&lt;=30,"15-30 days",N2352&lt;=60,"31-60 days",TRUE,"61+ days")</f>
        <v>31-60 days</v>
      </c>
      <c r="P2352" t="s">
        <v>20</v>
      </c>
      <c r="Q2352" t="s">
        <v>21</v>
      </c>
      <c r="R2352">
        <v>0</v>
      </c>
      <c r="S2352" t="str">
        <f>IF(Table1[prior_dna_count]&gt;=1,"Has prior DNA history","No prior DNA history")</f>
        <v>No prior DNA history</v>
      </c>
      <c r="T2352" t="s">
        <v>22</v>
      </c>
      <c r="U2352" t="str">
        <f t="shared" si="36"/>
        <v>0</v>
      </c>
      <c r="V2352" t="str">
        <f>IF(Table1[appointment_status]="Attended","1","0")</f>
        <v>1</v>
      </c>
      <c r="W2352" t="str">
        <f>IF(Table1[appointment_status]="Cancelled","1","0")</f>
        <v>0</v>
      </c>
    </row>
    <row r="2353" spans="1:23">
      <c r="A2353" t="s">
        <v>3617</v>
      </c>
      <c r="B2353" t="s">
        <v>1443</v>
      </c>
      <c r="C2353">
        <v>28</v>
      </c>
      <c r="D2353" t="str" cm="1">
        <f t="array" ref="D2353">_xlfn.IFS(Table1[[#This Row],[age]]&lt;=17,"0-17",C2353&lt;=29,"18-29",C2353&lt;=44,"30-44",C2353&lt;=59,"45-59",C2353&lt;=74,"60-74",TRUE,"75+")</f>
        <v>18-29</v>
      </c>
      <c r="E2353" t="s">
        <v>17</v>
      </c>
      <c r="F2353">
        <v>9</v>
      </c>
      <c r="G2353" t="str" cm="1">
        <f t="array" ref="G2353">_xlfn.IFS(_xlfn.SINGLE(Table1[imd_decile])&lt;=3,"Most Deprived",F2353&lt;=7,"Moderately Deprived",F2353&lt;=10,"Least Deprived")</f>
        <v>Least Deprived</v>
      </c>
      <c r="H2353">
        <v>6.8</v>
      </c>
      <c r="I2353" t="s">
        <v>49</v>
      </c>
      <c r="J2353" t="s">
        <v>19</v>
      </c>
      <c r="K2353" s="1">
        <v>45951</v>
      </c>
      <c r="L2353" s="1">
        <v>45974</v>
      </c>
      <c r="M2353" s="1" t="str">
        <f>TEXT(Table1[[#This Row],[appointment_date]],"MM/YYYY")</f>
        <v>11/2025</v>
      </c>
      <c r="N2353">
        <v>23</v>
      </c>
      <c r="O2353" t="str" cm="1">
        <f t="array" ref="O2353">_xlfn.IFS(Table1[[#This Row],[lead_time_days]]&lt;=7,"0-7 days",N2353&lt;=14,"8-14 days",N2353&lt;=30,"15-30 days",N2353&lt;=60,"31-60 days",TRUE,"61+ days")</f>
        <v>15-30 days</v>
      </c>
      <c r="P2353" t="s">
        <v>20</v>
      </c>
      <c r="Q2353" t="s">
        <v>32</v>
      </c>
      <c r="R2353">
        <v>0</v>
      </c>
      <c r="S2353" t="str">
        <f>IF(Table1[prior_dna_count]&gt;=1,"Has prior DNA history","No prior DNA history")</f>
        <v>No prior DNA history</v>
      </c>
      <c r="T2353" t="s">
        <v>22</v>
      </c>
      <c r="U2353" t="str">
        <f t="shared" si="36"/>
        <v>1</v>
      </c>
      <c r="V2353" t="str">
        <f>IF(Table1[appointment_status]="Attended","1","0")</f>
        <v>1</v>
      </c>
      <c r="W2353" t="str">
        <f>IF(Table1[appointment_status]="Cancelled","1","0")</f>
        <v>0</v>
      </c>
    </row>
    <row r="2354" spans="1:23">
      <c r="A2354" t="s">
        <v>3618</v>
      </c>
      <c r="B2354" t="s">
        <v>3284</v>
      </c>
      <c r="C2354">
        <v>63</v>
      </c>
      <c r="D2354" t="str" cm="1">
        <f t="array" ref="D2354">_xlfn.IFS(Table1[[#This Row],[age]]&lt;=17,"0-17",C2354&lt;=29,"18-29",C2354&lt;=44,"30-44",C2354&lt;=59,"45-59",C2354&lt;=74,"60-74",TRUE,"75+")</f>
        <v>60-74</v>
      </c>
      <c r="E2354" t="s">
        <v>29</v>
      </c>
      <c r="F2354">
        <v>8</v>
      </c>
      <c r="G2354" t="str" cm="1">
        <f t="array" ref="G2354">_xlfn.IFS(_xlfn.SINGLE(Table1[imd_decile])&lt;=3,"Most Deprived",F2354&lt;=7,"Moderately Deprived",F2354&lt;=10,"Least Deprived")</f>
        <v>Least Deprived</v>
      </c>
      <c r="H2354">
        <v>0.5</v>
      </c>
      <c r="I2354" t="s">
        <v>38</v>
      </c>
      <c r="J2354" t="s">
        <v>19</v>
      </c>
      <c r="K2354" s="1">
        <v>45951</v>
      </c>
      <c r="L2354" s="1">
        <v>45974</v>
      </c>
      <c r="M2354" s="1" t="str">
        <f>TEXT(Table1[[#This Row],[appointment_date]],"MM/YYYY")</f>
        <v>11/2025</v>
      </c>
      <c r="N2354">
        <v>23</v>
      </c>
      <c r="O2354" t="str" cm="1">
        <f t="array" ref="O2354">_xlfn.IFS(Table1[[#This Row],[lead_time_days]]&lt;=7,"0-7 days",N2354&lt;=14,"8-14 days",N2354&lt;=30,"15-30 days",N2354&lt;=60,"31-60 days",TRUE,"61+ days")</f>
        <v>15-30 days</v>
      </c>
      <c r="P2354" t="s">
        <v>20</v>
      </c>
      <c r="Q2354" t="s">
        <v>32</v>
      </c>
      <c r="R2354">
        <v>0</v>
      </c>
      <c r="S2354" t="str">
        <f>IF(Table1[prior_dna_count]&gt;=1,"Has prior DNA history","No prior DNA history")</f>
        <v>No prior DNA history</v>
      </c>
      <c r="T2354" t="s">
        <v>22</v>
      </c>
      <c r="U2354" t="str">
        <f t="shared" si="36"/>
        <v>1</v>
      </c>
      <c r="V2354" t="str">
        <f>IF(Table1[appointment_status]="Attended","1","0")</f>
        <v>1</v>
      </c>
      <c r="W2354" t="str">
        <f>IF(Table1[appointment_status]="Cancelled","1","0")</f>
        <v>0</v>
      </c>
    </row>
    <row r="2355" spans="1:23">
      <c r="A2355" t="s">
        <v>3619</v>
      </c>
      <c r="B2355" t="s">
        <v>2469</v>
      </c>
      <c r="C2355">
        <v>62</v>
      </c>
      <c r="D2355" t="str" cm="1">
        <f t="array" ref="D2355">_xlfn.IFS(Table1[[#This Row],[age]]&lt;=17,"0-17",C2355&lt;=29,"18-29",C2355&lt;=44,"30-44",C2355&lt;=59,"45-59",C2355&lt;=74,"60-74",TRUE,"75+")</f>
        <v>60-74</v>
      </c>
      <c r="E2355" t="s">
        <v>17</v>
      </c>
      <c r="F2355">
        <v>3</v>
      </c>
      <c r="G2355" t="str" cm="1">
        <f t="array" ref="G2355">_xlfn.IFS(_xlfn.SINGLE(Table1[imd_decile])&lt;=3,"Most Deprived",F2355&lt;=7,"Moderately Deprived",F2355&lt;=10,"Least Deprived")</f>
        <v>Most Deprived</v>
      </c>
      <c r="H2355">
        <v>2.2999999999999998</v>
      </c>
      <c r="I2355" t="s">
        <v>38</v>
      </c>
      <c r="J2355" t="s">
        <v>26</v>
      </c>
      <c r="K2355" s="1">
        <v>45959</v>
      </c>
      <c r="L2355" s="1">
        <v>45974</v>
      </c>
      <c r="M2355" s="1" t="str">
        <f>TEXT(Table1[[#This Row],[appointment_date]],"MM/YYYY")</f>
        <v>11/2025</v>
      </c>
      <c r="N2355">
        <v>15</v>
      </c>
      <c r="O2355" t="str" cm="1">
        <f t="array" ref="O2355">_xlfn.IFS(Table1[[#This Row],[lead_time_days]]&lt;=7,"0-7 days",N2355&lt;=14,"8-14 days",N2355&lt;=30,"15-30 days",N2355&lt;=60,"31-60 days",TRUE,"61+ days")</f>
        <v>15-30 days</v>
      </c>
      <c r="P2355" t="s">
        <v>20</v>
      </c>
      <c r="Q2355" t="s">
        <v>21</v>
      </c>
      <c r="R2355">
        <v>1</v>
      </c>
      <c r="S2355" t="str">
        <f>IF(Table1[prior_dna_count]&gt;=1,"Has prior DNA history","No prior DNA history")</f>
        <v>Has prior DNA history</v>
      </c>
      <c r="T2355" t="s">
        <v>22</v>
      </c>
      <c r="U2355" t="str">
        <f t="shared" si="36"/>
        <v>1</v>
      </c>
      <c r="V2355" t="str">
        <f>IF(Table1[appointment_status]="Attended","1","0")</f>
        <v>1</v>
      </c>
      <c r="W2355" t="str">
        <f>IF(Table1[appointment_status]="Cancelled","1","0")</f>
        <v>0</v>
      </c>
    </row>
    <row r="2356" spans="1:23">
      <c r="A2356" t="s">
        <v>3620</v>
      </c>
      <c r="B2356" t="s">
        <v>3615</v>
      </c>
      <c r="C2356">
        <v>46</v>
      </c>
      <c r="D2356" t="str" cm="1">
        <f t="array" ref="D2356">_xlfn.IFS(Table1[[#This Row],[age]]&lt;=17,"0-17",C2356&lt;=29,"18-29",C2356&lt;=44,"30-44",C2356&lt;=59,"45-59",C2356&lt;=74,"60-74",TRUE,"75+")</f>
        <v>45-59</v>
      </c>
      <c r="E2356" t="s">
        <v>29</v>
      </c>
      <c r="F2356">
        <v>5</v>
      </c>
      <c r="G2356" t="str" cm="1">
        <f t="array" ref="G2356">_xlfn.IFS(_xlfn.SINGLE(Table1[imd_decile])&lt;=3,"Most Deprived",F2356&lt;=7,"Moderately Deprived",F2356&lt;=10,"Least Deprived")</f>
        <v>Moderately Deprived</v>
      </c>
      <c r="H2356">
        <v>5.2</v>
      </c>
      <c r="I2356" t="s">
        <v>18</v>
      </c>
      <c r="J2356" t="s">
        <v>26</v>
      </c>
      <c r="K2356" s="1">
        <v>45932</v>
      </c>
      <c r="L2356" s="1">
        <v>45974</v>
      </c>
      <c r="M2356" s="1" t="str">
        <f>TEXT(Table1[[#This Row],[appointment_date]],"MM/YYYY")</f>
        <v>11/2025</v>
      </c>
      <c r="N2356">
        <v>42</v>
      </c>
      <c r="O2356" t="str" cm="1">
        <f t="array" ref="O2356">_xlfn.IFS(Table1[[#This Row],[lead_time_days]]&lt;=7,"0-7 days",N2356&lt;=14,"8-14 days",N2356&lt;=30,"15-30 days",N2356&lt;=60,"31-60 days",TRUE,"61+ days")</f>
        <v>31-60 days</v>
      </c>
      <c r="P2356" t="s">
        <v>20</v>
      </c>
      <c r="Q2356" t="s">
        <v>21</v>
      </c>
      <c r="R2356">
        <v>0</v>
      </c>
      <c r="S2356" t="str">
        <f>IF(Table1[prior_dna_count]&gt;=1,"Has prior DNA history","No prior DNA history")</f>
        <v>No prior DNA history</v>
      </c>
      <c r="T2356" t="s">
        <v>22</v>
      </c>
      <c r="U2356" t="str">
        <f t="shared" si="36"/>
        <v>1</v>
      </c>
      <c r="V2356" t="str">
        <f>IF(Table1[appointment_status]="Attended","1","0")</f>
        <v>1</v>
      </c>
      <c r="W2356" t="str">
        <f>IF(Table1[appointment_status]="Cancelled","1","0")</f>
        <v>0</v>
      </c>
    </row>
    <row r="2357" spans="1:23">
      <c r="A2357" t="s">
        <v>3621</v>
      </c>
      <c r="B2357" t="s">
        <v>1197</v>
      </c>
      <c r="C2357">
        <v>11</v>
      </c>
      <c r="D2357" t="str" cm="1">
        <f t="array" ref="D2357">_xlfn.IFS(Table1[[#This Row],[age]]&lt;=17,"0-17",C2357&lt;=29,"18-29",C2357&lt;=44,"30-44",C2357&lt;=59,"45-59",C2357&lt;=74,"60-74",TRUE,"75+")</f>
        <v>0-17</v>
      </c>
      <c r="E2357" t="s">
        <v>17</v>
      </c>
      <c r="F2357">
        <v>2</v>
      </c>
      <c r="G2357" t="str" cm="1">
        <f t="array" ref="G2357">_xlfn.IFS(_xlfn.SINGLE(Table1[imd_decile])&lt;=3,"Most Deprived",F2357&lt;=7,"Moderately Deprived",F2357&lt;=10,"Least Deprived")</f>
        <v>Most Deprived</v>
      </c>
      <c r="H2357">
        <v>4.5999999999999996</v>
      </c>
      <c r="I2357" t="s">
        <v>45</v>
      </c>
      <c r="J2357" t="s">
        <v>19</v>
      </c>
      <c r="K2357" s="1">
        <v>45889</v>
      </c>
      <c r="L2357" s="1">
        <v>45975</v>
      </c>
      <c r="M2357" s="1" t="str">
        <f>TEXT(Table1[[#This Row],[appointment_date]],"MM/YYYY")</f>
        <v>11/2025</v>
      </c>
      <c r="N2357">
        <v>86</v>
      </c>
      <c r="O2357" t="str" cm="1">
        <f t="array" ref="O2357">_xlfn.IFS(Table1[[#This Row],[lead_time_days]]&lt;=7,"0-7 days",N2357&lt;=14,"8-14 days",N2357&lt;=30,"15-30 days",N2357&lt;=60,"31-60 days",TRUE,"61+ days")</f>
        <v>61+ days</v>
      </c>
      <c r="P2357" t="s">
        <v>52</v>
      </c>
      <c r="Q2357" t="s">
        <v>21</v>
      </c>
      <c r="R2357">
        <v>0</v>
      </c>
      <c r="S2357" t="str">
        <f>IF(Table1[prior_dna_count]&gt;=1,"Has prior DNA history","No prior DNA history")</f>
        <v>No prior DNA history</v>
      </c>
      <c r="T2357" t="s">
        <v>22</v>
      </c>
      <c r="U2357" t="str">
        <f t="shared" si="36"/>
        <v>1</v>
      </c>
      <c r="V2357" t="str">
        <f>IF(Table1[appointment_status]="Attended","1","0")</f>
        <v>1</v>
      </c>
      <c r="W2357" t="str">
        <f>IF(Table1[appointment_status]="Cancelled","1","0")</f>
        <v>0</v>
      </c>
    </row>
    <row r="2358" spans="1:23">
      <c r="A2358" t="s">
        <v>3622</v>
      </c>
      <c r="B2358" t="s">
        <v>2995</v>
      </c>
      <c r="C2358">
        <v>46</v>
      </c>
      <c r="D2358" t="str" cm="1">
        <f t="array" ref="D2358">_xlfn.IFS(Table1[[#This Row],[age]]&lt;=17,"0-17",C2358&lt;=29,"18-29",C2358&lt;=44,"30-44",C2358&lt;=59,"45-59",C2358&lt;=74,"60-74",TRUE,"75+")</f>
        <v>45-59</v>
      </c>
      <c r="E2358" t="s">
        <v>17</v>
      </c>
      <c r="F2358">
        <v>7</v>
      </c>
      <c r="G2358" t="str" cm="1">
        <f t="array" ref="G2358">_xlfn.IFS(_xlfn.SINGLE(Table1[imd_decile])&lt;=3,"Most Deprived",F2358&lt;=7,"Moderately Deprived",F2358&lt;=10,"Least Deprived")</f>
        <v>Moderately Deprived</v>
      </c>
      <c r="H2358">
        <v>8.6</v>
      </c>
      <c r="I2358" t="s">
        <v>42</v>
      </c>
      <c r="J2358" t="s">
        <v>19</v>
      </c>
      <c r="K2358" s="1">
        <v>45918</v>
      </c>
      <c r="L2358" s="1">
        <v>45975</v>
      </c>
      <c r="M2358" s="1" t="str">
        <f>TEXT(Table1[[#This Row],[appointment_date]],"MM/YYYY")</f>
        <v>11/2025</v>
      </c>
      <c r="N2358">
        <v>57</v>
      </c>
      <c r="O2358" t="str" cm="1">
        <f t="array" ref="O2358">_xlfn.IFS(Table1[[#This Row],[lead_time_days]]&lt;=7,"0-7 days",N2358&lt;=14,"8-14 days",N2358&lt;=30,"15-30 days",N2358&lt;=60,"31-60 days",TRUE,"61+ days")</f>
        <v>31-60 days</v>
      </c>
      <c r="P2358" t="s">
        <v>52</v>
      </c>
      <c r="Q2358" t="s">
        <v>21</v>
      </c>
      <c r="R2358">
        <v>0</v>
      </c>
      <c r="S2358" t="str">
        <f>IF(Table1[prior_dna_count]&gt;=1,"Has prior DNA history","No prior DNA history")</f>
        <v>No prior DNA history</v>
      </c>
      <c r="T2358" t="s">
        <v>46</v>
      </c>
      <c r="U2358" t="str">
        <f t="shared" si="36"/>
        <v>1</v>
      </c>
      <c r="V2358" t="str">
        <f>IF(Table1[appointment_status]="Attended","1","0")</f>
        <v>0</v>
      </c>
      <c r="W2358" t="str">
        <f>IF(Table1[appointment_status]="Cancelled","1","0")</f>
        <v>1</v>
      </c>
    </row>
    <row r="2359" spans="1:23">
      <c r="A2359" t="s">
        <v>3623</v>
      </c>
      <c r="B2359" t="s">
        <v>704</v>
      </c>
      <c r="C2359">
        <v>40</v>
      </c>
      <c r="D2359" t="str" cm="1">
        <f t="array" ref="D2359">_xlfn.IFS(Table1[[#This Row],[age]]&lt;=17,"0-17",C2359&lt;=29,"18-29",C2359&lt;=44,"30-44",C2359&lt;=59,"45-59",C2359&lt;=74,"60-74",TRUE,"75+")</f>
        <v>30-44</v>
      </c>
      <c r="E2359" t="s">
        <v>29</v>
      </c>
      <c r="F2359">
        <v>3</v>
      </c>
      <c r="G2359" t="str" cm="1">
        <f t="array" ref="G2359">_xlfn.IFS(_xlfn.SINGLE(Table1[imd_decile])&lt;=3,"Most Deprived",F2359&lt;=7,"Moderately Deprived",F2359&lt;=10,"Least Deprived")</f>
        <v>Most Deprived</v>
      </c>
      <c r="H2359">
        <v>9.3000000000000007</v>
      </c>
      <c r="I2359" t="s">
        <v>58</v>
      </c>
      <c r="J2359" t="s">
        <v>26</v>
      </c>
      <c r="K2359" s="1">
        <v>45952</v>
      </c>
      <c r="L2359" s="1">
        <v>45975</v>
      </c>
      <c r="M2359" s="1" t="str">
        <f>TEXT(Table1[[#This Row],[appointment_date]],"MM/YYYY")</f>
        <v>11/2025</v>
      </c>
      <c r="N2359">
        <v>23</v>
      </c>
      <c r="O2359" t="str" cm="1">
        <f t="array" ref="O2359">_xlfn.IFS(Table1[[#This Row],[lead_time_days]]&lt;=7,"0-7 days",N2359&lt;=14,"8-14 days",N2359&lt;=30,"15-30 days",N2359&lt;=60,"31-60 days",TRUE,"61+ days")</f>
        <v>15-30 days</v>
      </c>
      <c r="P2359" t="s">
        <v>52</v>
      </c>
      <c r="Q2359" t="s">
        <v>21</v>
      </c>
      <c r="R2359">
        <v>0</v>
      </c>
      <c r="S2359" t="str">
        <f>IF(Table1[prior_dna_count]&gt;=1,"Has prior DNA history","No prior DNA history")</f>
        <v>No prior DNA history</v>
      </c>
      <c r="T2359" t="s">
        <v>22</v>
      </c>
      <c r="U2359" t="str">
        <f t="shared" si="36"/>
        <v>0</v>
      </c>
      <c r="V2359" t="str">
        <f>IF(Table1[appointment_status]="Attended","1","0")</f>
        <v>1</v>
      </c>
      <c r="W2359" t="str">
        <f>IF(Table1[appointment_status]="Cancelled","1","0")</f>
        <v>0</v>
      </c>
    </row>
    <row r="2360" spans="1:23">
      <c r="A2360" t="s">
        <v>3624</v>
      </c>
      <c r="B2360" t="s">
        <v>960</v>
      </c>
      <c r="C2360">
        <v>29</v>
      </c>
      <c r="D2360" t="str" cm="1">
        <f t="array" ref="D2360">_xlfn.IFS(Table1[[#This Row],[age]]&lt;=17,"0-17",C2360&lt;=29,"18-29",C2360&lt;=44,"30-44",C2360&lt;=59,"45-59",C2360&lt;=74,"60-74",TRUE,"75+")</f>
        <v>18-29</v>
      </c>
      <c r="E2360" t="s">
        <v>17</v>
      </c>
      <c r="F2360">
        <v>6</v>
      </c>
      <c r="G2360" t="str" cm="1">
        <f t="array" ref="G2360">_xlfn.IFS(_xlfn.SINGLE(Table1[imd_decile])&lt;=3,"Most Deprived",F2360&lt;=7,"Moderately Deprived",F2360&lt;=10,"Least Deprived")</f>
        <v>Moderately Deprived</v>
      </c>
      <c r="H2360">
        <v>2.2000000000000002</v>
      </c>
      <c r="I2360" t="s">
        <v>45</v>
      </c>
      <c r="J2360" t="s">
        <v>19</v>
      </c>
      <c r="K2360" s="1">
        <v>45927</v>
      </c>
      <c r="L2360" s="1">
        <v>45975</v>
      </c>
      <c r="M2360" s="1" t="str">
        <f>TEXT(Table1[[#This Row],[appointment_date]],"MM/YYYY")</f>
        <v>11/2025</v>
      </c>
      <c r="N2360">
        <v>48</v>
      </c>
      <c r="O2360" t="str" cm="1">
        <f t="array" ref="O2360">_xlfn.IFS(Table1[[#This Row],[lead_time_days]]&lt;=7,"0-7 days",N2360&lt;=14,"8-14 days",N2360&lt;=30,"15-30 days",N2360&lt;=60,"31-60 days",TRUE,"61+ days")</f>
        <v>31-60 days</v>
      </c>
      <c r="P2360" t="s">
        <v>52</v>
      </c>
      <c r="Q2360" t="s">
        <v>32</v>
      </c>
      <c r="R2360">
        <v>2</v>
      </c>
      <c r="S2360" t="str">
        <f>IF(Table1[prior_dna_count]&gt;=1,"Has prior DNA history","No prior DNA history")</f>
        <v>Has prior DNA history</v>
      </c>
      <c r="T2360" t="s">
        <v>39</v>
      </c>
      <c r="U2360" t="str">
        <f t="shared" si="36"/>
        <v>1</v>
      </c>
      <c r="V2360" t="str">
        <f>IF(Table1[appointment_status]="Attended","1","0")</f>
        <v>0</v>
      </c>
      <c r="W2360" t="str">
        <f>IF(Table1[appointment_status]="Cancelled","1","0")</f>
        <v>0</v>
      </c>
    </row>
    <row r="2361" spans="1:23">
      <c r="A2361" t="s">
        <v>3625</v>
      </c>
      <c r="B2361" t="s">
        <v>173</v>
      </c>
      <c r="C2361">
        <v>40</v>
      </c>
      <c r="D2361" t="str" cm="1">
        <f t="array" ref="D2361">_xlfn.IFS(Table1[[#This Row],[age]]&lt;=17,"0-17",C2361&lt;=29,"18-29",C2361&lt;=44,"30-44",C2361&lt;=59,"45-59",C2361&lt;=74,"60-74",TRUE,"75+")</f>
        <v>30-44</v>
      </c>
      <c r="E2361" t="s">
        <v>29</v>
      </c>
      <c r="F2361">
        <v>6</v>
      </c>
      <c r="G2361" t="str" cm="1">
        <f t="array" ref="G2361">_xlfn.IFS(_xlfn.SINGLE(Table1[imd_decile])&lt;=3,"Most Deprived",F2361&lt;=7,"Moderately Deprived",F2361&lt;=10,"Least Deprived")</f>
        <v>Moderately Deprived</v>
      </c>
      <c r="H2361">
        <v>13.9</v>
      </c>
      <c r="I2361" t="s">
        <v>155</v>
      </c>
      <c r="J2361" t="s">
        <v>19</v>
      </c>
      <c r="K2361" s="1">
        <v>45942</v>
      </c>
      <c r="L2361" s="1">
        <v>45975</v>
      </c>
      <c r="M2361" s="1" t="str">
        <f>TEXT(Table1[[#This Row],[appointment_date]],"MM/YYYY")</f>
        <v>11/2025</v>
      </c>
      <c r="N2361">
        <v>33</v>
      </c>
      <c r="O2361" t="str" cm="1">
        <f t="array" ref="O2361">_xlfn.IFS(Table1[[#This Row],[lead_time_days]]&lt;=7,"0-7 days",N2361&lt;=14,"8-14 days",N2361&lt;=30,"15-30 days",N2361&lt;=60,"31-60 days",TRUE,"61+ days")</f>
        <v>31-60 days</v>
      </c>
      <c r="P2361" t="s">
        <v>52</v>
      </c>
      <c r="Q2361" t="s">
        <v>21</v>
      </c>
      <c r="R2361">
        <v>0</v>
      </c>
      <c r="S2361" t="str">
        <f>IF(Table1[prior_dna_count]&gt;=1,"Has prior DNA history","No prior DNA history")</f>
        <v>No prior DNA history</v>
      </c>
      <c r="T2361" t="s">
        <v>22</v>
      </c>
      <c r="U2361" t="str">
        <f t="shared" si="36"/>
        <v>0</v>
      </c>
      <c r="V2361" t="str">
        <f>IF(Table1[appointment_status]="Attended","1","0")</f>
        <v>1</v>
      </c>
      <c r="W2361" t="str">
        <f>IF(Table1[appointment_status]="Cancelled","1","0")</f>
        <v>0</v>
      </c>
    </row>
    <row r="2362" spans="1:23">
      <c r="A2362" t="s">
        <v>3626</v>
      </c>
      <c r="B2362" t="s">
        <v>2315</v>
      </c>
      <c r="C2362">
        <v>54</v>
      </c>
      <c r="D2362" t="str" cm="1">
        <f t="array" ref="D2362">_xlfn.IFS(Table1[[#This Row],[age]]&lt;=17,"0-17",C2362&lt;=29,"18-29",C2362&lt;=44,"30-44",C2362&lt;=59,"45-59",C2362&lt;=74,"60-74",TRUE,"75+")</f>
        <v>45-59</v>
      </c>
      <c r="E2362" t="s">
        <v>29</v>
      </c>
      <c r="F2362">
        <v>8</v>
      </c>
      <c r="G2362" t="str" cm="1">
        <f t="array" ref="G2362">_xlfn.IFS(_xlfn.SINGLE(Table1[imd_decile])&lt;=3,"Most Deprived",F2362&lt;=7,"Moderately Deprived",F2362&lt;=10,"Least Deprived")</f>
        <v>Least Deprived</v>
      </c>
      <c r="H2362">
        <v>1.3</v>
      </c>
      <c r="I2362" t="s">
        <v>30</v>
      </c>
      <c r="J2362" t="s">
        <v>19</v>
      </c>
      <c r="K2362" s="1">
        <v>45947</v>
      </c>
      <c r="L2362" s="1">
        <v>45975</v>
      </c>
      <c r="M2362" s="1" t="str">
        <f>TEXT(Table1[[#This Row],[appointment_date]],"MM/YYYY")</f>
        <v>11/2025</v>
      </c>
      <c r="N2362">
        <v>28</v>
      </c>
      <c r="O2362" t="str" cm="1">
        <f t="array" ref="O2362">_xlfn.IFS(Table1[[#This Row],[lead_time_days]]&lt;=7,"0-7 days",N2362&lt;=14,"8-14 days",N2362&lt;=30,"15-30 days",N2362&lt;=60,"31-60 days",TRUE,"61+ days")</f>
        <v>15-30 days</v>
      </c>
      <c r="P2362" t="s">
        <v>52</v>
      </c>
      <c r="Q2362" t="s">
        <v>21</v>
      </c>
      <c r="R2362">
        <v>0</v>
      </c>
      <c r="S2362" t="str">
        <f>IF(Table1[prior_dna_count]&gt;=1,"Has prior DNA history","No prior DNA history")</f>
        <v>No prior DNA history</v>
      </c>
      <c r="T2362" t="s">
        <v>22</v>
      </c>
      <c r="U2362" t="str">
        <f t="shared" si="36"/>
        <v>1</v>
      </c>
      <c r="V2362" t="str">
        <f>IF(Table1[appointment_status]="Attended","1","0")</f>
        <v>1</v>
      </c>
      <c r="W2362" t="str">
        <f>IF(Table1[appointment_status]="Cancelled","1","0")</f>
        <v>0</v>
      </c>
    </row>
    <row r="2363" spans="1:23">
      <c r="A2363" t="s">
        <v>3627</v>
      </c>
      <c r="B2363" t="s">
        <v>1675</v>
      </c>
      <c r="C2363">
        <v>48</v>
      </c>
      <c r="D2363" t="str" cm="1">
        <f t="array" ref="D2363">_xlfn.IFS(Table1[[#This Row],[age]]&lt;=17,"0-17",C2363&lt;=29,"18-29",C2363&lt;=44,"30-44",C2363&lt;=59,"45-59",C2363&lt;=74,"60-74",TRUE,"75+")</f>
        <v>45-59</v>
      </c>
      <c r="E2363" t="s">
        <v>17</v>
      </c>
      <c r="F2363">
        <v>8</v>
      </c>
      <c r="G2363" t="str" cm="1">
        <f t="array" ref="G2363">_xlfn.IFS(_xlfn.SINGLE(Table1[imd_decile])&lt;=3,"Most Deprived",F2363&lt;=7,"Moderately Deprived",F2363&lt;=10,"Least Deprived")</f>
        <v>Least Deprived</v>
      </c>
      <c r="H2363">
        <v>2.5</v>
      </c>
      <c r="I2363" t="s">
        <v>91</v>
      </c>
      <c r="J2363" t="s">
        <v>26</v>
      </c>
      <c r="K2363" s="1">
        <v>45959</v>
      </c>
      <c r="L2363" s="1">
        <v>45975</v>
      </c>
      <c r="M2363" s="1" t="str">
        <f>TEXT(Table1[[#This Row],[appointment_date]],"MM/YYYY")</f>
        <v>11/2025</v>
      </c>
      <c r="N2363">
        <v>16</v>
      </c>
      <c r="O2363" t="str" cm="1">
        <f t="array" ref="O2363">_xlfn.IFS(Table1[[#This Row],[lead_time_days]]&lt;=7,"0-7 days",N2363&lt;=14,"8-14 days",N2363&lt;=30,"15-30 days",N2363&lt;=60,"31-60 days",TRUE,"61+ days")</f>
        <v>15-30 days</v>
      </c>
      <c r="P2363" t="s">
        <v>52</v>
      </c>
      <c r="Q2363" t="s">
        <v>21</v>
      </c>
      <c r="R2363">
        <v>0</v>
      </c>
      <c r="S2363" t="str">
        <f>IF(Table1[prior_dna_count]&gt;=1,"Has prior DNA history","No prior DNA history")</f>
        <v>No prior DNA history</v>
      </c>
      <c r="T2363" t="s">
        <v>22</v>
      </c>
      <c r="U2363" t="str">
        <f t="shared" si="36"/>
        <v>1</v>
      </c>
      <c r="V2363" t="str">
        <f>IF(Table1[appointment_status]="Attended","1","0")</f>
        <v>1</v>
      </c>
      <c r="W2363" t="str">
        <f>IF(Table1[appointment_status]="Cancelled","1","0")</f>
        <v>0</v>
      </c>
    </row>
    <row r="2364" spans="1:23">
      <c r="A2364" t="s">
        <v>3628</v>
      </c>
      <c r="B2364" t="s">
        <v>3233</v>
      </c>
      <c r="C2364">
        <v>60</v>
      </c>
      <c r="D2364" t="str" cm="1">
        <f t="array" ref="D2364">_xlfn.IFS(Table1[[#This Row],[age]]&lt;=17,"0-17",C2364&lt;=29,"18-29",C2364&lt;=44,"30-44",C2364&lt;=59,"45-59",C2364&lt;=74,"60-74",TRUE,"75+")</f>
        <v>60-74</v>
      </c>
      <c r="E2364" t="s">
        <v>29</v>
      </c>
      <c r="F2364">
        <v>3</v>
      </c>
      <c r="G2364" t="str" cm="1">
        <f t="array" ref="G2364">_xlfn.IFS(_xlfn.SINGLE(Table1[imd_decile])&lt;=3,"Most Deprived",F2364&lt;=7,"Moderately Deprived",F2364&lt;=10,"Least Deprived")</f>
        <v>Most Deprived</v>
      </c>
      <c r="H2364">
        <v>0.9</v>
      </c>
      <c r="I2364" t="s">
        <v>38</v>
      </c>
      <c r="J2364" t="s">
        <v>19</v>
      </c>
      <c r="K2364" s="1">
        <v>45952</v>
      </c>
      <c r="L2364" s="1">
        <v>45976</v>
      </c>
      <c r="M2364" s="1" t="str">
        <f>TEXT(Table1[[#This Row],[appointment_date]],"MM/YYYY")</f>
        <v>11/2025</v>
      </c>
      <c r="N2364">
        <v>24</v>
      </c>
      <c r="O2364" t="str" cm="1">
        <f t="array" ref="O2364">_xlfn.IFS(Table1[[#This Row],[lead_time_days]]&lt;=7,"0-7 days",N2364&lt;=14,"8-14 days",N2364&lt;=30,"15-30 days",N2364&lt;=60,"31-60 days",TRUE,"61+ days")</f>
        <v>15-30 days</v>
      </c>
      <c r="P2364" t="s">
        <v>55</v>
      </c>
      <c r="Q2364" t="s">
        <v>32</v>
      </c>
      <c r="R2364">
        <v>0</v>
      </c>
      <c r="S2364" t="str">
        <f>IF(Table1[prior_dna_count]&gt;=1,"Has prior DNA history","No prior DNA history")</f>
        <v>No prior DNA history</v>
      </c>
      <c r="T2364" t="s">
        <v>22</v>
      </c>
      <c r="U2364" t="str">
        <f t="shared" si="36"/>
        <v>1</v>
      </c>
      <c r="V2364" t="str">
        <f>IF(Table1[appointment_status]="Attended","1","0")</f>
        <v>1</v>
      </c>
      <c r="W2364" t="str">
        <f>IF(Table1[appointment_status]="Cancelled","1","0")</f>
        <v>0</v>
      </c>
    </row>
    <row r="2365" spans="1:23">
      <c r="A2365" t="s">
        <v>3629</v>
      </c>
      <c r="B2365" t="s">
        <v>684</v>
      </c>
      <c r="C2365">
        <v>15</v>
      </c>
      <c r="D2365" t="str" cm="1">
        <f t="array" ref="D2365">_xlfn.IFS(Table1[[#This Row],[age]]&lt;=17,"0-17",C2365&lt;=29,"18-29",C2365&lt;=44,"30-44",C2365&lt;=59,"45-59",C2365&lt;=74,"60-74",TRUE,"75+")</f>
        <v>0-17</v>
      </c>
      <c r="E2365" t="s">
        <v>17</v>
      </c>
      <c r="F2365">
        <v>9</v>
      </c>
      <c r="G2365" t="str" cm="1">
        <f t="array" ref="G2365">_xlfn.IFS(_xlfn.SINGLE(Table1[imd_decile])&lt;=3,"Most Deprived",F2365&lt;=7,"Moderately Deprived",F2365&lt;=10,"Least Deprived")</f>
        <v>Least Deprived</v>
      </c>
      <c r="H2365">
        <v>4.7</v>
      </c>
      <c r="I2365" t="s">
        <v>45</v>
      </c>
      <c r="J2365" t="s">
        <v>19</v>
      </c>
      <c r="K2365" s="1">
        <v>45938</v>
      </c>
      <c r="L2365" s="1">
        <v>45976</v>
      </c>
      <c r="M2365" s="1" t="str">
        <f>TEXT(Table1[[#This Row],[appointment_date]],"MM/YYYY")</f>
        <v>11/2025</v>
      </c>
      <c r="N2365">
        <v>38</v>
      </c>
      <c r="O2365" t="str" cm="1">
        <f t="array" ref="O2365">_xlfn.IFS(Table1[[#This Row],[lead_time_days]]&lt;=7,"0-7 days",N2365&lt;=14,"8-14 days",N2365&lt;=30,"15-30 days",N2365&lt;=60,"31-60 days",TRUE,"61+ days")</f>
        <v>31-60 days</v>
      </c>
      <c r="P2365" t="s">
        <v>55</v>
      </c>
      <c r="Q2365" t="s">
        <v>32</v>
      </c>
      <c r="R2365">
        <v>0</v>
      </c>
      <c r="S2365" t="str">
        <f>IF(Table1[prior_dna_count]&gt;=1,"Has prior DNA history","No prior DNA history")</f>
        <v>No prior DNA history</v>
      </c>
      <c r="T2365" t="s">
        <v>46</v>
      </c>
      <c r="U2365" t="str">
        <f t="shared" si="36"/>
        <v>1</v>
      </c>
      <c r="V2365" t="str">
        <f>IF(Table1[appointment_status]="Attended","1","0")</f>
        <v>0</v>
      </c>
      <c r="W2365" t="str">
        <f>IF(Table1[appointment_status]="Cancelled","1","0")</f>
        <v>1</v>
      </c>
    </row>
    <row r="2366" spans="1:23">
      <c r="A2366" t="s">
        <v>3630</v>
      </c>
      <c r="B2366" t="s">
        <v>3631</v>
      </c>
      <c r="C2366">
        <v>64</v>
      </c>
      <c r="D2366" t="str" cm="1">
        <f t="array" ref="D2366">_xlfn.IFS(Table1[[#This Row],[age]]&lt;=17,"0-17",C2366&lt;=29,"18-29",C2366&lt;=44,"30-44",C2366&lt;=59,"45-59",C2366&lt;=74,"60-74",TRUE,"75+")</f>
        <v>60-74</v>
      </c>
      <c r="E2366" t="s">
        <v>29</v>
      </c>
      <c r="F2366">
        <v>3</v>
      </c>
      <c r="G2366" t="str" cm="1">
        <f t="array" ref="G2366">_xlfn.IFS(_xlfn.SINGLE(Table1[imd_decile])&lt;=3,"Most Deprived",F2366&lt;=7,"Moderately Deprived",F2366&lt;=10,"Least Deprived")</f>
        <v>Most Deprived</v>
      </c>
      <c r="H2366">
        <v>2.2000000000000002</v>
      </c>
      <c r="I2366" t="s">
        <v>45</v>
      </c>
      <c r="J2366" t="s">
        <v>19</v>
      </c>
      <c r="K2366" s="1">
        <v>45904</v>
      </c>
      <c r="L2366" s="1">
        <v>45976</v>
      </c>
      <c r="M2366" s="1" t="str">
        <f>TEXT(Table1[[#This Row],[appointment_date]],"MM/YYYY")</f>
        <v>11/2025</v>
      </c>
      <c r="N2366">
        <v>72</v>
      </c>
      <c r="O2366" t="str" cm="1">
        <f t="array" ref="O2366">_xlfn.IFS(Table1[[#This Row],[lead_time_days]]&lt;=7,"0-7 days",N2366&lt;=14,"8-14 days",N2366&lt;=30,"15-30 days",N2366&lt;=60,"31-60 days",TRUE,"61+ days")</f>
        <v>61+ days</v>
      </c>
      <c r="P2366" t="s">
        <v>55</v>
      </c>
      <c r="Q2366" t="s">
        <v>21</v>
      </c>
      <c r="R2366">
        <v>0</v>
      </c>
      <c r="S2366" t="str">
        <f>IF(Table1[prior_dna_count]&gt;=1,"Has prior DNA history","No prior DNA history")</f>
        <v>No prior DNA history</v>
      </c>
      <c r="T2366" t="s">
        <v>22</v>
      </c>
      <c r="U2366" t="str">
        <f t="shared" si="36"/>
        <v>0</v>
      </c>
      <c r="V2366" t="str">
        <f>IF(Table1[appointment_status]="Attended","1","0")</f>
        <v>1</v>
      </c>
      <c r="W2366" t="str">
        <f>IF(Table1[appointment_status]="Cancelled","1","0")</f>
        <v>0</v>
      </c>
    </row>
    <row r="2367" spans="1:23">
      <c r="A2367" t="s">
        <v>3632</v>
      </c>
      <c r="B2367" t="s">
        <v>3633</v>
      </c>
      <c r="C2367">
        <v>51</v>
      </c>
      <c r="D2367" t="str" cm="1">
        <f t="array" ref="D2367">_xlfn.IFS(Table1[[#This Row],[age]]&lt;=17,"0-17",C2367&lt;=29,"18-29",C2367&lt;=44,"30-44",C2367&lt;=59,"45-59",C2367&lt;=74,"60-74",TRUE,"75+")</f>
        <v>45-59</v>
      </c>
      <c r="E2367" t="s">
        <v>29</v>
      </c>
      <c r="F2367">
        <v>6</v>
      </c>
      <c r="G2367" t="str" cm="1">
        <f t="array" ref="G2367">_xlfn.IFS(_xlfn.SINGLE(Table1[imd_decile])&lt;=3,"Most Deprived",F2367&lt;=7,"Moderately Deprived",F2367&lt;=10,"Least Deprived")</f>
        <v>Moderately Deprived</v>
      </c>
      <c r="H2367">
        <v>5.3</v>
      </c>
      <c r="I2367" t="s">
        <v>18</v>
      </c>
      <c r="J2367" t="s">
        <v>19</v>
      </c>
      <c r="K2367" s="1">
        <v>45906</v>
      </c>
      <c r="L2367" s="1">
        <v>45976</v>
      </c>
      <c r="M2367" s="1" t="str">
        <f>TEXT(Table1[[#This Row],[appointment_date]],"MM/YYYY")</f>
        <v>11/2025</v>
      </c>
      <c r="N2367">
        <v>70</v>
      </c>
      <c r="O2367" t="str" cm="1">
        <f t="array" ref="O2367">_xlfn.IFS(Table1[[#This Row],[lead_time_days]]&lt;=7,"0-7 days",N2367&lt;=14,"8-14 days",N2367&lt;=30,"15-30 days",N2367&lt;=60,"31-60 days",TRUE,"61+ days")</f>
        <v>61+ days</v>
      </c>
      <c r="P2367" t="s">
        <v>55</v>
      </c>
      <c r="Q2367" t="s">
        <v>21</v>
      </c>
      <c r="R2367">
        <v>0</v>
      </c>
      <c r="S2367" t="str">
        <f>IF(Table1[prior_dna_count]&gt;=1,"Has prior DNA history","No prior DNA history")</f>
        <v>No prior DNA history</v>
      </c>
      <c r="T2367" t="s">
        <v>46</v>
      </c>
      <c r="U2367" t="str">
        <f t="shared" si="36"/>
        <v>1</v>
      </c>
      <c r="V2367" t="str">
        <f>IF(Table1[appointment_status]="Attended","1","0")</f>
        <v>0</v>
      </c>
      <c r="W2367" t="str">
        <f>IF(Table1[appointment_status]="Cancelled","1","0")</f>
        <v>1</v>
      </c>
    </row>
    <row r="2368" spans="1:23">
      <c r="A2368" t="s">
        <v>3634</v>
      </c>
      <c r="B2368" t="s">
        <v>1664</v>
      </c>
      <c r="C2368">
        <v>32</v>
      </c>
      <c r="D2368" t="str" cm="1">
        <f t="array" ref="D2368">_xlfn.IFS(Table1[[#This Row],[age]]&lt;=17,"0-17",C2368&lt;=29,"18-29",C2368&lt;=44,"30-44",C2368&lt;=59,"45-59",C2368&lt;=74,"60-74",TRUE,"75+")</f>
        <v>30-44</v>
      </c>
      <c r="E2368" t="s">
        <v>29</v>
      </c>
      <c r="F2368">
        <v>10</v>
      </c>
      <c r="G2368" t="str" cm="1">
        <f t="array" ref="G2368">_xlfn.IFS(_xlfn.SINGLE(Table1[imd_decile])&lt;=3,"Most Deprived",F2368&lt;=7,"Moderately Deprived",F2368&lt;=10,"Least Deprived")</f>
        <v>Least Deprived</v>
      </c>
      <c r="H2368">
        <v>4.7</v>
      </c>
      <c r="I2368" t="s">
        <v>38</v>
      </c>
      <c r="J2368" t="s">
        <v>19</v>
      </c>
      <c r="K2368" s="1">
        <v>45933</v>
      </c>
      <c r="L2368" s="1">
        <v>45977</v>
      </c>
      <c r="M2368" s="1" t="str">
        <f>TEXT(Table1[[#This Row],[appointment_date]],"MM/YYYY")</f>
        <v>11/2025</v>
      </c>
      <c r="N2368">
        <v>44</v>
      </c>
      <c r="O2368" t="str" cm="1">
        <f t="array" ref="O2368">_xlfn.IFS(Table1[[#This Row],[lead_time_days]]&lt;=7,"0-7 days",N2368&lt;=14,"8-14 days",N2368&lt;=30,"15-30 days",N2368&lt;=60,"31-60 days",TRUE,"61+ days")</f>
        <v>31-60 days</v>
      </c>
      <c r="P2368" t="s">
        <v>31</v>
      </c>
      <c r="Q2368" t="s">
        <v>21</v>
      </c>
      <c r="R2368">
        <v>0</v>
      </c>
      <c r="S2368" t="str">
        <f>IF(Table1[prior_dna_count]&gt;=1,"Has prior DNA history","No prior DNA history")</f>
        <v>No prior DNA history</v>
      </c>
      <c r="T2368" t="s">
        <v>22</v>
      </c>
      <c r="U2368" t="str">
        <f t="shared" si="36"/>
        <v>0</v>
      </c>
      <c r="V2368" t="str">
        <f>IF(Table1[appointment_status]="Attended","1","0")</f>
        <v>1</v>
      </c>
      <c r="W2368" t="str">
        <f>IF(Table1[appointment_status]="Cancelled","1","0")</f>
        <v>0</v>
      </c>
    </row>
    <row r="2369" spans="1:23">
      <c r="A2369" t="s">
        <v>3635</v>
      </c>
      <c r="B2369" t="s">
        <v>1733</v>
      </c>
      <c r="C2369">
        <v>47</v>
      </c>
      <c r="D2369" t="str" cm="1">
        <f t="array" ref="D2369">_xlfn.IFS(Table1[[#This Row],[age]]&lt;=17,"0-17",C2369&lt;=29,"18-29",C2369&lt;=44,"30-44",C2369&lt;=59,"45-59",C2369&lt;=74,"60-74",TRUE,"75+")</f>
        <v>45-59</v>
      </c>
      <c r="E2369" t="s">
        <v>29</v>
      </c>
      <c r="F2369">
        <v>4</v>
      </c>
      <c r="G2369" t="str" cm="1">
        <f t="array" ref="G2369">_xlfn.IFS(_xlfn.SINGLE(Table1[imd_decile])&lt;=3,"Most Deprived",F2369&lt;=7,"Moderately Deprived",F2369&lt;=10,"Least Deprived")</f>
        <v>Moderately Deprived</v>
      </c>
      <c r="H2369">
        <v>5.7</v>
      </c>
      <c r="I2369" t="s">
        <v>91</v>
      </c>
      <c r="J2369" t="s">
        <v>19</v>
      </c>
      <c r="K2369" s="1">
        <v>45954</v>
      </c>
      <c r="L2369" s="1">
        <v>45977</v>
      </c>
      <c r="M2369" s="1" t="str">
        <f>TEXT(Table1[[#This Row],[appointment_date]],"MM/YYYY")</f>
        <v>11/2025</v>
      </c>
      <c r="N2369">
        <v>23</v>
      </c>
      <c r="O2369" t="str" cm="1">
        <f t="array" ref="O2369">_xlfn.IFS(Table1[[#This Row],[lead_time_days]]&lt;=7,"0-7 days",N2369&lt;=14,"8-14 days",N2369&lt;=30,"15-30 days",N2369&lt;=60,"31-60 days",TRUE,"61+ days")</f>
        <v>15-30 days</v>
      </c>
      <c r="P2369" t="s">
        <v>31</v>
      </c>
      <c r="Q2369" t="s">
        <v>21</v>
      </c>
      <c r="R2369">
        <v>0</v>
      </c>
      <c r="S2369" t="str">
        <f>IF(Table1[prior_dna_count]&gt;=1,"Has prior DNA history","No prior DNA history")</f>
        <v>No prior DNA history</v>
      </c>
      <c r="T2369" t="s">
        <v>22</v>
      </c>
      <c r="U2369" t="str">
        <f t="shared" si="36"/>
        <v>1</v>
      </c>
      <c r="V2369" t="str">
        <f>IF(Table1[appointment_status]="Attended","1","0")</f>
        <v>1</v>
      </c>
      <c r="W2369" t="str">
        <f>IF(Table1[appointment_status]="Cancelled","1","0")</f>
        <v>0</v>
      </c>
    </row>
    <row r="2370" spans="1:23">
      <c r="A2370" t="s">
        <v>3636</v>
      </c>
      <c r="B2370" t="s">
        <v>3637</v>
      </c>
      <c r="C2370">
        <v>60</v>
      </c>
      <c r="D2370" t="str" cm="1">
        <f t="array" ref="D2370">_xlfn.IFS(Table1[[#This Row],[age]]&lt;=17,"0-17",C2370&lt;=29,"18-29",C2370&lt;=44,"30-44",C2370&lt;=59,"45-59",C2370&lt;=74,"60-74",TRUE,"75+")</f>
        <v>60-74</v>
      </c>
      <c r="E2370" t="s">
        <v>29</v>
      </c>
      <c r="F2370">
        <v>9</v>
      </c>
      <c r="G2370" t="str" cm="1">
        <f t="array" ref="G2370">_xlfn.IFS(_xlfn.SINGLE(Table1[imd_decile])&lt;=3,"Most Deprived",F2370&lt;=7,"Moderately Deprived",F2370&lt;=10,"Least Deprived")</f>
        <v>Least Deprived</v>
      </c>
      <c r="H2370">
        <v>9</v>
      </c>
      <c r="I2370" t="s">
        <v>155</v>
      </c>
      <c r="J2370" t="s">
        <v>19</v>
      </c>
      <c r="K2370" s="1">
        <v>45962</v>
      </c>
      <c r="L2370" s="1">
        <v>45977</v>
      </c>
      <c r="M2370" s="1" t="str">
        <f>TEXT(Table1[[#This Row],[appointment_date]],"MM/YYYY")</f>
        <v>11/2025</v>
      </c>
      <c r="N2370">
        <v>15</v>
      </c>
      <c r="O2370" t="str" cm="1">
        <f t="array" ref="O2370">_xlfn.IFS(Table1[[#This Row],[lead_time_days]]&lt;=7,"0-7 days",N2370&lt;=14,"8-14 days",N2370&lt;=30,"15-30 days",N2370&lt;=60,"31-60 days",TRUE,"61+ days")</f>
        <v>15-30 days</v>
      </c>
      <c r="P2370" t="s">
        <v>31</v>
      </c>
      <c r="Q2370" t="s">
        <v>21</v>
      </c>
      <c r="R2370">
        <v>0</v>
      </c>
      <c r="S2370" t="str">
        <f>IF(Table1[prior_dna_count]&gt;=1,"Has prior DNA history","No prior DNA history")</f>
        <v>No prior DNA history</v>
      </c>
      <c r="T2370" t="s">
        <v>22</v>
      </c>
      <c r="U2370" t="str">
        <f t="shared" ref="U2370:U2433" si="37">V2369</f>
        <v>1</v>
      </c>
      <c r="V2370" t="str">
        <f>IF(Table1[appointment_status]="Attended","1","0")</f>
        <v>1</v>
      </c>
      <c r="W2370" t="str">
        <f>IF(Table1[appointment_status]="Cancelled","1","0")</f>
        <v>0</v>
      </c>
    </row>
    <row r="2371" spans="1:23">
      <c r="A2371" t="s">
        <v>3638</v>
      </c>
      <c r="B2371" t="s">
        <v>3639</v>
      </c>
      <c r="C2371">
        <v>7</v>
      </c>
      <c r="D2371" t="str" cm="1">
        <f t="array" ref="D2371">_xlfn.IFS(Table1[[#This Row],[age]]&lt;=17,"0-17",C2371&lt;=29,"18-29",C2371&lt;=44,"30-44",C2371&lt;=59,"45-59",C2371&lt;=74,"60-74",TRUE,"75+")</f>
        <v>0-17</v>
      </c>
      <c r="E2371" t="s">
        <v>17</v>
      </c>
      <c r="F2371">
        <v>4</v>
      </c>
      <c r="G2371" t="str" cm="1">
        <f t="array" ref="G2371">_xlfn.IFS(_xlfn.SINGLE(Table1[imd_decile])&lt;=3,"Most Deprived",F2371&lt;=7,"Moderately Deprived",F2371&lt;=10,"Least Deprived")</f>
        <v>Moderately Deprived</v>
      </c>
      <c r="H2371">
        <v>1.6</v>
      </c>
      <c r="I2371" t="s">
        <v>58</v>
      </c>
      <c r="J2371" t="s">
        <v>19</v>
      </c>
      <c r="K2371" s="1">
        <v>45926</v>
      </c>
      <c r="L2371" s="1">
        <v>45977</v>
      </c>
      <c r="M2371" s="1" t="str">
        <f>TEXT(Table1[[#This Row],[appointment_date]],"MM/YYYY")</f>
        <v>11/2025</v>
      </c>
      <c r="N2371">
        <v>51</v>
      </c>
      <c r="O2371" t="str" cm="1">
        <f t="array" ref="O2371">_xlfn.IFS(Table1[[#This Row],[lead_time_days]]&lt;=7,"0-7 days",N2371&lt;=14,"8-14 days",N2371&lt;=30,"15-30 days",N2371&lt;=60,"31-60 days",TRUE,"61+ days")</f>
        <v>31-60 days</v>
      </c>
      <c r="P2371" t="s">
        <v>31</v>
      </c>
      <c r="Q2371" t="s">
        <v>32</v>
      </c>
      <c r="R2371">
        <v>0</v>
      </c>
      <c r="S2371" t="str">
        <f>IF(Table1[prior_dna_count]&gt;=1,"Has prior DNA history","No prior DNA history")</f>
        <v>No prior DNA history</v>
      </c>
      <c r="T2371" t="s">
        <v>22</v>
      </c>
      <c r="U2371" t="str">
        <f t="shared" si="37"/>
        <v>1</v>
      </c>
      <c r="V2371" t="str">
        <f>IF(Table1[appointment_status]="Attended","1","0")</f>
        <v>1</v>
      </c>
      <c r="W2371" t="str">
        <f>IF(Table1[appointment_status]="Cancelled","1","0")</f>
        <v>0</v>
      </c>
    </row>
    <row r="2372" spans="1:23">
      <c r="A2372" t="s">
        <v>3640</v>
      </c>
      <c r="B2372" t="s">
        <v>2026</v>
      </c>
      <c r="C2372">
        <v>48</v>
      </c>
      <c r="D2372" t="str" cm="1">
        <f t="array" ref="D2372">_xlfn.IFS(Table1[[#This Row],[age]]&lt;=17,"0-17",C2372&lt;=29,"18-29",C2372&lt;=44,"30-44",C2372&lt;=59,"45-59",C2372&lt;=74,"60-74",TRUE,"75+")</f>
        <v>45-59</v>
      </c>
      <c r="E2372" t="s">
        <v>29</v>
      </c>
      <c r="F2372">
        <v>4</v>
      </c>
      <c r="G2372" t="str" cm="1">
        <f t="array" ref="G2372">_xlfn.IFS(_xlfn.SINGLE(Table1[imd_decile])&lt;=3,"Most Deprived",F2372&lt;=7,"Moderately Deprived",F2372&lt;=10,"Least Deprived")</f>
        <v>Moderately Deprived</v>
      </c>
      <c r="H2372">
        <v>8.9</v>
      </c>
      <c r="I2372" t="s">
        <v>91</v>
      </c>
      <c r="J2372" t="s">
        <v>19</v>
      </c>
      <c r="K2372" s="1">
        <v>45939</v>
      </c>
      <c r="L2372" s="1">
        <v>45977</v>
      </c>
      <c r="M2372" s="1" t="str">
        <f>TEXT(Table1[[#This Row],[appointment_date]],"MM/YYYY")</f>
        <v>11/2025</v>
      </c>
      <c r="N2372">
        <v>38</v>
      </c>
      <c r="O2372" t="str" cm="1">
        <f t="array" ref="O2372">_xlfn.IFS(Table1[[#This Row],[lead_time_days]]&lt;=7,"0-7 days",N2372&lt;=14,"8-14 days",N2372&lt;=30,"15-30 days",N2372&lt;=60,"31-60 days",TRUE,"61+ days")</f>
        <v>31-60 days</v>
      </c>
      <c r="P2372" t="s">
        <v>31</v>
      </c>
      <c r="Q2372" t="s">
        <v>21</v>
      </c>
      <c r="R2372">
        <v>0</v>
      </c>
      <c r="S2372" t="str">
        <f>IF(Table1[prior_dna_count]&gt;=1,"Has prior DNA history","No prior DNA history")</f>
        <v>No prior DNA history</v>
      </c>
      <c r="T2372" t="s">
        <v>22</v>
      </c>
      <c r="U2372" t="str">
        <f t="shared" si="37"/>
        <v>1</v>
      </c>
      <c r="V2372" t="str">
        <f>IF(Table1[appointment_status]="Attended","1","0")</f>
        <v>1</v>
      </c>
      <c r="W2372" t="str">
        <f>IF(Table1[appointment_status]="Cancelled","1","0")</f>
        <v>0</v>
      </c>
    </row>
    <row r="2373" spans="1:23">
      <c r="A2373" t="s">
        <v>3641</v>
      </c>
      <c r="B2373" t="s">
        <v>3204</v>
      </c>
      <c r="C2373">
        <v>15</v>
      </c>
      <c r="D2373" t="str" cm="1">
        <f t="array" ref="D2373">_xlfn.IFS(Table1[[#This Row],[age]]&lt;=17,"0-17",C2373&lt;=29,"18-29",C2373&lt;=44,"30-44",C2373&lt;=59,"45-59",C2373&lt;=74,"60-74",TRUE,"75+")</f>
        <v>0-17</v>
      </c>
      <c r="E2373" t="s">
        <v>29</v>
      </c>
      <c r="F2373">
        <v>6</v>
      </c>
      <c r="G2373" t="str" cm="1">
        <f t="array" ref="G2373">_xlfn.IFS(_xlfn.SINGLE(Table1[imd_decile])&lt;=3,"Most Deprived",F2373&lt;=7,"Moderately Deprived",F2373&lt;=10,"Least Deprived")</f>
        <v>Moderately Deprived</v>
      </c>
      <c r="H2373">
        <v>6.7</v>
      </c>
      <c r="I2373" t="s">
        <v>18</v>
      </c>
      <c r="J2373" t="s">
        <v>19</v>
      </c>
      <c r="K2373" s="1">
        <v>45949</v>
      </c>
      <c r="L2373" s="1">
        <v>45978</v>
      </c>
      <c r="M2373" s="1" t="str">
        <f>TEXT(Table1[[#This Row],[appointment_date]],"MM/YYYY")</f>
        <v>11/2025</v>
      </c>
      <c r="N2373">
        <v>29</v>
      </c>
      <c r="O2373" t="str" cm="1">
        <f t="array" ref="O2373">_xlfn.IFS(Table1[[#This Row],[lead_time_days]]&lt;=7,"0-7 days",N2373&lt;=14,"8-14 days",N2373&lt;=30,"15-30 days",N2373&lt;=60,"31-60 days",TRUE,"61+ days")</f>
        <v>15-30 days</v>
      </c>
      <c r="P2373" t="s">
        <v>35</v>
      </c>
      <c r="Q2373" t="s">
        <v>21</v>
      </c>
      <c r="R2373">
        <v>0</v>
      </c>
      <c r="S2373" t="str">
        <f>IF(Table1[prior_dna_count]&gt;=1,"Has prior DNA history","No prior DNA history")</f>
        <v>No prior DNA history</v>
      </c>
      <c r="T2373" t="s">
        <v>22</v>
      </c>
      <c r="U2373" t="str">
        <f t="shared" si="37"/>
        <v>1</v>
      </c>
      <c r="V2373" t="str">
        <f>IF(Table1[appointment_status]="Attended","1","0")</f>
        <v>1</v>
      </c>
      <c r="W2373" t="str">
        <f>IF(Table1[appointment_status]="Cancelled","1","0")</f>
        <v>0</v>
      </c>
    </row>
    <row r="2374" spans="1:23">
      <c r="A2374" t="s">
        <v>3642</v>
      </c>
      <c r="B2374" t="s">
        <v>2784</v>
      </c>
      <c r="C2374">
        <v>44</v>
      </c>
      <c r="D2374" t="str" cm="1">
        <f t="array" ref="D2374">_xlfn.IFS(Table1[[#This Row],[age]]&lt;=17,"0-17",C2374&lt;=29,"18-29",C2374&lt;=44,"30-44",C2374&lt;=59,"45-59",C2374&lt;=74,"60-74",TRUE,"75+")</f>
        <v>30-44</v>
      </c>
      <c r="E2374" t="s">
        <v>17</v>
      </c>
      <c r="F2374">
        <v>4</v>
      </c>
      <c r="G2374" t="str" cm="1">
        <f t="array" ref="G2374">_xlfn.IFS(_xlfn.SINGLE(Table1[imd_decile])&lt;=3,"Most Deprived",F2374&lt;=7,"Moderately Deprived",F2374&lt;=10,"Least Deprived")</f>
        <v>Moderately Deprived</v>
      </c>
      <c r="H2374">
        <v>26.2</v>
      </c>
      <c r="I2374" t="s">
        <v>42</v>
      </c>
      <c r="J2374" t="s">
        <v>26</v>
      </c>
      <c r="K2374" s="1">
        <v>45961</v>
      </c>
      <c r="L2374" s="1">
        <v>45978</v>
      </c>
      <c r="M2374" s="1" t="str">
        <f>TEXT(Table1[[#This Row],[appointment_date]],"MM/YYYY")</f>
        <v>11/2025</v>
      </c>
      <c r="N2374">
        <v>17</v>
      </c>
      <c r="O2374" t="str" cm="1">
        <f t="array" ref="O2374">_xlfn.IFS(Table1[[#This Row],[lead_time_days]]&lt;=7,"0-7 days",N2374&lt;=14,"8-14 days",N2374&lt;=30,"15-30 days",N2374&lt;=60,"31-60 days",TRUE,"61+ days")</f>
        <v>15-30 days</v>
      </c>
      <c r="P2374" t="s">
        <v>35</v>
      </c>
      <c r="Q2374" t="s">
        <v>21</v>
      </c>
      <c r="R2374">
        <v>0</v>
      </c>
      <c r="S2374" t="str">
        <f>IF(Table1[prior_dna_count]&gt;=1,"Has prior DNA history","No prior DNA history")</f>
        <v>No prior DNA history</v>
      </c>
      <c r="T2374" t="s">
        <v>22</v>
      </c>
      <c r="U2374" t="str">
        <f t="shared" si="37"/>
        <v>1</v>
      </c>
      <c r="V2374" t="str">
        <f>IF(Table1[appointment_status]="Attended","1","0")</f>
        <v>1</v>
      </c>
      <c r="W2374" t="str">
        <f>IF(Table1[appointment_status]="Cancelled","1","0")</f>
        <v>0</v>
      </c>
    </row>
    <row r="2375" spans="1:23">
      <c r="A2375" t="s">
        <v>3643</v>
      </c>
      <c r="B2375" t="s">
        <v>3644</v>
      </c>
      <c r="C2375">
        <v>40</v>
      </c>
      <c r="D2375" t="str" cm="1">
        <f t="array" ref="D2375">_xlfn.IFS(Table1[[#This Row],[age]]&lt;=17,"0-17",C2375&lt;=29,"18-29",C2375&lt;=44,"30-44",C2375&lt;=59,"45-59",C2375&lt;=74,"60-74",TRUE,"75+")</f>
        <v>30-44</v>
      </c>
      <c r="E2375" t="s">
        <v>29</v>
      </c>
      <c r="F2375">
        <v>4</v>
      </c>
      <c r="G2375" t="str" cm="1">
        <f t="array" ref="G2375">_xlfn.IFS(_xlfn.SINGLE(Table1[imd_decile])&lt;=3,"Most Deprived",F2375&lt;=7,"Moderately Deprived",F2375&lt;=10,"Least Deprived")</f>
        <v>Moderately Deprived</v>
      </c>
      <c r="H2375">
        <v>9.1</v>
      </c>
      <c r="I2375" t="s">
        <v>30</v>
      </c>
      <c r="J2375" t="s">
        <v>19</v>
      </c>
      <c r="K2375" s="1">
        <v>45959</v>
      </c>
      <c r="L2375" s="1">
        <v>45978</v>
      </c>
      <c r="M2375" s="1" t="str">
        <f>TEXT(Table1[[#This Row],[appointment_date]],"MM/YYYY")</f>
        <v>11/2025</v>
      </c>
      <c r="N2375">
        <v>19</v>
      </c>
      <c r="O2375" t="str" cm="1">
        <f t="array" ref="O2375">_xlfn.IFS(Table1[[#This Row],[lead_time_days]]&lt;=7,"0-7 days",N2375&lt;=14,"8-14 days",N2375&lt;=30,"15-30 days",N2375&lt;=60,"31-60 days",TRUE,"61+ days")</f>
        <v>15-30 days</v>
      </c>
      <c r="P2375" t="s">
        <v>35</v>
      </c>
      <c r="Q2375" t="s">
        <v>21</v>
      </c>
      <c r="R2375">
        <v>0</v>
      </c>
      <c r="S2375" t="str">
        <f>IF(Table1[prior_dna_count]&gt;=1,"Has prior DNA history","No prior DNA history")</f>
        <v>No prior DNA history</v>
      </c>
      <c r="T2375" t="s">
        <v>22</v>
      </c>
      <c r="U2375" t="str">
        <f t="shared" si="37"/>
        <v>1</v>
      </c>
      <c r="V2375" t="str">
        <f>IF(Table1[appointment_status]="Attended","1","0")</f>
        <v>1</v>
      </c>
      <c r="W2375" t="str">
        <f>IF(Table1[appointment_status]="Cancelled","1","0")</f>
        <v>0</v>
      </c>
    </row>
    <row r="2376" spans="1:23">
      <c r="A2376" t="s">
        <v>3645</v>
      </c>
      <c r="B2376" t="s">
        <v>1449</v>
      </c>
      <c r="C2376">
        <v>10</v>
      </c>
      <c r="D2376" t="str" cm="1">
        <f t="array" ref="D2376">_xlfn.IFS(Table1[[#This Row],[age]]&lt;=17,"0-17",C2376&lt;=29,"18-29",C2376&lt;=44,"30-44",C2376&lt;=59,"45-59",C2376&lt;=74,"60-74",TRUE,"75+")</f>
        <v>0-17</v>
      </c>
      <c r="E2376" t="s">
        <v>29</v>
      </c>
      <c r="F2376">
        <v>7</v>
      </c>
      <c r="G2376" t="str" cm="1">
        <f t="array" ref="G2376">_xlfn.IFS(_xlfn.SINGLE(Table1[imd_decile])&lt;=3,"Most Deprived",F2376&lt;=7,"Moderately Deprived",F2376&lt;=10,"Least Deprived")</f>
        <v>Moderately Deprived</v>
      </c>
      <c r="H2376">
        <v>10.9</v>
      </c>
      <c r="I2376" t="s">
        <v>42</v>
      </c>
      <c r="J2376" t="s">
        <v>19</v>
      </c>
      <c r="K2376" s="1">
        <v>45953</v>
      </c>
      <c r="L2376" s="1">
        <v>45978</v>
      </c>
      <c r="M2376" s="1" t="str">
        <f>TEXT(Table1[[#This Row],[appointment_date]],"MM/YYYY")</f>
        <v>11/2025</v>
      </c>
      <c r="N2376">
        <v>25</v>
      </c>
      <c r="O2376" t="str" cm="1">
        <f t="array" ref="O2376">_xlfn.IFS(Table1[[#This Row],[lead_time_days]]&lt;=7,"0-7 days",N2376&lt;=14,"8-14 days",N2376&lt;=30,"15-30 days",N2376&lt;=60,"31-60 days",TRUE,"61+ days")</f>
        <v>15-30 days</v>
      </c>
      <c r="P2376" t="s">
        <v>35</v>
      </c>
      <c r="Q2376" t="s">
        <v>21</v>
      </c>
      <c r="R2376">
        <v>0</v>
      </c>
      <c r="S2376" t="str">
        <f>IF(Table1[prior_dna_count]&gt;=1,"Has prior DNA history","No prior DNA history")</f>
        <v>No prior DNA history</v>
      </c>
      <c r="T2376" t="s">
        <v>22</v>
      </c>
      <c r="U2376" t="str">
        <f t="shared" si="37"/>
        <v>1</v>
      </c>
      <c r="V2376" t="str">
        <f>IF(Table1[appointment_status]="Attended","1","0")</f>
        <v>1</v>
      </c>
      <c r="W2376" t="str">
        <f>IF(Table1[appointment_status]="Cancelled","1","0")</f>
        <v>0</v>
      </c>
    </row>
    <row r="2377" spans="1:23">
      <c r="A2377" t="s">
        <v>3646</v>
      </c>
      <c r="B2377" t="s">
        <v>869</v>
      </c>
      <c r="C2377">
        <v>25</v>
      </c>
      <c r="D2377" t="str" cm="1">
        <f t="array" ref="D2377">_xlfn.IFS(Table1[[#This Row],[age]]&lt;=17,"0-17",C2377&lt;=29,"18-29",C2377&lt;=44,"30-44",C2377&lt;=59,"45-59",C2377&lt;=74,"60-74",TRUE,"75+")</f>
        <v>18-29</v>
      </c>
      <c r="E2377" t="s">
        <v>29</v>
      </c>
      <c r="F2377">
        <v>5</v>
      </c>
      <c r="G2377" t="str" cm="1">
        <f t="array" ref="G2377">_xlfn.IFS(_xlfn.SINGLE(Table1[imd_decile])&lt;=3,"Most Deprived",F2377&lt;=7,"Moderately Deprived",F2377&lt;=10,"Least Deprived")</f>
        <v>Moderately Deprived</v>
      </c>
      <c r="H2377">
        <v>1.6</v>
      </c>
      <c r="I2377" t="s">
        <v>18</v>
      </c>
      <c r="J2377" t="s">
        <v>19</v>
      </c>
      <c r="K2377" s="1">
        <v>45898</v>
      </c>
      <c r="L2377" s="1">
        <v>45978</v>
      </c>
      <c r="M2377" s="1" t="str">
        <f>TEXT(Table1[[#This Row],[appointment_date]],"MM/YYYY")</f>
        <v>11/2025</v>
      </c>
      <c r="N2377">
        <v>80</v>
      </c>
      <c r="O2377" t="str" cm="1">
        <f t="array" ref="O2377">_xlfn.IFS(Table1[[#This Row],[lead_time_days]]&lt;=7,"0-7 days",N2377&lt;=14,"8-14 days",N2377&lt;=30,"15-30 days",N2377&lt;=60,"31-60 days",TRUE,"61+ days")</f>
        <v>61+ days</v>
      </c>
      <c r="P2377" t="s">
        <v>35</v>
      </c>
      <c r="Q2377" t="s">
        <v>32</v>
      </c>
      <c r="R2377">
        <v>0</v>
      </c>
      <c r="S2377" t="str">
        <f>IF(Table1[prior_dna_count]&gt;=1,"Has prior DNA history","No prior DNA history")</f>
        <v>No prior DNA history</v>
      </c>
      <c r="T2377" t="s">
        <v>22</v>
      </c>
      <c r="U2377" t="str">
        <f t="shared" si="37"/>
        <v>1</v>
      </c>
      <c r="V2377" t="str">
        <f>IF(Table1[appointment_status]="Attended","1","0")</f>
        <v>1</v>
      </c>
      <c r="W2377" t="str">
        <f>IF(Table1[appointment_status]="Cancelled","1","0")</f>
        <v>0</v>
      </c>
    </row>
    <row r="2378" spans="1:23">
      <c r="A2378" t="s">
        <v>3647</v>
      </c>
      <c r="B2378" t="s">
        <v>2747</v>
      </c>
      <c r="C2378">
        <v>43</v>
      </c>
      <c r="D2378" t="str" cm="1">
        <f t="array" ref="D2378">_xlfn.IFS(Table1[[#This Row],[age]]&lt;=17,"0-17",C2378&lt;=29,"18-29",C2378&lt;=44,"30-44",C2378&lt;=59,"45-59",C2378&lt;=74,"60-74",TRUE,"75+")</f>
        <v>30-44</v>
      </c>
      <c r="E2378" t="s">
        <v>29</v>
      </c>
      <c r="F2378">
        <v>2</v>
      </c>
      <c r="G2378" t="str" cm="1">
        <f t="array" ref="G2378">_xlfn.IFS(_xlfn.SINGLE(Table1[imd_decile])&lt;=3,"Most Deprived",F2378&lt;=7,"Moderately Deprived",F2378&lt;=10,"Least Deprived")</f>
        <v>Most Deprived</v>
      </c>
      <c r="H2378">
        <v>12.1</v>
      </c>
      <c r="I2378" t="s">
        <v>25</v>
      </c>
      <c r="J2378" t="s">
        <v>19</v>
      </c>
      <c r="K2378" s="1">
        <v>45934</v>
      </c>
      <c r="L2378" s="1">
        <v>45978</v>
      </c>
      <c r="M2378" s="1" t="str">
        <f>TEXT(Table1[[#This Row],[appointment_date]],"MM/YYYY")</f>
        <v>11/2025</v>
      </c>
      <c r="N2378">
        <v>44</v>
      </c>
      <c r="O2378" t="str" cm="1">
        <f t="array" ref="O2378">_xlfn.IFS(Table1[[#This Row],[lead_time_days]]&lt;=7,"0-7 days",N2378&lt;=14,"8-14 days",N2378&lt;=30,"15-30 days",N2378&lt;=60,"31-60 days",TRUE,"61+ days")</f>
        <v>31-60 days</v>
      </c>
      <c r="P2378" t="s">
        <v>35</v>
      </c>
      <c r="Q2378" t="s">
        <v>21</v>
      </c>
      <c r="R2378">
        <v>0</v>
      </c>
      <c r="S2378" t="str">
        <f>IF(Table1[prior_dna_count]&gt;=1,"Has prior DNA history","No prior DNA history")</f>
        <v>No prior DNA history</v>
      </c>
      <c r="T2378" t="s">
        <v>22</v>
      </c>
      <c r="U2378" t="str">
        <f t="shared" si="37"/>
        <v>1</v>
      </c>
      <c r="V2378" t="str">
        <f>IF(Table1[appointment_status]="Attended","1","0")</f>
        <v>1</v>
      </c>
      <c r="W2378" t="str">
        <f>IF(Table1[appointment_status]="Cancelled","1","0")</f>
        <v>0</v>
      </c>
    </row>
    <row r="2379" spans="1:23">
      <c r="A2379" t="s">
        <v>3648</v>
      </c>
      <c r="B2379" t="s">
        <v>1902</v>
      </c>
      <c r="C2379">
        <v>30</v>
      </c>
      <c r="D2379" t="str" cm="1">
        <f t="array" ref="D2379">_xlfn.IFS(Table1[[#This Row],[age]]&lt;=17,"0-17",C2379&lt;=29,"18-29",C2379&lt;=44,"30-44",C2379&lt;=59,"45-59",C2379&lt;=74,"60-74",TRUE,"75+")</f>
        <v>30-44</v>
      </c>
      <c r="E2379" t="s">
        <v>29</v>
      </c>
      <c r="F2379">
        <v>8</v>
      </c>
      <c r="G2379" t="str" cm="1">
        <f t="array" ref="G2379">_xlfn.IFS(_xlfn.SINGLE(Table1[imd_decile])&lt;=3,"Most Deprived",F2379&lt;=7,"Moderately Deprived",F2379&lt;=10,"Least Deprived")</f>
        <v>Least Deprived</v>
      </c>
      <c r="H2379">
        <v>8.9</v>
      </c>
      <c r="I2379" t="s">
        <v>42</v>
      </c>
      <c r="J2379" t="s">
        <v>26</v>
      </c>
      <c r="K2379" s="1">
        <v>45950</v>
      </c>
      <c r="L2379" s="1">
        <v>45978</v>
      </c>
      <c r="M2379" s="1" t="str">
        <f>TEXT(Table1[[#This Row],[appointment_date]],"MM/YYYY")</f>
        <v>11/2025</v>
      </c>
      <c r="N2379">
        <v>28</v>
      </c>
      <c r="O2379" t="str" cm="1">
        <f t="array" ref="O2379">_xlfn.IFS(Table1[[#This Row],[lead_time_days]]&lt;=7,"0-7 days",N2379&lt;=14,"8-14 days",N2379&lt;=30,"15-30 days",N2379&lt;=60,"31-60 days",TRUE,"61+ days")</f>
        <v>15-30 days</v>
      </c>
      <c r="P2379" t="s">
        <v>35</v>
      </c>
      <c r="Q2379" t="s">
        <v>21</v>
      </c>
      <c r="R2379">
        <v>0</v>
      </c>
      <c r="S2379" t="str">
        <f>IF(Table1[prior_dna_count]&gt;=1,"Has prior DNA history","No prior DNA history")</f>
        <v>No prior DNA history</v>
      </c>
      <c r="T2379" t="s">
        <v>22</v>
      </c>
      <c r="U2379" t="str">
        <f t="shared" si="37"/>
        <v>1</v>
      </c>
      <c r="V2379" t="str">
        <f>IF(Table1[appointment_status]="Attended","1","0")</f>
        <v>1</v>
      </c>
      <c r="W2379" t="str">
        <f>IF(Table1[appointment_status]="Cancelled","1","0")</f>
        <v>0</v>
      </c>
    </row>
    <row r="2380" spans="1:23">
      <c r="A2380" t="s">
        <v>3649</v>
      </c>
      <c r="B2380" t="s">
        <v>2845</v>
      </c>
      <c r="C2380">
        <v>77</v>
      </c>
      <c r="D2380" t="str" cm="1">
        <f t="array" ref="D2380">_xlfn.IFS(Table1[[#This Row],[age]]&lt;=17,"0-17",C2380&lt;=29,"18-29",C2380&lt;=44,"30-44",C2380&lt;=59,"45-59",C2380&lt;=74,"60-74",TRUE,"75+")</f>
        <v>75+</v>
      </c>
      <c r="E2380" t="s">
        <v>29</v>
      </c>
      <c r="F2380">
        <v>8</v>
      </c>
      <c r="G2380" t="str" cm="1">
        <f t="array" ref="G2380">_xlfn.IFS(_xlfn.SINGLE(Table1[imd_decile])&lt;=3,"Most Deprived",F2380&lt;=7,"Moderately Deprived",F2380&lt;=10,"Least Deprived")</f>
        <v>Least Deprived</v>
      </c>
      <c r="H2380">
        <v>4.2</v>
      </c>
      <c r="I2380" t="s">
        <v>58</v>
      </c>
      <c r="J2380" t="s">
        <v>19</v>
      </c>
      <c r="K2380" s="1">
        <v>45846</v>
      </c>
      <c r="L2380" s="1">
        <v>45978</v>
      </c>
      <c r="M2380" s="1" t="str">
        <f>TEXT(Table1[[#This Row],[appointment_date]],"MM/YYYY")</f>
        <v>11/2025</v>
      </c>
      <c r="N2380">
        <v>132</v>
      </c>
      <c r="O2380" t="str" cm="1">
        <f t="array" ref="O2380">_xlfn.IFS(Table1[[#This Row],[lead_time_days]]&lt;=7,"0-7 days",N2380&lt;=14,"8-14 days",N2380&lt;=30,"15-30 days",N2380&lt;=60,"31-60 days",TRUE,"61+ days")</f>
        <v>61+ days</v>
      </c>
      <c r="P2380" t="s">
        <v>35</v>
      </c>
      <c r="Q2380" t="s">
        <v>21</v>
      </c>
      <c r="R2380">
        <v>0</v>
      </c>
      <c r="S2380" t="str">
        <f>IF(Table1[prior_dna_count]&gt;=1,"Has prior DNA history","No prior DNA history")</f>
        <v>No prior DNA history</v>
      </c>
      <c r="T2380" t="s">
        <v>22</v>
      </c>
      <c r="U2380" t="str">
        <f t="shared" si="37"/>
        <v>1</v>
      </c>
      <c r="V2380" t="str">
        <f>IF(Table1[appointment_status]="Attended","1","0")</f>
        <v>1</v>
      </c>
      <c r="W2380" t="str">
        <f>IF(Table1[appointment_status]="Cancelled","1","0")</f>
        <v>0</v>
      </c>
    </row>
    <row r="2381" spans="1:23">
      <c r="A2381" t="s">
        <v>3650</v>
      </c>
      <c r="B2381" t="s">
        <v>3651</v>
      </c>
      <c r="C2381">
        <v>76</v>
      </c>
      <c r="D2381" t="str" cm="1">
        <f t="array" ref="D2381">_xlfn.IFS(Table1[[#This Row],[age]]&lt;=17,"0-17",C2381&lt;=29,"18-29",C2381&lt;=44,"30-44",C2381&lt;=59,"45-59",C2381&lt;=74,"60-74",TRUE,"75+")</f>
        <v>75+</v>
      </c>
      <c r="E2381" t="s">
        <v>29</v>
      </c>
      <c r="F2381">
        <v>10</v>
      </c>
      <c r="G2381" t="str" cm="1">
        <f t="array" ref="G2381">_xlfn.IFS(_xlfn.SINGLE(Table1[imd_decile])&lt;=3,"Most Deprived",F2381&lt;=7,"Moderately Deprived",F2381&lt;=10,"Least Deprived")</f>
        <v>Least Deprived</v>
      </c>
      <c r="H2381">
        <v>8</v>
      </c>
      <c r="I2381" t="s">
        <v>38</v>
      </c>
      <c r="J2381" t="s">
        <v>19</v>
      </c>
      <c r="K2381" s="1">
        <v>45936</v>
      </c>
      <c r="L2381" s="1">
        <v>45978</v>
      </c>
      <c r="M2381" s="1" t="str">
        <f>TEXT(Table1[[#This Row],[appointment_date]],"MM/YYYY")</f>
        <v>11/2025</v>
      </c>
      <c r="N2381">
        <v>42</v>
      </c>
      <c r="O2381" t="str" cm="1">
        <f t="array" ref="O2381">_xlfn.IFS(Table1[[#This Row],[lead_time_days]]&lt;=7,"0-7 days",N2381&lt;=14,"8-14 days",N2381&lt;=30,"15-30 days",N2381&lt;=60,"31-60 days",TRUE,"61+ days")</f>
        <v>31-60 days</v>
      </c>
      <c r="P2381" t="s">
        <v>35</v>
      </c>
      <c r="Q2381" t="s">
        <v>21</v>
      </c>
      <c r="R2381">
        <v>0</v>
      </c>
      <c r="S2381" t="str">
        <f>IF(Table1[prior_dna_count]&gt;=1,"Has prior DNA history","No prior DNA history")</f>
        <v>No prior DNA history</v>
      </c>
      <c r="T2381" t="s">
        <v>22</v>
      </c>
      <c r="U2381" t="str">
        <f t="shared" si="37"/>
        <v>1</v>
      </c>
      <c r="V2381" t="str">
        <f>IF(Table1[appointment_status]="Attended","1","0")</f>
        <v>1</v>
      </c>
      <c r="W2381" t="str">
        <f>IF(Table1[appointment_status]="Cancelled","1","0")</f>
        <v>0</v>
      </c>
    </row>
    <row r="2382" spans="1:23">
      <c r="A2382" t="s">
        <v>3652</v>
      </c>
      <c r="B2382" t="s">
        <v>474</v>
      </c>
      <c r="C2382">
        <v>44</v>
      </c>
      <c r="D2382" t="str" cm="1">
        <f t="array" ref="D2382">_xlfn.IFS(Table1[[#This Row],[age]]&lt;=17,"0-17",C2382&lt;=29,"18-29",C2382&lt;=44,"30-44",C2382&lt;=59,"45-59",C2382&lt;=74,"60-74",TRUE,"75+")</f>
        <v>30-44</v>
      </c>
      <c r="E2382" t="s">
        <v>17</v>
      </c>
      <c r="F2382">
        <v>1</v>
      </c>
      <c r="G2382" t="str" cm="1">
        <f t="array" ref="G2382">_xlfn.IFS(_xlfn.SINGLE(Table1[imd_decile])&lt;=3,"Most Deprived",F2382&lt;=7,"Moderately Deprived",F2382&lt;=10,"Least Deprived")</f>
        <v>Most Deprived</v>
      </c>
      <c r="H2382">
        <v>13.4</v>
      </c>
      <c r="I2382" t="s">
        <v>38</v>
      </c>
      <c r="J2382" t="s">
        <v>26</v>
      </c>
      <c r="K2382" s="1">
        <v>45956</v>
      </c>
      <c r="L2382" s="1">
        <v>45979</v>
      </c>
      <c r="M2382" s="1" t="str">
        <f>TEXT(Table1[[#This Row],[appointment_date]],"MM/YYYY")</f>
        <v>11/2025</v>
      </c>
      <c r="N2382">
        <v>23</v>
      </c>
      <c r="O2382" t="str" cm="1">
        <f t="array" ref="O2382">_xlfn.IFS(Table1[[#This Row],[lead_time_days]]&lt;=7,"0-7 days",N2382&lt;=14,"8-14 days",N2382&lt;=30,"15-30 days",N2382&lt;=60,"31-60 days",TRUE,"61+ days")</f>
        <v>15-30 days</v>
      </c>
      <c r="P2382" t="s">
        <v>71</v>
      </c>
      <c r="Q2382" t="s">
        <v>21</v>
      </c>
      <c r="R2382">
        <v>1</v>
      </c>
      <c r="S2382" t="str">
        <f>IF(Table1[prior_dna_count]&gt;=1,"Has prior DNA history","No prior DNA history")</f>
        <v>Has prior DNA history</v>
      </c>
      <c r="T2382" t="s">
        <v>22</v>
      </c>
      <c r="U2382" t="str">
        <f t="shared" si="37"/>
        <v>1</v>
      </c>
      <c r="V2382" t="str">
        <f>IF(Table1[appointment_status]="Attended","1","0")</f>
        <v>1</v>
      </c>
      <c r="W2382" t="str">
        <f>IF(Table1[appointment_status]="Cancelled","1","0")</f>
        <v>0</v>
      </c>
    </row>
    <row r="2383" spans="1:23">
      <c r="A2383" t="s">
        <v>3653</v>
      </c>
      <c r="B2383" t="s">
        <v>3487</v>
      </c>
      <c r="C2383">
        <v>19</v>
      </c>
      <c r="D2383" t="str" cm="1">
        <f t="array" ref="D2383">_xlfn.IFS(Table1[[#This Row],[age]]&lt;=17,"0-17",C2383&lt;=29,"18-29",C2383&lt;=44,"30-44",C2383&lt;=59,"45-59",C2383&lt;=74,"60-74",TRUE,"75+")</f>
        <v>18-29</v>
      </c>
      <c r="E2383" t="s">
        <v>17</v>
      </c>
      <c r="F2383">
        <v>4</v>
      </c>
      <c r="G2383" t="str" cm="1">
        <f t="array" ref="G2383">_xlfn.IFS(_xlfn.SINGLE(Table1[imd_decile])&lt;=3,"Most Deprived",F2383&lt;=7,"Moderately Deprived",F2383&lt;=10,"Least Deprived")</f>
        <v>Moderately Deprived</v>
      </c>
      <c r="H2383">
        <v>1.8</v>
      </c>
      <c r="I2383" t="s">
        <v>58</v>
      </c>
      <c r="J2383" t="s">
        <v>19</v>
      </c>
      <c r="K2383" s="1">
        <v>45943</v>
      </c>
      <c r="L2383" s="1">
        <v>45979</v>
      </c>
      <c r="M2383" s="1" t="str">
        <f>TEXT(Table1[[#This Row],[appointment_date]],"MM/YYYY")</f>
        <v>11/2025</v>
      </c>
      <c r="N2383">
        <v>36</v>
      </c>
      <c r="O2383" t="str" cm="1">
        <f t="array" ref="O2383">_xlfn.IFS(Table1[[#This Row],[lead_time_days]]&lt;=7,"0-7 days",N2383&lt;=14,"8-14 days",N2383&lt;=30,"15-30 days",N2383&lt;=60,"31-60 days",TRUE,"61+ days")</f>
        <v>31-60 days</v>
      </c>
      <c r="P2383" t="s">
        <v>71</v>
      </c>
      <c r="Q2383" t="s">
        <v>21</v>
      </c>
      <c r="R2383">
        <v>0</v>
      </c>
      <c r="S2383" t="str">
        <f>IF(Table1[prior_dna_count]&gt;=1,"Has prior DNA history","No prior DNA history")</f>
        <v>No prior DNA history</v>
      </c>
      <c r="T2383" t="s">
        <v>22</v>
      </c>
      <c r="U2383" t="str">
        <f t="shared" si="37"/>
        <v>1</v>
      </c>
      <c r="V2383" t="str">
        <f>IF(Table1[appointment_status]="Attended","1","0")</f>
        <v>1</v>
      </c>
      <c r="W2383" t="str">
        <f>IF(Table1[appointment_status]="Cancelled","1","0")</f>
        <v>0</v>
      </c>
    </row>
    <row r="2384" spans="1:23">
      <c r="A2384" t="s">
        <v>3654</v>
      </c>
      <c r="B2384" t="s">
        <v>3571</v>
      </c>
      <c r="C2384">
        <v>46</v>
      </c>
      <c r="D2384" t="str" cm="1">
        <f t="array" ref="D2384">_xlfn.IFS(Table1[[#This Row],[age]]&lt;=17,"0-17",C2384&lt;=29,"18-29",C2384&lt;=44,"30-44",C2384&lt;=59,"45-59",C2384&lt;=74,"60-74",TRUE,"75+")</f>
        <v>45-59</v>
      </c>
      <c r="E2384" t="s">
        <v>17</v>
      </c>
      <c r="F2384">
        <v>2</v>
      </c>
      <c r="G2384" t="str" cm="1">
        <f t="array" ref="G2384">_xlfn.IFS(_xlfn.SINGLE(Table1[imd_decile])&lt;=3,"Most Deprived",F2384&lt;=7,"Moderately Deprived",F2384&lt;=10,"Least Deprived")</f>
        <v>Most Deprived</v>
      </c>
      <c r="H2384">
        <v>10.4</v>
      </c>
      <c r="I2384" t="s">
        <v>38</v>
      </c>
      <c r="J2384" t="s">
        <v>19</v>
      </c>
      <c r="K2384" s="1">
        <v>45904</v>
      </c>
      <c r="L2384" s="1">
        <v>45979</v>
      </c>
      <c r="M2384" s="1" t="str">
        <f>TEXT(Table1[[#This Row],[appointment_date]],"MM/YYYY")</f>
        <v>11/2025</v>
      </c>
      <c r="N2384">
        <v>75</v>
      </c>
      <c r="O2384" t="str" cm="1">
        <f t="array" ref="O2384">_xlfn.IFS(Table1[[#This Row],[lead_time_days]]&lt;=7,"0-7 days",N2384&lt;=14,"8-14 days",N2384&lt;=30,"15-30 days",N2384&lt;=60,"31-60 days",TRUE,"61+ days")</f>
        <v>61+ days</v>
      </c>
      <c r="P2384" t="s">
        <v>71</v>
      </c>
      <c r="Q2384" t="s">
        <v>32</v>
      </c>
      <c r="R2384">
        <v>0</v>
      </c>
      <c r="S2384" t="str">
        <f>IF(Table1[prior_dna_count]&gt;=1,"Has prior DNA history","No prior DNA history")</f>
        <v>No prior DNA history</v>
      </c>
      <c r="T2384" t="s">
        <v>39</v>
      </c>
      <c r="U2384" t="str">
        <f t="shared" si="37"/>
        <v>1</v>
      </c>
      <c r="V2384" t="str">
        <f>IF(Table1[appointment_status]="Attended","1","0")</f>
        <v>0</v>
      </c>
      <c r="W2384" t="str">
        <f>IF(Table1[appointment_status]="Cancelled","1","0")</f>
        <v>0</v>
      </c>
    </row>
    <row r="2385" spans="1:23">
      <c r="A2385" t="s">
        <v>3655</v>
      </c>
      <c r="B2385" t="s">
        <v>3656</v>
      </c>
      <c r="C2385">
        <v>38</v>
      </c>
      <c r="D2385" t="str" cm="1">
        <f t="array" ref="D2385">_xlfn.IFS(Table1[[#This Row],[age]]&lt;=17,"0-17",C2385&lt;=29,"18-29",C2385&lt;=44,"30-44",C2385&lt;=59,"45-59",C2385&lt;=74,"60-74",TRUE,"75+")</f>
        <v>30-44</v>
      </c>
      <c r="E2385" t="s">
        <v>17</v>
      </c>
      <c r="F2385">
        <v>7</v>
      </c>
      <c r="G2385" t="str" cm="1">
        <f t="array" ref="G2385">_xlfn.IFS(_xlfn.SINGLE(Table1[imd_decile])&lt;=3,"Most Deprived",F2385&lt;=7,"Moderately Deprived",F2385&lt;=10,"Least Deprived")</f>
        <v>Moderately Deprived</v>
      </c>
      <c r="H2385">
        <v>15.5</v>
      </c>
      <c r="I2385" t="s">
        <v>42</v>
      </c>
      <c r="J2385" t="s">
        <v>19</v>
      </c>
      <c r="K2385" s="1">
        <v>45931</v>
      </c>
      <c r="L2385" s="1">
        <v>45979</v>
      </c>
      <c r="M2385" s="1" t="str">
        <f>TEXT(Table1[[#This Row],[appointment_date]],"MM/YYYY")</f>
        <v>11/2025</v>
      </c>
      <c r="N2385">
        <v>48</v>
      </c>
      <c r="O2385" t="str" cm="1">
        <f t="array" ref="O2385">_xlfn.IFS(Table1[[#This Row],[lead_time_days]]&lt;=7,"0-7 days",N2385&lt;=14,"8-14 days",N2385&lt;=30,"15-30 days",N2385&lt;=60,"31-60 days",TRUE,"61+ days")</f>
        <v>31-60 days</v>
      </c>
      <c r="P2385" t="s">
        <v>71</v>
      </c>
      <c r="Q2385" t="s">
        <v>21</v>
      </c>
      <c r="R2385">
        <v>0</v>
      </c>
      <c r="S2385" t="str">
        <f>IF(Table1[prior_dna_count]&gt;=1,"Has prior DNA history","No prior DNA history")</f>
        <v>No prior DNA history</v>
      </c>
      <c r="T2385" t="s">
        <v>22</v>
      </c>
      <c r="U2385" t="str">
        <f t="shared" si="37"/>
        <v>0</v>
      </c>
      <c r="V2385" t="str">
        <f>IF(Table1[appointment_status]="Attended","1","0")</f>
        <v>1</v>
      </c>
      <c r="W2385" t="str">
        <f>IF(Table1[appointment_status]="Cancelled","1","0")</f>
        <v>0</v>
      </c>
    </row>
    <row r="2386" spans="1:23">
      <c r="A2386" t="s">
        <v>3657</v>
      </c>
      <c r="B2386" t="s">
        <v>1414</v>
      </c>
      <c r="C2386">
        <v>32</v>
      </c>
      <c r="D2386" t="str" cm="1">
        <f t="array" ref="D2386">_xlfn.IFS(Table1[[#This Row],[age]]&lt;=17,"0-17",C2386&lt;=29,"18-29",C2386&lt;=44,"30-44",C2386&lt;=59,"45-59",C2386&lt;=74,"60-74",TRUE,"75+")</f>
        <v>30-44</v>
      </c>
      <c r="E2386" t="s">
        <v>17</v>
      </c>
      <c r="F2386">
        <v>2</v>
      </c>
      <c r="G2386" t="str" cm="1">
        <f t="array" ref="G2386">_xlfn.IFS(_xlfn.SINGLE(Table1[imd_decile])&lt;=3,"Most Deprived",F2386&lt;=7,"Moderately Deprived",F2386&lt;=10,"Least Deprived")</f>
        <v>Most Deprived</v>
      </c>
      <c r="H2386">
        <v>10.9</v>
      </c>
      <c r="I2386" t="s">
        <v>38</v>
      </c>
      <c r="J2386" t="s">
        <v>26</v>
      </c>
      <c r="K2386" s="1">
        <v>45960</v>
      </c>
      <c r="L2386" s="1">
        <v>45979</v>
      </c>
      <c r="M2386" s="1" t="str">
        <f>TEXT(Table1[[#This Row],[appointment_date]],"MM/YYYY")</f>
        <v>11/2025</v>
      </c>
      <c r="N2386">
        <v>19</v>
      </c>
      <c r="O2386" t="str" cm="1">
        <f t="array" ref="O2386">_xlfn.IFS(Table1[[#This Row],[lead_time_days]]&lt;=7,"0-7 days",N2386&lt;=14,"8-14 days",N2386&lt;=30,"15-30 days",N2386&lt;=60,"31-60 days",TRUE,"61+ days")</f>
        <v>15-30 days</v>
      </c>
      <c r="P2386" t="s">
        <v>71</v>
      </c>
      <c r="Q2386" t="s">
        <v>21</v>
      </c>
      <c r="R2386">
        <v>0</v>
      </c>
      <c r="S2386" t="str">
        <f>IF(Table1[prior_dna_count]&gt;=1,"Has prior DNA history","No prior DNA history")</f>
        <v>No prior DNA history</v>
      </c>
      <c r="T2386" t="s">
        <v>22</v>
      </c>
      <c r="U2386" t="str">
        <f t="shared" si="37"/>
        <v>1</v>
      </c>
      <c r="V2386" t="str">
        <f>IF(Table1[appointment_status]="Attended","1","0")</f>
        <v>1</v>
      </c>
      <c r="W2386" t="str">
        <f>IF(Table1[appointment_status]="Cancelled","1","0")</f>
        <v>0</v>
      </c>
    </row>
    <row r="2387" spans="1:23">
      <c r="A2387" t="s">
        <v>3658</v>
      </c>
      <c r="B2387" t="s">
        <v>3139</v>
      </c>
      <c r="C2387">
        <v>82</v>
      </c>
      <c r="D2387" t="str" cm="1">
        <f t="array" ref="D2387">_xlfn.IFS(Table1[[#This Row],[age]]&lt;=17,"0-17",C2387&lt;=29,"18-29",C2387&lt;=44,"30-44",C2387&lt;=59,"45-59",C2387&lt;=74,"60-74",TRUE,"75+")</f>
        <v>75+</v>
      </c>
      <c r="E2387" t="s">
        <v>17</v>
      </c>
      <c r="F2387">
        <v>7</v>
      </c>
      <c r="G2387" t="str" cm="1">
        <f t="array" ref="G2387">_xlfn.IFS(_xlfn.SINGLE(Table1[imd_decile])&lt;=3,"Most Deprived",F2387&lt;=7,"Moderately Deprived",F2387&lt;=10,"Least Deprived")</f>
        <v>Moderately Deprived</v>
      </c>
      <c r="H2387">
        <v>3.6</v>
      </c>
      <c r="I2387" t="s">
        <v>38</v>
      </c>
      <c r="J2387" t="s">
        <v>26</v>
      </c>
      <c r="K2387" s="1">
        <v>45950</v>
      </c>
      <c r="L2387" s="1">
        <v>45979</v>
      </c>
      <c r="M2387" s="1" t="str">
        <f>TEXT(Table1[[#This Row],[appointment_date]],"MM/YYYY")</f>
        <v>11/2025</v>
      </c>
      <c r="N2387">
        <v>29</v>
      </c>
      <c r="O2387" t="str" cm="1">
        <f t="array" ref="O2387">_xlfn.IFS(Table1[[#This Row],[lead_time_days]]&lt;=7,"0-7 days",N2387&lt;=14,"8-14 days",N2387&lt;=30,"15-30 days",N2387&lt;=60,"31-60 days",TRUE,"61+ days")</f>
        <v>15-30 days</v>
      </c>
      <c r="P2387" t="s">
        <v>71</v>
      </c>
      <c r="Q2387" t="s">
        <v>32</v>
      </c>
      <c r="R2387">
        <v>0</v>
      </c>
      <c r="S2387" t="str">
        <f>IF(Table1[prior_dna_count]&gt;=1,"Has prior DNA history","No prior DNA history")</f>
        <v>No prior DNA history</v>
      </c>
      <c r="T2387" t="s">
        <v>22</v>
      </c>
      <c r="U2387" t="str">
        <f t="shared" si="37"/>
        <v>1</v>
      </c>
      <c r="V2387" t="str">
        <f>IF(Table1[appointment_status]="Attended","1","0")</f>
        <v>1</v>
      </c>
      <c r="W2387" t="str">
        <f>IF(Table1[appointment_status]="Cancelled","1","0")</f>
        <v>0</v>
      </c>
    </row>
    <row r="2388" spans="1:23">
      <c r="A2388" t="s">
        <v>3659</v>
      </c>
      <c r="B2388" t="s">
        <v>1258</v>
      </c>
      <c r="C2388">
        <v>72</v>
      </c>
      <c r="D2388" t="str" cm="1">
        <f t="array" ref="D2388">_xlfn.IFS(Table1[[#This Row],[age]]&lt;=17,"0-17",C2388&lt;=29,"18-29",C2388&lt;=44,"30-44",C2388&lt;=59,"45-59",C2388&lt;=74,"60-74",TRUE,"75+")</f>
        <v>60-74</v>
      </c>
      <c r="E2388" t="s">
        <v>17</v>
      </c>
      <c r="F2388">
        <v>7</v>
      </c>
      <c r="G2388" t="str" cm="1">
        <f t="array" ref="G2388">_xlfn.IFS(_xlfn.SINGLE(Table1[imd_decile])&lt;=3,"Most Deprived",F2388&lt;=7,"Moderately Deprived",F2388&lt;=10,"Least Deprived")</f>
        <v>Moderately Deprived</v>
      </c>
      <c r="H2388">
        <v>6.3</v>
      </c>
      <c r="I2388" t="s">
        <v>18</v>
      </c>
      <c r="J2388" t="s">
        <v>19</v>
      </c>
      <c r="K2388" s="1">
        <v>45945</v>
      </c>
      <c r="L2388" s="1">
        <v>45979</v>
      </c>
      <c r="M2388" s="1" t="str">
        <f>TEXT(Table1[[#This Row],[appointment_date]],"MM/YYYY")</f>
        <v>11/2025</v>
      </c>
      <c r="N2388">
        <v>34</v>
      </c>
      <c r="O2388" t="str" cm="1">
        <f t="array" ref="O2388">_xlfn.IFS(Table1[[#This Row],[lead_time_days]]&lt;=7,"0-7 days",N2388&lt;=14,"8-14 days",N2388&lt;=30,"15-30 days",N2388&lt;=60,"31-60 days",TRUE,"61+ days")</f>
        <v>31-60 days</v>
      </c>
      <c r="P2388" t="s">
        <v>71</v>
      </c>
      <c r="Q2388" t="s">
        <v>21</v>
      </c>
      <c r="R2388">
        <v>1</v>
      </c>
      <c r="S2388" t="str">
        <f>IF(Table1[prior_dna_count]&gt;=1,"Has prior DNA history","No prior DNA history")</f>
        <v>Has prior DNA history</v>
      </c>
      <c r="T2388" t="s">
        <v>22</v>
      </c>
      <c r="U2388" t="str">
        <f t="shared" si="37"/>
        <v>1</v>
      </c>
      <c r="V2388" t="str">
        <f>IF(Table1[appointment_status]="Attended","1","0")</f>
        <v>1</v>
      </c>
      <c r="W2388" t="str">
        <f>IF(Table1[appointment_status]="Cancelled","1","0")</f>
        <v>0</v>
      </c>
    </row>
    <row r="2389" spans="1:23">
      <c r="A2389" t="s">
        <v>3660</v>
      </c>
      <c r="B2389" t="s">
        <v>3661</v>
      </c>
      <c r="C2389">
        <v>42</v>
      </c>
      <c r="D2389" t="str" cm="1">
        <f t="array" ref="D2389">_xlfn.IFS(Table1[[#This Row],[age]]&lt;=17,"0-17",C2389&lt;=29,"18-29",C2389&lt;=44,"30-44",C2389&lt;=59,"45-59",C2389&lt;=74,"60-74",TRUE,"75+")</f>
        <v>30-44</v>
      </c>
      <c r="E2389" t="s">
        <v>29</v>
      </c>
      <c r="F2389">
        <v>4</v>
      </c>
      <c r="G2389" t="str" cm="1">
        <f t="array" ref="G2389">_xlfn.IFS(_xlfn.SINGLE(Table1[imd_decile])&lt;=3,"Most Deprived",F2389&lt;=7,"Moderately Deprived",F2389&lt;=10,"Least Deprived")</f>
        <v>Moderately Deprived</v>
      </c>
      <c r="H2389">
        <v>7.7</v>
      </c>
      <c r="I2389" t="s">
        <v>45</v>
      </c>
      <c r="J2389" t="s">
        <v>19</v>
      </c>
      <c r="K2389" s="1">
        <v>45959</v>
      </c>
      <c r="L2389" s="1">
        <v>45979</v>
      </c>
      <c r="M2389" s="1" t="str">
        <f>TEXT(Table1[[#This Row],[appointment_date]],"MM/YYYY")</f>
        <v>11/2025</v>
      </c>
      <c r="N2389">
        <v>20</v>
      </c>
      <c r="O2389" t="str" cm="1">
        <f t="array" ref="O2389">_xlfn.IFS(Table1[[#This Row],[lead_time_days]]&lt;=7,"0-7 days",N2389&lt;=14,"8-14 days",N2389&lt;=30,"15-30 days",N2389&lt;=60,"31-60 days",TRUE,"61+ days")</f>
        <v>15-30 days</v>
      </c>
      <c r="P2389" t="s">
        <v>71</v>
      </c>
      <c r="Q2389" t="s">
        <v>21</v>
      </c>
      <c r="R2389">
        <v>0</v>
      </c>
      <c r="S2389" t="str">
        <f>IF(Table1[prior_dna_count]&gt;=1,"Has prior DNA history","No prior DNA history")</f>
        <v>No prior DNA history</v>
      </c>
      <c r="T2389" t="s">
        <v>22</v>
      </c>
      <c r="U2389" t="str">
        <f t="shared" si="37"/>
        <v>1</v>
      </c>
      <c r="V2389" t="str">
        <f>IF(Table1[appointment_status]="Attended","1","0")</f>
        <v>1</v>
      </c>
      <c r="W2389" t="str">
        <f>IF(Table1[appointment_status]="Cancelled","1","0")</f>
        <v>0</v>
      </c>
    </row>
    <row r="2390" spans="1:23">
      <c r="A2390" t="s">
        <v>3662</v>
      </c>
      <c r="B2390" t="s">
        <v>675</v>
      </c>
      <c r="C2390">
        <v>82</v>
      </c>
      <c r="D2390" t="str" cm="1">
        <f t="array" ref="D2390">_xlfn.IFS(Table1[[#This Row],[age]]&lt;=17,"0-17",C2390&lt;=29,"18-29",C2390&lt;=44,"30-44",C2390&lt;=59,"45-59",C2390&lt;=74,"60-74",TRUE,"75+")</f>
        <v>75+</v>
      </c>
      <c r="E2390" t="s">
        <v>29</v>
      </c>
      <c r="F2390">
        <v>1</v>
      </c>
      <c r="G2390" t="str" cm="1">
        <f t="array" ref="G2390">_xlfn.IFS(_xlfn.SINGLE(Table1[imd_decile])&lt;=3,"Most Deprived",F2390&lt;=7,"Moderately Deprived",F2390&lt;=10,"Least Deprived")</f>
        <v>Most Deprived</v>
      </c>
      <c r="H2390">
        <v>5.8</v>
      </c>
      <c r="I2390" t="s">
        <v>30</v>
      </c>
      <c r="J2390" t="s">
        <v>26</v>
      </c>
      <c r="K2390" s="1">
        <v>45950</v>
      </c>
      <c r="L2390" s="1">
        <v>45979</v>
      </c>
      <c r="M2390" s="1" t="str">
        <f>TEXT(Table1[[#This Row],[appointment_date]],"MM/YYYY")</f>
        <v>11/2025</v>
      </c>
      <c r="N2390">
        <v>29</v>
      </c>
      <c r="O2390" t="str" cm="1">
        <f t="array" ref="O2390">_xlfn.IFS(Table1[[#This Row],[lead_time_days]]&lt;=7,"0-7 days",N2390&lt;=14,"8-14 days",N2390&lt;=30,"15-30 days",N2390&lt;=60,"31-60 days",TRUE,"61+ days")</f>
        <v>15-30 days</v>
      </c>
      <c r="P2390" t="s">
        <v>71</v>
      </c>
      <c r="Q2390" t="s">
        <v>32</v>
      </c>
      <c r="R2390">
        <v>1</v>
      </c>
      <c r="S2390" t="str">
        <f>IF(Table1[prior_dna_count]&gt;=1,"Has prior DNA history","No prior DNA history")</f>
        <v>Has prior DNA history</v>
      </c>
      <c r="T2390" t="s">
        <v>22</v>
      </c>
      <c r="U2390" t="str">
        <f t="shared" si="37"/>
        <v>1</v>
      </c>
      <c r="V2390" t="str">
        <f>IF(Table1[appointment_status]="Attended","1","0")</f>
        <v>1</v>
      </c>
      <c r="W2390" t="str">
        <f>IF(Table1[appointment_status]="Cancelled","1","0")</f>
        <v>0</v>
      </c>
    </row>
    <row r="2391" spans="1:23">
      <c r="A2391" t="s">
        <v>3663</v>
      </c>
      <c r="B2391" t="s">
        <v>861</v>
      </c>
      <c r="C2391">
        <v>87</v>
      </c>
      <c r="D2391" t="str" cm="1">
        <f t="array" ref="D2391">_xlfn.IFS(Table1[[#This Row],[age]]&lt;=17,"0-17",C2391&lt;=29,"18-29",C2391&lt;=44,"30-44",C2391&lt;=59,"45-59",C2391&lt;=74,"60-74",TRUE,"75+")</f>
        <v>75+</v>
      </c>
      <c r="E2391" t="s">
        <v>17</v>
      </c>
      <c r="F2391">
        <v>1</v>
      </c>
      <c r="G2391" t="str" cm="1">
        <f t="array" ref="G2391">_xlfn.IFS(_xlfn.SINGLE(Table1[imd_decile])&lt;=3,"Most Deprived",F2391&lt;=7,"Moderately Deprived",F2391&lt;=10,"Least Deprived")</f>
        <v>Most Deprived</v>
      </c>
      <c r="H2391">
        <v>11.5</v>
      </c>
      <c r="I2391" t="s">
        <v>45</v>
      </c>
      <c r="J2391" t="s">
        <v>19</v>
      </c>
      <c r="K2391" s="1">
        <v>45952</v>
      </c>
      <c r="L2391" s="1">
        <v>45979</v>
      </c>
      <c r="M2391" s="1" t="str">
        <f>TEXT(Table1[[#This Row],[appointment_date]],"MM/YYYY")</f>
        <v>11/2025</v>
      </c>
      <c r="N2391">
        <v>27</v>
      </c>
      <c r="O2391" t="str" cm="1">
        <f t="array" ref="O2391">_xlfn.IFS(Table1[[#This Row],[lead_time_days]]&lt;=7,"0-7 days",N2391&lt;=14,"8-14 days",N2391&lt;=30,"15-30 days",N2391&lt;=60,"31-60 days",TRUE,"61+ days")</f>
        <v>15-30 days</v>
      </c>
      <c r="P2391" t="s">
        <v>71</v>
      </c>
      <c r="Q2391" t="s">
        <v>32</v>
      </c>
      <c r="R2391">
        <v>1</v>
      </c>
      <c r="S2391" t="str">
        <f>IF(Table1[prior_dna_count]&gt;=1,"Has prior DNA history","No prior DNA history")</f>
        <v>Has prior DNA history</v>
      </c>
      <c r="T2391" t="s">
        <v>39</v>
      </c>
      <c r="U2391" t="str">
        <f t="shared" si="37"/>
        <v>1</v>
      </c>
      <c r="V2391" t="str">
        <f>IF(Table1[appointment_status]="Attended","1","0")</f>
        <v>0</v>
      </c>
      <c r="W2391" t="str">
        <f>IF(Table1[appointment_status]="Cancelled","1","0")</f>
        <v>0</v>
      </c>
    </row>
    <row r="2392" spans="1:23">
      <c r="A2392" t="s">
        <v>3664</v>
      </c>
      <c r="B2392" t="s">
        <v>3665</v>
      </c>
      <c r="C2392">
        <v>44</v>
      </c>
      <c r="D2392" t="str" cm="1">
        <f t="array" ref="D2392">_xlfn.IFS(Table1[[#This Row],[age]]&lt;=17,"0-17",C2392&lt;=29,"18-29",C2392&lt;=44,"30-44",C2392&lt;=59,"45-59",C2392&lt;=74,"60-74",TRUE,"75+")</f>
        <v>30-44</v>
      </c>
      <c r="E2392" t="s">
        <v>17</v>
      </c>
      <c r="F2392">
        <v>5</v>
      </c>
      <c r="G2392" t="str" cm="1">
        <f t="array" ref="G2392">_xlfn.IFS(_xlfn.SINGLE(Table1[imd_decile])&lt;=3,"Most Deprived",F2392&lt;=7,"Moderately Deprived",F2392&lt;=10,"Least Deprived")</f>
        <v>Moderately Deprived</v>
      </c>
      <c r="H2392">
        <v>4.9000000000000004</v>
      </c>
      <c r="I2392" t="s">
        <v>25</v>
      </c>
      <c r="J2392" t="s">
        <v>19</v>
      </c>
      <c r="K2392" s="1">
        <v>45929</v>
      </c>
      <c r="L2392" s="1">
        <v>45980</v>
      </c>
      <c r="M2392" s="1" t="str">
        <f>TEXT(Table1[[#This Row],[appointment_date]],"MM/YYYY")</f>
        <v>11/2025</v>
      </c>
      <c r="N2392">
        <v>51</v>
      </c>
      <c r="O2392" t="str" cm="1">
        <f t="array" ref="O2392">_xlfn.IFS(Table1[[#This Row],[lead_time_days]]&lt;=7,"0-7 days",N2392&lt;=14,"8-14 days",N2392&lt;=30,"15-30 days",N2392&lt;=60,"31-60 days",TRUE,"61+ days")</f>
        <v>31-60 days</v>
      </c>
      <c r="P2392" t="s">
        <v>80</v>
      </c>
      <c r="Q2392" t="s">
        <v>21</v>
      </c>
      <c r="R2392">
        <v>0</v>
      </c>
      <c r="S2392" t="str">
        <f>IF(Table1[prior_dna_count]&gt;=1,"Has prior DNA history","No prior DNA history")</f>
        <v>No prior DNA history</v>
      </c>
      <c r="T2392" t="s">
        <v>22</v>
      </c>
      <c r="U2392" t="str">
        <f t="shared" si="37"/>
        <v>0</v>
      </c>
      <c r="V2392" t="str">
        <f>IF(Table1[appointment_status]="Attended","1","0")</f>
        <v>1</v>
      </c>
      <c r="W2392" t="str">
        <f>IF(Table1[appointment_status]="Cancelled","1","0")</f>
        <v>0</v>
      </c>
    </row>
    <row r="2393" spans="1:23">
      <c r="A2393" t="s">
        <v>3666</v>
      </c>
      <c r="B2393" t="s">
        <v>1343</v>
      </c>
      <c r="C2393">
        <v>73</v>
      </c>
      <c r="D2393" t="str" cm="1">
        <f t="array" ref="D2393">_xlfn.IFS(Table1[[#This Row],[age]]&lt;=17,"0-17",C2393&lt;=29,"18-29",C2393&lt;=44,"30-44",C2393&lt;=59,"45-59",C2393&lt;=74,"60-74",TRUE,"75+")</f>
        <v>60-74</v>
      </c>
      <c r="E2393" t="s">
        <v>17</v>
      </c>
      <c r="F2393">
        <v>1</v>
      </c>
      <c r="G2393" t="str" cm="1">
        <f t="array" ref="G2393">_xlfn.IFS(_xlfn.SINGLE(Table1[imd_decile])&lt;=3,"Most Deprived",F2393&lt;=7,"Moderately Deprived",F2393&lt;=10,"Least Deprived")</f>
        <v>Most Deprived</v>
      </c>
      <c r="H2393">
        <v>4.5</v>
      </c>
      <c r="I2393" t="s">
        <v>58</v>
      </c>
      <c r="J2393" t="s">
        <v>19</v>
      </c>
      <c r="K2393" s="1">
        <v>45959</v>
      </c>
      <c r="L2393" s="1">
        <v>45980</v>
      </c>
      <c r="M2393" s="1" t="str">
        <f>TEXT(Table1[[#This Row],[appointment_date]],"MM/YYYY")</f>
        <v>11/2025</v>
      </c>
      <c r="N2393">
        <v>21</v>
      </c>
      <c r="O2393" t="str" cm="1">
        <f t="array" ref="O2393">_xlfn.IFS(Table1[[#This Row],[lead_time_days]]&lt;=7,"0-7 days",N2393&lt;=14,"8-14 days",N2393&lt;=30,"15-30 days",N2393&lt;=60,"31-60 days",TRUE,"61+ days")</f>
        <v>15-30 days</v>
      </c>
      <c r="P2393" t="s">
        <v>80</v>
      </c>
      <c r="Q2393" t="s">
        <v>32</v>
      </c>
      <c r="R2393">
        <v>0</v>
      </c>
      <c r="S2393" t="str">
        <f>IF(Table1[prior_dna_count]&gt;=1,"Has prior DNA history","No prior DNA history")</f>
        <v>No prior DNA history</v>
      </c>
      <c r="T2393" t="s">
        <v>22</v>
      </c>
      <c r="U2393" t="str">
        <f t="shared" si="37"/>
        <v>1</v>
      </c>
      <c r="V2393" t="str">
        <f>IF(Table1[appointment_status]="Attended","1","0")</f>
        <v>1</v>
      </c>
      <c r="W2393" t="str">
        <f>IF(Table1[appointment_status]="Cancelled","1","0")</f>
        <v>0</v>
      </c>
    </row>
    <row r="2394" spans="1:23">
      <c r="A2394" t="s">
        <v>3667</v>
      </c>
      <c r="B2394" t="s">
        <v>3668</v>
      </c>
      <c r="C2394">
        <v>67</v>
      </c>
      <c r="D2394" t="str" cm="1">
        <f t="array" ref="D2394">_xlfn.IFS(Table1[[#This Row],[age]]&lt;=17,"0-17",C2394&lt;=29,"18-29",C2394&lt;=44,"30-44",C2394&lt;=59,"45-59",C2394&lt;=74,"60-74",TRUE,"75+")</f>
        <v>60-74</v>
      </c>
      <c r="E2394" t="s">
        <v>29</v>
      </c>
      <c r="F2394">
        <v>3</v>
      </c>
      <c r="G2394" t="str" cm="1">
        <f t="array" ref="G2394">_xlfn.IFS(_xlfn.SINGLE(Table1[imd_decile])&lt;=3,"Most Deprived",F2394&lt;=7,"Moderately Deprived",F2394&lt;=10,"Least Deprived")</f>
        <v>Most Deprived</v>
      </c>
      <c r="H2394">
        <v>7.7</v>
      </c>
      <c r="I2394" t="s">
        <v>45</v>
      </c>
      <c r="J2394" t="s">
        <v>26</v>
      </c>
      <c r="K2394" s="1">
        <v>45938</v>
      </c>
      <c r="L2394" s="1">
        <v>45980</v>
      </c>
      <c r="M2394" s="1" t="str">
        <f>TEXT(Table1[[#This Row],[appointment_date]],"MM/YYYY")</f>
        <v>11/2025</v>
      </c>
      <c r="N2394">
        <v>42</v>
      </c>
      <c r="O2394" t="str" cm="1">
        <f t="array" ref="O2394">_xlfn.IFS(Table1[[#This Row],[lead_time_days]]&lt;=7,"0-7 days",N2394&lt;=14,"8-14 days",N2394&lt;=30,"15-30 days",N2394&lt;=60,"31-60 days",TRUE,"61+ days")</f>
        <v>31-60 days</v>
      </c>
      <c r="P2394" t="s">
        <v>80</v>
      </c>
      <c r="Q2394" t="s">
        <v>32</v>
      </c>
      <c r="R2394">
        <v>0</v>
      </c>
      <c r="S2394" t="str">
        <f>IF(Table1[prior_dna_count]&gt;=1,"Has prior DNA history","No prior DNA history")</f>
        <v>No prior DNA history</v>
      </c>
      <c r="T2394" t="s">
        <v>22</v>
      </c>
      <c r="U2394" t="str">
        <f t="shared" si="37"/>
        <v>1</v>
      </c>
      <c r="V2394" t="str">
        <f>IF(Table1[appointment_status]="Attended","1","0")</f>
        <v>1</v>
      </c>
      <c r="W2394" t="str">
        <f>IF(Table1[appointment_status]="Cancelled","1","0")</f>
        <v>0</v>
      </c>
    </row>
    <row r="2395" spans="1:23">
      <c r="A2395" t="s">
        <v>3669</v>
      </c>
      <c r="B2395" t="s">
        <v>2173</v>
      </c>
      <c r="C2395">
        <v>54</v>
      </c>
      <c r="D2395" t="str" cm="1">
        <f t="array" ref="D2395">_xlfn.IFS(Table1[[#This Row],[age]]&lt;=17,"0-17",C2395&lt;=29,"18-29",C2395&lt;=44,"30-44",C2395&lt;=59,"45-59",C2395&lt;=74,"60-74",TRUE,"75+")</f>
        <v>45-59</v>
      </c>
      <c r="E2395" t="s">
        <v>17</v>
      </c>
      <c r="F2395">
        <v>5</v>
      </c>
      <c r="G2395" t="str" cm="1">
        <f t="array" ref="G2395">_xlfn.IFS(_xlfn.SINGLE(Table1[imd_decile])&lt;=3,"Most Deprived",F2395&lt;=7,"Moderately Deprived",F2395&lt;=10,"Least Deprived")</f>
        <v>Moderately Deprived</v>
      </c>
      <c r="H2395">
        <v>8.1</v>
      </c>
      <c r="I2395" t="s">
        <v>45</v>
      </c>
      <c r="J2395" t="s">
        <v>19</v>
      </c>
      <c r="K2395" s="1">
        <v>45947</v>
      </c>
      <c r="L2395" s="1">
        <v>45981</v>
      </c>
      <c r="M2395" s="1" t="str">
        <f>TEXT(Table1[[#This Row],[appointment_date]],"MM/YYYY")</f>
        <v>11/2025</v>
      </c>
      <c r="N2395">
        <v>34</v>
      </c>
      <c r="O2395" t="str" cm="1">
        <f t="array" ref="O2395">_xlfn.IFS(Table1[[#This Row],[lead_time_days]]&lt;=7,"0-7 days",N2395&lt;=14,"8-14 days",N2395&lt;=30,"15-30 days",N2395&lt;=60,"31-60 days",TRUE,"61+ days")</f>
        <v>31-60 days</v>
      </c>
      <c r="P2395" t="s">
        <v>20</v>
      </c>
      <c r="Q2395" t="s">
        <v>21</v>
      </c>
      <c r="R2395">
        <v>1</v>
      </c>
      <c r="S2395" t="str">
        <f>IF(Table1[prior_dna_count]&gt;=1,"Has prior DNA history","No prior DNA history")</f>
        <v>Has prior DNA history</v>
      </c>
      <c r="T2395" t="s">
        <v>22</v>
      </c>
      <c r="U2395" t="str">
        <f t="shared" si="37"/>
        <v>1</v>
      </c>
      <c r="V2395" t="str">
        <f>IF(Table1[appointment_status]="Attended","1","0")</f>
        <v>1</v>
      </c>
      <c r="W2395" t="str">
        <f>IF(Table1[appointment_status]="Cancelled","1","0")</f>
        <v>0</v>
      </c>
    </row>
    <row r="2396" spans="1:23">
      <c r="A2396" t="s">
        <v>3670</v>
      </c>
      <c r="B2396" t="s">
        <v>2060</v>
      </c>
      <c r="C2396">
        <v>37</v>
      </c>
      <c r="D2396" t="str" cm="1">
        <f t="array" ref="D2396">_xlfn.IFS(Table1[[#This Row],[age]]&lt;=17,"0-17",C2396&lt;=29,"18-29",C2396&lt;=44,"30-44",C2396&lt;=59,"45-59",C2396&lt;=74,"60-74",TRUE,"75+")</f>
        <v>30-44</v>
      </c>
      <c r="E2396" t="s">
        <v>29</v>
      </c>
      <c r="F2396">
        <v>10</v>
      </c>
      <c r="G2396" t="str" cm="1">
        <f t="array" ref="G2396">_xlfn.IFS(_xlfn.SINGLE(Table1[imd_decile])&lt;=3,"Most Deprived",F2396&lt;=7,"Moderately Deprived",F2396&lt;=10,"Least Deprived")</f>
        <v>Least Deprived</v>
      </c>
      <c r="H2396">
        <v>1.3</v>
      </c>
      <c r="I2396" t="s">
        <v>25</v>
      </c>
      <c r="J2396" t="s">
        <v>26</v>
      </c>
      <c r="K2396" s="1">
        <v>45961</v>
      </c>
      <c r="L2396" s="1">
        <v>45981</v>
      </c>
      <c r="M2396" s="1" t="str">
        <f>TEXT(Table1[[#This Row],[appointment_date]],"MM/YYYY")</f>
        <v>11/2025</v>
      </c>
      <c r="N2396">
        <v>20</v>
      </c>
      <c r="O2396" t="str" cm="1">
        <f t="array" ref="O2396">_xlfn.IFS(Table1[[#This Row],[lead_time_days]]&lt;=7,"0-7 days",N2396&lt;=14,"8-14 days",N2396&lt;=30,"15-30 days",N2396&lt;=60,"31-60 days",TRUE,"61+ days")</f>
        <v>15-30 days</v>
      </c>
      <c r="P2396" t="s">
        <v>20</v>
      </c>
      <c r="Q2396" t="s">
        <v>21</v>
      </c>
      <c r="R2396">
        <v>0</v>
      </c>
      <c r="S2396" t="str">
        <f>IF(Table1[prior_dna_count]&gt;=1,"Has prior DNA history","No prior DNA history")</f>
        <v>No prior DNA history</v>
      </c>
      <c r="T2396" t="s">
        <v>46</v>
      </c>
      <c r="U2396" t="str">
        <f t="shared" si="37"/>
        <v>1</v>
      </c>
      <c r="V2396" t="str">
        <f>IF(Table1[appointment_status]="Attended","1","0")</f>
        <v>0</v>
      </c>
      <c r="W2396" t="str">
        <f>IF(Table1[appointment_status]="Cancelled","1","0")</f>
        <v>1</v>
      </c>
    </row>
    <row r="2397" spans="1:23">
      <c r="A2397" t="s">
        <v>3671</v>
      </c>
      <c r="B2397" t="s">
        <v>2248</v>
      </c>
      <c r="C2397">
        <v>14</v>
      </c>
      <c r="D2397" t="str" cm="1">
        <f t="array" ref="D2397">_xlfn.IFS(Table1[[#This Row],[age]]&lt;=17,"0-17",C2397&lt;=29,"18-29",C2397&lt;=44,"30-44",C2397&lt;=59,"45-59",C2397&lt;=74,"60-74",TRUE,"75+")</f>
        <v>0-17</v>
      </c>
      <c r="E2397" t="s">
        <v>17</v>
      </c>
      <c r="F2397">
        <v>5</v>
      </c>
      <c r="G2397" t="str" cm="1">
        <f t="array" ref="G2397">_xlfn.IFS(_xlfn.SINGLE(Table1[imd_decile])&lt;=3,"Most Deprived",F2397&lt;=7,"Moderately Deprived",F2397&lt;=10,"Least Deprived")</f>
        <v>Moderately Deprived</v>
      </c>
      <c r="H2397">
        <v>10</v>
      </c>
      <c r="I2397" t="s">
        <v>49</v>
      </c>
      <c r="J2397" t="s">
        <v>26</v>
      </c>
      <c r="K2397" s="1">
        <v>45951</v>
      </c>
      <c r="L2397" s="1">
        <v>45981</v>
      </c>
      <c r="M2397" s="1" t="str">
        <f>TEXT(Table1[[#This Row],[appointment_date]],"MM/YYYY")</f>
        <v>11/2025</v>
      </c>
      <c r="N2397">
        <v>30</v>
      </c>
      <c r="O2397" t="str" cm="1">
        <f t="array" ref="O2397">_xlfn.IFS(Table1[[#This Row],[lead_time_days]]&lt;=7,"0-7 days",N2397&lt;=14,"8-14 days",N2397&lt;=30,"15-30 days",N2397&lt;=60,"31-60 days",TRUE,"61+ days")</f>
        <v>15-30 days</v>
      </c>
      <c r="P2397" t="s">
        <v>20</v>
      </c>
      <c r="Q2397" t="s">
        <v>21</v>
      </c>
      <c r="R2397">
        <v>0</v>
      </c>
      <c r="S2397" t="str">
        <f>IF(Table1[prior_dna_count]&gt;=1,"Has prior DNA history","No prior DNA history")</f>
        <v>No prior DNA history</v>
      </c>
      <c r="T2397" t="s">
        <v>22</v>
      </c>
      <c r="U2397" t="str">
        <f t="shared" si="37"/>
        <v>0</v>
      </c>
      <c r="V2397" t="str">
        <f>IF(Table1[appointment_status]="Attended","1","0")</f>
        <v>1</v>
      </c>
      <c r="W2397" t="str">
        <f>IF(Table1[appointment_status]="Cancelled","1","0")</f>
        <v>0</v>
      </c>
    </row>
    <row r="2398" spans="1:23">
      <c r="A2398" t="s">
        <v>3672</v>
      </c>
      <c r="B2398" t="s">
        <v>1131</v>
      </c>
      <c r="C2398">
        <v>30</v>
      </c>
      <c r="D2398" t="str" cm="1">
        <f t="array" ref="D2398">_xlfn.IFS(Table1[[#This Row],[age]]&lt;=17,"0-17",C2398&lt;=29,"18-29",C2398&lt;=44,"30-44",C2398&lt;=59,"45-59",C2398&lt;=74,"60-74",TRUE,"75+")</f>
        <v>30-44</v>
      </c>
      <c r="E2398" t="s">
        <v>29</v>
      </c>
      <c r="F2398">
        <v>8</v>
      </c>
      <c r="G2398" t="str" cm="1">
        <f t="array" ref="G2398">_xlfn.IFS(_xlfn.SINGLE(Table1[imd_decile])&lt;=3,"Most Deprived",F2398&lt;=7,"Moderately Deprived",F2398&lt;=10,"Least Deprived")</f>
        <v>Least Deprived</v>
      </c>
      <c r="H2398">
        <v>24.7</v>
      </c>
      <c r="I2398" t="s">
        <v>58</v>
      </c>
      <c r="J2398" t="s">
        <v>19</v>
      </c>
      <c r="K2398" s="1">
        <v>45952</v>
      </c>
      <c r="L2398" s="1">
        <v>45981</v>
      </c>
      <c r="M2398" s="1" t="str">
        <f>TEXT(Table1[[#This Row],[appointment_date]],"MM/YYYY")</f>
        <v>11/2025</v>
      </c>
      <c r="N2398">
        <v>29</v>
      </c>
      <c r="O2398" t="str" cm="1">
        <f t="array" ref="O2398">_xlfn.IFS(Table1[[#This Row],[lead_time_days]]&lt;=7,"0-7 days",N2398&lt;=14,"8-14 days",N2398&lt;=30,"15-30 days",N2398&lt;=60,"31-60 days",TRUE,"61+ days")</f>
        <v>15-30 days</v>
      </c>
      <c r="P2398" t="s">
        <v>20</v>
      </c>
      <c r="Q2398" t="s">
        <v>21</v>
      </c>
      <c r="R2398">
        <v>0</v>
      </c>
      <c r="S2398" t="str">
        <f>IF(Table1[prior_dna_count]&gt;=1,"Has prior DNA history","No prior DNA history")</f>
        <v>No prior DNA history</v>
      </c>
      <c r="T2398" t="s">
        <v>22</v>
      </c>
      <c r="U2398" t="str">
        <f t="shared" si="37"/>
        <v>1</v>
      </c>
      <c r="V2398" t="str">
        <f>IF(Table1[appointment_status]="Attended","1","0")</f>
        <v>1</v>
      </c>
      <c r="W2398" t="str">
        <f>IF(Table1[appointment_status]="Cancelled","1","0")</f>
        <v>0</v>
      </c>
    </row>
    <row r="2399" spans="1:23">
      <c r="A2399" t="s">
        <v>3673</v>
      </c>
      <c r="B2399" t="s">
        <v>2281</v>
      </c>
      <c r="C2399">
        <v>48</v>
      </c>
      <c r="D2399" t="str" cm="1">
        <f t="array" ref="D2399">_xlfn.IFS(Table1[[#This Row],[age]]&lt;=17,"0-17",C2399&lt;=29,"18-29",C2399&lt;=44,"30-44",C2399&lt;=59,"45-59",C2399&lt;=74,"60-74",TRUE,"75+")</f>
        <v>45-59</v>
      </c>
      <c r="E2399" t="s">
        <v>17</v>
      </c>
      <c r="F2399">
        <v>4</v>
      </c>
      <c r="G2399" t="str" cm="1">
        <f t="array" ref="G2399">_xlfn.IFS(_xlfn.SINGLE(Table1[imd_decile])&lt;=3,"Most Deprived",F2399&lt;=7,"Moderately Deprived",F2399&lt;=10,"Least Deprived")</f>
        <v>Moderately Deprived</v>
      </c>
      <c r="H2399">
        <v>6.6</v>
      </c>
      <c r="I2399" t="s">
        <v>49</v>
      </c>
      <c r="J2399" t="s">
        <v>19</v>
      </c>
      <c r="K2399" s="1">
        <v>45917</v>
      </c>
      <c r="L2399" s="1">
        <v>45981</v>
      </c>
      <c r="M2399" s="1" t="str">
        <f>TEXT(Table1[[#This Row],[appointment_date]],"MM/YYYY")</f>
        <v>11/2025</v>
      </c>
      <c r="N2399">
        <v>64</v>
      </c>
      <c r="O2399" t="str" cm="1">
        <f t="array" ref="O2399">_xlfn.IFS(Table1[[#This Row],[lead_time_days]]&lt;=7,"0-7 days",N2399&lt;=14,"8-14 days",N2399&lt;=30,"15-30 days",N2399&lt;=60,"31-60 days",TRUE,"61+ days")</f>
        <v>61+ days</v>
      </c>
      <c r="P2399" t="s">
        <v>20</v>
      </c>
      <c r="Q2399" t="s">
        <v>32</v>
      </c>
      <c r="R2399">
        <v>0</v>
      </c>
      <c r="S2399" t="str">
        <f>IF(Table1[prior_dna_count]&gt;=1,"Has prior DNA history","No prior DNA history")</f>
        <v>No prior DNA history</v>
      </c>
      <c r="T2399" t="s">
        <v>39</v>
      </c>
      <c r="U2399" t="str">
        <f t="shared" si="37"/>
        <v>1</v>
      </c>
      <c r="V2399" t="str">
        <f>IF(Table1[appointment_status]="Attended","1","0")</f>
        <v>0</v>
      </c>
      <c r="W2399" t="str">
        <f>IF(Table1[appointment_status]="Cancelled","1","0")</f>
        <v>0</v>
      </c>
    </row>
    <row r="2400" spans="1:23">
      <c r="A2400" t="s">
        <v>3674</v>
      </c>
      <c r="B2400" t="s">
        <v>1035</v>
      </c>
      <c r="C2400">
        <v>36</v>
      </c>
      <c r="D2400" t="str" cm="1">
        <f t="array" ref="D2400">_xlfn.IFS(Table1[[#This Row],[age]]&lt;=17,"0-17",C2400&lt;=29,"18-29",C2400&lt;=44,"30-44",C2400&lt;=59,"45-59",C2400&lt;=74,"60-74",TRUE,"75+")</f>
        <v>30-44</v>
      </c>
      <c r="E2400" t="s">
        <v>17</v>
      </c>
      <c r="F2400">
        <v>3</v>
      </c>
      <c r="G2400" t="str" cm="1">
        <f t="array" ref="G2400">_xlfn.IFS(_xlfn.SINGLE(Table1[imd_decile])&lt;=3,"Most Deprived",F2400&lt;=7,"Moderately Deprived",F2400&lt;=10,"Least Deprived")</f>
        <v>Most Deprived</v>
      </c>
      <c r="H2400">
        <v>4.5999999999999996</v>
      </c>
      <c r="I2400" t="s">
        <v>42</v>
      </c>
      <c r="J2400" t="s">
        <v>26</v>
      </c>
      <c r="K2400" s="1">
        <v>45932</v>
      </c>
      <c r="L2400" s="1">
        <v>45981</v>
      </c>
      <c r="M2400" s="1" t="str">
        <f>TEXT(Table1[[#This Row],[appointment_date]],"MM/YYYY")</f>
        <v>11/2025</v>
      </c>
      <c r="N2400">
        <v>49</v>
      </c>
      <c r="O2400" t="str" cm="1">
        <f t="array" ref="O2400">_xlfn.IFS(Table1[[#This Row],[lead_time_days]]&lt;=7,"0-7 days",N2400&lt;=14,"8-14 days",N2400&lt;=30,"15-30 days",N2400&lt;=60,"31-60 days",TRUE,"61+ days")</f>
        <v>31-60 days</v>
      </c>
      <c r="P2400" t="s">
        <v>20</v>
      </c>
      <c r="Q2400" t="s">
        <v>21</v>
      </c>
      <c r="R2400">
        <v>0</v>
      </c>
      <c r="S2400" t="str">
        <f>IF(Table1[prior_dna_count]&gt;=1,"Has prior DNA history","No prior DNA history")</f>
        <v>No prior DNA history</v>
      </c>
      <c r="T2400" t="s">
        <v>22</v>
      </c>
      <c r="U2400" t="str">
        <f t="shared" si="37"/>
        <v>0</v>
      </c>
      <c r="V2400" t="str">
        <f>IF(Table1[appointment_status]="Attended","1","0")</f>
        <v>1</v>
      </c>
      <c r="W2400" t="str">
        <f>IF(Table1[appointment_status]="Cancelled","1","0")</f>
        <v>0</v>
      </c>
    </row>
    <row r="2401" spans="1:23">
      <c r="A2401" t="s">
        <v>3675</v>
      </c>
      <c r="B2401" t="s">
        <v>3676</v>
      </c>
      <c r="C2401">
        <v>39</v>
      </c>
      <c r="D2401" t="str" cm="1">
        <f t="array" ref="D2401">_xlfn.IFS(Table1[[#This Row],[age]]&lt;=17,"0-17",C2401&lt;=29,"18-29",C2401&lt;=44,"30-44",C2401&lt;=59,"45-59",C2401&lt;=74,"60-74",TRUE,"75+")</f>
        <v>30-44</v>
      </c>
      <c r="E2401" t="s">
        <v>17</v>
      </c>
      <c r="F2401">
        <v>9</v>
      </c>
      <c r="G2401" t="str" cm="1">
        <f t="array" ref="G2401">_xlfn.IFS(_xlfn.SINGLE(Table1[imd_decile])&lt;=3,"Most Deprived",F2401&lt;=7,"Moderately Deprived",F2401&lt;=10,"Least Deprived")</f>
        <v>Least Deprived</v>
      </c>
      <c r="H2401">
        <v>14.2</v>
      </c>
      <c r="I2401" t="s">
        <v>25</v>
      </c>
      <c r="J2401" t="s">
        <v>19</v>
      </c>
      <c r="K2401" s="1">
        <v>45889</v>
      </c>
      <c r="L2401" s="1">
        <v>45982</v>
      </c>
      <c r="M2401" s="1" t="str">
        <f>TEXT(Table1[[#This Row],[appointment_date]],"MM/YYYY")</f>
        <v>11/2025</v>
      </c>
      <c r="N2401">
        <v>93</v>
      </c>
      <c r="O2401" t="str" cm="1">
        <f t="array" ref="O2401">_xlfn.IFS(Table1[[#This Row],[lead_time_days]]&lt;=7,"0-7 days",N2401&lt;=14,"8-14 days",N2401&lt;=30,"15-30 days",N2401&lt;=60,"31-60 days",TRUE,"61+ days")</f>
        <v>61+ days</v>
      </c>
      <c r="P2401" t="s">
        <v>52</v>
      </c>
      <c r="Q2401" t="s">
        <v>21</v>
      </c>
      <c r="R2401">
        <v>0</v>
      </c>
      <c r="S2401" t="str">
        <f>IF(Table1[prior_dna_count]&gt;=1,"Has prior DNA history","No prior DNA history")</f>
        <v>No prior DNA history</v>
      </c>
      <c r="T2401" t="s">
        <v>22</v>
      </c>
      <c r="U2401" t="str">
        <f t="shared" si="37"/>
        <v>1</v>
      </c>
      <c r="V2401" t="str">
        <f>IF(Table1[appointment_status]="Attended","1","0")</f>
        <v>1</v>
      </c>
      <c r="W2401" t="str">
        <f>IF(Table1[appointment_status]="Cancelled","1","0")</f>
        <v>0</v>
      </c>
    </row>
    <row r="2402" spans="1:23">
      <c r="A2402" t="s">
        <v>3677</v>
      </c>
      <c r="B2402" t="s">
        <v>1366</v>
      </c>
      <c r="C2402">
        <v>49</v>
      </c>
      <c r="D2402" t="str" cm="1">
        <f t="array" ref="D2402">_xlfn.IFS(Table1[[#This Row],[age]]&lt;=17,"0-17",C2402&lt;=29,"18-29",C2402&lt;=44,"30-44",C2402&lt;=59,"45-59",C2402&lt;=74,"60-74",TRUE,"75+")</f>
        <v>45-59</v>
      </c>
      <c r="E2402" t="s">
        <v>17</v>
      </c>
      <c r="F2402">
        <v>9</v>
      </c>
      <c r="G2402" t="str" cm="1">
        <f t="array" ref="G2402">_xlfn.IFS(_xlfn.SINGLE(Table1[imd_decile])&lt;=3,"Most Deprived",F2402&lt;=7,"Moderately Deprived",F2402&lt;=10,"Least Deprived")</f>
        <v>Least Deprived</v>
      </c>
      <c r="H2402">
        <v>5.0999999999999996</v>
      </c>
      <c r="I2402" t="s">
        <v>25</v>
      </c>
      <c r="J2402" t="s">
        <v>19</v>
      </c>
      <c r="K2402" s="1">
        <v>45940</v>
      </c>
      <c r="L2402" s="1">
        <v>45982</v>
      </c>
      <c r="M2402" s="1" t="str">
        <f>TEXT(Table1[[#This Row],[appointment_date]],"MM/YYYY")</f>
        <v>11/2025</v>
      </c>
      <c r="N2402">
        <v>42</v>
      </c>
      <c r="O2402" t="str" cm="1">
        <f t="array" ref="O2402">_xlfn.IFS(Table1[[#This Row],[lead_time_days]]&lt;=7,"0-7 days",N2402&lt;=14,"8-14 days",N2402&lt;=30,"15-30 days",N2402&lt;=60,"31-60 days",TRUE,"61+ days")</f>
        <v>31-60 days</v>
      </c>
      <c r="P2402" t="s">
        <v>52</v>
      </c>
      <c r="Q2402" t="s">
        <v>32</v>
      </c>
      <c r="R2402">
        <v>0</v>
      </c>
      <c r="S2402" t="str">
        <f>IF(Table1[prior_dna_count]&gt;=1,"Has prior DNA history","No prior DNA history")</f>
        <v>No prior DNA history</v>
      </c>
      <c r="T2402" t="s">
        <v>22</v>
      </c>
      <c r="U2402" t="str">
        <f t="shared" si="37"/>
        <v>1</v>
      </c>
      <c r="V2402" t="str">
        <f>IF(Table1[appointment_status]="Attended","1","0")</f>
        <v>1</v>
      </c>
      <c r="W2402" t="str">
        <f>IF(Table1[appointment_status]="Cancelled","1","0")</f>
        <v>0</v>
      </c>
    </row>
    <row r="2403" spans="1:23">
      <c r="A2403" t="s">
        <v>3678</v>
      </c>
      <c r="B2403" t="s">
        <v>787</v>
      </c>
      <c r="C2403">
        <v>37</v>
      </c>
      <c r="D2403" t="str" cm="1">
        <f t="array" ref="D2403">_xlfn.IFS(Table1[[#This Row],[age]]&lt;=17,"0-17",C2403&lt;=29,"18-29",C2403&lt;=44,"30-44",C2403&lt;=59,"45-59",C2403&lt;=74,"60-74",TRUE,"75+")</f>
        <v>30-44</v>
      </c>
      <c r="E2403" t="s">
        <v>29</v>
      </c>
      <c r="F2403">
        <v>5</v>
      </c>
      <c r="G2403" t="str" cm="1">
        <f t="array" ref="G2403">_xlfn.IFS(_xlfn.SINGLE(Table1[imd_decile])&lt;=3,"Most Deprived",F2403&lt;=7,"Moderately Deprived",F2403&lt;=10,"Least Deprived")</f>
        <v>Moderately Deprived</v>
      </c>
      <c r="H2403">
        <v>4.3</v>
      </c>
      <c r="I2403" t="s">
        <v>58</v>
      </c>
      <c r="J2403" t="s">
        <v>19</v>
      </c>
      <c r="K2403" s="1">
        <v>45946</v>
      </c>
      <c r="L2403" s="1">
        <v>45982</v>
      </c>
      <c r="M2403" s="1" t="str">
        <f>TEXT(Table1[[#This Row],[appointment_date]],"MM/YYYY")</f>
        <v>11/2025</v>
      </c>
      <c r="N2403">
        <v>36</v>
      </c>
      <c r="O2403" t="str" cm="1">
        <f t="array" ref="O2403">_xlfn.IFS(Table1[[#This Row],[lead_time_days]]&lt;=7,"0-7 days",N2403&lt;=14,"8-14 days",N2403&lt;=30,"15-30 days",N2403&lt;=60,"31-60 days",TRUE,"61+ days")</f>
        <v>31-60 days</v>
      </c>
      <c r="P2403" t="s">
        <v>52</v>
      </c>
      <c r="Q2403" t="s">
        <v>21</v>
      </c>
      <c r="R2403">
        <v>0</v>
      </c>
      <c r="S2403" t="str">
        <f>IF(Table1[prior_dna_count]&gt;=1,"Has prior DNA history","No prior DNA history")</f>
        <v>No prior DNA history</v>
      </c>
      <c r="T2403" t="s">
        <v>22</v>
      </c>
      <c r="U2403" t="str">
        <f t="shared" si="37"/>
        <v>1</v>
      </c>
      <c r="V2403" t="str">
        <f>IF(Table1[appointment_status]="Attended","1","0")</f>
        <v>1</v>
      </c>
      <c r="W2403" t="str">
        <f>IF(Table1[appointment_status]="Cancelled","1","0")</f>
        <v>0</v>
      </c>
    </row>
    <row r="2404" spans="1:23">
      <c r="A2404" t="s">
        <v>3679</v>
      </c>
      <c r="B2404" t="s">
        <v>1042</v>
      </c>
      <c r="C2404">
        <v>37</v>
      </c>
      <c r="D2404" t="str" cm="1">
        <f t="array" ref="D2404">_xlfn.IFS(Table1[[#This Row],[age]]&lt;=17,"0-17",C2404&lt;=29,"18-29",C2404&lt;=44,"30-44",C2404&lt;=59,"45-59",C2404&lt;=74,"60-74",TRUE,"75+")</f>
        <v>30-44</v>
      </c>
      <c r="E2404" t="s">
        <v>17</v>
      </c>
      <c r="F2404">
        <v>9</v>
      </c>
      <c r="G2404" t="str" cm="1">
        <f t="array" ref="G2404">_xlfn.IFS(_xlfn.SINGLE(Table1[imd_decile])&lt;=3,"Most Deprived",F2404&lt;=7,"Moderately Deprived",F2404&lt;=10,"Least Deprived")</f>
        <v>Least Deprived</v>
      </c>
      <c r="H2404">
        <v>3.2</v>
      </c>
      <c r="I2404" t="s">
        <v>58</v>
      </c>
      <c r="J2404" t="s">
        <v>19</v>
      </c>
      <c r="K2404" s="1">
        <v>45939</v>
      </c>
      <c r="L2404" s="1">
        <v>45982</v>
      </c>
      <c r="M2404" s="1" t="str">
        <f>TEXT(Table1[[#This Row],[appointment_date]],"MM/YYYY")</f>
        <v>11/2025</v>
      </c>
      <c r="N2404">
        <v>43</v>
      </c>
      <c r="O2404" t="str" cm="1">
        <f t="array" ref="O2404">_xlfn.IFS(Table1[[#This Row],[lead_time_days]]&lt;=7,"0-7 days",N2404&lt;=14,"8-14 days",N2404&lt;=30,"15-30 days",N2404&lt;=60,"31-60 days",TRUE,"61+ days")</f>
        <v>31-60 days</v>
      </c>
      <c r="P2404" t="s">
        <v>52</v>
      </c>
      <c r="Q2404" t="s">
        <v>21</v>
      </c>
      <c r="R2404">
        <v>0</v>
      </c>
      <c r="S2404" t="str">
        <f>IF(Table1[prior_dna_count]&gt;=1,"Has prior DNA history","No prior DNA history")</f>
        <v>No prior DNA history</v>
      </c>
      <c r="T2404" t="s">
        <v>39</v>
      </c>
      <c r="U2404" t="str">
        <f t="shared" si="37"/>
        <v>1</v>
      </c>
      <c r="V2404" t="str">
        <f>IF(Table1[appointment_status]="Attended","1","0")</f>
        <v>0</v>
      </c>
      <c r="W2404" t="str">
        <f>IF(Table1[appointment_status]="Cancelled","1","0")</f>
        <v>0</v>
      </c>
    </row>
    <row r="2405" spans="1:23">
      <c r="A2405" t="s">
        <v>3680</v>
      </c>
      <c r="B2405" t="s">
        <v>748</v>
      </c>
      <c r="C2405">
        <v>43</v>
      </c>
      <c r="D2405" t="str" cm="1">
        <f t="array" ref="D2405">_xlfn.IFS(Table1[[#This Row],[age]]&lt;=17,"0-17",C2405&lt;=29,"18-29",C2405&lt;=44,"30-44",C2405&lt;=59,"45-59",C2405&lt;=74,"60-74",TRUE,"75+")</f>
        <v>30-44</v>
      </c>
      <c r="E2405" t="s">
        <v>29</v>
      </c>
      <c r="F2405">
        <v>1</v>
      </c>
      <c r="G2405" t="str" cm="1">
        <f t="array" ref="G2405">_xlfn.IFS(_xlfn.SINGLE(Table1[imd_decile])&lt;=3,"Most Deprived",F2405&lt;=7,"Moderately Deprived",F2405&lt;=10,"Least Deprived")</f>
        <v>Most Deprived</v>
      </c>
      <c r="H2405">
        <v>27.7</v>
      </c>
      <c r="I2405" t="s">
        <v>30</v>
      </c>
      <c r="J2405" t="s">
        <v>26</v>
      </c>
      <c r="K2405" s="1">
        <v>45941</v>
      </c>
      <c r="L2405" s="1">
        <v>45983</v>
      </c>
      <c r="M2405" s="1" t="str">
        <f>TEXT(Table1[[#This Row],[appointment_date]],"MM/YYYY")</f>
        <v>11/2025</v>
      </c>
      <c r="N2405">
        <v>42</v>
      </c>
      <c r="O2405" t="str" cm="1">
        <f t="array" ref="O2405">_xlfn.IFS(Table1[[#This Row],[lead_time_days]]&lt;=7,"0-7 days",N2405&lt;=14,"8-14 days",N2405&lt;=30,"15-30 days",N2405&lt;=60,"31-60 days",TRUE,"61+ days")</f>
        <v>31-60 days</v>
      </c>
      <c r="P2405" t="s">
        <v>55</v>
      </c>
      <c r="Q2405" t="s">
        <v>21</v>
      </c>
      <c r="R2405">
        <v>0</v>
      </c>
      <c r="S2405" t="str">
        <f>IF(Table1[prior_dna_count]&gt;=1,"Has prior DNA history","No prior DNA history")</f>
        <v>No prior DNA history</v>
      </c>
      <c r="T2405" t="s">
        <v>39</v>
      </c>
      <c r="U2405" t="str">
        <f t="shared" si="37"/>
        <v>0</v>
      </c>
      <c r="V2405" t="str">
        <f>IF(Table1[appointment_status]="Attended","1","0")</f>
        <v>0</v>
      </c>
      <c r="W2405" t="str">
        <f>IF(Table1[appointment_status]="Cancelled","1","0")</f>
        <v>0</v>
      </c>
    </row>
    <row r="2406" spans="1:23">
      <c r="A2406" t="s">
        <v>3681</v>
      </c>
      <c r="B2406" t="s">
        <v>1786</v>
      </c>
      <c r="C2406">
        <v>65</v>
      </c>
      <c r="D2406" t="str" cm="1">
        <f t="array" ref="D2406">_xlfn.IFS(Table1[[#This Row],[age]]&lt;=17,"0-17",C2406&lt;=29,"18-29",C2406&lt;=44,"30-44",C2406&lt;=59,"45-59",C2406&lt;=74,"60-74",TRUE,"75+")</f>
        <v>60-74</v>
      </c>
      <c r="E2406" t="s">
        <v>17</v>
      </c>
      <c r="F2406">
        <v>7</v>
      </c>
      <c r="G2406" t="str" cm="1">
        <f t="array" ref="G2406">_xlfn.IFS(_xlfn.SINGLE(Table1[imd_decile])&lt;=3,"Most Deprived",F2406&lt;=7,"Moderately Deprived",F2406&lt;=10,"Least Deprived")</f>
        <v>Moderately Deprived</v>
      </c>
      <c r="H2406">
        <v>17.3</v>
      </c>
      <c r="I2406" t="s">
        <v>45</v>
      </c>
      <c r="J2406" t="s">
        <v>19</v>
      </c>
      <c r="K2406" s="1">
        <v>45941</v>
      </c>
      <c r="L2406" s="1">
        <v>45983</v>
      </c>
      <c r="M2406" s="1" t="str">
        <f>TEXT(Table1[[#This Row],[appointment_date]],"MM/YYYY")</f>
        <v>11/2025</v>
      </c>
      <c r="N2406">
        <v>42</v>
      </c>
      <c r="O2406" t="str" cm="1">
        <f t="array" ref="O2406">_xlfn.IFS(Table1[[#This Row],[lead_time_days]]&lt;=7,"0-7 days",N2406&lt;=14,"8-14 days",N2406&lt;=30,"15-30 days",N2406&lt;=60,"31-60 days",TRUE,"61+ days")</f>
        <v>31-60 days</v>
      </c>
      <c r="P2406" t="s">
        <v>55</v>
      </c>
      <c r="Q2406" t="s">
        <v>32</v>
      </c>
      <c r="R2406">
        <v>0</v>
      </c>
      <c r="S2406" t="str">
        <f>IF(Table1[prior_dna_count]&gt;=1,"Has prior DNA history","No prior DNA history")</f>
        <v>No prior DNA history</v>
      </c>
      <c r="T2406" t="s">
        <v>22</v>
      </c>
      <c r="U2406" t="str">
        <f t="shared" si="37"/>
        <v>0</v>
      </c>
      <c r="V2406" t="str">
        <f>IF(Table1[appointment_status]="Attended","1","0")</f>
        <v>1</v>
      </c>
      <c r="W2406" t="str">
        <f>IF(Table1[appointment_status]="Cancelled","1","0")</f>
        <v>0</v>
      </c>
    </row>
    <row r="2407" spans="1:23">
      <c r="A2407" t="s">
        <v>3682</v>
      </c>
      <c r="B2407" t="s">
        <v>2353</v>
      </c>
      <c r="C2407">
        <v>76</v>
      </c>
      <c r="D2407" t="str" cm="1">
        <f t="array" ref="D2407">_xlfn.IFS(Table1[[#This Row],[age]]&lt;=17,"0-17",C2407&lt;=29,"18-29",C2407&lt;=44,"30-44",C2407&lt;=59,"45-59",C2407&lt;=74,"60-74",TRUE,"75+")</f>
        <v>75+</v>
      </c>
      <c r="E2407" t="s">
        <v>17</v>
      </c>
      <c r="F2407">
        <v>3</v>
      </c>
      <c r="G2407" t="str" cm="1">
        <f t="array" ref="G2407">_xlfn.IFS(_xlfn.SINGLE(Table1[imd_decile])&lt;=3,"Most Deprived",F2407&lt;=7,"Moderately Deprived",F2407&lt;=10,"Least Deprived")</f>
        <v>Most Deprived</v>
      </c>
      <c r="H2407">
        <v>8.6</v>
      </c>
      <c r="I2407" t="s">
        <v>30</v>
      </c>
      <c r="J2407" t="s">
        <v>19</v>
      </c>
      <c r="K2407" s="1">
        <v>45935</v>
      </c>
      <c r="L2407" s="1">
        <v>45984</v>
      </c>
      <c r="M2407" s="1" t="str">
        <f>TEXT(Table1[[#This Row],[appointment_date]],"MM/YYYY")</f>
        <v>11/2025</v>
      </c>
      <c r="N2407">
        <v>49</v>
      </c>
      <c r="O2407" t="str" cm="1">
        <f t="array" ref="O2407">_xlfn.IFS(Table1[[#This Row],[lead_time_days]]&lt;=7,"0-7 days",N2407&lt;=14,"8-14 days",N2407&lt;=30,"15-30 days",N2407&lt;=60,"31-60 days",TRUE,"61+ days")</f>
        <v>31-60 days</v>
      </c>
      <c r="P2407" t="s">
        <v>31</v>
      </c>
      <c r="Q2407" t="s">
        <v>21</v>
      </c>
      <c r="R2407">
        <v>0</v>
      </c>
      <c r="S2407" t="str">
        <f>IF(Table1[prior_dna_count]&gt;=1,"Has prior DNA history","No prior DNA history")</f>
        <v>No prior DNA history</v>
      </c>
      <c r="T2407" t="s">
        <v>22</v>
      </c>
      <c r="U2407" t="str">
        <f t="shared" si="37"/>
        <v>1</v>
      </c>
      <c r="V2407" t="str">
        <f>IF(Table1[appointment_status]="Attended","1","0")</f>
        <v>1</v>
      </c>
      <c r="W2407" t="str">
        <f>IF(Table1[appointment_status]="Cancelled","1","0")</f>
        <v>0</v>
      </c>
    </row>
    <row r="2408" spans="1:23">
      <c r="A2408" t="s">
        <v>3683</v>
      </c>
      <c r="B2408" t="s">
        <v>2516</v>
      </c>
      <c r="C2408">
        <v>66</v>
      </c>
      <c r="D2408" t="str" cm="1">
        <f t="array" ref="D2408">_xlfn.IFS(Table1[[#This Row],[age]]&lt;=17,"0-17",C2408&lt;=29,"18-29",C2408&lt;=44,"30-44",C2408&lt;=59,"45-59",C2408&lt;=74,"60-74",TRUE,"75+")</f>
        <v>60-74</v>
      </c>
      <c r="E2408" t="s">
        <v>17</v>
      </c>
      <c r="F2408">
        <v>6</v>
      </c>
      <c r="G2408" t="str" cm="1">
        <f t="array" ref="G2408">_xlfn.IFS(_xlfn.SINGLE(Table1[imd_decile])&lt;=3,"Most Deprived",F2408&lt;=7,"Moderately Deprived",F2408&lt;=10,"Least Deprived")</f>
        <v>Moderately Deprived</v>
      </c>
      <c r="H2408">
        <v>11.6</v>
      </c>
      <c r="I2408" t="s">
        <v>49</v>
      </c>
      <c r="J2408" t="s">
        <v>19</v>
      </c>
      <c r="K2408" s="1">
        <v>45950</v>
      </c>
      <c r="L2408" s="1">
        <v>45984</v>
      </c>
      <c r="M2408" s="1" t="str">
        <f>TEXT(Table1[[#This Row],[appointment_date]],"MM/YYYY")</f>
        <v>11/2025</v>
      </c>
      <c r="N2408">
        <v>34</v>
      </c>
      <c r="O2408" t="str" cm="1">
        <f t="array" ref="O2408">_xlfn.IFS(Table1[[#This Row],[lead_time_days]]&lt;=7,"0-7 days",N2408&lt;=14,"8-14 days",N2408&lt;=30,"15-30 days",N2408&lt;=60,"31-60 days",TRUE,"61+ days")</f>
        <v>31-60 days</v>
      </c>
      <c r="P2408" t="s">
        <v>31</v>
      </c>
      <c r="Q2408" t="s">
        <v>32</v>
      </c>
      <c r="R2408">
        <v>0</v>
      </c>
      <c r="S2408" t="str">
        <f>IF(Table1[prior_dna_count]&gt;=1,"Has prior DNA history","No prior DNA history")</f>
        <v>No prior DNA history</v>
      </c>
      <c r="T2408" t="s">
        <v>22</v>
      </c>
      <c r="U2408" t="str">
        <f t="shared" si="37"/>
        <v>1</v>
      </c>
      <c r="V2408" t="str">
        <f>IF(Table1[appointment_status]="Attended","1","0")</f>
        <v>1</v>
      </c>
      <c r="W2408" t="str">
        <f>IF(Table1[appointment_status]="Cancelled","1","0")</f>
        <v>0</v>
      </c>
    </row>
    <row r="2409" spans="1:23">
      <c r="A2409" t="s">
        <v>3684</v>
      </c>
      <c r="B2409" t="s">
        <v>1517</v>
      </c>
      <c r="C2409">
        <v>38</v>
      </c>
      <c r="D2409" t="str" cm="1">
        <f t="array" ref="D2409">_xlfn.IFS(Table1[[#This Row],[age]]&lt;=17,"0-17",C2409&lt;=29,"18-29",C2409&lt;=44,"30-44",C2409&lt;=59,"45-59",C2409&lt;=74,"60-74",TRUE,"75+")</f>
        <v>30-44</v>
      </c>
      <c r="E2409" t="s">
        <v>17</v>
      </c>
      <c r="F2409">
        <v>9</v>
      </c>
      <c r="G2409" t="str" cm="1">
        <f t="array" ref="G2409">_xlfn.IFS(_xlfn.SINGLE(Table1[imd_decile])&lt;=3,"Most Deprived",F2409&lt;=7,"Moderately Deprived",F2409&lt;=10,"Least Deprived")</f>
        <v>Least Deprived</v>
      </c>
      <c r="H2409">
        <v>6.6</v>
      </c>
      <c r="I2409" t="s">
        <v>49</v>
      </c>
      <c r="J2409" t="s">
        <v>26</v>
      </c>
      <c r="K2409" s="1">
        <v>45962</v>
      </c>
      <c r="L2409" s="1">
        <v>45985</v>
      </c>
      <c r="M2409" s="1" t="str">
        <f>TEXT(Table1[[#This Row],[appointment_date]],"MM/YYYY")</f>
        <v>11/2025</v>
      </c>
      <c r="N2409">
        <v>23</v>
      </c>
      <c r="O2409" t="str" cm="1">
        <f t="array" ref="O2409">_xlfn.IFS(Table1[[#This Row],[lead_time_days]]&lt;=7,"0-7 days",N2409&lt;=14,"8-14 days",N2409&lt;=30,"15-30 days",N2409&lt;=60,"31-60 days",TRUE,"61+ days")</f>
        <v>15-30 days</v>
      </c>
      <c r="P2409" t="s">
        <v>35</v>
      </c>
      <c r="Q2409" t="s">
        <v>32</v>
      </c>
      <c r="R2409">
        <v>0</v>
      </c>
      <c r="S2409" t="str">
        <f>IF(Table1[prior_dna_count]&gt;=1,"Has prior DNA history","No prior DNA history")</f>
        <v>No prior DNA history</v>
      </c>
      <c r="T2409" t="s">
        <v>22</v>
      </c>
      <c r="U2409" t="str">
        <f t="shared" si="37"/>
        <v>1</v>
      </c>
      <c r="V2409" t="str">
        <f>IF(Table1[appointment_status]="Attended","1","0")</f>
        <v>1</v>
      </c>
      <c r="W2409" t="str">
        <f>IF(Table1[appointment_status]="Cancelled","1","0")</f>
        <v>0</v>
      </c>
    </row>
    <row r="2410" spans="1:23">
      <c r="A2410" t="s">
        <v>3685</v>
      </c>
      <c r="B2410" t="s">
        <v>3065</v>
      </c>
      <c r="C2410">
        <v>50</v>
      </c>
      <c r="D2410" t="str" cm="1">
        <f t="array" ref="D2410">_xlfn.IFS(Table1[[#This Row],[age]]&lt;=17,"0-17",C2410&lt;=29,"18-29",C2410&lt;=44,"30-44",C2410&lt;=59,"45-59",C2410&lt;=74,"60-74",TRUE,"75+")</f>
        <v>45-59</v>
      </c>
      <c r="E2410" t="s">
        <v>17</v>
      </c>
      <c r="F2410">
        <v>1</v>
      </c>
      <c r="G2410" t="str" cm="1">
        <f t="array" ref="G2410">_xlfn.IFS(_xlfn.SINGLE(Table1[imd_decile])&lt;=3,"Most Deprived",F2410&lt;=7,"Moderately Deprived",F2410&lt;=10,"Least Deprived")</f>
        <v>Most Deprived</v>
      </c>
      <c r="H2410">
        <v>12.4</v>
      </c>
      <c r="I2410" t="s">
        <v>155</v>
      </c>
      <c r="J2410" t="s">
        <v>19</v>
      </c>
      <c r="K2410" s="1">
        <v>45960</v>
      </c>
      <c r="L2410" s="1">
        <v>45985</v>
      </c>
      <c r="M2410" s="1" t="str">
        <f>TEXT(Table1[[#This Row],[appointment_date]],"MM/YYYY")</f>
        <v>11/2025</v>
      </c>
      <c r="N2410">
        <v>25</v>
      </c>
      <c r="O2410" t="str" cm="1">
        <f t="array" ref="O2410">_xlfn.IFS(Table1[[#This Row],[lead_time_days]]&lt;=7,"0-7 days",N2410&lt;=14,"8-14 days",N2410&lt;=30,"15-30 days",N2410&lt;=60,"31-60 days",TRUE,"61+ days")</f>
        <v>15-30 days</v>
      </c>
      <c r="P2410" t="s">
        <v>35</v>
      </c>
      <c r="Q2410" t="s">
        <v>21</v>
      </c>
      <c r="R2410">
        <v>1</v>
      </c>
      <c r="S2410" t="str">
        <f>IF(Table1[prior_dna_count]&gt;=1,"Has prior DNA history","No prior DNA history")</f>
        <v>Has prior DNA history</v>
      </c>
      <c r="T2410" t="s">
        <v>22</v>
      </c>
      <c r="U2410" t="str">
        <f t="shared" si="37"/>
        <v>1</v>
      </c>
      <c r="V2410" t="str">
        <f>IF(Table1[appointment_status]="Attended","1","0")</f>
        <v>1</v>
      </c>
      <c r="W2410" t="str">
        <f>IF(Table1[appointment_status]="Cancelled","1","0")</f>
        <v>0</v>
      </c>
    </row>
    <row r="2411" spans="1:23">
      <c r="A2411" t="s">
        <v>3686</v>
      </c>
      <c r="B2411" t="s">
        <v>989</v>
      </c>
      <c r="C2411">
        <v>63</v>
      </c>
      <c r="D2411" t="str" cm="1">
        <f t="array" ref="D2411">_xlfn.IFS(Table1[[#This Row],[age]]&lt;=17,"0-17",C2411&lt;=29,"18-29",C2411&lt;=44,"30-44",C2411&lt;=59,"45-59",C2411&lt;=74,"60-74",TRUE,"75+")</f>
        <v>60-74</v>
      </c>
      <c r="E2411" t="s">
        <v>29</v>
      </c>
      <c r="F2411">
        <v>10</v>
      </c>
      <c r="G2411" t="str" cm="1">
        <f t="array" ref="G2411">_xlfn.IFS(_xlfn.SINGLE(Table1[imd_decile])&lt;=3,"Most Deprived",F2411&lt;=7,"Moderately Deprived",F2411&lt;=10,"Least Deprived")</f>
        <v>Least Deprived</v>
      </c>
      <c r="H2411">
        <v>2.2999999999999998</v>
      </c>
      <c r="I2411" t="s">
        <v>38</v>
      </c>
      <c r="J2411" t="s">
        <v>19</v>
      </c>
      <c r="K2411" s="1">
        <v>45945</v>
      </c>
      <c r="L2411" s="1">
        <v>45985</v>
      </c>
      <c r="M2411" s="1" t="str">
        <f>TEXT(Table1[[#This Row],[appointment_date]],"MM/YYYY")</f>
        <v>11/2025</v>
      </c>
      <c r="N2411">
        <v>40</v>
      </c>
      <c r="O2411" t="str" cm="1">
        <f t="array" ref="O2411">_xlfn.IFS(Table1[[#This Row],[lead_time_days]]&lt;=7,"0-7 days",N2411&lt;=14,"8-14 days",N2411&lt;=30,"15-30 days",N2411&lt;=60,"31-60 days",TRUE,"61+ days")</f>
        <v>31-60 days</v>
      </c>
      <c r="P2411" t="s">
        <v>35</v>
      </c>
      <c r="Q2411" t="s">
        <v>32</v>
      </c>
      <c r="R2411">
        <v>0</v>
      </c>
      <c r="S2411" t="str">
        <f>IF(Table1[prior_dna_count]&gt;=1,"Has prior DNA history","No prior DNA history")</f>
        <v>No prior DNA history</v>
      </c>
      <c r="T2411" t="s">
        <v>22</v>
      </c>
      <c r="U2411" t="str">
        <f t="shared" si="37"/>
        <v>1</v>
      </c>
      <c r="V2411" t="str">
        <f>IF(Table1[appointment_status]="Attended","1","0")</f>
        <v>1</v>
      </c>
      <c r="W2411" t="str">
        <f>IF(Table1[appointment_status]="Cancelled","1","0")</f>
        <v>0</v>
      </c>
    </row>
    <row r="2412" spans="1:23">
      <c r="A2412" t="s">
        <v>3687</v>
      </c>
      <c r="B2412" t="s">
        <v>823</v>
      </c>
      <c r="C2412">
        <v>63</v>
      </c>
      <c r="D2412" t="str" cm="1">
        <f t="array" ref="D2412">_xlfn.IFS(Table1[[#This Row],[age]]&lt;=17,"0-17",C2412&lt;=29,"18-29",C2412&lt;=44,"30-44",C2412&lt;=59,"45-59",C2412&lt;=74,"60-74",TRUE,"75+")</f>
        <v>60-74</v>
      </c>
      <c r="E2412" t="s">
        <v>17</v>
      </c>
      <c r="F2412">
        <v>9</v>
      </c>
      <c r="G2412" t="str" cm="1">
        <f t="array" ref="G2412">_xlfn.IFS(_xlfn.SINGLE(Table1[imd_decile])&lt;=3,"Most Deprived",F2412&lt;=7,"Moderately Deprived",F2412&lt;=10,"Least Deprived")</f>
        <v>Least Deprived</v>
      </c>
      <c r="H2412">
        <v>5.3</v>
      </c>
      <c r="I2412" t="s">
        <v>18</v>
      </c>
      <c r="J2412" t="s">
        <v>19</v>
      </c>
      <c r="K2412" s="1">
        <v>45949</v>
      </c>
      <c r="L2412" s="1">
        <v>45985</v>
      </c>
      <c r="M2412" s="1" t="str">
        <f>TEXT(Table1[[#This Row],[appointment_date]],"MM/YYYY")</f>
        <v>11/2025</v>
      </c>
      <c r="N2412">
        <v>36</v>
      </c>
      <c r="O2412" t="str" cm="1">
        <f t="array" ref="O2412">_xlfn.IFS(Table1[[#This Row],[lead_time_days]]&lt;=7,"0-7 days",N2412&lt;=14,"8-14 days",N2412&lt;=30,"15-30 days",N2412&lt;=60,"31-60 days",TRUE,"61+ days")</f>
        <v>31-60 days</v>
      </c>
      <c r="P2412" t="s">
        <v>35</v>
      </c>
      <c r="Q2412" t="s">
        <v>21</v>
      </c>
      <c r="R2412">
        <v>0</v>
      </c>
      <c r="S2412" t="str">
        <f>IF(Table1[prior_dna_count]&gt;=1,"Has prior DNA history","No prior DNA history")</f>
        <v>No prior DNA history</v>
      </c>
      <c r="T2412" t="s">
        <v>22</v>
      </c>
      <c r="U2412" t="str">
        <f t="shared" si="37"/>
        <v>1</v>
      </c>
      <c r="V2412" t="str">
        <f>IF(Table1[appointment_status]="Attended","1","0")</f>
        <v>1</v>
      </c>
      <c r="W2412" t="str">
        <f>IF(Table1[appointment_status]="Cancelled","1","0")</f>
        <v>0</v>
      </c>
    </row>
    <row r="2413" spans="1:23">
      <c r="A2413" t="s">
        <v>3688</v>
      </c>
      <c r="B2413" t="s">
        <v>3689</v>
      </c>
      <c r="C2413">
        <v>36</v>
      </c>
      <c r="D2413" t="str" cm="1">
        <f t="array" ref="D2413">_xlfn.IFS(Table1[[#This Row],[age]]&lt;=17,"0-17",C2413&lt;=29,"18-29",C2413&lt;=44,"30-44",C2413&lt;=59,"45-59",C2413&lt;=74,"60-74",TRUE,"75+")</f>
        <v>30-44</v>
      </c>
      <c r="E2413" t="s">
        <v>17</v>
      </c>
      <c r="F2413">
        <v>2</v>
      </c>
      <c r="G2413" t="str" cm="1">
        <f t="array" ref="G2413">_xlfn.IFS(_xlfn.SINGLE(Table1[imd_decile])&lt;=3,"Most Deprived",F2413&lt;=7,"Moderately Deprived",F2413&lt;=10,"Least Deprived")</f>
        <v>Most Deprived</v>
      </c>
      <c r="H2413">
        <v>13.4</v>
      </c>
      <c r="I2413" t="s">
        <v>30</v>
      </c>
      <c r="J2413" t="s">
        <v>19</v>
      </c>
      <c r="K2413" s="1">
        <v>45956</v>
      </c>
      <c r="L2413" s="1">
        <v>45986</v>
      </c>
      <c r="M2413" s="1" t="str">
        <f>TEXT(Table1[[#This Row],[appointment_date]],"MM/YYYY")</f>
        <v>11/2025</v>
      </c>
      <c r="N2413">
        <v>30</v>
      </c>
      <c r="O2413" t="str" cm="1">
        <f t="array" ref="O2413">_xlfn.IFS(Table1[[#This Row],[lead_time_days]]&lt;=7,"0-7 days",N2413&lt;=14,"8-14 days",N2413&lt;=30,"15-30 days",N2413&lt;=60,"31-60 days",TRUE,"61+ days")</f>
        <v>15-30 days</v>
      </c>
      <c r="P2413" t="s">
        <v>71</v>
      </c>
      <c r="Q2413" t="s">
        <v>21</v>
      </c>
      <c r="R2413">
        <v>0</v>
      </c>
      <c r="S2413" t="str">
        <f>IF(Table1[prior_dna_count]&gt;=1,"Has prior DNA history","No prior DNA history")</f>
        <v>No prior DNA history</v>
      </c>
      <c r="T2413" t="s">
        <v>22</v>
      </c>
      <c r="U2413" t="str">
        <f t="shared" si="37"/>
        <v>1</v>
      </c>
      <c r="V2413" t="str">
        <f>IF(Table1[appointment_status]="Attended","1","0")</f>
        <v>1</v>
      </c>
      <c r="W2413" t="str">
        <f>IF(Table1[appointment_status]="Cancelled","1","0")</f>
        <v>0</v>
      </c>
    </row>
    <row r="2414" spans="1:23">
      <c r="A2414" t="s">
        <v>3690</v>
      </c>
      <c r="B2414" t="s">
        <v>708</v>
      </c>
      <c r="C2414">
        <v>46</v>
      </c>
      <c r="D2414" t="str" cm="1">
        <f t="array" ref="D2414">_xlfn.IFS(Table1[[#This Row],[age]]&lt;=17,"0-17",C2414&lt;=29,"18-29",C2414&lt;=44,"30-44",C2414&lt;=59,"45-59",C2414&lt;=74,"60-74",TRUE,"75+")</f>
        <v>45-59</v>
      </c>
      <c r="E2414" t="s">
        <v>17</v>
      </c>
      <c r="F2414">
        <v>3</v>
      </c>
      <c r="G2414" t="str" cm="1">
        <f t="array" ref="G2414">_xlfn.IFS(_xlfn.SINGLE(Table1[imd_decile])&lt;=3,"Most Deprived",F2414&lt;=7,"Moderately Deprived",F2414&lt;=10,"Least Deprived")</f>
        <v>Most Deprived</v>
      </c>
      <c r="H2414">
        <v>3.9</v>
      </c>
      <c r="I2414" t="s">
        <v>18</v>
      </c>
      <c r="J2414" t="s">
        <v>19</v>
      </c>
      <c r="K2414" s="1">
        <v>45932</v>
      </c>
      <c r="L2414" s="1">
        <v>45986</v>
      </c>
      <c r="M2414" s="1" t="str">
        <f>TEXT(Table1[[#This Row],[appointment_date]],"MM/YYYY")</f>
        <v>11/2025</v>
      </c>
      <c r="N2414">
        <v>54</v>
      </c>
      <c r="O2414" t="str" cm="1">
        <f t="array" ref="O2414">_xlfn.IFS(Table1[[#This Row],[lead_time_days]]&lt;=7,"0-7 days",N2414&lt;=14,"8-14 days",N2414&lt;=30,"15-30 days",N2414&lt;=60,"31-60 days",TRUE,"61+ days")</f>
        <v>31-60 days</v>
      </c>
      <c r="P2414" t="s">
        <v>71</v>
      </c>
      <c r="Q2414" t="s">
        <v>21</v>
      </c>
      <c r="R2414">
        <v>0</v>
      </c>
      <c r="S2414" t="str">
        <f>IF(Table1[prior_dna_count]&gt;=1,"Has prior DNA history","No prior DNA history")</f>
        <v>No prior DNA history</v>
      </c>
      <c r="T2414" t="s">
        <v>22</v>
      </c>
      <c r="U2414" t="str">
        <f t="shared" si="37"/>
        <v>1</v>
      </c>
      <c r="V2414" t="str">
        <f>IF(Table1[appointment_status]="Attended","1","0")</f>
        <v>1</v>
      </c>
      <c r="W2414" t="str">
        <f>IF(Table1[appointment_status]="Cancelled","1","0")</f>
        <v>0</v>
      </c>
    </row>
    <row r="2415" spans="1:23">
      <c r="A2415" t="s">
        <v>3691</v>
      </c>
      <c r="B2415" t="s">
        <v>3692</v>
      </c>
      <c r="C2415">
        <v>25</v>
      </c>
      <c r="D2415" t="str" cm="1">
        <f t="array" ref="D2415">_xlfn.IFS(Table1[[#This Row],[age]]&lt;=17,"0-17",C2415&lt;=29,"18-29",C2415&lt;=44,"30-44",C2415&lt;=59,"45-59",C2415&lt;=74,"60-74",TRUE,"75+")</f>
        <v>18-29</v>
      </c>
      <c r="E2415" t="s">
        <v>29</v>
      </c>
      <c r="F2415">
        <v>1</v>
      </c>
      <c r="G2415" t="str" cm="1">
        <f t="array" ref="G2415">_xlfn.IFS(_xlfn.SINGLE(Table1[imd_decile])&lt;=3,"Most Deprived",F2415&lt;=7,"Moderately Deprived",F2415&lt;=10,"Least Deprived")</f>
        <v>Most Deprived</v>
      </c>
      <c r="H2415">
        <v>3.3</v>
      </c>
      <c r="I2415" t="s">
        <v>58</v>
      </c>
      <c r="J2415" t="s">
        <v>19</v>
      </c>
      <c r="K2415" s="1">
        <v>45933</v>
      </c>
      <c r="L2415" s="1">
        <v>45987</v>
      </c>
      <c r="M2415" s="1" t="str">
        <f>TEXT(Table1[[#This Row],[appointment_date]],"MM/YYYY")</f>
        <v>11/2025</v>
      </c>
      <c r="N2415">
        <v>54</v>
      </c>
      <c r="O2415" t="str" cm="1">
        <f t="array" ref="O2415">_xlfn.IFS(Table1[[#This Row],[lead_time_days]]&lt;=7,"0-7 days",N2415&lt;=14,"8-14 days",N2415&lt;=30,"15-30 days",N2415&lt;=60,"31-60 days",TRUE,"61+ days")</f>
        <v>31-60 days</v>
      </c>
      <c r="P2415" t="s">
        <v>80</v>
      </c>
      <c r="Q2415" t="s">
        <v>21</v>
      </c>
      <c r="R2415">
        <v>0</v>
      </c>
      <c r="S2415" t="str">
        <f>IF(Table1[prior_dna_count]&gt;=1,"Has prior DNA history","No prior DNA history")</f>
        <v>No prior DNA history</v>
      </c>
      <c r="T2415" t="s">
        <v>39</v>
      </c>
      <c r="U2415" t="str">
        <f t="shared" si="37"/>
        <v>1</v>
      </c>
      <c r="V2415" t="str">
        <f>IF(Table1[appointment_status]="Attended","1","0")</f>
        <v>0</v>
      </c>
      <c r="W2415" t="str">
        <f>IF(Table1[appointment_status]="Cancelled","1","0")</f>
        <v>0</v>
      </c>
    </row>
    <row r="2416" spans="1:23">
      <c r="A2416" t="s">
        <v>3693</v>
      </c>
      <c r="B2416" t="s">
        <v>3490</v>
      </c>
      <c r="C2416">
        <v>66</v>
      </c>
      <c r="D2416" t="str" cm="1">
        <f t="array" ref="D2416">_xlfn.IFS(Table1[[#This Row],[age]]&lt;=17,"0-17",C2416&lt;=29,"18-29",C2416&lt;=44,"30-44",C2416&lt;=59,"45-59",C2416&lt;=74,"60-74",TRUE,"75+")</f>
        <v>60-74</v>
      </c>
      <c r="E2416" t="s">
        <v>29</v>
      </c>
      <c r="F2416">
        <v>10</v>
      </c>
      <c r="G2416" t="str" cm="1">
        <f t="array" ref="G2416">_xlfn.IFS(_xlfn.SINGLE(Table1[imd_decile])&lt;=3,"Most Deprived",F2416&lt;=7,"Moderately Deprived",F2416&lt;=10,"Least Deprived")</f>
        <v>Least Deprived</v>
      </c>
      <c r="H2416">
        <v>13.8</v>
      </c>
      <c r="I2416" t="s">
        <v>45</v>
      </c>
      <c r="J2416" t="s">
        <v>26</v>
      </c>
      <c r="K2416" s="1">
        <v>45933</v>
      </c>
      <c r="L2416" s="1">
        <v>45987</v>
      </c>
      <c r="M2416" s="1" t="str">
        <f>TEXT(Table1[[#This Row],[appointment_date]],"MM/YYYY")</f>
        <v>11/2025</v>
      </c>
      <c r="N2416">
        <v>54</v>
      </c>
      <c r="O2416" t="str" cm="1">
        <f t="array" ref="O2416">_xlfn.IFS(Table1[[#This Row],[lead_time_days]]&lt;=7,"0-7 days",N2416&lt;=14,"8-14 days",N2416&lt;=30,"15-30 days",N2416&lt;=60,"31-60 days",TRUE,"61+ days")</f>
        <v>31-60 days</v>
      </c>
      <c r="P2416" t="s">
        <v>80</v>
      </c>
      <c r="Q2416" t="s">
        <v>21</v>
      </c>
      <c r="R2416">
        <v>0</v>
      </c>
      <c r="S2416" t="str">
        <f>IF(Table1[prior_dna_count]&gt;=1,"Has prior DNA history","No prior DNA history")</f>
        <v>No prior DNA history</v>
      </c>
      <c r="T2416" t="s">
        <v>22</v>
      </c>
      <c r="U2416" t="str">
        <f t="shared" si="37"/>
        <v>0</v>
      </c>
      <c r="V2416" t="str">
        <f>IF(Table1[appointment_status]="Attended","1","0")</f>
        <v>1</v>
      </c>
      <c r="W2416" t="str">
        <f>IF(Table1[appointment_status]="Cancelled","1","0")</f>
        <v>0</v>
      </c>
    </row>
    <row r="2417" spans="1:23">
      <c r="A2417" t="s">
        <v>3694</v>
      </c>
      <c r="B2417" t="s">
        <v>361</v>
      </c>
      <c r="C2417">
        <v>69</v>
      </c>
      <c r="D2417" t="str" cm="1">
        <f t="array" ref="D2417">_xlfn.IFS(Table1[[#This Row],[age]]&lt;=17,"0-17",C2417&lt;=29,"18-29",C2417&lt;=44,"30-44",C2417&lt;=59,"45-59",C2417&lt;=74,"60-74",TRUE,"75+")</f>
        <v>60-74</v>
      </c>
      <c r="E2417" t="s">
        <v>17</v>
      </c>
      <c r="F2417">
        <v>4</v>
      </c>
      <c r="G2417" t="str" cm="1">
        <f t="array" ref="G2417">_xlfn.IFS(_xlfn.SINGLE(Table1[imd_decile])&lt;=3,"Most Deprived",F2417&lt;=7,"Moderately Deprived",F2417&lt;=10,"Least Deprived")</f>
        <v>Moderately Deprived</v>
      </c>
      <c r="H2417">
        <v>25.1</v>
      </c>
      <c r="I2417" t="s">
        <v>49</v>
      </c>
      <c r="J2417" t="s">
        <v>19</v>
      </c>
      <c r="K2417" s="1">
        <v>45941</v>
      </c>
      <c r="L2417" s="1">
        <v>45987</v>
      </c>
      <c r="M2417" s="1" t="str">
        <f>TEXT(Table1[[#This Row],[appointment_date]],"MM/YYYY")</f>
        <v>11/2025</v>
      </c>
      <c r="N2417">
        <v>46</v>
      </c>
      <c r="O2417" t="str" cm="1">
        <f t="array" ref="O2417">_xlfn.IFS(Table1[[#This Row],[lead_time_days]]&lt;=7,"0-7 days",N2417&lt;=14,"8-14 days",N2417&lt;=30,"15-30 days",N2417&lt;=60,"31-60 days",TRUE,"61+ days")</f>
        <v>31-60 days</v>
      </c>
      <c r="P2417" t="s">
        <v>80</v>
      </c>
      <c r="Q2417" t="s">
        <v>32</v>
      </c>
      <c r="R2417">
        <v>0</v>
      </c>
      <c r="S2417" t="str">
        <f>IF(Table1[prior_dna_count]&gt;=1,"Has prior DNA history","No prior DNA history")</f>
        <v>No prior DNA history</v>
      </c>
      <c r="T2417" t="s">
        <v>22</v>
      </c>
      <c r="U2417" t="str">
        <f t="shared" si="37"/>
        <v>1</v>
      </c>
      <c r="V2417" t="str">
        <f>IF(Table1[appointment_status]="Attended","1","0")</f>
        <v>1</v>
      </c>
      <c r="W2417" t="str">
        <f>IF(Table1[appointment_status]="Cancelled","1","0")</f>
        <v>0</v>
      </c>
    </row>
    <row r="2418" spans="1:23">
      <c r="A2418" t="s">
        <v>3695</v>
      </c>
      <c r="B2418" t="s">
        <v>387</v>
      </c>
      <c r="C2418">
        <v>12</v>
      </c>
      <c r="D2418" t="str" cm="1">
        <f t="array" ref="D2418">_xlfn.IFS(Table1[[#This Row],[age]]&lt;=17,"0-17",C2418&lt;=29,"18-29",C2418&lt;=44,"30-44",C2418&lt;=59,"45-59",C2418&lt;=74,"60-74",TRUE,"75+")</f>
        <v>0-17</v>
      </c>
      <c r="E2418" t="s">
        <v>29</v>
      </c>
      <c r="F2418">
        <v>3</v>
      </c>
      <c r="G2418" t="str" cm="1">
        <f t="array" ref="G2418">_xlfn.IFS(_xlfn.SINGLE(Table1[imd_decile])&lt;=3,"Most Deprived",F2418&lt;=7,"Moderately Deprived",F2418&lt;=10,"Least Deprived")</f>
        <v>Most Deprived</v>
      </c>
      <c r="H2418">
        <v>12.6</v>
      </c>
      <c r="I2418" t="s">
        <v>18</v>
      </c>
      <c r="J2418" t="s">
        <v>19</v>
      </c>
      <c r="K2418" s="1">
        <v>45943</v>
      </c>
      <c r="L2418" s="1">
        <v>45987</v>
      </c>
      <c r="M2418" s="1" t="str">
        <f>TEXT(Table1[[#This Row],[appointment_date]],"MM/YYYY")</f>
        <v>11/2025</v>
      </c>
      <c r="N2418">
        <v>44</v>
      </c>
      <c r="O2418" t="str" cm="1">
        <f t="array" ref="O2418">_xlfn.IFS(Table1[[#This Row],[lead_time_days]]&lt;=7,"0-7 days",N2418&lt;=14,"8-14 days",N2418&lt;=30,"15-30 days",N2418&lt;=60,"31-60 days",TRUE,"61+ days")</f>
        <v>31-60 days</v>
      </c>
      <c r="P2418" t="s">
        <v>80</v>
      </c>
      <c r="Q2418" t="s">
        <v>21</v>
      </c>
      <c r="R2418">
        <v>1</v>
      </c>
      <c r="S2418" t="str">
        <f>IF(Table1[prior_dna_count]&gt;=1,"Has prior DNA history","No prior DNA history")</f>
        <v>Has prior DNA history</v>
      </c>
      <c r="T2418" t="s">
        <v>39</v>
      </c>
      <c r="U2418" t="str">
        <f t="shared" si="37"/>
        <v>1</v>
      </c>
      <c r="V2418" t="str">
        <f>IF(Table1[appointment_status]="Attended","1","0")</f>
        <v>0</v>
      </c>
      <c r="W2418" t="str">
        <f>IF(Table1[appointment_status]="Cancelled","1","0")</f>
        <v>0</v>
      </c>
    </row>
    <row r="2419" spans="1:23">
      <c r="A2419" t="s">
        <v>3696</v>
      </c>
      <c r="B2419" t="s">
        <v>1337</v>
      </c>
      <c r="C2419">
        <v>24</v>
      </c>
      <c r="D2419" t="str" cm="1">
        <f t="array" ref="D2419">_xlfn.IFS(Table1[[#This Row],[age]]&lt;=17,"0-17",C2419&lt;=29,"18-29",C2419&lt;=44,"30-44",C2419&lt;=59,"45-59",C2419&lt;=74,"60-74",TRUE,"75+")</f>
        <v>18-29</v>
      </c>
      <c r="E2419" t="s">
        <v>17</v>
      </c>
      <c r="F2419">
        <v>3</v>
      </c>
      <c r="G2419" t="str" cm="1">
        <f t="array" ref="G2419">_xlfn.IFS(_xlfn.SINGLE(Table1[imd_decile])&lt;=3,"Most Deprived",F2419&lt;=7,"Moderately Deprived",F2419&lt;=10,"Least Deprived")</f>
        <v>Most Deprived</v>
      </c>
      <c r="H2419">
        <v>19.3</v>
      </c>
      <c r="I2419" t="s">
        <v>25</v>
      </c>
      <c r="J2419" t="s">
        <v>19</v>
      </c>
      <c r="K2419" s="1">
        <v>45921</v>
      </c>
      <c r="L2419" s="1">
        <v>45987</v>
      </c>
      <c r="M2419" s="1" t="str">
        <f>TEXT(Table1[[#This Row],[appointment_date]],"MM/YYYY")</f>
        <v>11/2025</v>
      </c>
      <c r="N2419">
        <v>66</v>
      </c>
      <c r="O2419" t="str" cm="1">
        <f t="array" ref="O2419">_xlfn.IFS(Table1[[#This Row],[lead_time_days]]&lt;=7,"0-7 days",N2419&lt;=14,"8-14 days",N2419&lt;=30,"15-30 days",N2419&lt;=60,"31-60 days",TRUE,"61+ days")</f>
        <v>61+ days</v>
      </c>
      <c r="P2419" t="s">
        <v>80</v>
      </c>
      <c r="Q2419" t="s">
        <v>32</v>
      </c>
      <c r="R2419">
        <v>0</v>
      </c>
      <c r="S2419" t="str">
        <f>IF(Table1[prior_dna_count]&gt;=1,"Has prior DNA history","No prior DNA history")</f>
        <v>No prior DNA history</v>
      </c>
      <c r="T2419" t="s">
        <v>22</v>
      </c>
      <c r="U2419" t="str">
        <f t="shared" si="37"/>
        <v>0</v>
      </c>
      <c r="V2419" t="str">
        <f>IF(Table1[appointment_status]="Attended","1","0")</f>
        <v>1</v>
      </c>
      <c r="W2419" t="str">
        <f>IF(Table1[appointment_status]="Cancelled","1","0")</f>
        <v>0</v>
      </c>
    </row>
    <row r="2420" spans="1:23">
      <c r="A2420" t="s">
        <v>3697</v>
      </c>
      <c r="B2420" t="s">
        <v>3698</v>
      </c>
      <c r="C2420">
        <v>22</v>
      </c>
      <c r="D2420" t="str" cm="1">
        <f t="array" ref="D2420">_xlfn.IFS(Table1[[#This Row],[age]]&lt;=17,"0-17",C2420&lt;=29,"18-29",C2420&lt;=44,"30-44",C2420&lt;=59,"45-59",C2420&lt;=74,"60-74",TRUE,"75+")</f>
        <v>18-29</v>
      </c>
      <c r="E2420" t="s">
        <v>29</v>
      </c>
      <c r="F2420">
        <v>1</v>
      </c>
      <c r="G2420" t="str" cm="1">
        <f t="array" ref="G2420">_xlfn.IFS(_xlfn.SINGLE(Table1[imd_decile])&lt;=3,"Most Deprived",F2420&lt;=7,"Moderately Deprived",F2420&lt;=10,"Least Deprived")</f>
        <v>Most Deprived</v>
      </c>
      <c r="H2420">
        <v>2.7</v>
      </c>
      <c r="I2420" t="s">
        <v>49</v>
      </c>
      <c r="J2420" t="s">
        <v>19</v>
      </c>
      <c r="K2420" s="1">
        <v>45909</v>
      </c>
      <c r="L2420" s="1">
        <v>45988</v>
      </c>
      <c r="M2420" s="1" t="str">
        <f>TEXT(Table1[[#This Row],[appointment_date]],"MM/YYYY")</f>
        <v>11/2025</v>
      </c>
      <c r="N2420">
        <v>79</v>
      </c>
      <c r="O2420" t="str" cm="1">
        <f t="array" ref="O2420">_xlfn.IFS(Table1[[#This Row],[lead_time_days]]&lt;=7,"0-7 days",N2420&lt;=14,"8-14 days",N2420&lt;=30,"15-30 days",N2420&lt;=60,"31-60 days",TRUE,"61+ days")</f>
        <v>61+ days</v>
      </c>
      <c r="P2420" t="s">
        <v>20</v>
      </c>
      <c r="Q2420" t="s">
        <v>21</v>
      </c>
      <c r="R2420">
        <v>0</v>
      </c>
      <c r="S2420" t="str">
        <f>IF(Table1[prior_dna_count]&gt;=1,"Has prior DNA history","No prior DNA history")</f>
        <v>No prior DNA history</v>
      </c>
      <c r="T2420" t="s">
        <v>22</v>
      </c>
      <c r="U2420" t="str">
        <f t="shared" si="37"/>
        <v>1</v>
      </c>
      <c r="V2420" t="str">
        <f>IF(Table1[appointment_status]="Attended","1","0")</f>
        <v>1</v>
      </c>
      <c r="W2420" t="str">
        <f>IF(Table1[appointment_status]="Cancelled","1","0")</f>
        <v>0</v>
      </c>
    </row>
    <row r="2421" spans="1:23">
      <c r="A2421" t="s">
        <v>3699</v>
      </c>
      <c r="B2421" t="s">
        <v>2815</v>
      </c>
      <c r="C2421">
        <v>45</v>
      </c>
      <c r="D2421" t="str" cm="1">
        <f t="array" ref="D2421">_xlfn.IFS(Table1[[#This Row],[age]]&lt;=17,"0-17",C2421&lt;=29,"18-29",C2421&lt;=44,"30-44",C2421&lt;=59,"45-59",C2421&lt;=74,"60-74",TRUE,"75+")</f>
        <v>45-59</v>
      </c>
      <c r="E2421" t="s">
        <v>29</v>
      </c>
      <c r="F2421">
        <v>7</v>
      </c>
      <c r="G2421" t="str" cm="1">
        <f t="array" ref="G2421">_xlfn.IFS(_xlfn.SINGLE(Table1[imd_decile])&lt;=3,"Most Deprived",F2421&lt;=7,"Moderately Deprived",F2421&lt;=10,"Least Deprived")</f>
        <v>Moderately Deprived</v>
      </c>
      <c r="H2421">
        <v>6.3</v>
      </c>
      <c r="I2421" t="s">
        <v>49</v>
      </c>
      <c r="J2421" t="s">
        <v>19</v>
      </c>
      <c r="K2421" s="1">
        <v>45943</v>
      </c>
      <c r="L2421" s="1">
        <v>45988</v>
      </c>
      <c r="M2421" s="1" t="str">
        <f>TEXT(Table1[[#This Row],[appointment_date]],"MM/YYYY")</f>
        <v>11/2025</v>
      </c>
      <c r="N2421">
        <v>45</v>
      </c>
      <c r="O2421" t="str" cm="1">
        <f t="array" ref="O2421">_xlfn.IFS(Table1[[#This Row],[lead_time_days]]&lt;=7,"0-7 days",N2421&lt;=14,"8-14 days",N2421&lt;=30,"15-30 days",N2421&lt;=60,"31-60 days",TRUE,"61+ days")</f>
        <v>31-60 days</v>
      </c>
      <c r="P2421" t="s">
        <v>20</v>
      </c>
      <c r="Q2421" t="s">
        <v>21</v>
      </c>
      <c r="R2421">
        <v>0</v>
      </c>
      <c r="S2421" t="str">
        <f>IF(Table1[prior_dna_count]&gt;=1,"Has prior DNA history","No prior DNA history")</f>
        <v>No prior DNA history</v>
      </c>
      <c r="T2421" t="s">
        <v>46</v>
      </c>
      <c r="U2421" t="str">
        <f t="shared" si="37"/>
        <v>1</v>
      </c>
      <c r="V2421" t="str">
        <f>IF(Table1[appointment_status]="Attended","1","0")</f>
        <v>0</v>
      </c>
      <c r="W2421" t="str">
        <f>IF(Table1[appointment_status]="Cancelled","1","0")</f>
        <v>1</v>
      </c>
    </row>
    <row r="2422" spans="1:23">
      <c r="A2422" t="s">
        <v>3700</v>
      </c>
      <c r="B2422" t="s">
        <v>1497</v>
      </c>
      <c r="C2422">
        <v>57</v>
      </c>
      <c r="D2422" t="str" cm="1">
        <f t="array" ref="D2422">_xlfn.IFS(Table1[[#This Row],[age]]&lt;=17,"0-17",C2422&lt;=29,"18-29",C2422&lt;=44,"30-44",C2422&lt;=59,"45-59",C2422&lt;=74,"60-74",TRUE,"75+")</f>
        <v>45-59</v>
      </c>
      <c r="E2422" t="s">
        <v>17</v>
      </c>
      <c r="F2422">
        <v>4</v>
      </c>
      <c r="G2422" t="str" cm="1">
        <f t="array" ref="G2422">_xlfn.IFS(_xlfn.SINGLE(Table1[imd_decile])&lt;=3,"Most Deprived",F2422&lt;=7,"Moderately Deprived",F2422&lt;=10,"Least Deprived")</f>
        <v>Moderately Deprived</v>
      </c>
      <c r="H2422">
        <v>4.3</v>
      </c>
      <c r="I2422" t="s">
        <v>25</v>
      </c>
      <c r="J2422" t="s">
        <v>19</v>
      </c>
      <c r="K2422" s="1">
        <v>45918</v>
      </c>
      <c r="L2422" s="1">
        <v>45988</v>
      </c>
      <c r="M2422" s="1" t="str">
        <f>TEXT(Table1[[#This Row],[appointment_date]],"MM/YYYY")</f>
        <v>11/2025</v>
      </c>
      <c r="N2422">
        <v>70</v>
      </c>
      <c r="O2422" t="str" cm="1">
        <f t="array" ref="O2422">_xlfn.IFS(Table1[[#This Row],[lead_time_days]]&lt;=7,"0-7 days",N2422&lt;=14,"8-14 days",N2422&lt;=30,"15-30 days",N2422&lt;=60,"31-60 days",TRUE,"61+ days")</f>
        <v>61+ days</v>
      </c>
      <c r="P2422" t="s">
        <v>20</v>
      </c>
      <c r="Q2422" t="s">
        <v>21</v>
      </c>
      <c r="R2422">
        <v>0</v>
      </c>
      <c r="S2422" t="str">
        <f>IF(Table1[prior_dna_count]&gt;=1,"Has prior DNA history","No prior DNA history")</f>
        <v>No prior DNA history</v>
      </c>
      <c r="T2422" t="s">
        <v>46</v>
      </c>
      <c r="U2422" t="str">
        <f t="shared" si="37"/>
        <v>0</v>
      </c>
      <c r="V2422" t="str">
        <f>IF(Table1[appointment_status]="Attended","1","0")</f>
        <v>0</v>
      </c>
      <c r="W2422" t="str">
        <f>IF(Table1[appointment_status]="Cancelled","1","0")</f>
        <v>1</v>
      </c>
    </row>
    <row r="2423" spans="1:23">
      <c r="A2423" t="s">
        <v>3701</v>
      </c>
      <c r="B2423" t="s">
        <v>3702</v>
      </c>
      <c r="C2423">
        <v>87</v>
      </c>
      <c r="D2423" t="str" cm="1">
        <f t="array" ref="D2423">_xlfn.IFS(Table1[[#This Row],[age]]&lt;=17,"0-17",C2423&lt;=29,"18-29",C2423&lt;=44,"30-44",C2423&lt;=59,"45-59",C2423&lt;=74,"60-74",TRUE,"75+")</f>
        <v>75+</v>
      </c>
      <c r="E2423" t="s">
        <v>17</v>
      </c>
      <c r="F2423">
        <v>7</v>
      </c>
      <c r="G2423" t="str" cm="1">
        <f t="array" ref="G2423">_xlfn.IFS(_xlfn.SINGLE(Table1[imd_decile])&lt;=3,"Most Deprived",F2423&lt;=7,"Moderately Deprived",F2423&lt;=10,"Least Deprived")</f>
        <v>Moderately Deprived</v>
      </c>
      <c r="H2423">
        <v>15</v>
      </c>
      <c r="I2423" t="s">
        <v>18</v>
      </c>
      <c r="J2423" t="s">
        <v>19</v>
      </c>
      <c r="K2423" s="1">
        <v>45933</v>
      </c>
      <c r="L2423" s="1">
        <v>45988</v>
      </c>
      <c r="M2423" s="1" t="str">
        <f>TEXT(Table1[[#This Row],[appointment_date]],"MM/YYYY")</f>
        <v>11/2025</v>
      </c>
      <c r="N2423">
        <v>55</v>
      </c>
      <c r="O2423" t="str" cm="1">
        <f t="array" ref="O2423">_xlfn.IFS(Table1[[#This Row],[lead_time_days]]&lt;=7,"0-7 days",N2423&lt;=14,"8-14 days",N2423&lt;=30,"15-30 days",N2423&lt;=60,"31-60 days",TRUE,"61+ days")</f>
        <v>31-60 days</v>
      </c>
      <c r="P2423" t="s">
        <v>20</v>
      </c>
      <c r="Q2423" t="s">
        <v>21</v>
      </c>
      <c r="R2423">
        <v>0</v>
      </c>
      <c r="S2423" t="str">
        <f>IF(Table1[prior_dna_count]&gt;=1,"Has prior DNA history","No prior DNA history")</f>
        <v>No prior DNA history</v>
      </c>
      <c r="T2423" t="s">
        <v>22</v>
      </c>
      <c r="U2423" t="str">
        <f t="shared" si="37"/>
        <v>0</v>
      </c>
      <c r="V2423" t="str">
        <f>IF(Table1[appointment_status]="Attended","1","0")</f>
        <v>1</v>
      </c>
      <c r="W2423" t="str">
        <f>IF(Table1[appointment_status]="Cancelled","1","0")</f>
        <v>0</v>
      </c>
    </row>
    <row r="2424" spans="1:23">
      <c r="A2424" t="s">
        <v>3703</v>
      </c>
      <c r="B2424" t="s">
        <v>3704</v>
      </c>
      <c r="C2424">
        <v>66</v>
      </c>
      <c r="D2424" t="str" cm="1">
        <f t="array" ref="D2424">_xlfn.IFS(Table1[[#This Row],[age]]&lt;=17,"0-17",C2424&lt;=29,"18-29",C2424&lt;=44,"30-44",C2424&lt;=59,"45-59",C2424&lt;=74,"60-74",TRUE,"75+")</f>
        <v>60-74</v>
      </c>
      <c r="E2424" t="s">
        <v>17</v>
      </c>
      <c r="F2424">
        <v>1</v>
      </c>
      <c r="G2424" t="str" cm="1">
        <f t="array" ref="G2424">_xlfn.IFS(_xlfn.SINGLE(Table1[imd_decile])&lt;=3,"Most Deprived",F2424&lt;=7,"Moderately Deprived",F2424&lt;=10,"Least Deprived")</f>
        <v>Most Deprived</v>
      </c>
      <c r="H2424">
        <v>1.1000000000000001</v>
      </c>
      <c r="I2424" t="s">
        <v>58</v>
      </c>
      <c r="J2424" t="s">
        <v>19</v>
      </c>
      <c r="K2424" s="1">
        <v>45946</v>
      </c>
      <c r="L2424" s="1">
        <v>45988</v>
      </c>
      <c r="M2424" s="1" t="str">
        <f>TEXT(Table1[[#This Row],[appointment_date]],"MM/YYYY")</f>
        <v>11/2025</v>
      </c>
      <c r="N2424">
        <v>42</v>
      </c>
      <c r="O2424" t="str" cm="1">
        <f t="array" ref="O2424">_xlfn.IFS(Table1[[#This Row],[lead_time_days]]&lt;=7,"0-7 days",N2424&lt;=14,"8-14 days",N2424&lt;=30,"15-30 days",N2424&lt;=60,"31-60 days",TRUE,"61+ days")</f>
        <v>31-60 days</v>
      </c>
      <c r="P2424" t="s">
        <v>20</v>
      </c>
      <c r="Q2424" t="s">
        <v>21</v>
      </c>
      <c r="R2424">
        <v>0</v>
      </c>
      <c r="S2424" t="str">
        <f>IF(Table1[prior_dna_count]&gt;=1,"Has prior DNA history","No prior DNA history")</f>
        <v>No prior DNA history</v>
      </c>
      <c r="T2424" t="s">
        <v>22</v>
      </c>
      <c r="U2424" t="str">
        <f t="shared" si="37"/>
        <v>1</v>
      </c>
      <c r="V2424" t="str">
        <f>IF(Table1[appointment_status]="Attended","1","0")</f>
        <v>1</v>
      </c>
      <c r="W2424" t="str">
        <f>IF(Table1[appointment_status]="Cancelled","1","0")</f>
        <v>0</v>
      </c>
    </row>
    <row r="2425" spans="1:23">
      <c r="A2425" t="s">
        <v>3705</v>
      </c>
      <c r="B2425" t="s">
        <v>594</v>
      </c>
      <c r="C2425">
        <v>26</v>
      </c>
      <c r="D2425" t="str" cm="1">
        <f t="array" ref="D2425">_xlfn.IFS(Table1[[#This Row],[age]]&lt;=17,"0-17",C2425&lt;=29,"18-29",C2425&lt;=44,"30-44",C2425&lt;=59,"45-59",C2425&lt;=74,"60-74",TRUE,"75+")</f>
        <v>18-29</v>
      </c>
      <c r="E2425" t="s">
        <v>17</v>
      </c>
      <c r="F2425">
        <v>10</v>
      </c>
      <c r="G2425" t="str" cm="1">
        <f t="array" ref="G2425">_xlfn.IFS(_xlfn.SINGLE(Table1[imd_decile])&lt;=3,"Most Deprived",F2425&lt;=7,"Moderately Deprived",F2425&lt;=10,"Least Deprived")</f>
        <v>Least Deprived</v>
      </c>
      <c r="H2425">
        <v>17.2</v>
      </c>
      <c r="I2425" t="s">
        <v>25</v>
      </c>
      <c r="J2425" t="s">
        <v>19</v>
      </c>
      <c r="K2425" s="1">
        <v>45940</v>
      </c>
      <c r="L2425" s="1">
        <v>45989</v>
      </c>
      <c r="M2425" s="1" t="str">
        <f>TEXT(Table1[[#This Row],[appointment_date]],"MM/YYYY")</f>
        <v>11/2025</v>
      </c>
      <c r="N2425">
        <v>49</v>
      </c>
      <c r="O2425" t="str" cm="1">
        <f t="array" ref="O2425">_xlfn.IFS(Table1[[#This Row],[lead_time_days]]&lt;=7,"0-7 days",N2425&lt;=14,"8-14 days",N2425&lt;=30,"15-30 days",N2425&lt;=60,"31-60 days",TRUE,"61+ days")</f>
        <v>31-60 days</v>
      </c>
      <c r="P2425" t="s">
        <v>52</v>
      </c>
      <c r="Q2425" t="s">
        <v>32</v>
      </c>
      <c r="R2425">
        <v>0</v>
      </c>
      <c r="S2425" t="str">
        <f>IF(Table1[prior_dna_count]&gt;=1,"Has prior DNA history","No prior DNA history")</f>
        <v>No prior DNA history</v>
      </c>
      <c r="T2425" t="s">
        <v>22</v>
      </c>
      <c r="U2425" t="str">
        <f t="shared" si="37"/>
        <v>1</v>
      </c>
      <c r="V2425" t="str">
        <f>IF(Table1[appointment_status]="Attended","1","0")</f>
        <v>1</v>
      </c>
      <c r="W2425" t="str">
        <f>IF(Table1[appointment_status]="Cancelled","1","0")</f>
        <v>0</v>
      </c>
    </row>
    <row r="2426" spans="1:23">
      <c r="A2426" t="s">
        <v>3706</v>
      </c>
      <c r="B2426" t="s">
        <v>1628</v>
      </c>
      <c r="C2426">
        <v>16</v>
      </c>
      <c r="D2426" t="str" cm="1">
        <f t="array" ref="D2426">_xlfn.IFS(Table1[[#This Row],[age]]&lt;=17,"0-17",C2426&lt;=29,"18-29",C2426&lt;=44,"30-44",C2426&lt;=59,"45-59",C2426&lt;=74,"60-74",TRUE,"75+")</f>
        <v>0-17</v>
      </c>
      <c r="E2426" t="s">
        <v>17</v>
      </c>
      <c r="F2426">
        <v>9</v>
      </c>
      <c r="G2426" t="str" cm="1">
        <f t="array" ref="G2426">_xlfn.IFS(_xlfn.SINGLE(Table1[imd_decile])&lt;=3,"Most Deprived",F2426&lt;=7,"Moderately Deprived",F2426&lt;=10,"Least Deprived")</f>
        <v>Least Deprived</v>
      </c>
      <c r="H2426">
        <v>7.8</v>
      </c>
      <c r="I2426" t="s">
        <v>30</v>
      </c>
      <c r="J2426" t="s">
        <v>19</v>
      </c>
      <c r="K2426" s="1">
        <v>45952</v>
      </c>
      <c r="L2426" s="1">
        <v>45989</v>
      </c>
      <c r="M2426" s="1" t="str">
        <f>TEXT(Table1[[#This Row],[appointment_date]],"MM/YYYY")</f>
        <v>11/2025</v>
      </c>
      <c r="N2426">
        <v>37</v>
      </c>
      <c r="O2426" t="str" cm="1">
        <f t="array" ref="O2426">_xlfn.IFS(Table1[[#This Row],[lead_time_days]]&lt;=7,"0-7 days",N2426&lt;=14,"8-14 days",N2426&lt;=30,"15-30 days",N2426&lt;=60,"31-60 days",TRUE,"61+ days")</f>
        <v>31-60 days</v>
      </c>
      <c r="P2426" t="s">
        <v>52</v>
      </c>
      <c r="Q2426" t="s">
        <v>21</v>
      </c>
      <c r="R2426">
        <v>0</v>
      </c>
      <c r="S2426" t="str">
        <f>IF(Table1[prior_dna_count]&gt;=1,"Has prior DNA history","No prior DNA history")</f>
        <v>No prior DNA history</v>
      </c>
      <c r="T2426" t="s">
        <v>22</v>
      </c>
      <c r="U2426" t="str">
        <f t="shared" si="37"/>
        <v>1</v>
      </c>
      <c r="V2426" t="str">
        <f>IF(Table1[appointment_status]="Attended","1","0")</f>
        <v>1</v>
      </c>
      <c r="W2426" t="str">
        <f>IF(Table1[appointment_status]="Cancelled","1","0")</f>
        <v>0</v>
      </c>
    </row>
    <row r="2427" spans="1:23">
      <c r="A2427" t="s">
        <v>3707</v>
      </c>
      <c r="B2427" t="s">
        <v>119</v>
      </c>
      <c r="C2427">
        <v>43</v>
      </c>
      <c r="D2427" t="str" cm="1">
        <f t="array" ref="D2427">_xlfn.IFS(Table1[[#This Row],[age]]&lt;=17,"0-17",C2427&lt;=29,"18-29",C2427&lt;=44,"30-44",C2427&lt;=59,"45-59",C2427&lt;=74,"60-74",TRUE,"75+")</f>
        <v>30-44</v>
      </c>
      <c r="E2427" t="s">
        <v>29</v>
      </c>
      <c r="F2427">
        <v>9</v>
      </c>
      <c r="G2427" t="str" cm="1">
        <f t="array" ref="G2427">_xlfn.IFS(_xlfn.SINGLE(Table1[imd_decile])&lt;=3,"Most Deprived",F2427&lt;=7,"Moderately Deprived",F2427&lt;=10,"Least Deprived")</f>
        <v>Least Deprived</v>
      </c>
      <c r="H2427">
        <v>6</v>
      </c>
      <c r="I2427" t="s">
        <v>18</v>
      </c>
      <c r="J2427" t="s">
        <v>19</v>
      </c>
      <c r="K2427" s="1">
        <v>45946</v>
      </c>
      <c r="L2427" s="1">
        <v>45989</v>
      </c>
      <c r="M2427" s="1" t="str">
        <f>TEXT(Table1[[#This Row],[appointment_date]],"MM/YYYY")</f>
        <v>11/2025</v>
      </c>
      <c r="N2427">
        <v>43</v>
      </c>
      <c r="O2427" t="str" cm="1">
        <f t="array" ref="O2427">_xlfn.IFS(Table1[[#This Row],[lead_time_days]]&lt;=7,"0-7 days",N2427&lt;=14,"8-14 days",N2427&lt;=30,"15-30 days",N2427&lt;=60,"31-60 days",TRUE,"61+ days")</f>
        <v>31-60 days</v>
      </c>
      <c r="P2427" t="s">
        <v>52</v>
      </c>
      <c r="Q2427" t="s">
        <v>32</v>
      </c>
      <c r="R2427">
        <v>0</v>
      </c>
      <c r="S2427" t="str">
        <f>IF(Table1[prior_dna_count]&gt;=1,"Has prior DNA history","No prior DNA history")</f>
        <v>No prior DNA history</v>
      </c>
      <c r="T2427" t="s">
        <v>39</v>
      </c>
      <c r="U2427" t="str">
        <f t="shared" si="37"/>
        <v>1</v>
      </c>
      <c r="V2427" t="str">
        <f>IF(Table1[appointment_status]="Attended","1","0")</f>
        <v>0</v>
      </c>
      <c r="W2427" t="str">
        <f>IF(Table1[appointment_status]="Cancelled","1","0")</f>
        <v>0</v>
      </c>
    </row>
    <row r="2428" spans="1:23">
      <c r="A2428" t="s">
        <v>3708</v>
      </c>
      <c r="B2428" t="s">
        <v>3689</v>
      </c>
      <c r="C2428">
        <v>36</v>
      </c>
      <c r="D2428" t="str" cm="1">
        <f t="array" ref="D2428">_xlfn.IFS(Table1[[#This Row],[age]]&lt;=17,"0-17",C2428&lt;=29,"18-29",C2428&lt;=44,"30-44",C2428&lt;=59,"45-59",C2428&lt;=74,"60-74",TRUE,"75+")</f>
        <v>30-44</v>
      </c>
      <c r="E2428" t="s">
        <v>17</v>
      </c>
      <c r="F2428">
        <v>2</v>
      </c>
      <c r="G2428" t="str" cm="1">
        <f t="array" ref="G2428">_xlfn.IFS(_xlfn.SINGLE(Table1[imd_decile])&lt;=3,"Most Deprived",F2428&lt;=7,"Moderately Deprived",F2428&lt;=10,"Least Deprived")</f>
        <v>Most Deprived</v>
      </c>
      <c r="H2428">
        <v>13.4</v>
      </c>
      <c r="I2428" t="s">
        <v>42</v>
      </c>
      <c r="J2428" t="s">
        <v>19</v>
      </c>
      <c r="K2428" s="1">
        <v>45951</v>
      </c>
      <c r="L2428" s="1">
        <v>45989</v>
      </c>
      <c r="M2428" s="1" t="str">
        <f>TEXT(Table1[[#This Row],[appointment_date]],"MM/YYYY")</f>
        <v>11/2025</v>
      </c>
      <c r="N2428">
        <v>38</v>
      </c>
      <c r="O2428" t="str" cm="1">
        <f t="array" ref="O2428">_xlfn.IFS(Table1[[#This Row],[lead_time_days]]&lt;=7,"0-7 days",N2428&lt;=14,"8-14 days",N2428&lt;=30,"15-30 days",N2428&lt;=60,"31-60 days",TRUE,"61+ days")</f>
        <v>31-60 days</v>
      </c>
      <c r="P2428" t="s">
        <v>52</v>
      </c>
      <c r="Q2428" t="s">
        <v>21</v>
      </c>
      <c r="R2428">
        <v>0</v>
      </c>
      <c r="S2428" t="str">
        <f>IF(Table1[prior_dna_count]&gt;=1,"Has prior DNA history","No prior DNA history")</f>
        <v>No prior DNA history</v>
      </c>
      <c r="T2428" t="s">
        <v>46</v>
      </c>
      <c r="U2428" t="str">
        <f t="shared" si="37"/>
        <v>0</v>
      </c>
      <c r="V2428" t="str">
        <f>IF(Table1[appointment_status]="Attended","1","0")</f>
        <v>0</v>
      </c>
      <c r="W2428" t="str">
        <f>IF(Table1[appointment_status]="Cancelled","1","0")</f>
        <v>1</v>
      </c>
    </row>
    <row r="2429" spans="1:23">
      <c r="A2429" t="s">
        <v>3709</v>
      </c>
      <c r="B2429" t="s">
        <v>1940</v>
      </c>
      <c r="C2429">
        <v>43</v>
      </c>
      <c r="D2429" t="str" cm="1">
        <f t="array" ref="D2429">_xlfn.IFS(Table1[[#This Row],[age]]&lt;=17,"0-17",C2429&lt;=29,"18-29",C2429&lt;=44,"30-44",C2429&lt;=59,"45-59",C2429&lt;=74,"60-74",TRUE,"75+")</f>
        <v>30-44</v>
      </c>
      <c r="E2429" t="s">
        <v>17</v>
      </c>
      <c r="F2429">
        <v>5</v>
      </c>
      <c r="G2429" t="str" cm="1">
        <f t="array" ref="G2429">_xlfn.IFS(_xlfn.SINGLE(Table1[imd_decile])&lt;=3,"Most Deprived",F2429&lt;=7,"Moderately Deprived",F2429&lt;=10,"Least Deprived")</f>
        <v>Moderately Deprived</v>
      </c>
      <c r="H2429">
        <v>23.9</v>
      </c>
      <c r="I2429" t="s">
        <v>18</v>
      </c>
      <c r="J2429" t="s">
        <v>19</v>
      </c>
      <c r="K2429" s="1">
        <v>45915</v>
      </c>
      <c r="L2429" s="1">
        <v>45989</v>
      </c>
      <c r="M2429" s="1" t="str">
        <f>TEXT(Table1[[#This Row],[appointment_date]],"MM/YYYY")</f>
        <v>11/2025</v>
      </c>
      <c r="N2429">
        <v>74</v>
      </c>
      <c r="O2429" t="str" cm="1">
        <f t="array" ref="O2429">_xlfn.IFS(Table1[[#This Row],[lead_time_days]]&lt;=7,"0-7 days",N2429&lt;=14,"8-14 days",N2429&lt;=30,"15-30 days",N2429&lt;=60,"31-60 days",TRUE,"61+ days")</f>
        <v>61+ days</v>
      </c>
      <c r="P2429" t="s">
        <v>52</v>
      </c>
      <c r="Q2429" t="s">
        <v>32</v>
      </c>
      <c r="R2429">
        <v>0</v>
      </c>
      <c r="S2429" t="str">
        <f>IF(Table1[prior_dna_count]&gt;=1,"Has prior DNA history","No prior DNA history")</f>
        <v>No prior DNA history</v>
      </c>
      <c r="T2429" t="s">
        <v>22</v>
      </c>
      <c r="U2429" t="str">
        <f t="shared" si="37"/>
        <v>0</v>
      </c>
      <c r="V2429" t="str">
        <f>IF(Table1[appointment_status]="Attended","1","0")</f>
        <v>1</v>
      </c>
      <c r="W2429" t="str">
        <f>IF(Table1[appointment_status]="Cancelled","1","0")</f>
        <v>0</v>
      </c>
    </row>
    <row r="2430" spans="1:23">
      <c r="A2430" t="s">
        <v>3710</v>
      </c>
      <c r="B2430" t="s">
        <v>659</v>
      </c>
      <c r="C2430">
        <v>43</v>
      </c>
      <c r="D2430" t="str" cm="1">
        <f t="array" ref="D2430">_xlfn.IFS(Table1[[#This Row],[age]]&lt;=17,"0-17",C2430&lt;=29,"18-29",C2430&lt;=44,"30-44",C2430&lt;=59,"45-59",C2430&lt;=74,"60-74",TRUE,"75+")</f>
        <v>30-44</v>
      </c>
      <c r="E2430" t="s">
        <v>17</v>
      </c>
      <c r="F2430">
        <v>9</v>
      </c>
      <c r="G2430" t="str" cm="1">
        <f t="array" ref="G2430">_xlfn.IFS(_xlfn.SINGLE(Table1[imd_decile])&lt;=3,"Most Deprived",F2430&lt;=7,"Moderately Deprived",F2430&lt;=10,"Least Deprived")</f>
        <v>Least Deprived</v>
      </c>
      <c r="H2430">
        <v>6.5</v>
      </c>
      <c r="I2430" t="s">
        <v>42</v>
      </c>
      <c r="J2430" t="s">
        <v>19</v>
      </c>
      <c r="K2430" s="1">
        <v>45962</v>
      </c>
      <c r="L2430" s="1">
        <v>45990</v>
      </c>
      <c r="M2430" s="1" t="str">
        <f>TEXT(Table1[[#This Row],[appointment_date]],"MM/YYYY")</f>
        <v>11/2025</v>
      </c>
      <c r="N2430">
        <v>28</v>
      </c>
      <c r="O2430" t="str" cm="1">
        <f t="array" ref="O2430">_xlfn.IFS(Table1[[#This Row],[lead_time_days]]&lt;=7,"0-7 days",N2430&lt;=14,"8-14 days",N2430&lt;=30,"15-30 days",N2430&lt;=60,"31-60 days",TRUE,"61+ days")</f>
        <v>15-30 days</v>
      </c>
      <c r="P2430" t="s">
        <v>55</v>
      </c>
      <c r="Q2430" t="s">
        <v>21</v>
      </c>
      <c r="R2430">
        <v>0</v>
      </c>
      <c r="S2430" t="str">
        <f>IF(Table1[prior_dna_count]&gt;=1,"Has prior DNA history","No prior DNA history")</f>
        <v>No prior DNA history</v>
      </c>
      <c r="T2430" t="s">
        <v>22</v>
      </c>
      <c r="U2430" t="str">
        <f t="shared" si="37"/>
        <v>1</v>
      </c>
      <c r="V2430" t="str">
        <f>IF(Table1[appointment_status]="Attended","1","0")</f>
        <v>1</v>
      </c>
      <c r="W2430" t="str">
        <f>IF(Table1[appointment_status]="Cancelled","1","0")</f>
        <v>0</v>
      </c>
    </row>
    <row r="2431" spans="1:23">
      <c r="A2431" t="s">
        <v>3711</v>
      </c>
      <c r="B2431" t="s">
        <v>1396</v>
      </c>
      <c r="C2431">
        <v>14</v>
      </c>
      <c r="D2431" t="str" cm="1">
        <f t="array" ref="D2431">_xlfn.IFS(Table1[[#This Row],[age]]&lt;=17,"0-17",C2431&lt;=29,"18-29",C2431&lt;=44,"30-44",C2431&lt;=59,"45-59",C2431&lt;=74,"60-74",TRUE,"75+")</f>
        <v>0-17</v>
      </c>
      <c r="E2431" t="s">
        <v>17</v>
      </c>
      <c r="F2431">
        <v>2</v>
      </c>
      <c r="G2431" t="str" cm="1">
        <f t="array" ref="G2431">_xlfn.IFS(_xlfn.SINGLE(Table1[imd_decile])&lt;=3,"Most Deprived",F2431&lt;=7,"Moderately Deprived",F2431&lt;=10,"Least Deprived")</f>
        <v>Most Deprived</v>
      </c>
      <c r="H2431">
        <v>7.6</v>
      </c>
      <c r="I2431" t="s">
        <v>25</v>
      </c>
      <c r="J2431" t="s">
        <v>26</v>
      </c>
      <c r="K2431" s="1">
        <v>45950</v>
      </c>
      <c r="L2431" s="1">
        <v>45991</v>
      </c>
      <c r="M2431" s="1" t="str">
        <f>TEXT(Table1[[#This Row],[appointment_date]],"MM/YYYY")</f>
        <v>11/2025</v>
      </c>
      <c r="N2431">
        <v>41</v>
      </c>
      <c r="O2431" t="str" cm="1">
        <f t="array" ref="O2431">_xlfn.IFS(Table1[[#This Row],[lead_time_days]]&lt;=7,"0-7 days",N2431&lt;=14,"8-14 days",N2431&lt;=30,"15-30 days",N2431&lt;=60,"31-60 days",TRUE,"61+ days")</f>
        <v>31-60 days</v>
      </c>
      <c r="P2431" t="s">
        <v>31</v>
      </c>
      <c r="Q2431" t="s">
        <v>32</v>
      </c>
      <c r="R2431">
        <v>0</v>
      </c>
      <c r="S2431" t="str">
        <f>IF(Table1[prior_dna_count]&gt;=1,"Has prior DNA history","No prior DNA history")</f>
        <v>No prior DNA history</v>
      </c>
      <c r="T2431" t="s">
        <v>39</v>
      </c>
      <c r="U2431" t="str">
        <f t="shared" si="37"/>
        <v>1</v>
      </c>
      <c r="V2431" t="str">
        <f>IF(Table1[appointment_status]="Attended","1","0")</f>
        <v>0</v>
      </c>
      <c r="W2431" t="str">
        <f>IF(Table1[appointment_status]="Cancelled","1","0")</f>
        <v>0</v>
      </c>
    </row>
    <row r="2432" spans="1:23">
      <c r="A2432" t="s">
        <v>3712</v>
      </c>
      <c r="B2432" t="s">
        <v>3713</v>
      </c>
      <c r="C2432">
        <v>51</v>
      </c>
      <c r="D2432" t="str" cm="1">
        <f t="array" ref="D2432">_xlfn.IFS(Table1[[#This Row],[age]]&lt;=17,"0-17",C2432&lt;=29,"18-29",C2432&lt;=44,"30-44",C2432&lt;=59,"45-59",C2432&lt;=74,"60-74",TRUE,"75+")</f>
        <v>45-59</v>
      </c>
      <c r="E2432" t="s">
        <v>17</v>
      </c>
      <c r="F2432">
        <v>10</v>
      </c>
      <c r="G2432" t="str" cm="1">
        <f t="array" ref="G2432">_xlfn.IFS(_xlfn.SINGLE(Table1[imd_decile])&lt;=3,"Most Deprived",F2432&lt;=7,"Moderately Deprived",F2432&lt;=10,"Least Deprived")</f>
        <v>Least Deprived</v>
      </c>
      <c r="H2432">
        <v>17.100000000000001</v>
      </c>
      <c r="I2432" t="s">
        <v>42</v>
      </c>
      <c r="J2432" t="s">
        <v>19</v>
      </c>
      <c r="K2432" s="1">
        <v>45950</v>
      </c>
      <c r="L2432" s="1">
        <v>45991</v>
      </c>
      <c r="M2432" s="1" t="str">
        <f>TEXT(Table1[[#This Row],[appointment_date]],"MM/YYYY")</f>
        <v>11/2025</v>
      </c>
      <c r="N2432">
        <v>41</v>
      </c>
      <c r="O2432" t="str" cm="1">
        <f t="array" ref="O2432">_xlfn.IFS(Table1[[#This Row],[lead_time_days]]&lt;=7,"0-7 days",N2432&lt;=14,"8-14 days",N2432&lt;=30,"15-30 days",N2432&lt;=60,"31-60 days",TRUE,"61+ days")</f>
        <v>31-60 days</v>
      </c>
      <c r="P2432" t="s">
        <v>31</v>
      </c>
      <c r="Q2432" t="s">
        <v>32</v>
      </c>
      <c r="R2432">
        <v>0</v>
      </c>
      <c r="S2432" t="str">
        <f>IF(Table1[prior_dna_count]&gt;=1,"Has prior DNA history","No prior DNA history")</f>
        <v>No prior DNA history</v>
      </c>
      <c r="T2432" t="s">
        <v>22</v>
      </c>
      <c r="U2432" t="str">
        <f t="shared" si="37"/>
        <v>0</v>
      </c>
      <c r="V2432" t="str">
        <f>IF(Table1[appointment_status]="Attended","1","0")</f>
        <v>1</v>
      </c>
      <c r="W2432" t="str">
        <f>IF(Table1[appointment_status]="Cancelled","1","0")</f>
        <v>0</v>
      </c>
    </row>
    <row r="2433" spans="1:23">
      <c r="A2433" t="s">
        <v>3714</v>
      </c>
      <c r="B2433" t="s">
        <v>2302</v>
      </c>
      <c r="C2433">
        <v>40</v>
      </c>
      <c r="D2433" t="str" cm="1">
        <f t="array" ref="D2433">_xlfn.IFS(Table1[[#This Row],[age]]&lt;=17,"0-17",C2433&lt;=29,"18-29",C2433&lt;=44,"30-44",C2433&lt;=59,"45-59",C2433&lt;=74,"60-74",TRUE,"75+")</f>
        <v>30-44</v>
      </c>
      <c r="E2433" t="s">
        <v>29</v>
      </c>
      <c r="F2433">
        <v>4</v>
      </c>
      <c r="G2433" t="str" cm="1">
        <f t="array" ref="G2433">_xlfn.IFS(_xlfn.SINGLE(Table1[imd_decile])&lt;=3,"Most Deprived",F2433&lt;=7,"Moderately Deprived",F2433&lt;=10,"Least Deprived")</f>
        <v>Moderately Deprived</v>
      </c>
      <c r="H2433">
        <v>13.3</v>
      </c>
      <c r="I2433" t="s">
        <v>25</v>
      </c>
      <c r="J2433" t="s">
        <v>26</v>
      </c>
      <c r="K2433" s="1">
        <v>45961</v>
      </c>
      <c r="L2433" s="1">
        <v>45991</v>
      </c>
      <c r="M2433" s="1" t="str">
        <f>TEXT(Table1[[#This Row],[appointment_date]],"MM/YYYY")</f>
        <v>11/2025</v>
      </c>
      <c r="N2433">
        <v>30</v>
      </c>
      <c r="O2433" t="str" cm="1">
        <f t="array" ref="O2433">_xlfn.IFS(Table1[[#This Row],[lead_time_days]]&lt;=7,"0-7 days",N2433&lt;=14,"8-14 days",N2433&lt;=30,"15-30 days",N2433&lt;=60,"31-60 days",TRUE,"61+ days")</f>
        <v>15-30 days</v>
      </c>
      <c r="P2433" t="s">
        <v>31</v>
      </c>
      <c r="Q2433" t="s">
        <v>21</v>
      </c>
      <c r="R2433">
        <v>0</v>
      </c>
      <c r="S2433" t="str">
        <f>IF(Table1[prior_dna_count]&gt;=1,"Has prior DNA history","No prior DNA history")</f>
        <v>No prior DNA history</v>
      </c>
      <c r="T2433" t="s">
        <v>22</v>
      </c>
      <c r="U2433" t="str">
        <f t="shared" si="37"/>
        <v>1</v>
      </c>
      <c r="V2433" t="str">
        <f>IF(Table1[appointment_status]="Attended","1","0")</f>
        <v>1</v>
      </c>
      <c r="W2433" t="str">
        <f>IF(Table1[appointment_status]="Cancelled","1","0")</f>
        <v>0</v>
      </c>
    </row>
    <row r="2434" spans="1:23">
      <c r="A2434" t="s">
        <v>3715</v>
      </c>
      <c r="B2434" t="s">
        <v>3716</v>
      </c>
      <c r="C2434">
        <v>40</v>
      </c>
      <c r="D2434" t="str" cm="1">
        <f t="array" ref="D2434">_xlfn.IFS(Table1[[#This Row],[age]]&lt;=17,"0-17",C2434&lt;=29,"18-29",C2434&lt;=44,"30-44",C2434&lt;=59,"45-59",C2434&lt;=74,"60-74",TRUE,"75+")</f>
        <v>30-44</v>
      </c>
      <c r="E2434" t="s">
        <v>29</v>
      </c>
      <c r="F2434">
        <v>10</v>
      </c>
      <c r="G2434" t="str" cm="1">
        <f t="array" ref="G2434">_xlfn.IFS(_xlfn.SINGLE(Table1[imd_decile])&lt;=3,"Most Deprived",F2434&lt;=7,"Moderately Deprived",F2434&lt;=10,"Least Deprived")</f>
        <v>Least Deprived</v>
      </c>
      <c r="H2434">
        <v>3.7</v>
      </c>
      <c r="I2434" t="s">
        <v>18</v>
      </c>
      <c r="J2434" t="s">
        <v>19</v>
      </c>
      <c r="K2434" s="1">
        <v>45931</v>
      </c>
      <c r="L2434" s="1">
        <v>45991</v>
      </c>
      <c r="M2434" s="1" t="str">
        <f>TEXT(Table1[[#This Row],[appointment_date]],"MM/YYYY")</f>
        <v>11/2025</v>
      </c>
      <c r="N2434">
        <v>60</v>
      </c>
      <c r="O2434" t="str" cm="1">
        <f t="array" ref="O2434">_xlfn.IFS(Table1[[#This Row],[lead_time_days]]&lt;=7,"0-7 days",N2434&lt;=14,"8-14 days",N2434&lt;=30,"15-30 days",N2434&lt;=60,"31-60 days",TRUE,"61+ days")</f>
        <v>31-60 days</v>
      </c>
      <c r="P2434" t="s">
        <v>31</v>
      </c>
      <c r="Q2434" t="s">
        <v>32</v>
      </c>
      <c r="R2434">
        <v>0</v>
      </c>
      <c r="S2434" t="str">
        <f>IF(Table1[prior_dna_count]&gt;=1,"Has prior DNA history","No prior DNA history")</f>
        <v>No prior DNA history</v>
      </c>
      <c r="T2434" t="s">
        <v>39</v>
      </c>
      <c r="U2434" t="str">
        <f t="shared" ref="U2434:U2501" si="38">V2433</f>
        <v>1</v>
      </c>
      <c r="V2434" t="str">
        <f>IF(Table1[appointment_status]="Attended","1","0")</f>
        <v>0</v>
      </c>
      <c r="W2434" t="str">
        <f>IF(Table1[appointment_status]="Cancelled","1","0")</f>
        <v>0</v>
      </c>
    </row>
    <row r="2435" spans="1:23">
      <c r="A2435" t="s">
        <v>3717</v>
      </c>
      <c r="B2435" t="s">
        <v>2927</v>
      </c>
      <c r="C2435">
        <v>38</v>
      </c>
      <c r="D2435" t="str" cm="1">
        <f t="array" ref="D2435">_xlfn.IFS(Table1[[#This Row],[age]]&lt;=17,"0-17",C2435&lt;=29,"18-29",C2435&lt;=44,"30-44",C2435&lt;=59,"45-59",C2435&lt;=74,"60-74",TRUE,"75+")</f>
        <v>30-44</v>
      </c>
      <c r="E2435" t="s">
        <v>29</v>
      </c>
      <c r="F2435">
        <v>8</v>
      </c>
      <c r="G2435" t="str" cm="1">
        <f t="array" ref="G2435">_xlfn.IFS(_xlfn.SINGLE(Table1[imd_decile])&lt;=3,"Most Deprived",F2435&lt;=7,"Moderately Deprived",F2435&lt;=10,"Least Deprived")</f>
        <v>Least Deprived</v>
      </c>
      <c r="H2435">
        <v>6</v>
      </c>
      <c r="I2435" t="s">
        <v>18</v>
      </c>
      <c r="J2435" t="s">
        <v>26</v>
      </c>
      <c r="K2435" s="1">
        <v>45943</v>
      </c>
      <c r="L2435" s="1">
        <v>45992</v>
      </c>
      <c r="M2435" s="1" t="str">
        <f>TEXT(Table1[[#This Row],[appointment_date]],"MM/YYYY")</f>
        <v>12/2025</v>
      </c>
      <c r="N2435">
        <v>49</v>
      </c>
      <c r="O2435" t="str" cm="1">
        <f t="array" ref="O2435">_xlfn.IFS(Table1[[#This Row],[lead_time_days]]&lt;=7,"0-7 days",N2435&lt;=14,"8-14 days",N2435&lt;=30,"15-30 days",N2435&lt;=60,"31-60 days",TRUE,"61+ days")</f>
        <v>31-60 days</v>
      </c>
      <c r="P2435" t="s">
        <v>35</v>
      </c>
      <c r="Q2435" t="s">
        <v>21</v>
      </c>
      <c r="R2435">
        <v>0</v>
      </c>
      <c r="S2435" t="str">
        <f>IF(Table1[prior_dna_count]&gt;=1,"Has prior DNA history","No prior DNA history")</f>
        <v>No prior DNA history</v>
      </c>
      <c r="T2435" t="s">
        <v>46</v>
      </c>
      <c r="U2435" t="str">
        <f t="shared" si="38"/>
        <v>0</v>
      </c>
      <c r="V2435" t="str">
        <f>IF(Table1[appointment_status]="Attended","1","0")</f>
        <v>0</v>
      </c>
      <c r="W2435" t="str">
        <f>IF(Table1[appointment_status]="Cancelled","1","0")</f>
        <v>1</v>
      </c>
    </row>
    <row r="2436" spans="1:23">
      <c r="A2436" t="s">
        <v>3718</v>
      </c>
      <c r="B2436" t="s">
        <v>535</v>
      </c>
      <c r="C2436">
        <v>77</v>
      </c>
      <c r="D2436" t="str" cm="1">
        <f t="array" ref="D2436">_xlfn.IFS(Table1[[#This Row],[age]]&lt;=17,"0-17",C2436&lt;=29,"18-29",C2436&lt;=44,"30-44",C2436&lt;=59,"45-59",C2436&lt;=74,"60-74",TRUE,"75+")</f>
        <v>75+</v>
      </c>
      <c r="E2436" t="s">
        <v>17</v>
      </c>
      <c r="F2436">
        <v>1</v>
      </c>
      <c r="G2436" t="str" cm="1">
        <f t="array" ref="G2436">_xlfn.IFS(_xlfn.SINGLE(Table1[imd_decile])&lt;=3,"Most Deprived",F2436&lt;=7,"Moderately Deprived",F2436&lt;=10,"Least Deprived")</f>
        <v>Most Deprived</v>
      </c>
      <c r="H2436">
        <v>6.4</v>
      </c>
      <c r="I2436" t="s">
        <v>38</v>
      </c>
      <c r="J2436" t="s">
        <v>19</v>
      </c>
      <c r="K2436" s="1">
        <v>45960</v>
      </c>
      <c r="L2436" s="1">
        <v>45992</v>
      </c>
      <c r="M2436" s="1" t="str">
        <f>TEXT(Table1[[#This Row],[appointment_date]],"MM/YYYY")</f>
        <v>12/2025</v>
      </c>
      <c r="N2436">
        <v>32</v>
      </c>
      <c r="O2436" t="str" cm="1">
        <f t="array" ref="O2436">_xlfn.IFS(Table1[[#This Row],[lead_time_days]]&lt;=7,"0-7 days",N2436&lt;=14,"8-14 days",N2436&lt;=30,"15-30 days",N2436&lt;=60,"31-60 days",TRUE,"61+ days")</f>
        <v>31-60 days</v>
      </c>
      <c r="P2436" t="s">
        <v>35</v>
      </c>
      <c r="Q2436" t="s">
        <v>32</v>
      </c>
      <c r="R2436">
        <v>0</v>
      </c>
      <c r="S2436" t="str">
        <f>IF(Table1[prior_dna_count]&gt;=1,"Has prior DNA history","No prior DNA history")</f>
        <v>No prior DNA history</v>
      </c>
      <c r="T2436" t="s">
        <v>22</v>
      </c>
      <c r="U2436" t="str">
        <f t="shared" si="38"/>
        <v>0</v>
      </c>
      <c r="V2436" t="str">
        <f>IF(Table1[appointment_status]="Attended","1","0")</f>
        <v>1</v>
      </c>
      <c r="W2436" t="str">
        <f>IF(Table1[appointment_status]="Cancelled","1","0")</f>
        <v>0</v>
      </c>
    </row>
    <row r="2437" spans="1:23">
      <c r="A2437" t="s">
        <v>3719</v>
      </c>
      <c r="B2437" t="s">
        <v>891</v>
      </c>
      <c r="C2437">
        <v>33</v>
      </c>
      <c r="D2437" t="str" cm="1">
        <f t="array" ref="D2437">_xlfn.IFS(Table1[[#This Row],[age]]&lt;=17,"0-17",C2437&lt;=29,"18-29",C2437&lt;=44,"30-44",C2437&lt;=59,"45-59",C2437&lt;=74,"60-74",TRUE,"75+")</f>
        <v>30-44</v>
      </c>
      <c r="E2437" t="s">
        <v>17</v>
      </c>
      <c r="F2437">
        <v>9</v>
      </c>
      <c r="G2437" t="str" cm="1">
        <f t="array" ref="G2437">_xlfn.IFS(_xlfn.SINGLE(Table1[imd_decile])&lt;=3,"Most Deprived",F2437&lt;=7,"Moderately Deprived",F2437&lt;=10,"Least Deprived")</f>
        <v>Least Deprived</v>
      </c>
      <c r="H2437">
        <v>2.6</v>
      </c>
      <c r="I2437" t="s">
        <v>155</v>
      </c>
      <c r="J2437" t="s">
        <v>19</v>
      </c>
      <c r="K2437" s="1">
        <v>45941</v>
      </c>
      <c r="L2437" s="1">
        <v>45992</v>
      </c>
      <c r="M2437" s="1" t="str">
        <f>TEXT(Table1[[#This Row],[appointment_date]],"MM/YYYY")</f>
        <v>12/2025</v>
      </c>
      <c r="N2437">
        <v>51</v>
      </c>
      <c r="O2437" t="str" cm="1">
        <f t="array" ref="O2437">_xlfn.IFS(Table1[[#This Row],[lead_time_days]]&lt;=7,"0-7 days",N2437&lt;=14,"8-14 days",N2437&lt;=30,"15-30 days",N2437&lt;=60,"31-60 days",TRUE,"61+ days")</f>
        <v>31-60 days</v>
      </c>
      <c r="P2437" t="s">
        <v>35</v>
      </c>
      <c r="Q2437" t="s">
        <v>32</v>
      </c>
      <c r="R2437">
        <v>1</v>
      </c>
      <c r="S2437" t="str">
        <f>IF(Table1[prior_dna_count]&gt;=1,"Has prior DNA history","No prior DNA history")</f>
        <v>Has prior DNA history</v>
      </c>
      <c r="T2437" t="s">
        <v>22</v>
      </c>
      <c r="U2437" t="str">
        <f t="shared" si="38"/>
        <v>1</v>
      </c>
      <c r="V2437" t="str">
        <f>IF(Table1[appointment_status]="Attended","1","0")</f>
        <v>1</v>
      </c>
      <c r="W2437" t="str">
        <f>IF(Table1[appointment_status]="Cancelled","1","0")</f>
        <v>0</v>
      </c>
    </row>
    <row r="2438" spans="1:23">
      <c r="A2438" t="s">
        <v>3720</v>
      </c>
      <c r="B2438" t="s">
        <v>2007</v>
      </c>
      <c r="C2438">
        <v>55</v>
      </c>
      <c r="D2438" t="str" cm="1">
        <f t="array" ref="D2438">_xlfn.IFS(Table1[[#This Row],[age]]&lt;=17,"0-17",C2438&lt;=29,"18-29",C2438&lt;=44,"30-44",C2438&lt;=59,"45-59",C2438&lt;=74,"60-74",TRUE,"75+")</f>
        <v>45-59</v>
      </c>
      <c r="E2438" t="s">
        <v>29</v>
      </c>
      <c r="F2438">
        <v>2</v>
      </c>
      <c r="G2438" t="str" cm="1">
        <f t="array" ref="G2438">_xlfn.IFS(_xlfn.SINGLE(Table1[imd_decile])&lt;=3,"Most Deprived",F2438&lt;=7,"Moderately Deprived",F2438&lt;=10,"Least Deprived")</f>
        <v>Most Deprived</v>
      </c>
      <c r="H2438">
        <v>5.6</v>
      </c>
      <c r="I2438" t="s">
        <v>30</v>
      </c>
      <c r="J2438" t="s">
        <v>19</v>
      </c>
      <c r="K2438" s="1">
        <v>45960</v>
      </c>
      <c r="L2438" s="1">
        <v>45992</v>
      </c>
      <c r="M2438" s="1" t="str">
        <f>TEXT(Table1[[#This Row],[appointment_date]],"MM/YYYY")</f>
        <v>12/2025</v>
      </c>
      <c r="N2438">
        <v>32</v>
      </c>
      <c r="O2438" t="str" cm="1">
        <f t="array" ref="O2438">_xlfn.IFS(Table1[[#This Row],[lead_time_days]]&lt;=7,"0-7 days",N2438&lt;=14,"8-14 days",N2438&lt;=30,"15-30 days",N2438&lt;=60,"31-60 days",TRUE,"61+ days")</f>
        <v>31-60 days</v>
      </c>
      <c r="P2438" t="s">
        <v>35</v>
      </c>
      <c r="Q2438" t="s">
        <v>21</v>
      </c>
      <c r="R2438">
        <v>0</v>
      </c>
      <c r="S2438" t="str">
        <f>IF(Table1[prior_dna_count]&gt;=1,"Has prior DNA history","No prior DNA history")</f>
        <v>No prior DNA history</v>
      </c>
      <c r="T2438" t="s">
        <v>22</v>
      </c>
      <c r="U2438" t="str">
        <f t="shared" si="38"/>
        <v>1</v>
      </c>
      <c r="V2438" t="str">
        <f>IF(Table1[appointment_status]="Attended","1","0")</f>
        <v>1</v>
      </c>
      <c r="W2438" t="str">
        <f>IF(Table1[appointment_status]="Cancelled","1","0")</f>
        <v>0</v>
      </c>
    </row>
    <row r="2439" spans="1:23">
      <c r="A2439" t="s">
        <v>3721</v>
      </c>
      <c r="B2439" t="s">
        <v>377</v>
      </c>
      <c r="C2439">
        <v>56</v>
      </c>
      <c r="D2439" t="str" cm="1">
        <f t="array" ref="D2439">_xlfn.IFS(Table1[[#This Row],[age]]&lt;=17,"0-17",C2439&lt;=29,"18-29",C2439&lt;=44,"30-44",C2439&lt;=59,"45-59",C2439&lt;=74,"60-74",TRUE,"75+")</f>
        <v>45-59</v>
      </c>
      <c r="E2439" t="s">
        <v>29</v>
      </c>
      <c r="F2439">
        <v>9</v>
      </c>
      <c r="G2439" t="str" cm="1">
        <f t="array" ref="G2439">_xlfn.IFS(_xlfn.SINGLE(Table1[imd_decile])&lt;=3,"Most Deprived",F2439&lt;=7,"Moderately Deprived",F2439&lt;=10,"Least Deprived")</f>
        <v>Least Deprived</v>
      </c>
      <c r="H2439">
        <v>3.3</v>
      </c>
      <c r="I2439" t="s">
        <v>38</v>
      </c>
      <c r="J2439" t="s">
        <v>19</v>
      </c>
      <c r="K2439" s="1">
        <v>45951</v>
      </c>
      <c r="L2439" s="1">
        <v>45992</v>
      </c>
      <c r="M2439" s="1" t="str">
        <f>TEXT(Table1[[#This Row],[appointment_date]],"MM/YYYY")</f>
        <v>12/2025</v>
      </c>
      <c r="N2439">
        <v>41</v>
      </c>
      <c r="O2439" t="str" cm="1">
        <f t="array" ref="O2439">_xlfn.IFS(Table1[[#This Row],[lead_time_days]]&lt;=7,"0-7 days",N2439&lt;=14,"8-14 days",N2439&lt;=30,"15-30 days",N2439&lt;=60,"31-60 days",TRUE,"61+ days")</f>
        <v>31-60 days</v>
      </c>
      <c r="P2439" t="s">
        <v>35</v>
      </c>
      <c r="Q2439" t="s">
        <v>32</v>
      </c>
      <c r="R2439">
        <v>2</v>
      </c>
      <c r="S2439" t="str">
        <f>IF(Table1[prior_dna_count]&gt;=1,"Has prior DNA history","No prior DNA history")</f>
        <v>Has prior DNA history</v>
      </c>
      <c r="T2439" t="s">
        <v>22</v>
      </c>
      <c r="U2439" t="str">
        <f t="shared" si="38"/>
        <v>1</v>
      </c>
      <c r="V2439" t="str">
        <f>IF(Table1[appointment_status]="Attended","1","0")</f>
        <v>1</v>
      </c>
      <c r="W2439" t="str">
        <f>IF(Table1[appointment_status]="Cancelled","1","0")</f>
        <v>0</v>
      </c>
    </row>
    <row r="2440" spans="1:23">
      <c r="A2440" t="s">
        <v>3722</v>
      </c>
      <c r="B2440" t="s">
        <v>537</v>
      </c>
      <c r="C2440">
        <v>25</v>
      </c>
      <c r="D2440" t="str" cm="1">
        <f t="array" ref="D2440">_xlfn.IFS(Table1[[#This Row],[age]]&lt;=17,"0-17",C2440&lt;=29,"18-29",C2440&lt;=44,"30-44",C2440&lt;=59,"45-59",C2440&lt;=74,"60-74",TRUE,"75+")</f>
        <v>18-29</v>
      </c>
      <c r="E2440" t="s">
        <v>29</v>
      </c>
      <c r="F2440">
        <v>1</v>
      </c>
      <c r="G2440" t="str" cm="1">
        <f t="array" ref="G2440">_xlfn.IFS(_xlfn.SINGLE(Table1[imd_decile])&lt;=3,"Most Deprived",F2440&lt;=7,"Moderately Deprived",F2440&lt;=10,"Least Deprived")</f>
        <v>Most Deprived</v>
      </c>
      <c r="H2440">
        <v>18.3</v>
      </c>
      <c r="I2440" t="s">
        <v>49</v>
      </c>
      <c r="J2440" t="s">
        <v>19</v>
      </c>
      <c r="K2440" s="1">
        <v>45951</v>
      </c>
      <c r="L2440" s="1">
        <v>45993</v>
      </c>
      <c r="M2440" s="1" t="str">
        <f>TEXT(Table1[[#This Row],[appointment_date]],"MM/YYYY")</f>
        <v>12/2025</v>
      </c>
      <c r="N2440">
        <v>42</v>
      </c>
      <c r="O2440" t="str" cm="1">
        <f t="array" ref="O2440">_xlfn.IFS(Table1[[#This Row],[lead_time_days]]&lt;=7,"0-7 days",N2440&lt;=14,"8-14 days",N2440&lt;=30,"15-30 days",N2440&lt;=60,"31-60 days",TRUE,"61+ days")</f>
        <v>31-60 days</v>
      </c>
      <c r="P2440" t="s">
        <v>71</v>
      </c>
      <c r="Q2440" t="s">
        <v>21</v>
      </c>
      <c r="R2440">
        <v>1</v>
      </c>
      <c r="S2440" t="str">
        <f>IF(Table1[prior_dna_count]&gt;=1,"Has prior DNA history","No prior DNA history")</f>
        <v>Has prior DNA history</v>
      </c>
      <c r="T2440" t="s">
        <v>22</v>
      </c>
      <c r="U2440" t="str">
        <f t="shared" si="38"/>
        <v>1</v>
      </c>
      <c r="V2440" t="str">
        <f>IF(Table1[appointment_status]="Attended","1","0")</f>
        <v>1</v>
      </c>
      <c r="W2440" t="str">
        <f>IF(Table1[appointment_status]="Cancelled","1","0")</f>
        <v>0</v>
      </c>
    </row>
    <row r="2441" spans="1:23">
      <c r="A2441" t="s">
        <v>3723</v>
      </c>
      <c r="B2441" t="s">
        <v>3571</v>
      </c>
      <c r="C2441">
        <v>46</v>
      </c>
      <c r="D2441" t="str" cm="1">
        <f t="array" ref="D2441">_xlfn.IFS(Table1[[#This Row],[age]]&lt;=17,"0-17",C2441&lt;=29,"18-29",C2441&lt;=44,"30-44",C2441&lt;=59,"45-59",C2441&lt;=74,"60-74",TRUE,"75+")</f>
        <v>45-59</v>
      </c>
      <c r="E2441" t="s">
        <v>17</v>
      </c>
      <c r="F2441">
        <v>2</v>
      </c>
      <c r="G2441" t="str" cm="1">
        <f t="array" ref="G2441">_xlfn.IFS(_xlfn.SINGLE(Table1[imd_decile])&lt;=3,"Most Deprived",F2441&lt;=7,"Moderately Deprived",F2441&lt;=10,"Least Deprived")</f>
        <v>Most Deprived</v>
      </c>
      <c r="H2441">
        <v>10.4</v>
      </c>
      <c r="I2441" t="s">
        <v>91</v>
      </c>
      <c r="J2441" t="s">
        <v>19</v>
      </c>
      <c r="K2441" s="1">
        <v>45907</v>
      </c>
      <c r="L2441" s="1">
        <v>45993</v>
      </c>
      <c r="M2441" s="1" t="str">
        <f>TEXT(Table1[[#This Row],[appointment_date]],"MM/YYYY")</f>
        <v>12/2025</v>
      </c>
      <c r="N2441">
        <v>86</v>
      </c>
      <c r="O2441" t="str" cm="1">
        <f t="array" ref="O2441">_xlfn.IFS(Table1[[#This Row],[lead_time_days]]&lt;=7,"0-7 days",N2441&lt;=14,"8-14 days",N2441&lt;=30,"15-30 days",N2441&lt;=60,"31-60 days",TRUE,"61+ days")</f>
        <v>61+ days</v>
      </c>
      <c r="P2441" t="s">
        <v>71</v>
      </c>
      <c r="Q2441" t="s">
        <v>32</v>
      </c>
      <c r="R2441">
        <v>0</v>
      </c>
      <c r="S2441" t="str">
        <f>IF(Table1[prior_dna_count]&gt;=1,"Has prior DNA history","No prior DNA history")</f>
        <v>No prior DNA history</v>
      </c>
      <c r="T2441" t="s">
        <v>22</v>
      </c>
      <c r="U2441" t="str">
        <f t="shared" si="38"/>
        <v>1</v>
      </c>
      <c r="V2441" t="str">
        <f>IF(Table1[appointment_status]="Attended","1","0")</f>
        <v>1</v>
      </c>
      <c r="W2441" t="str">
        <f>IF(Table1[appointment_status]="Cancelled","1","0")</f>
        <v>0</v>
      </c>
    </row>
    <row r="2442" spans="1:23">
      <c r="A2442" t="s">
        <v>3724</v>
      </c>
      <c r="B2442" t="s">
        <v>1783</v>
      </c>
      <c r="C2442">
        <v>38</v>
      </c>
      <c r="D2442" t="str" cm="1">
        <f t="array" ref="D2442">_xlfn.IFS(Table1[[#This Row],[age]]&lt;=17,"0-17",C2442&lt;=29,"18-29",C2442&lt;=44,"30-44",C2442&lt;=59,"45-59",C2442&lt;=74,"60-74",TRUE,"75+")</f>
        <v>30-44</v>
      </c>
      <c r="E2442" t="s">
        <v>29</v>
      </c>
      <c r="F2442">
        <v>9</v>
      </c>
      <c r="G2442" t="str" cm="1">
        <f t="array" ref="G2442">_xlfn.IFS(_xlfn.SINGLE(Table1[imd_decile])&lt;=3,"Most Deprived",F2442&lt;=7,"Moderately Deprived",F2442&lt;=10,"Least Deprived")</f>
        <v>Least Deprived</v>
      </c>
      <c r="H2442">
        <v>5.3</v>
      </c>
      <c r="I2442" t="s">
        <v>42</v>
      </c>
      <c r="J2442" t="s">
        <v>19</v>
      </c>
      <c r="K2442" s="1">
        <v>45929</v>
      </c>
      <c r="L2442" s="1">
        <v>45993</v>
      </c>
      <c r="M2442" s="1" t="str">
        <f>TEXT(Table1[[#This Row],[appointment_date]],"MM/YYYY")</f>
        <v>12/2025</v>
      </c>
      <c r="N2442">
        <v>64</v>
      </c>
      <c r="O2442" t="str" cm="1">
        <f t="array" ref="O2442">_xlfn.IFS(Table1[[#This Row],[lead_time_days]]&lt;=7,"0-7 days",N2442&lt;=14,"8-14 days",N2442&lt;=30,"15-30 days",N2442&lt;=60,"31-60 days",TRUE,"61+ days")</f>
        <v>61+ days</v>
      </c>
      <c r="P2442" t="s">
        <v>71</v>
      </c>
      <c r="Q2442" t="s">
        <v>21</v>
      </c>
      <c r="R2442">
        <v>0</v>
      </c>
      <c r="S2442" t="str">
        <f>IF(Table1[prior_dna_count]&gt;=1,"Has prior DNA history","No prior DNA history")</f>
        <v>No prior DNA history</v>
      </c>
      <c r="T2442" t="s">
        <v>22</v>
      </c>
      <c r="U2442" t="str">
        <f t="shared" si="38"/>
        <v>1</v>
      </c>
      <c r="V2442" t="str">
        <f>IF(Table1[appointment_status]="Attended","1","0")</f>
        <v>1</v>
      </c>
      <c r="W2442" t="str">
        <f>IF(Table1[appointment_status]="Cancelled","1","0")</f>
        <v>0</v>
      </c>
    </row>
    <row r="2443" spans="1:23">
      <c r="A2443" t="s">
        <v>3725</v>
      </c>
      <c r="B2443" t="s">
        <v>3585</v>
      </c>
      <c r="C2443">
        <v>64</v>
      </c>
      <c r="D2443" t="str" cm="1">
        <f t="array" ref="D2443">_xlfn.IFS(Table1[[#This Row],[age]]&lt;=17,"0-17",C2443&lt;=29,"18-29",C2443&lt;=44,"30-44",C2443&lt;=59,"45-59",C2443&lt;=74,"60-74",TRUE,"75+")</f>
        <v>60-74</v>
      </c>
      <c r="E2443" t="s">
        <v>29</v>
      </c>
      <c r="F2443">
        <v>5</v>
      </c>
      <c r="G2443" t="str" cm="1">
        <f t="array" ref="G2443">_xlfn.IFS(_xlfn.SINGLE(Table1[imd_decile])&lt;=3,"Most Deprived",F2443&lt;=7,"Moderately Deprived",F2443&lt;=10,"Least Deprived")</f>
        <v>Moderately Deprived</v>
      </c>
      <c r="H2443">
        <v>2.1</v>
      </c>
      <c r="I2443" t="s">
        <v>155</v>
      </c>
      <c r="J2443" t="s">
        <v>19</v>
      </c>
      <c r="K2443" s="1">
        <v>45950</v>
      </c>
      <c r="L2443" s="1">
        <v>45994</v>
      </c>
      <c r="M2443" s="1" t="str">
        <f>TEXT(Table1[[#This Row],[appointment_date]],"MM/YYYY")</f>
        <v>12/2025</v>
      </c>
      <c r="N2443">
        <v>44</v>
      </c>
      <c r="O2443" t="str" cm="1">
        <f t="array" ref="O2443">_xlfn.IFS(Table1[[#This Row],[lead_time_days]]&lt;=7,"0-7 days",N2443&lt;=14,"8-14 days",N2443&lt;=30,"15-30 days",N2443&lt;=60,"31-60 days",TRUE,"61+ days")</f>
        <v>31-60 days</v>
      </c>
      <c r="P2443" t="s">
        <v>80</v>
      </c>
      <c r="Q2443" t="s">
        <v>21</v>
      </c>
      <c r="R2443">
        <v>0</v>
      </c>
      <c r="S2443" t="str">
        <f>IF(Table1[prior_dna_count]&gt;=1,"Has prior DNA history","No prior DNA history")</f>
        <v>No prior DNA history</v>
      </c>
      <c r="T2443" t="s">
        <v>22</v>
      </c>
      <c r="U2443" t="str">
        <f t="shared" si="38"/>
        <v>1</v>
      </c>
      <c r="V2443" t="str">
        <f>IF(Table1[appointment_status]="Attended","1","0")</f>
        <v>1</v>
      </c>
      <c r="W2443" t="str">
        <f>IF(Table1[appointment_status]="Cancelled","1","0")</f>
        <v>0</v>
      </c>
    </row>
    <row r="2444" spans="1:23">
      <c r="A2444" t="s">
        <v>3726</v>
      </c>
      <c r="B2444" t="s">
        <v>3727</v>
      </c>
      <c r="C2444">
        <v>45</v>
      </c>
      <c r="D2444" t="str" cm="1">
        <f t="array" ref="D2444">_xlfn.IFS(Table1[[#This Row],[age]]&lt;=17,"0-17",C2444&lt;=29,"18-29",C2444&lt;=44,"30-44",C2444&lt;=59,"45-59",C2444&lt;=74,"60-74",TRUE,"75+")</f>
        <v>45-59</v>
      </c>
      <c r="E2444" t="s">
        <v>29</v>
      </c>
      <c r="F2444">
        <v>6</v>
      </c>
      <c r="G2444" t="str" cm="1">
        <f t="array" ref="G2444">_xlfn.IFS(_xlfn.SINGLE(Table1[imd_decile])&lt;=3,"Most Deprived",F2444&lt;=7,"Moderately Deprived",F2444&lt;=10,"Least Deprived")</f>
        <v>Moderately Deprived</v>
      </c>
      <c r="H2444">
        <v>19.600000000000001</v>
      </c>
      <c r="I2444" t="s">
        <v>42</v>
      </c>
      <c r="J2444" t="s">
        <v>19</v>
      </c>
      <c r="K2444" s="1">
        <v>45941</v>
      </c>
      <c r="L2444" s="1">
        <v>45994</v>
      </c>
      <c r="M2444" s="1" t="str">
        <f>TEXT(Table1[[#This Row],[appointment_date]],"MM/YYYY")</f>
        <v>12/2025</v>
      </c>
      <c r="N2444">
        <v>53</v>
      </c>
      <c r="O2444" t="str" cm="1">
        <f t="array" ref="O2444">_xlfn.IFS(Table1[[#This Row],[lead_time_days]]&lt;=7,"0-7 days",N2444&lt;=14,"8-14 days",N2444&lt;=30,"15-30 days",N2444&lt;=60,"31-60 days",TRUE,"61+ days")</f>
        <v>31-60 days</v>
      </c>
      <c r="P2444" t="s">
        <v>80</v>
      </c>
      <c r="Q2444" t="s">
        <v>21</v>
      </c>
      <c r="R2444">
        <v>0</v>
      </c>
      <c r="S2444" t="str">
        <f>IF(Table1[prior_dna_count]&gt;=1,"Has prior DNA history","No prior DNA history")</f>
        <v>No prior DNA history</v>
      </c>
      <c r="T2444" t="s">
        <v>22</v>
      </c>
      <c r="U2444" t="str">
        <f t="shared" si="38"/>
        <v>1</v>
      </c>
      <c r="V2444" t="str">
        <f>IF(Table1[appointment_status]="Attended","1","0")</f>
        <v>1</v>
      </c>
      <c r="W2444" t="str">
        <f>IF(Table1[appointment_status]="Cancelled","1","0")</f>
        <v>0</v>
      </c>
    </row>
    <row r="2445" spans="1:23">
      <c r="A2445" t="s">
        <v>3728</v>
      </c>
      <c r="B2445" t="s">
        <v>913</v>
      </c>
      <c r="C2445">
        <v>58</v>
      </c>
      <c r="D2445" t="str" cm="1">
        <f t="array" ref="D2445">_xlfn.IFS(Table1[[#This Row],[age]]&lt;=17,"0-17",C2445&lt;=29,"18-29",C2445&lt;=44,"30-44",C2445&lt;=59,"45-59",C2445&lt;=74,"60-74",TRUE,"75+")</f>
        <v>45-59</v>
      </c>
      <c r="E2445" t="s">
        <v>29</v>
      </c>
      <c r="F2445">
        <v>1</v>
      </c>
      <c r="G2445" t="str" cm="1">
        <f t="array" ref="G2445">_xlfn.IFS(_xlfn.SINGLE(Table1[imd_decile])&lt;=3,"Most Deprived",F2445&lt;=7,"Moderately Deprived",F2445&lt;=10,"Least Deprived")</f>
        <v>Most Deprived</v>
      </c>
      <c r="H2445">
        <v>5.8</v>
      </c>
      <c r="I2445" t="s">
        <v>42</v>
      </c>
      <c r="J2445" t="s">
        <v>26</v>
      </c>
      <c r="K2445" s="1">
        <v>45936</v>
      </c>
      <c r="L2445" s="1">
        <v>45994</v>
      </c>
      <c r="M2445" s="1" t="str">
        <f>TEXT(Table1[[#This Row],[appointment_date]],"MM/YYYY")</f>
        <v>12/2025</v>
      </c>
      <c r="N2445">
        <v>58</v>
      </c>
      <c r="O2445" t="str" cm="1">
        <f t="array" ref="O2445">_xlfn.IFS(Table1[[#This Row],[lead_time_days]]&lt;=7,"0-7 days",N2445&lt;=14,"8-14 days",N2445&lt;=30,"15-30 days",N2445&lt;=60,"31-60 days",TRUE,"61+ days")</f>
        <v>31-60 days</v>
      </c>
      <c r="P2445" t="s">
        <v>80</v>
      </c>
      <c r="Q2445" t="s">
        <v>21</v>
      </c>
      <c r="R2445">
        <v>0</v>
      </c>
      <c r="S2445" t="str">
        <f>IF(Table1[prior_dna_count]&gt;=1,"Has prior DNA history","No prior DNA history")</f>
        <v>No prior DNA history</v>
      </c>
      <c r="T2445" t="s">
        <v>22</v>
      </c>
      <c r="U2445" t="str">
        <f t="shared" si="38"/>
        <v>1</v>
      </c>
      <c r="V2445" t="str">
        <f>IF(Table1[appointment_status]="Attended","1","0")</f>
        <v>1</v>
      </c>
      <c r="W2445" t="str">
        <f>IF(Table1[appointment_status]="Cancelled","1","0")</f>
        <v>0</v>
      </c>
    </row>
    <row r="2446" spans="1:23">
      <c r="A2446" t="s">
        <v>3729</v>
      </c>
      <c r="B2446" t="s">
        <v>3730</v>
      </c>
      <c r="C2446">
        <v>68</v>
      </c>
      <c r="D2446" t="str" cm="1">
        <f t="array" ref="D2446">_xlfn.IFS(Table1[[#This Row],[age]]&lt;=17,"0-17",C2446&lt;=29,"18-29",C2446&lt;=44,"30-44",C2446&lt;=59,"45-59",C2446&lt;=74,"60-74",TRUE,"75+")</f>
        <v>60-74</v>
      </c>
      <c r="E2446" t="s">
        <v>17</v>
      </c>
      <c r="F2446">
        <v>4</v>
      </c>
      <c r="G2446" t="str" cm="1">
        <f t="array" ref="G2446">_xlfn.IFS(_xlfn.SINGLE(Table1[imd_decile])&lt;=3,"Most Deprived",F2446&lt;=7,"Moderately Deprived",F2446&lt;=10,"Least Deprived")</f>
        <v>Moderately Deprived</v>
      </c>
      <c r="H2446">
        <v>11.4</v>
      </c>
      <c r="I2446" t="s">
        <v>49</v>
      </c>
      <c r="J2446" t="s">
        <v>19</v>
      </c>
      <c r="K2446" s="1">
        <v>45961</v>
      </c>
      <c r="L2446" s="1">
        <v>45995</v>
      </c>
      <c r="M2446" s="1" t="str">
        <f>TEXT(Table1[[#This Row],[appointment_date]],"MM/YYYY")</f>
        <v>12/2025</v>
      </c>
      <c r="N2446">
        <v>34</v>
      </c>
      <c r="O2446" t="str" cm="1">
        <f t="array" ref="O2446">_xlfn.IFS(Table1[[#This Row],[lead_time_days]]&lt;=7,"0-7 days",N2446&lt;=14,"8-14 days",N2446&lt;=30,"15-30 days",N2446&lt;=60,"31-60 days",TRUE,"61+ days")</f>
        <v>31-60 days</v>
      </c>
      <c r="P2446" t="s">
        <v>20</v>
      </c>
      <c r="Q2446" t="s">
        <v>21</v>
      </c>
      <c r="R2446">
        <v>0</v>
      </c>
      <c r="S2446" t="str">
        <f>IF(Table1[prior_dna_count]&gt;=1,"Has prior DNA history","No prior DNA history")</f>
        <v>No prior DNA history</v>
      </c>
      <c r="T2446" t="s">
        <v>22</v>
      </c>
      <c r="U2446" t="str">
        <f t="shared" si="38"/>
        <v>1</v>
      </c>
      <c r="V2446" t="str">
        <f>IF(Table1[appointment_status]="Attended","1","0")</f>
        <v>1</v>
      </c>
      <c r="W2446" t="str">
        <f>IF(Table1[appointment_status]="Cancelled","1","0")</f>
        <v>0</v>
      </c>
    </row>
    <row r="2447" spans="1:23">
      <c r="A2447" t="s">
        <v>3731</v>
      </c>
      <c r="B2447" t="s">
        <v>859</v>
      </c>
      <c r="C2447">
        <v>50</v>
      </c>
      <c r="D2447" t="str" cm="1">
        <f t="array" ref="D2447">_xlfn.IFS(Table1[[#This Row],[age]]&lt;=17,"0-17",C2447&lt;=29,"18-29",C2447&lt;=44,"30-44",C2447&lt;=59,"45-59",C2447&lt;=74,"60-74",TRUE,"75+")</f>
        <v>45-59</v>
      </c>
      <c r="E2447" t="s">
        <v>17</v>
      </c>
      <c r="F2447">
        <v>3</v>
      </c>
      <c r="G2447" t="str" cm="1">
        <f t="array" ref="G2447">_xlfn.IFS(_xlfn.SINGLE(Table1[imd_decile])&lt;=3,"Most Deprived",F2447&lt;=7,"Moderately Deprived",F2447&lt;=10,"Least Deprived")</f>
        <v>Most Deprived</v>
      </c>
      <c r="H2447">
        <v>6.2</v>
      </c>
      <c r="I2447" t="s">
        <v>155</v>
      </c>
      <c r="J2447" t="s">
        <v>26</v>
      </c>
      <c r="K2447" s="1">
        <v>45962</v>
      </c>
      <c r="L2447" s="1">
        <v>45995</v>
      </c>
      <c r="M2447" s="1" t="str">
        <f>TEXT(Table1[[#This Row],[appointment_date]],"MM/YYYY")</f>
        <v>12/2025</v>
      </c>
      <c r="N2447">
        <v>33</v>
      </c>
      <c r="O2447" t="str" cm="1">
        <f t="array" ref="O2447">_xlfn.IFS(Table1[[#This Row],[lead_time_days]]&lt;=7,"0-7 days",N2447&lt;=14,"8-14 days",N2447&lt;=30,"15-30 days",N2447&lt;=60,"31-60 days",TRUE,"61+ days")</f>
        <v>31-60 days</v>
      </c>
      <c r="P2447" t="s">
        <v>20</v>
      </c>
      <c r="Q2447" t="s">
        <v>21</v>
      </c>
      <c r="R2447">
        <v>0</v>
      </c>
      <c r="S2447" t="str">
        <f>IF(Table1[prior_dna_count]&gt;=1,"Has prior DNA history","No prior DNA history")</f>
        <v>No prior DNA history</v>
      </c>
      <c r="T2447" t="s">
        <v>22</v>
      </c>
      <c r="U2447" t="str">
        <f t="shared" si="38"/>
        <v>1</v>
      </c>
      <c r="V2447" t="str">
        <f>IF(Table1[appointment_status]="Attended","1","0")</f>
        <v>1</v>
      </c>
      <c r="W2447" t="str">
        <f>IF(Table1[appointment_status]="Cancelled","1","0")</f>
        <v>0</v>
      </c>
    </row>
    <row r="2448" spans="1:23">
      <c r="A2448" t="s">
        <v>3732</v>
      </c>
      <c r="B2448" t="s">
        <v>3733</v>
      </c>
      <c r="C2448">
        <v>76</v>
      </c>
      <c r="D2448" t="str" cm="1">
        <f t="array" ref="D2448">_xlfn.IFS(Table1[[#This Row],[age]]&lt;=17,"0-17",C2448&lt;=29,"18-29",C2448&lt;=44,"30-44",C2448&lt;=59,"45-59",C2448&lt;=74,"60-74",TRUE,"75+")</f>
        <v>75+</v>
      </c>
      <c r="E2448" t="s">
        <v>17</v>
      </c>
      <c r="F2448">
        <v>3</v>
      </c>
      <c r="G2448" t="str" cm="1">
        <f t="array" ref="G2448">_xlfn.IFS(_xlfn.SINGLE(Table1[imd_decile])&lt;=3,"Most Deprived",F2448&lt;=7,"Moderately Deprived",F2448&lt;=10,"Least Deprived")</f>
        <v>Most Deprived</v>
      </c>
      <c r="H2448">
        <v>9.3000000000000007</v>
      </c>
      <c r="I2448" t="s">
        <v>58</v>
      </c>
      <c r="J2448" t="s">
        <v>19</v>
      </c>
      <c r="K2448" s="1">
        <v>45954</v>
      </c>
      <c r="L2448" s="1">
        <v>45995</v>
      </c>
      <c r="M2448" s="1" t="str">
        <f>TEXT(Table1[[#This Row],[appointment_date]],"MM/YYYY")</f>
        <v>12/2025</v>
      </c>
      <c r="N2448">
        <v>41</v>
      </c>
      <c r="O2448" t="str" cm="1">
        <f t="array" ref="O2448">_xlfn.IFS(Table1[[#This Row],[lead_time_days]]&lt;=7,"0-7 days",N2448&lt;=14,"8-14 days",N2448&lt;=30,"15-30 days",N2448&lt;=60,"31-60 days",TRUE,"61+ days")</f>
        <v>31-60 days</v>
      </c>
      <c r="P2448" t="s">
        <v>20</v>
      </c>
      <c r="Q2448" t="s">
        <v>21</v>
      </c>
      <c r="R2448">
        <v>0</v>
      </c>
      <c r="S2448" t="str">
        <f>IF(Table1[prior_dna_count]&gt;=1,"Has prior DNA history","No prior DNA history")</f>
        <v>No prior DNA history</v>
      </c>
      <c r="T2448" t="s">
        <v>39</v>
      </c>
      <c r="U2448" t="str">
        <f t="shared" si="38"/>
        <v>1</v>
      </c>
      <c r="V2448" t="str">
        <f>IF(Table1[appointment_status]="Attended","1","0")</f>
        <v>0</v>
      </c>
      <c r="W2448" t="str">
        <f>IF(Table1[appointment_status]="Cancelled","1","0")</f>
        <v>0</v>
      </c>
    </row>
    <row r="2449" spans="1:23">
      <c r="A2449" t="s">
        <v>3734</v>
      </c>
      <c r="B2449" t="s">
        <v>2142</v>
      </c>
      <c r="C2449">
        <v>77</v>
      </c>
      <c r="D2449" t="str" cm="1">
        <f t="array" ref="D2449">_xlfn.IFS(Table1[[#This Row],[age]]&lt;=17,"0-17",C2449&lt;=29,"18-29",C2449&lt;=44,"30-44",C2449&lt;=59,"45-59",C2449&lt;=74,"60-74",TRUE,"75+")</f>
        <v>75+</v>
      </c>
      <c r="E2449" t="s">
        <v>17</v>
      </c>
      <c r="F2449">
        <v>1</v>
      </c>
      <c r="G2449" t="str" cm="1">
        <f t="array" ref="G2449">_xlfn.IFS(_xlfn.SINGLE(Table1[imd_decile])&lt;=3,"Most Deprived",F2449&lt;=7,"Moderately Deprived",F2449&lt;=10,"Least Deprived")</f>
        <v>Most Deprived</v>
      </c>
      <c r="H2449">
        <v>1.4</v>
      </c>
      <c r="I2449" t="s">
        <v>58</v>
      </c>
      <c r="J2449" t="s">
        <v>19</v>
      </c>
      <c r="K2449" s="1">
        <v>45916</v>
      </c>
      <c r="L2449" s="1">
        <v>45996</v>
      </c>
      <c r="M2449" s="1" t="str">
        <f>TEXT(Table1[[#This Row],[appointment_date]],"MM/YYYY")</f>
        <v>12/2025</v>
      </c>
      <c r="N2449">
        <v>80</v>
      </c>
      <c r="O2449" t="str" cm="1">
        <f t="array" ref="O2449">_xlfn.IFS(Table1[[#This Row],[lead_time_days]]&lt;=7,"0-7 days",N2449&lt;=14,"8-14 days",N2449&lt;=30,"15-30 days",N2449&lt;=60,"31-60 days",TRUE,"61+ days")</f>
        <v>61+ days</v>
      </c>
      <c r="P2449" t="s">
        <v>52</v>
      </c>
      <c r="Q2449" t="s">
        <v>32</v>
      </c>
      <c r="R2449">
        <v>0</v>
      </c>
      <c r="S2449" t="str">
        <f>IF(Table1[prior_dna_count]&gt;=1,"Has prior DNA history","No prior DNA history")</f>
        <v>No prior DNA history</v>
      </c>
      <c r="T2449" t="s">
        <v>39</v>
      </c>
      <c r="U2449" t="str">
        <f t="shared" si="38"/>
        <v>0</v>
      </c>
      <c r="V2449" t="str">
        <f>IF(Table1[appointment_status]="Attended","1","0")</f>
        <v>0</v>
      </c>
      <c r="W2449" t="str">
        <f>IF(Table1[appointment_status]="Cancelled","1","0")</f>
        <v>0</v>
      </c>
    </row>
    <row r="2450" spans="1:23">
      <c r="A2450" t="s">
        <v>3735</v>
      </c>
      <c r="B2450" t="s">
        <v>286</v>
      </c>
      <c r="C2450">
        <v>46</v>
      </c>
      <c r="D2450" t="str" cm="1">
        <f t="array" ref="D2450">_xlfn.IFS(Table1[[#This Row],[age]]&lt;=17,"0-17",C2450&lt;=29,"18-29",C2450&lt;=44,"30-44",C2450&lt;=59,"45-59",C2450&lt;=74,"60-74",TRUE,"75+")</f>
        <v>45-59</v>
      </c>
      <c r="E2450" t="s">
        <v>17</v>
      </c>
      <c r="F2450">
        <v>7</v>
      </c>
      <c r="G2450" t="str" cm="1">
        <f t="array" ref="G2450">_xlfn.IFS(_xlfn.SINGLE(Table1[imd_decile])&lt;=3,"Most Deprived",F2450&lt;=7,"Moderately Deprived",F2450&lt;=10,"Least Deprived")</f>
        <v>Moderately Deprived</v>
      </c>
      <c r="H2450">
        <v>10.4</v>
      </c>
      <c r="I2450" t="s">
        <v>18</v>
      </c>
      <c r="J2450" t="s">
        <v>19</v>
      </c>
      <c r="K2450" s="1">
        <v>45958</v>
      </c>
      <c r="L2450" s="1">
        <v>45996</v>
      </c>
      <c r="M2450" s="1" t="str">
        <f>TEXT(Table1[[#This Row],[appointment_date]],"MM/YYYY")</f>
        <v>12/2025</v>
      </c>
      <c r="N2450">
        <v>38</v>
      </c>
      <c r="O2450" t="str" cm="1">
        <f t="array" ref="O2450">_xlfn.IFS(Table1[[#This Row],[lead_time_days]]&lt;=7,"0-7 days",N2450&lt;=14,"8-14 days",N2450&lt;=30,"15-30 days",N2450&lt;=60,"31-60 days",TRUE,"61+ days")</f>
        <v>31-60 days</v>
      </c>
      <c r="P2450" t="s">
        <v>52</v>
      </c>
      <c r="Q2450" t="s">
        <v>32</v>
      </c>
      <c r="R2450">
        <v>0</v>
      </c>
      <c r="S2450" t="str">
        <f>IF(Table1[prior_dna_count]&gt;=1,"Has prior DNA history","No prior DNA history")</f>
        <v>No prior DNA history</v>
      </c>
      <c r="T2450" t="s">
        <v>22</v>
      </c>
      <c r="U2450" t="str">
        <f t="shared" si="38"/>
        <v>0</v>
      </c>
      <c r="V2450" t="str">
        <f>IF(Table1[appointment_status]="Attended","1","0")</f>
        <v>1</v>
      </c>
      <c r="W2450" t="str">
        <f>IF(Table1[appointment_status]="Cancelled","1","0")</f>
        <v>0</v>
      </c>
    </row>
    <row r="2451" spans="1:23">
      <c r="A2451" t="s">
        <v>3736</v>
      </c>
      <c r="B2451" t="s">
        <v>3737</v>
      </c>
      <c r="C2451">
        <v>60</v>
      </c>
      <c r="D2451" t="str" cm="1">
        <f t="array" ref="D2451">_xlfn.IFS(Table1[[#This Row],[age]]&lt;=17,"0-17",C2451&lt;=29,"18-29",C2451&lt;=44,"30-44",C2451&lt;=59,"45-59",C2451&lt;=74,"60-74",TRUE,"75+")</f>
        <v>60-74</v>
      </c>
      <c r="E2451" t="s">
        <v>29</v>
      </c>
      <c r="F2451">
        <v>10</v>
      </c>
      <c r="G2451" t="str" cm="1">
        <f t="array" ref="G2451">_xlfn.IFS(_xlfn.SINGLE(Table1[imd_decile])&lt;=3,"Most Deprived",F2451&lt;=7,"Moderately Deprived",F2451&lt;=10,"Least Deprived")</f>
        <v>Least Deprived</v>
      </c>
      <c r="H2451">
        <v>6.4</v>
      </c>
      <c r="I2451" t="s">
        <v>91</v>
      </c>
      <c r="J2451" t="s">
        <v>19</v>
      </c>
      <c r="K2451" s="1">
        <v>45961</v>
      </c>
      <c r="L2451" s="1">
        <v>45996</v>
      </c>
      <c r="M2451" s="1" t="str">
        <f>TEXT(Table1[[#This Row],[appointment_date]],"MM/YYYY")</f>
        <v>12/2025</v>
      </c>
      <c r="N2451">
        <v>35</v>
      </c>
      <c r="O2451" t="str" cm="1">
        <f t="array" ref="O2451">_xlfn.IFS(Table1[[#This Row],[lead_time_days]]&lt;=7,"0-7 days",N2451&lt;=14,"8-14 days",N2451&lt;=30,"15-30 days",N2451&lt;=60,"31-60 days",TRUE,"61+ days")</f>
        <v>31-60 days</v>
      </c>
      <c r="P2451" t="s">
        <v>52</v>
      </c>
      <c r="Q2451" t="s">
        <v>21</v>
      </c>
      <c r="R2451">
        <v>0</v>
      </c>
      <c r="S2451" t="str">
        <f>IF(Table1[prior_dna_count]&gt;=1,"Has prior DNA history","No prior DNA history")</f>
        <v>No prior DNA history</v>
      </c>
      <c r="T2451" t="s">
        <v>22</v>
      </c>
      <c r="U2451" t="str">
        <f t="shared" si="38"/>
        <v>1</v>
      </c>
      <c r="V2451" t="str">
        <f>IF(Table1[appointment_status]="Attended","1","0")</f>
        <v>1</v>
      </c>
      <c r="W2451" t="str">
        <f>IF(Table1[appointment_status]="Cancelled","1","0")</f>
        <v>0</v>
      </c>
    </row>
    <row r="2452" spans="1:23">
      <c r="A2452" t="s">
        <v>3738</v>
      </c>
      <c r="B2452" t="s">
        <v>209</v>
      </c>
      <c r="C2452">
        <v>76</v>
      </c>
      <c r="D2452" t="str" cm="1">
        <f t="array" ref="D2452">_xlfn.IFS(Table1[[#This Row],[age]]&lt;=17,"0-17",C2452&lt;=29,"18-29",C2452&lt;=44,"30-44",C2452&lt;=59,"45-59",C2452&lt;=74,"60-74",TRUE,"75+")</f>
        <v>75+</v>
      </c>
      <c r="E2452" t="s">
        <v>17</v>
      </c>
      <c r="F2452">
        <v>5</v>
      </c>
      <c r="G2452" t="str" cm="1">
        <f t="array" ref="G2452">_xlfn.IFS(_xlfn.SINGLE(Table1[imd_decile])&lt;=3,"Most Deprived",F2452&lt;=7,"Moderately Deprived",F2452&lt;=10,"Least Deprived")</f>
        <v>Moderately Deprived</v>
      </c>
      <c r="H2452">
        <v>5.5</v>
      </c>
      <c r="I2452" t="s">
        <v>38</v>
      </c>
      <c r="J2452" t="s">
        <v>19</v>
      </c>
      <c r="K2452" s="1">
        <v>45868</v>
      </c>
      <c r="L2452" s="1">
        <v>45996</v>
      </c>
      <c r="M2452" s="1" t="str">
        <f>TEXT(Table1[[#This Row],[appointment_date]],"MM/YYYY")</f>
        <v>12/2025</v>
      </c>
      <c r="N2452">
        <v>128</v>
      </c>
      <c r="O2452" t="str" cm="1">
        <f t="array" ref="O2452">_xlfn.IFS(Table1[[#This Row],[lead_time_days]]&lt;=7,"0-7 days",N2452&lt;=14,"8-14 days",N2452&lt;=30,"15-30 days",N2452&lt;=60,"31-60 days",TRUE,"61+ days")</f>
        <v>61+ days</v>
      </c>
      <c r="P2452" t="s">
        <v>52</v>
      </c>
      <c r="Q2452" t="s">
        <v>21</v>
      </c>
      <c r="R2452">
        <v>0</v>
      </c>
      <c r="S2452" t="str">
        <f>IF(Table1[prior_dna_count]&gt;=1,"Has prior DNA history","No prior DNA history")</f>
        <v>No prior DNA history</v>
      </c>
      <c r="T2452" t="s">
        <v>22</v>
      </c>
      <c r="U2452" t="str">
        <f t="shared" si="38"/>
        <v>1</v>
      </c>
      <c r="V2452" t="str">
        <f>IF(Table1[appointment_status]="Attended","1","0")</f>
        <v>1</v>
      </c>
      <c r="W2452" t="str">
        <f>IF(Table1[appointment_status]="Cancelled","1","0")</f>
        <v>0</v>
      </c>
    </row>
    <row r="2453" spans="1:23">
      <c r="A2453" t="s">
        <v>3739</v>
      </c>
      <c r="B2453" t="s">
        <v>3740</v>
      </c>
      <c r="C2453">
        <v>27</v>
      </c>
      <c r="D2453" t="str" cm="1">
        <f t="array" ref="D2453">_xlfn.IFS(Table1[[#This Row],[age]]&lt;=17,"0-17",C2453&lt;=29,"18-29",C2453&lt;=44,"30-44",C2453&lt;=59,"45-59",C2453&lt;=74,"60-74",TRUE,"75+")</f>
        <v>18-29</v>
      </c>
      <c r="E2453" t="s">
        <v>29</v>
      </c>
      <c r="F2453">
        <v>10</v>
      </c>
      <c r="G2453" t="str" cm="1">
        <f t="array" ref="G2453">_xlfn.IFS(_xlfn.SINGLE(Table1[imd_decile])&lt;=3,"Most Deprived",F2453&lt;=7,"Moderately Deprived",F2453&lt;=10,"Least Deprived")</f>
        <v>Least Deprived</v>
      </c>
      <c r="H2453">
        <v>7.4</v>
      </c>
      <c r="I2453" t="s">
        <v>91</v>
      </c>
      <c r="J2453" t="s">
        <v>19</v>
      </c>
      <c r="K2453" s="1">
        <v>45955</v>
      </c>
      <c r="L2453" s="1">
        <v>45997</v>
      </c>
      <c r="M2453" s="1" t="str">
        <f>TEXT(Table1[[#This Row],[appointment_date]],"MM/YYYY")</f>
        <v>12/2025</v>
      </c>
      <c r="N2453">
        <v>42</v>
      </c>
      <c r="O2453" t="str" cm="1">
        <f t="array" ref="O2453">_xlfn.IFS(Table1[[#This Row],[lead_time_days]]&lt;=7,"0-7 days",N2453&lt;=14,"8-14 days",N2453&lt;=30,"15-30 days",N2453&lt;=60,"31-60 days",TRUE,"61+ days")</f>
        <v>31-60 days</v>
      </c>
      <c r="P2453" t="s">
        <v>55</v>
      </c>
      <c r="Q2453" t="s">
        <v>21</v>
      </c>
      <c r="R2453">
        <v>0</v>
      </c>
      <c r="S2453" t="str">
        <f>IF(Table1[prior_dna_count]&gt;=1,"Has prior DNA history","No prior DNA history")</f>
        <v>No prior DNA history</v>
      </c>
      <c r="T2453" t="s">
        <v>46</v>
      </c>
      <c r="U2453" t="str">
        <f t="shared" si="38"/>
        <v>1</v>
      </c>
      <c r="V2453" t="str">
        <f>IF(Table1[appointment_status]="Attended","1","0")</f>
        <v>0</v>
      </c>
      <c r="W2453" t="str">
        <f>IF(Table1[appointment_status]="Cancelled","1","0")</f>
        <v>1</v>
      </c>
    </row>
    <row r="2454" spans="1:23">
      <c r="A2454" t="s">
        <v>3741</v>
      </c>
      <c r="B2454" t="s">
        <v>1754</v>
      </c>
      <c r="C2454">
        <v>40</v>
      </c>
      <c r="D2454" t="str" cm="1">
        <f t="array" ref="D2454">_xlfn.IFS(Table1[[#This Row],[age]]&lt;=17,"0-17",C2454&lt;=29,"18-29",C2454&lt;=44,"30-44",C2454&lt;=59,"45-59",C2454&lt;=74,"60-74",TRUE,"75+")</f>
        <v>30-44</v>
      </c>
      <c r="E2454" t="s">
        <v>29</v>
      </c>
      <c r="F2454">
        <v>10</v>
      </c>
      <c r="G2454" t="str" cm="1">
        <f t="array" ref="G2454">_xlfn.IFS(_xlfn.SINGLE(Table1[imd_decile])&lt;=3,"Most Deprived",F2454&lt;=7,"Moderately Deprived",F2454&lt;=10,"Least Deprived")</f>
        <v>Least Deprived</v>
      </c>
      <c r="H2454">
        <v>2.2999999999999998</v>
      </c>
      <c r="I2454" t="s">
        <v>91</v>
      </c>
      <c r="J2454" t="s">
        <v>19</v>
      </c>
      <c r="K2454" s="1">
        <v>45961</v>
      </c>
      <c r="L2454" s="1">
        <v>45997</v>
      </c>
      <c r="M2454" s="1" t="str">
        <f>TEXT(Table1[[#This Row],[appointment_date]],"MM/YYYY")</f>
        <v>12/2025</v>
      </c>
      <c r="N2454">
        <v>36</v>
      </c>
      <c r="O2454" t="str" cm="1">
        <f t="array" ref="O2454">_xlfn.IFS(Table1[[#This Row],[lead_time_days]]&lt;=7,"0-7 days",N2454&lt;=14,"8-14 days",N2454&lt;=30,"15-30 days",N2454&lt;=60,"31-60 days",TRUE,"61+ days")</f>
        <v>31-60 days</v>
      </c>
      <c r="P2454" t="s">
        <v>55</v>
      </c>
      <c r="Q2454" t="s">
        <v>21</v>
      </c>
      <c r="R2454">
        <v>0</v>
      </c>
      <c r="S2454" t="str">
        <f>IF(Table1[prior_dna_count]&gt;=1,"Has prior DNA history","No prior DNA history")</f>
        <v>No prior DNA history</v>
      </c>
      <c r="T2454" t="s">
        <v>22</v>
      </c>
      <c r="U2454" t="str">
        <f t="shared" si="38"/>
        <v>0</v>
      </c>
      <c r="V2454" t="str">
        <f>IF(Table1[appointment_status]="Attended","1","0")</f>
        <v>1</v>
      </c>
      <c r="W2454" t="str">
        <f>IF(Table1[appointment_status]="Cancelled","1","0")</f>
        <v>0</v>
      </c>
    </row>
    <row r="2455" spans="1:23">
      <c r="A2455" t="s">
        <v>3742</v>
      </c>
      <c r="B2455" t="s">
        <v>377</v>
      </c>
      <c r="C2455">
        <v>56</v>
      </c>
      <c r="D2455" t="str" cm="1">
        <f t="array" ref="D2455">_xlfn.IFS(Table1[[#This Row],[age]]&lt;=17,"0-17",C2455&lt;=29,"18-29",C2455&lt;=44,"30-44",C2455&lt;=59,"45-59",C2455&lt;=74,"60-74",TRUE,"75+")</f>
        <v>45-59</v>
      </c>
      <c r="E2455" t="s">
        <v>29</v>
      </c>
      <c r="F2455">
        <v>9</v>
      </c>
      <c r="G2455" t="str" cm="1">
        <f t="array" ref="G2455">_xlfn.IFS(_xlfn.SINGLE(Table1[imd_decile])&lt;=3,"Most Deprived",F2455&lt;=7,"Moderately Deprived",F2455&lt;=10,"Least Deprived")</f>
        <v>Least Deprived</v>
      </c>
      <c r="H2455">
        <v>3.3</v>
      </c>
      <c r="I2455" t="s">
        <v>18</v>
      </c>
      <c r="J2455" t="s">
        <v>19</v>
      </c>
      <c r="K2455" s="1">
        <v>45958</v>
      </c>
      <c r="L2455" s="1">
        <v>45997</v>
      </c>
      <c r="M2455" s="1" t="str">
        <f>TEXT(Table1[[#This Row],[appointment_date]],"MM/YYYY")</f>
        <v>12/2025</v>
      </c>
      <c r="N2455">
        <v>39</v>
      </c>
      <c r="O2455" t="str" cm="1">
        <f t="array" ref="O2455">_xlfn.IFS(Table1[[#This Row],[lead_time_days]]&lt;=7,"0-7 days",N2455&lt;=14,"8-14 days",N2455&lt;=30,"15-30 days",N2455&lt;=60,"31-60 days",TRUE,"61+ days")</f>
        <v>31-60 days</v>
      </c>
      <c r="P2455" t="s">
        <v>55</v>
      </c>
      <c r="Q2455" t="s">
        <v>32</v>
      </c>
      <c r="R2455">
        <v>0</v>
      </c>
      <c r="S2455" t="str">
        <f>IF(Table1[prior_dna_count]&gt;=1,"Has prior DNA history","No prior DNA history")</f>
        <v>No prior DNA history</v>
      </c>
      <c r="T2455" t="s">
        <v>39</v>
      </c>
      <c r="U2455" t="str">
        <f t="shared" si="38"/>
        <v>1</v>
      </c>
      <c r="V2455" t="str">
        <f>IF(Table1[appointment_status]="Attended","1","0")</f>
        <v>0</v>
      </c>
      <c r="W2455" t="str">
        <f>IF(Table1[appointment_status]="Cancelled","1","0")</f>
        <v>0</v>
      </c>
    </row>
    <row r="2456" spans="1:23">
      <c r="A2456" t="s">
        <v>3743</v>
      </c>
      <c r="B2456" t="s">
        <v>3744</v>
      </c>
      <c r="C2456">
        <v>54</v>
      </c>
      <c r="D2456" t="str" cm="1">
        <f t="array" ref="D2456">_xlfn.IFS(Table1[[#This Row],[age]]&lt;=17,"0-17",C2456&lt;=29,"18-29",C2456&lt;=44,"30-44",C2456&lt;=59,"45-59",C2456&lt;=74,"60-74",TRUE,"75+")</f>
        <v>45-59</v>
      </c>
      <c r="E2456" t="s">
        <v>29</v>
      </c>
      <c r="F2456">
        <v>9</v>
      </c>
      <c r="G2456" t="str" cm="1">
        <f t="array" ref="G2456">_xlfn.IFS(_xlfn.SINGLE(Table1[imd_decile])&lt;=3,"Most Deprived",F2456&lt;=7,"Moderately Deprived",F2456&lt;=10,"Least Deprived")</f>
        <v>Least Deprived</v>
      </c>
      <c r="H2456">
        <v>1</v>
      </c>
      <c r="I2456" t="s">
        <v>58</v>
      </c>
      <c r="J2456" t="s">
        <v>19</v>
      </c>
      <c r="K2456" s="1">
        <v>45929</v>
      </c>
      <c r="L2456" s="1">
        <v>45997</v>
      </c>
      <c r="M2456" s="1" t="str">
        <f>TEXT(Table1[[#This Row],[appointment_date]],"MM/YYYY")</f>
        <v>12/2025</v>
      </c>
      <c r="N2456">
        <v>68</v>
      </c>
      <c r="O2456" t="str" cm="1">
        <f t="array" ref="O2456">_xlfn.IFS(Table1[[#This Row],[lead_time_days]]&lt;=7,"0-7 days",N2456&lt;=14,"8-14 days",N2456&lt;=30,"15-30 days",N2456&lt;=60,"31-60 days",TRUE,"61+ days")</f>
        <v>61+ days</v>
      </c>
      <c r="P2456" t="s">
        <v>55</v>
      </c>
      <c r="Q2456" t="s">
        <v>21</v>
      </c>
      <c r="R2456">
        <v>0</v>
      </c>
      <c r="S2456" t="str">
        <f>IF(Table1[prior_dna_count]&gt;=1,"Has prior DNA history","No prior DNA history")</f>
        <v>No prior DNA history</v>
      </c>
      <c r="T2456" t="s">
        <v>22</v>
      </c>
      <c r="U2456" t="str">
        <f t="shared" si="38"/>
        <v>0</v>
      </c>
      <c r="V2456" t="str">
        <f>IF(Table1[appointment_status]="Attended","1","0")</f>
        <v>1</v>
      </c>
      <c r="W2456" t="str">
        <f>IF(Table1[appointment_status]="Cancelled","1","0")</f>
        <v>0</v>
      </c>
    </row>
    <row r="2457" spans="1:23">
      <c r="A2457" t="s">
        <v>3745</v>
      </c>
      <c r="B2457" t="s">
        <v>3388</v>
      </c>
      <c r="C2457">
        <v>54</v>
      </c>
      <c r="D2457" t="str" cm="1">
        <f t="array" ref="D2457">_xlfn.IFS(Table1[[#This Row],[age]]&lt;=17,"0-17",C2457&lt;=29,"18-29",C2457&lt;=44,"30-44",C2457&lt;=59,"45-59",C2457&lt;=74,"60-74",TRUE,"75+")</f>
        <v>45-59</v>
      </c>
      <c r="E2457" t="s">
        <v>17</v>
      </c>
      <c r="F2457">
        <v>3</v>
      </c>
      <c r="G2457" t="str" cm="1">
        <f t="array" ref="G2457">_xlfn.IFS(_xlfn.SINGLE(Table1[imd_decile])&lt;=3,"Most Deprived",F2457&lt;=7,"Moderately Deprived",F2457&lt;=10,"Least Deprived")</f>
        <v>Most Deprived</v>
      </c>
      <c r="H2457">
        <v>8.3000000000000007</v>
      </c>
      <c r="I2457" t="s">
        <v>25</v>
      </c>
      <c r="J2457" t="s">
        <v>26</v>
      </c>
      <c r="K2457" s="1">
        <v>45959</v>
      </c>
      <c r="L2457" s="1">
        <v>45997</v>
      </c>
      <c r="M2457" s="1" t="str">
        <f>TEXT(Table1[[#This Row],[appointment_date]],"MM/YYYY")</f>
        <v>12/2025</v>
      </c>
      <c r="N2457">
        <v>38</v>
      </c>
      <c r="O2457" t="str" cm="1">
        <f t="array" ref="O2457">_xlfn.IFS(Table1[[#This Row],[lead_time_days]]&lt;=7,"0-7 days",N2457&lt;=14,"8-14 days",N2457&lt;=30,"15-30 days",N2457&lt;=60,"31-60 days",TRUE,"61+ days")</f>
        <v>31-60 days</v>
      </c>
      <c r="P2457" t="s">
        <v>55</v>
      </c>
      <c r="Q2457" t="s">
        <v>21</v>
      </c>
      <c r="R2457">
        <v>1</v>
      </c>
      <c r="S2457" t="str">
        <f>IF(Table1[prior_dna_count]&gt;=1,"Has prior DNA history","No prior DNA history")</f>
        <v>Has prior DNA history</v>
      </c>
      <c r="T2457" t="s">
        <v>22</v>
      </c>
      <c r="U2457" t="str">
        <f t="shared" si="38"/>
        <v>1</v>
      </c>
      <c r="V2457" t="str">
        <f>IF(Table1[appointment_status]="Attended","1","0")</f>
        <v>1</v>
      </c>
      <c r="W2457" t="str">
        <f>IF(Table1[appointment_status]="Cancelled","1","0")</f>
        <v>0</v>
      </c>
    </row>
    <row r="2458" spans="1:23">
      <c r="A2458" t="s">
        <v>3746</v>
      </c>
      <c r="B2458" t="s">
        <v>2866</v>
      </c>
      <c r="C2458">
        <v>75</v>
      </c>
      <c r="D2458" t="str" cm="1">
        <f t="array" ref="D2458">_xlfn.IFS(Table1[[#This Row],[age]]&lt;=17,"0-17",C2458&lt;=29,"18-29",C2458&lt;=44,"30-44",C2458&lt;=59,"45-59",C2458&lt;=74,"60-74",TRUE,"75+")</f>
        <v>75+</v>
      </c>
      <c r="E2458" t="s">
        <v>29</v>
      </c>
      <c r="F2458">
        <v>6</v>
      </c>
      <c r="G2458" t="str" cm="1">
        <f t="array" ref="G2458">_xlfn.IFS(_xlfn.SINGLE(Table1[imd_decile])&lt;=3,"Most Deprived",F2458&lt;=7,"Moderately Deprived",F2458&lt;=10,"Least Deprived")</f>
        <v>Moderately Deprived</v>
      </c>
      <c r="H2458">
        <v>8.8000000000000007</v>
      </c>
      <c r="I2458" t="s">
        <v>91</v>
      </c>
      <c r="J2458" t="s">
        <v>19</v>
      </c>
      <c r="K2458" s="1">
        <v>45941</v>
      </c>
      <c r="L2458" s="1">
        <v>45998</v>
      </c>
      <c r="M2458" s="1" t="str">
        <f>TEXT(Table1[[#This Row],[appointment_date]],"MM/YYYY")</f>
        <v>12/2025</v>
      </c>
      <c r="N2458">
        <v>57</v>
      </c>
      <c r="O2458" t="str" cm="1">
        <f t="array" ref="O2458">_xlfn.IFS(Table1[[#This Row],[lead_time_days]]&lt;=7,"0-7 days",N2458&lt;=14,"8-14 days",N2458&lt;=30,"15-30 days",N2458&lt;=60,"31-60 days",TRUE,"61+ days")</f>
        <v>31-60 days</v>
      </c>
      <c r="P2458" t="s">
        <v>31</v>
      </c>
      <c r="Q2458" t="s">
        <v>32</v>
      </c>
      <c r="R2458">
        <v>0</v>
      </c>
      <c r="S2458" t="str">
        <f>IF(Table1[prior_dna_count]&gt;=1,"Has prior DNA history","No prior DNA history")</f>
        <v>No prior DNA history</v>
      </c>
      <c r="T2458" t="s">
        <v>22</v>
      </c>
      <c r="U2458" t="str">
        <f t="shared" si="38"/>
        <v>1</v>
      </c>
      <c r="V2458" t="str">
        <f>IF(Table1[appointment_status]="Attended","1","0")</f>
        <v>1</v>
      </c>
      <c r="W2458" t="str">
        <f>IF(Table1[appointment_status]="Cancelled","1","0")</f>
        <v>0</v>
      </c>
    </row>
    <row r="2459" spans="1:23">
      <c r="A2459" t="s">
        <v>3747</v>
      </c>
      <c r="B2459" t="s">
        <v>3748</v>
      </c>
      <c r="C2459">
        <v>17</v>
      </c>
      <c r="D2459" t="str" cm="1">
        <f t="array" ref="D2459">_xlfn.IFS(Table1[[#This Row],[age]]&lt;=17,"0-17",C2459&lt;=29,"18-29",C2459&lt;=44,"30-44",C2459&lt;=59,"45-59",C2459&lt;=74,"60-74",TRUE,"75+")</f>
        <v>0-17</v>
      </c>
      <c r="E2459" t="s">
        <v>17</v>
      </c>
      <c r="F2459">
        <v>10</v>
      </c>
      <c r="G2459" t="str" cm="1">
        <f t="array" ref="G2459">_xlfn.IFS(_xlfn.SINGLE(Table1[imd_decile])&lt;=3,"Most Deprived",F2459&lt;=7,"Moderately Deprived",F2459&lt;=10,"Least Deprived")</f>
        <v>Least Deprived</v>
      </c>
      <c r="H2459">
        <v>11.7</v>
      </c>
      <c r="I2459" t="s">
        <v>25</v>
      </c>
      <c r="J2459" t="s">
        <v>19</v>
      </c>
      <c r="K2459" s="1">
        <v>45962</v>
      </c>
      <c r="L2459" s="1">
        <v>45999</v>
      </c>
      <c r="M2459" s="1" t="str">
        <f>TEXT(Table1[[#This Row],[appointment_date]],"MM/YYYY")</f>
        <v>12/2025</v>
      </c>
      <c r="N2459">
        <v>37</v>
      </c>
      <c r="O2459" t="str" cm="1">
        <f t="array" ref="O2459">_xlfn.IFS(Table1[[#This Row],[lead_time_days]]&lt;=7,"0-7 days",N2459&lt;=14,"8-14 days",N2459&lt;=30,"15-30 days",N2459&lt;=60,"31-60 days",TRUE,"61+ days")</f>
        <v>31-60 days</v>
      </c>
      <c r="P2459" t="s">
        <v>35</v>
      </c>
      <c r="Q2459" t="s">
        <v>32</v>
      </c>
      <c r="R2459">
        <v>0</v>
      </c>
      <c r="S2459" t="str">
        <f>IF(Table1[prior_dna_count]&gt;=1,"Has prior DNA history","No prior DNA history")</f>
        <v>No prior DNA history</v>
      </c>
      <c r="T2459" t="s">
        <v>22</v>
      </c>
      <c r="U2459" t="str">
        <f t="shared" si="38"/>
        <v>1</v>
      </c>
      <c r="V2459" t="str">
        <f>IF(Table1[appointment_status]="Attended","1","0")</f>
        <v>1</v>
      </c>
      <c r="W2459" t="str">
        <f>IF(Table1[appointment_status]="Cancelled","1","0")</f>
        <v>0</v>
      </c>
    </row>
    <row r="2460" spans="1:23">
      <c r="A2460" t="s">
        <v>3749</v>
      </c>
      <c r="B2460" t="s">
        <v>3750</v>
      </c>
      <c r="C2460">
        <v>32</v>
      </c>
      <c r="D2460" t="str" cm="1">
        <f t="array" ref="D2460">_xlfn.IFS(Table1[[#This Row],[age]]&lt;=17,"0-17",C2460&lt;=29,"18-29",C2460&lt;=44,"30-44",C2460&lt;=59,"45-59",C2460&lt;=74,"60-74",TRUE,"75+")</f>
        <v>30-44</v>
      </c>
      <c r="E2460" t="s">
        <v>29</v>
      </c>
      <c r="F2460">
        <v>10</v>
      </c>
      <c r="G2460" t="str" cm="1">
        <f t="array" ref="G2460">_xlfn.IFS(_xlfn.SINGLE(Table1[imd_decile])&lt;=3,"Most Deprived",F2460&lt;=7,"Moderately Deprived",F2460&lt;=10,"Least Deprived")</f>
        <v>Least Deprived</v>
      </c>
      <c r="H2460">
        <v>19</v>
      </c>
      <c r="I2460" t="s">
        <v>30</v>
      </c>
      <c r="J2460" t="s">
        <v>19</v>
      </c>
      <c r="K2460" s="1">
        <v>45960</v>
      </c>
      <c r="L2460" s="1">
        <v>45999</v>
      </c>
      <c r="M2460" s="1" t="str">
        <f>TEXT(Table1[[#This Row],[appointment_date]],"MM/YYYY")</f>
        <v>12/2025</v>
      </c>
      <c r="N2460">
        <v>39</v>
      </c>
      <c r="O2460" t="str" cm="1">
        <f t="array" ref="O2460">_xlfn.IFS(Table1[[#This Row],[lead_time_days]]&lt;=7,"0-7 days",N2460&lt;=14,"8-14 days",N2460&lt;=30,"15-30 days",N2460&lt;=60,"31-60 days",TRUE,"61+ days")</f>
        <v>31-60 days</v>
      </c>
      <c r="P2460" t="s">
        <v>35</v>
      </c>
      <c r="Q2460" t="s">
        <v>21</v>
      </c>
      <c r="R2460">
        <v>0</v>
      </c>
      <c r="S2460" t="str">
        <f>IF(Table1[prior_dna_count]&gt;=1,"Has prior DNA history","No prior DNA history")</f>
        <v>No prior DNA history</v>
      </c>
      <c r="T2460" t="s">
        <v>22</v>
      </c>
      <c r="U2460" t="str">
        <f t="shared" si="38"/>
        <v>1</v>
      </c>
      <c r="V2460" t="str">
        <f>IF(Table1[appointment_status]="Attended","1","0")</f>
        <v>1</v>
      </c>
      <c r="W2460" t="str">
        <f>IF(Table1[appointment_status]="Cancelled","1","0")</f>
        <v>0</v>
      </c>
    </row>
    <row r="2461" spans="1:23">
      <c r="A2461" t="s">
        <v>3751</v>
      </c>
      <c r="B2461" t="s">
        <v>165</v>
      </c>
      <c r="C2461">
        <v>53</v>
      </c>
      <c r="D2461" t="str" cm="1">
        <f t="array" ref="D2461">_xlfn.IFS(Table1[[#This Row],[age]]&lt;=17,"0-17",C2461&lt;=29,"18-29",C2461&lt;=44,"30-44",C2461&lt;=59,"45-59",C2461&lt;=74,"60-74",TRUE,"75+")</f>
        <v>45-59</v>
      </c>
      <c r="E2461" t="s">
        <v>29</v>
      </c>
      <c r="F2461">
        <v>4</v>
      </c>
      <c r="G2461" t="str" cm="1">
        <f t="array" ref="G2461">_xlfn.IFS(_xlfn.SINGLE(Table1[imd_decile])&lt;=3,"Most Deprived",F2461&lt;=7,"Moderately Deprived",F2461&lt;=10,"Least Deprived")</f>
        <v>Moderately Deprived</v>
      </c>
      <c r="H2461">
        <v>8.6999999999999993</v>
      </c>
      <c r="I2461" t="s">
        <v>49</v>
      </c>
      <c r="J2461" t="s">
        <v>19</v>
      </c>
      <c r="K2461" s="1">
        <v>45952</v>
      </c>
      <c r="L2461" s="1">
        <v>45999</v>
      </c>
      <c r="M2461" s="1" t="str">
        <f>TEXT(Table1[[#This Row],[appointment_date]],"MM/YYYY")</f>
        <v>12/2025</v>
      </c>
      <c r="N2461">
        <v>47</v>
      </c>
      <c r="O2461" t="str" cm="1">
        <f t="array" ref="O2461">_xlfn.IFS(Table1[[#This Row],[lead_time_days]]&lt;=7,"0-7 days",N2461&lt;=14,"8-14 days",N2461&lt;=30,"15-30 days",N2461&lt;=60,"31-60 days",TRUE,"61+ days")</f>
        <v>31-60 days</v>
      </c>
      <c r="P2461" t="s">
        <v>35</v>
      </c>
      <c r="Q2461" t="s">
        <v>21</v>
      </c>
      <c r="R2461">
        <v>1</v>
      </c>
      <c r="S2461" t="str">
        <f>IF(Table1[prior_dna_count]&gt;=1,"Has prior DNA history","No prior DNA history")</f>
        <v>Has prior DNA history</v>
      </c>
      <c r="T2461" t="s">
        <v>22</v>
      </c>
      <c r="U2461" t="str">
        <f t="shared" si="38"/>
        <v>1</v>
      </c>
      <c r="V2461" t="str">
        <f>IF(Table1[appointment_status]="Attended","1","0")</f>
        <v>1</v>
      </c>
      <c r="W2461" t="str">
        <f>IF(Table1[appointment_status]="Cancelled","1","0")</f>
        <v>0</v>
      </c>
    </row>
    <row r="2462" spans="1:23">
      <c r="A2462" t="s">
        <v>3752</v>
      </c>
      <c r="B2462" t="s">
        <v>2645</v>
      </c>
      <c r="C2462">
        <v>45</v>
      </c>
      <c r="D2462" t="str" cm="1">
        <f t="array" ref="D2462">_xlfn.IFS(Table1[[#This Row],[age]]&lt;=17,"0-17",C2462&lt;=29,"18-29",C2462&lt;=44,"30-44",C2462&lt;=59,"45-59",C2462&lt;=74,"60-74",TRUE,"75+")</f>
        <v>45-59</v>
      </c>
      <c r="E2462" t="s">
        <v>29</v>
      </c>
      <c r="F2462">
        <v>7</v>
      </c>
      <c r="G2462" t="str" cm="1">
        <f t="array" ref="G2462">_xlfn.IFS(_xlfn.SINGLE(Table1[imd_decile])&lt;=3,"Most Deprived",F2462&lt;=7,"Moderately Deprived",F2462&lt;=10,"Least Deprived")</f>
        <v>Moderately Deprived</v>
      </c>
      <c r="H2462">
        <v>4.3</v>
      </c>
      <c r="I2462" t="s">
        <v>45</v>
      </c>
      <c r="J2462" t="s">
        <v>19</v>
      </c>
      <c r="K2462" s="1">
        <v>45962</v>
      </c>
      <c r="L2462" s="1">
        <v>45999</v>
      </c>
      <c r="M2462" s="1" t="str">
        <f>TEXT(Table1[[#This Row],[appointment_date]],"MM/YYYY")</f>
        <v>12/2025</v>
      </c>
      <c r="N2462">
        <v>37</v>
      </c>
      <c r="O2462" t="str" cm="1">
        <f t="array" ref="O2462">_xlfn.IFS(Table1[[#This Row],[lead_time_days]]&lt;=7,"0-7 days",N2462&lt;=14,"8-14 days",N2462&lt;=30,"15-30 days",N2462&lt;=60,"31-60 days",TRUE,"61+ days")</f>
        <v>31-60 days</v>
      </c>
      <c r="P2462" t="s">
        <v>35</v>
      </c>
      <c r="Q2462" t="s">
        <v>21</v>
      </c>
      <c r="R2462">
        <v>0</v>
      </c>
      <c r="S2462" t="str">
        <f>IF(Table1[prior_dna_count]&gt;=1,"Has prior DNA history","No prior DNA history")</f>
        <v>No prior DNA history</v>
      </c>
      <c r="T2462" t="s">
        <v>46</v>
      </c>
      <c r="U2462" t="str">
        <f t="shared" si="38"/>
        <v>1</v>
      </c>
      <c r="V2462" t="str">
        <f>IF(Table1[appointment_status]="Attended","1","0")</f>
        <v>0</v>
      </c>
      <c r="W2462" t="str">
        <f>IF(Table1[appointment_status]="Cancelled","1","0")</f>
        <v>1</v>
      </c>
    </row>
    <row r="2463" spans="1:23">
      <c r="A2463" t="s">
        <v>3753</v>
      </c>
      <c r="B2463" t="s">
        <v>2022</v>
      </c>
      <c r="C2463">
        <v>51</v>
      </c>
      <c r="D2463" t="str" cm="1">
        <f t="array" ref="D2463">_xlfn.IFS(Table1[[#This Row],[age]]&lt;=17,"0-17",C2463&lt;=29,"18-29",C2463&lt;=44,"30-44",C2463&lt;=59,"45-59",C2463&lt;=74,"60-74",TRUE,"75+")</f>
        <v>45-59</v>
      </c>
      <c r="E2463" t="s">
        <v>17</v>
      </c>
      <c r="F2463">
        <v>9</v>
      </c>
      <c r="G2463" t="str" cm="1">
        <f t="array" ref="G2463">_xlfn.IFS(_xlfn.SINGLE(Table1[imd_decile])&lt;=3,"Most Deprived",F2463&lt;=7,"Moderately Deprived",F2463&lt;=10,"Least Deprived")</f>
        <v>Least Deprived</v>
      </c>
      <c r="H2463">
        <v>5.5</v>
      </c>
      <c r="I2463" t="s">
        <v>45</v>
      </c>
      <c r="J2463" t="s">
        <v>19</v>
      </c>
      <c r="K2463" s="1">
        <v>45915</v>
      </c>
      <c r="L2463" s="1">
        <v>46001</v>
      </c>
      <c r="M2463" s="1" t="str">
        <f>TEXT(Table1[[#This Row],[appointment_date]],"MM/YYYY")</f>
        <v>12/2025</v>
      </c>
      <c r="N2463">
        <v>86</v>
      </c>
      <c r="O2463" t="str" cm="1">
        <f t="array" ref="O2463">_xlfn.IFS(Table1[[#This Row],[lead_time_days]]&lt;=7,"0-7 days",N2463&lt;=14,"8-14 days",N2463&lt;=30,"15-30 days",N2463&lt;=60,"31-60 days",TRUE,"61+ days")</f>
        <v>61+ days</v>
      </c>
      <c r="P2463" t="s">
        <v>80</v>
      </c>
      <c r="Q2463" t="s">
        <v>21</v>
      </c>
      <c r="R2463">
        <v>0</v>
      </c>
      <c r="S2463" t="str">
        <f>IF(Table1[prior_dna_count]&gt;=1,"Has prior DNA history","No prior DNA history")</f>
        <v>No prior DNA history</v>
      </c>
      <c r="T2463" t="s">
        <v>22</v>
      </c>
      <c r="U2463" t="str">
        <f t="shared" si="38"/>
        <v>0</v>
      </c>
      <c r="V2463" t="str">
        <f>IF(Table1[appointment_status]="Attended","1","0")</f>
        <v>1</v>
      </c>
      <c r="W2463" t="str">
        <f>IF(Table1[appointment_status]="Cancelled","1","0")</f>
        <v>0</v>
      </c>
    </row>
    <row r="2464" spans="1:23">
      <c r="A2464" t="s">
        <v>3754</v>
      </c>
      <c r="B2464" t="s">
        <v>960</v>
      </c>
      <c r="C2464">
        <v>29</v>
      </c>
      <c r="D2464" t="str" cm="1">
        <f t="array" ref="D2464">_xlfn.IFS(Table1[[#This Row],[age]]&lt;=17,"0-17",C2464&lt;=29,"18-29",C2464&lt;=44,"30-44",C2464&lt;=59,"45-59",C2464&lt;=74,"60-74",TRUE,"75+")</f>
        <v>18-29</v>
      </c>
      <c r="E2464" t="s">
        <v>17</v>
      </c>
      <c r="F2464">
        <v>6</v>
      </c>
      <c r="G2464" t="str" cm="1">
        <f t="array" ref="G2464">_xlfn.IFS(_xlfn.SINGLE(Table1[imd_decile])&lt;=3,"Most Deprived",F2464&lt;=7,"Moderately Deprived",F2464&lt;=10,"Least Deprived")</f>
        <v>Moderately Deprived</v>
      </c>
      <c r="H2464">
        <v>2.2000000000000002</v>
      </c>
      <c r="I2464" t="s">
        <v>38</v>
      </c>
      <c r="J2464" t="s">
        <v>19</v>
      </c>
      <c r="K2464" s="1">
        <v>45961</v>
      </c>
      <c r="L2464" s="1">
        <v>46002</v>
      </c>
      <c r="M2464" s="1" t="str">
        <f>TEXT(Table1[[#This Row],[appointment_date]],"MM/YYYY")</f>
        <v>12/2025</v>
      </c>
      <c r="N2464">
        <v>41</v>
      </c>
      <c r="O2464" t="str" cm="1">
        <f t="array" ref="O2464">_xlfn.IFS(Table1[[#This Row],[lead_time_days]]&lt;=7,"0-7 days",N2464&lt;=14,"8-14 days",N2464&lt;=30,"15-30 days",N2464&lt;=60,"31-60 days",TRUE,"61+ days")</f>
        <v>31-60 days</v>
      </c>
      <c r="P2464" t="s">
        <v>20</v>
      </c>
      <c r="Q2464" t="s">
        <v>32</v>
      </c>
      <c r="R2464">
        <v>1</v>
      </c>
      <c r="S2464" t="str">
        <f>IF(Table1[prior_dna_count]&gt;=1,"Has prior DNA history","No prior DNA history")</f>
        <v>Has prior DNA history</v>
      </c>
      <c r="T2464" t="s">
        <v>39</v>
      </c>
      <c r="U2464" t="str">
        <f t="shared" si="38"/>
        <v>1</v>
      </c>
      <c r="V2464" t="str">
        <f>IF(Table1[appointment_status]="Attended","1","0")</f>
        <v>0</v>
      </c>
      <c r="W2464" t="str">
        <f>IF(Table1[appointment_status]="Cancelled","1","0")</f>
        <v>0</v>
      </c>
    </row>
    <row r="2465" spans="1:23">
      <c r="A2465" t="s">
        <v>3755</v>
      </c>
      <c r="B2465" t="s">
        <v>1833</v>
      </c>
      <c r="C2465">
        <v>48</v>
      </c>
      <c r="D2465" t="str" cm="1">
        <f t="array" ref="D2465">_xlfn.IFS(Table1[[#This Row],[age]]&lt;=17,"0-17",C2465&lt;=29,"18-29",C2465&lt;=44,"30-44",C2465&lt;=59,"45-59",C2465&lt;=74,"60-74",TRUE,"75+")</f>
        <v>45-59</v>
      </c>
      <c r="E2465" t="s">
        <v>17</v>
      </c>
      <c r="F2465">
        <v>4</v>
      </c>
      <c r="G2465" t="str" cm="1">
        <f t="array" ref="G2465">_xlfn.IFS(_xlfn.SINGLE(Table1[imd_decile])&lt;=3,"Most Deprived",F2465&lt;=7,"Moderately Deprived",F2465&lt;=10,"Least Deprived")</f>
        <v>Moderately Deprived</v>
      </c>
      <c r="H2465">
        <v>10</v>
      </c>
      <c r="I2465" t="s">
        <v>49</v>
      </c>
      <c r="J2465" t="s">
        <v>19</v>
      </c>
      <c r="K2465" s="1">
        <v>45956</v>
      </c>
      <c r="L2465" s="1">
        <v>46003</v>
      </c>
      <c r="M2465" s="1" t="str">
        <f>TEXT(Table1[[#This Row],[appointment_date]],"MM/YYYY")</f>
        <v>12/2025</v>
      </c>
      <c r="N2465">
        <v>47</v>
      </c>
      <c r="O2465" t="str" cm="1">
        <f t="array" ref="O2465">_xlfn.IFS(Table1[[#This Row],[lead_time_days]]&lt;=7,"0-7 days",N2465&lt;=14,"8-14 days",N2465&lt;=30,"15-30 days",N2465&lt;=60,"31-60 days",TRUE,"61+ days")</f>
        <v>31-60 days</v>
      </c>
      <c r="P2465" t="s">
        <v>52</v>
      </c>
      <c r="Q2465" t="s">
        <v>21</v>
      </c>
      <c r="R2465">
        <v>0</v>
      </c>
      <c r="S2465" t="str">
        <f>IF(Table1[prior_dna_count]&gt;=1,"Has prior DNA history","No prior DNA history")</f>
        <v>No prior DNA history</v>
      </c>
      <c r="T2465" t="s">
        <v>46</v>
      </c>
      <c r="U2465" t="str">
        <f t="shared" si="38"/>
        <v>0</v>
      </c>
      <c r="V2465" t="str">
        <f>IF(Table1[appointment_status]="Attended","1","0")</f>
        <v>0</v>
      </c>
      <c r="W2465" t="str">
        <f>IF(Table1[appointment_status]="Cancelled","1","0")</f>
        <v>1</v>
      </c>
    </row>
    <row r="2466" spans="1:23">
      <c r="A2466" t="s">
        <v>3756</v>
      </c>
      <c r="B2466" t="s">
        <v>1838</v>
      </c>
      <c r="C2466">
        <v>37</v>
      </c>
      <c r="D2466" t="str" cm="1">
        <f t="array" ref="D2466">_xlfn.IFS(Table1[[#This Row],[age]]&lt;=17,"0-17",C2466&lt;=29,"18-29",C2466&lt;=44,"30-44",C2466&lt;=59,"45-59",C2466&lt;=74,"60-74",TRUE,"75+")</f>
        <v>30-44</v>
      </c>
      <c r="E2466" t="s">
        <v>29</v>
      </c>
      <c r="F2466">
        <v>2</v>
      </c>
      <c r="G2466" t="str" cm="1">
        <f t="array" ref="G2466">_xlfn.IFS(_xlfn.SINGLE(Table1[imd_decile])&lt;=3,"Most Deprived",F2466&lt;=7,"Moderately Deprived",F2466&lt;=10,"Least Deprived")</f>
        <v>Most Deprived</v>
      </c>
      <c r="H2466">
        <v>7.5</v>
      </c>
      <c r="I2466" t="s">
        <v>38</v>
      </c>
      <c r="J2466" t="s">
        <v>19</v>
      </c>
      <c r="K2466" s="1">
        <v>45960</v>
      </c>
      <c r="L2466" s="1">
        <v>46003</v>
      </c>
      <c r="M2466" s="1" t="str">
        <f>TEXT(Table1[[#This Row],[appointment_date]],"MM/YYYY")</f>
        <v>12/2025</v>
      </c>
      <c r="N2466">
        <v>43</v>
      </c>
      <c r="O2466" t="str" cm="1">
        <f t="array" ref="O2466">_xlfn.IFS(Table1[[#This Row],[lead_time_days]]&lt;=7,"0-7 days",N2466&lt;=14,"8-14 days",N2466&lt;=30,"15-30 days",N2466&lt;=60,"31-60 days",TRUE,"61+ days")</f>
        <v>31-60 days</v>
      </c>
      <c r="P2466" t="s">
        <v>52</v>
      </c>
      <c r="Q2466" t="s">
        <v>21</v>
      </c>
      <c r="R2466">
        <v>0</v>
      </c>
      <c r="S2466" t="str">
        <f>IF(Table1[prior_dna_count]&gt;=1,"Has prior DNA history","No prior DNA history")</f>
        <v>No prior DNA history</v>
      </c>
      <c r="T2466" t="s">
        <v>22</v>
      </c>
      <c r="U2466" t="str">
        <f t="shared" si="38"/>
        <v>0</v>
      </c>
      <c r="V2466" t="str">
        <f>IF(Table1[appointment_status]="Attended","1","0")</f>
        <v>1</v>
      </c>
      <c r="W2466" t="str">
        <f>IF(Table1[appointment_status]="Cancelled","1","0")</f>
        <v>0</v>
      </c>
    </row>
    <row r="2467" spans="1:23">
      <c r="A2467" t="s">
        <v>3757</v>
      </c>
      <c r="B2467" t="s">
        <v>981</v>
      </c>
      <c r="C2467">
        <v>43</v>
      </c>
      <c r="D2467" t="str" cm="1">
        <f t="array" ref="D2467">_xlfn.IFS(Table1[[#This Row],[age]]&lt;=17,"0-17",C2467&lt;=29,"18-29",C2467&lt;=44,"30-44",C2467&lt;=59,"45-59",C2467&lt;=74,"60-74",TRUE,"75+")</f>
        <v>30-44</v>
      </c>
      <c r="E2467" t="s">
        <v>29</v>
      </c>
      <c r="F2467">
        <v>3</v>
      </c>
      <c r="G2467" t="str" cm="1">
        <f t="array" ref="G2467">_xlfn.IFS(_xlfn.SINGLE(Table1[imd_decile])&lt;=3,"Most Deprived",F2467&lt;=7,"Moderately Deprived",F2467&lt;=10,"Least Deprived")</f>
        <v>Most Deprived</v>
      </c>
      <c r="H2467">
        <v>1.9</v>
      </c>
      <c r="I2467" t="s">
        <v>30</v>
      </c>
      <c r="J2467" t="s">
        <v>19</v>
      </c>
      <c r="K2467" s="1">
        <v>45941</v>
      </c>
      <c r="L2467" s="1">
        <v>46004</v>
      </c>
      <c r="M2467" s="1" t="str">
        <f>TEXT(Table1[[#This Row],[appointment_date]],"MM/YYYY")</f>
        <v>12/2025</v>
      </c>
      <c r="N2467">
        <v>63</v>
      </c>
      <c r="O2467" t="str" cm="1">
        <f t="array" ref="O2467">_xlfn.IFS(Table1[[#This Row],[lead_time_days]]&lt;=7,"0-7 days",N2467&lt;=14,"8-14 days",N2467&lt;=30,"15-30 days",N2467&lt;=60,"31-60 days",TRUE,"61+ days")</f>
        <v>61+ days</v>
      </c>
      <c r="P2467" t="s">
        <v>55</v>
      </c>
      <c r="Q2467" t="s">
        <v>21</v>
      </c>
      <c r="R2467">
        <v>0</v>
      </c>
      <c r="S2467" t="str">
        <f>IF(Table1[prior_dna_count]&gt;=1,"Has prior DNA history","No prior DNA history")</f>
        <v>No prior DNA history</v>
      </c>
      <c r="T2467" t="s">
        <v>22</v>
      </c>
      <c r="U2467" t="str">
        <f t="shared" si="38"/>
        <v>1</v>
      </c>
      <c r="V2467" t="str">
        <f>IF(Table1[appointment_status]="Attended","1","0")</f>
        <v>1</v>
      </c>
      <c r="W2467" t="str">
        <f>IF(Table1[appointment_status]="Cancelled","1","0")</f>
        <v>0</v>
      </c>
    </row>
    <row r="2468" spans="1:23">
      <c r="A2468" t="s">
        <v>3758</v>
      </c>
      <c r="B2468" t="s">
        <v>590</v>
      </c>
      <c r="C2468">
        <v>59</v>
      </c>
      <c r="D2468" t="str" cm="1">
        <f t="array" ref="D2468">_xlfn.IFS(Table1[[#This Row],[age]]&lt;=17,"0-17",C2468&lt;=29,"18-29",C2468&lt;=44,"30-44",C2468&lt;=59,"45-59",C2468&lt;=74,"60-74",TRUE,"75+")</f>
        <v>45-59</v>
      </c>
      <c r="E2468" t="s">
        <v>17</v>
      </c>
      <c r="F2468">
        <v>7</v>
      </c>
      <c r="G2468" t="str" cm="1">
        <f t="array" ref="G2468">_xlfn.IFS(_xlfn.SINGLE(Table1[imd_decile])&lt;=3,"Most Deprived",F2468&lt;=7,"Moderately Deprived",F2468&lt;=10,"Least Deprived")</f>
        <v>Moderately Deprived</v>
      </c>
      <c r="H2468">
        <v>6</v>
      </c>
      <c r="I2468" t="s">
        <v>25</v>
      </c>
      <c r="J2468" t="s">
        <v>19</v>
      </c>
      <c r="K2468" s="1">
        <v>45954</v>
      </c>
      <c r="L2468" s="1">
        <v>46004</v>
      </c>
      <c r="M2468" s="1" t="str">
        <f>TEXT(Table1[[#This Row],[appointment_date]],"MM/YYYY")</f>
        <v>12/2025</v>
      </c>
      <c r="N2468">
        <v>50</v>
      </c>
      <c r="O2468" t="str" cm="1">
        <f t="array" ref="O2468">_xlfn.IFS(Table1[[#This Row],[lead_time_days]]&lt;=7,"0-7 days",N2468&lt;=14,"8-14 days",N2468&lt;=30,"15-30 days",N2468&lt;=60,"31-60 days",TRUE,"61+ days")</f>
        <v>31-60 days</v>
      </c>
      <c r="P2468" t="s">
        <v>55</v>
      </c>
      <c r="Q2468" t="s">
        <v>21</v>
      </c>
      <c r="R2468">
        <v>0</v>
      </c>
      <c r="S2468" t="str">
        <f>IF(Table1[prior_dna_count]&gt;=1,"Has prior DNA history","No prior DNA history")</f>
        <v>No prior DNA history</v>
      </c>
      <c r="T2468" t="s">
        <v>22</v>
      </c>
      <c r="U2468" t="str">
        <f t="shared" si="38"/>
        <v>1</v>
      </c>
      <c r="V2468" t="str">
        <f>IF(Table1[appointment_status]="Attended","1","0")</f>
        <v>1</v>
      </c>
      <c r="W2468" t="str">
        <f>IF(Table1[appointment_status]="Cancelled","1","0")</f>
        <v>0</v>
      </c>
    </row>
    <row r="2469" spans="1:23">
      <c r="A2469" t="s">
        <v>3759</v>
      </c>
      <c r="B2469" t="s">
        <v>2047</v>
      </c>
      <c r="C2469">
        <v>7</v>
      </c>
      <c r="D2469" t="str" cm="1">
        <f t="array" ref="D2469">_xlfn.IFS(Table1[[#This Row],[age]]&lt;=17,"0-17",C2469&lt;=29,"18-29",C2469&lt;=44,"30-44",C2469&lt;=59,"45-59",C2469&lt;=74,"60-74",TRUE,"75+")</f>
        <v>0-17</v>
      </c>
      <c r="E2469" t="s">
        <v>17</v>
      </c>
      <c r="F2469">
        <v>6</v>
      </c>
      <c r="G2469" t="str" cm="1">
        <f t="array" ref="G2469">_xlfn.IFS(_xlfn.SINGLE(Table1[imd_decile])&lt;=3,"Most Deprived",F2469&lt;=7,"Moderately Deprived",F2469&lt;=10,"Least Deprived")</f>
        <v>Moderately Deprived</v>
      </c>
      <c r="H2469">
        <v>5.9</v>
      </c>
      <c r="I2469" t="s">
        <v>49</v>
      </c>
      <c r="J2469" t="s">
        <v>19</v>
      </c>
      <c r="K2469" s="1">
        <v>45917</v>
      </c>
      <c r="L2469" s="1">
        <v>46004</v>
      </c>
      <c r="M2469" s="1" t="str">
        <f>TEXT(Table1[[#This Row],[appointment_date]],"MM/YYYY")</f>
        <v>12/2025</v>
      </c>
      <c r="N2469">
        <v>87</v>
      </c>
      <c r="O2469" t="str" cm="1">
        <f t="array" ref="O2469">_xlfn.IFS(Table1[[#This Row],[lead_time_days]]&lt;=7,"0-7 days",N2469&lt;=14,"8-14 days",N2469&lt;=30,"15-30 days",N2469&lt;=60,"31-60 days",TRUE,"61+ days")</f>
        <v>61+ days</v>
      </c>
      <c r="P2469" t="s">
        <v>55</v>
      </c>
      <c r="Q2469" t="s">
        <v>32</v>
      </c>
      <c r="R2469">
        <v>1</v>
      </c>
      <c r="S2469" t="str">
        <f>IF(Table1[prior_dna_count]&gt;=1,"Has prior DNA history","No prior DNA history")</f>
        <v>Has prior DNA history</v>
      </c>
      <c r="T2469" t="s">
        <v>39</v>
      </c>
      <c r="U2469" t="str">
        <f t="shared" si="38"/>
        <v>1</v>
      </c>
      <c r="V2469" t="str">
        <f>IF(Table1[appointment_status]="Attended","1","0")</f>
        <v>0</v>
      </c>
      <c r="W2469" t="str">
        <f>IF(Table1[appointment_status]="Cancelled","1","0")</f>
        <v>0</v>
      </c>
    </row>
    <row r="2470" spans="1:23">
      <c r="A2470" t="s">
        <v>3760</v>
      </c>
      <c r="B2470" t="s">
        <v>3761</v>
      </c>
      <c r="C2470">
        <v>26</v>
      </c>
      <c r="D2470" t="str" cm="1">
        <f t="array" ref="D2470">_xlfn.IFS(Table1[[#This Row],[age]]&lt;=17,"0-17",C2470&lt;=29,"18-29",C2470&lt;=44,"30-44",C2470&lt;=59,"45-59",C2470&lt;=74,"60-74",TRUE,"75+")</f>
        <v>18-29</v>
      </c>
      <c r="E2470" t="s">
        <v>29</v>
      </c>
      <c r="F2470">
        <v>6</v>
      </c>
      <c r="G2470" t="str" cm="1">
        <f t="array" ref="G2470">_xlfn.IFS(_xlfn.SINGLE(Table1[imd_decile])&lt;=3,"Most Deprived",F2470&lt;=7,"Moderately Deprived",F2470&lt;=10,"Least Deprived")</f>
        <v>Moderately Deprived</v>
      </c>
      <c r="H2470">
        <v>2.6</v>
      </c>
      <c r="I2470" t="s">
        <v>42</v>
      </c>
      <c r="J2470" t="s">
        <v>19</v>
      </c>
      <c r="K2470" s="1">
        <v>45951</v>
      </c>
      <c r="L2470" s="1">
        <v>46004</v>
      </c>
      <c r="M2470" s="1" t="str">
        <f>TEXT(Table1[[#This Row],[appointment_date]],"MM/YYYY")</f>
        <v>12/2025</v>
      </c>
      <c r="N2470">
        <v>53</v>
      </c>
      <c r="O2470" t="str" cm="1">
        <f t="array" ref="O2470">_xlfn.IFS(Table1[[#This Row],[lead_time_days]]&lt;=7,"0-7 days",N2470&lt;=14,"8-14 days",N2470&lt;=30,"15-30 days",N2470&lt;=60,"31-60 days",TRUE,"61+ days")</f>
        <v>31-60 days</v>
      </c>
      <c r="P2470" t="s">
        <v>55</v>
      </c>
      <c r="Q2470" t="s">
        <v>21</v>
      </c>
      <c r="R2470">
        <v>0</v>
      </c>
      <c r="S2470" t="str">
        <f>IF(Table1[prior_dna_count]&gt;=1,"Has prior DNA history","No prior DNA history")</f>
        <v>No prior DNA history</v>
      </c>
      <c r="T2470" t="s">
        <v>22</v>
      </c>
      <c r="U2470" t="str">
        <f t="shared" si="38"/>
        <v>0</v>
      </c>
      <c r="V2470" t="str">
        <f>IF(Table1[appointment_status]="Attended","1","0")</f>
        <v>1</v>
      </c>
      <c r="W2470" t="str">
        <f>IF(Table1[appointment_status]="Cancelled","1","0")</f>
        <v>0</v>
      </c>
    </row>
    <row r="2471" spans="1:23">
      <c r="A2471" t="s">
        <v>3762</v>
      </c>
      <c r="B2471" t="s">
        <v>661</v>
      </c>
      <c r="C2471">
        <v>23</v>
      </c>
      <c r="D2471" t="str" cm="1">
        <f t="array" ref="D2471">_xlfn.IFS(Table1[[#This Row],[age]]&lt;=17,"0-17",C2471&lt;=29,"18-29",C2471&lt;=44,"30-44",C2471&lt;=59,"45-59",C2471&lt;=74,"60-74",TRUE,"75+")</f>
        <v>18-29</v>
      </c>
      <c r="E2471" t="s">
        <v>29</v>
      </c>
      <c r="F2471">
        <v>1</v>
      </c>
      <c r="G2471" t="str" cm="1">
        <f t="array" ref="G2471">_xlfn.IFS(_xlfn.SINGLE(Table1[imd_decile])&lt;=3,"Most Deprived",F2471&lt;=7,"Moderately Deprived",F2471&lt;=10,"Least Deprived")</f>
        <v>Most Deprived</v>
      </c>
      <c r="H2471">
        <v>4.5999999999999996</v>
      </c>
      <c r="I2471" t="s">
        <v>18</v>
      </c>
      <c r="J2471" t="s">
        <v>19</v>
      </c>
      <c r="K2471" s="1">
        <v>45956</v>
      </c>
      <c r="L2471" s="1">
        <v>46005</v>
      </c>
      <c r="M2471" s="1" t="str">
        <f>TEXT(Table1[[#This Row],[appointment_date]],"MM/YYYY")</f>
        <v>12/2025</v>
      </c>
      <c r="N2471">
        <v>49</v>
      </c>
      <c r="O2471" t="str" cm="1">
        <f t="array" ref="O2471">_xlfn.IFS(Table1[[#This Row],[lead_time_days]]&lt;=7,"0-7 days",N2471&lt;=14,"8-14 days",N2471&lt;=30,"15-30 days",N2471&lt;=60,"31-60 days",TRUE,"61+ days")</f>
        <v>31-60 days</v>
      </c>
      <c r="P2471" t="s">
        <v>31</v>
      </c>
      <c r="Q2471" t="s">
        <v>32</v>
      </c>
      <c r="R2471">
        <v>1</v>
      </c>
      <c r="S2471" t="str">
        <f>IF(Table1[prior_dna_count]&gt;=1,"Has prior DNA history","No prior DNA history")</f>
        <v>Has prior DNA history</v>
      </c>
      <c r="T2471" t="s">
        <v>22</v>
      </c>
      <c r="U2471" t="str">
        <f t="shared" si="38"/>
        <v>1</v>
      </c>
      <c r="V2471" t="str">
        <f>IF(Table1[appointment_status]="Attended","1","0")</f>
        <v>1</v>
      </c>
      <c r="W2471" t="str">
        <f>IF(Table1[appointment_status]="Cancelled","1","0")</f>
        <v>0</v>
      </c>
    </row>
    <row r="2472" spans="1:23">
      <c r="A2472" t="s">
        <v>3763</v>
      </c>
      <c r="B2472" t="s">
        <v>1871</v>
      </c>
      <c r="C2472">
        <v>65</v>
      </c>
      <c r="D2472" t="str" cm="1">
        <f t="array" ref="D2472">_xlfn.IFS(Table1[[#This Row],[age]]&lt;=17,"0-17",C2472&lt;=29,"18-29",C2472&lt;=44,"30-44",C2472&lt;=59,"45-59",C2472&lt;=74,"60-74",TRUE,"75+")</f>
        <v>60-74</v>
      </c>
      <c r="E2472" t="s">
        <v>29</v>
      </c>
      <c r="F2472">
        <v>3</v>
      </c>
      <c r="G2472" t="str" cm="1">
        <f t="array" ref="G2472">_xlfn.IFS(_xlfn.SINGLE(Table1[imd_decile])&lt;=3,"Most Deprived",F2472&lt;=7,"Moderately Deprived",F2472&lt;=10,"Least Deprived")</f>
        <v>Most Deprived</v>
      </c>
      <c r="H2472">
        <v>3.6</v>
      </c>
      <c r="I2472" t="s">
        <v>155</v>
      </c>
      <c r="J2472" t="s">
        <v>19</v>
      </c>
      <c r="K2472" s="1">
        <v>45959</v>
      </c>
      <c r="L2472" s="1">
        <v>46005</v>
      </c>
      <c r="M2472" s="1" t="str">
        <f>TEXT(Table1[[#This Row],[appointment_date]],"MM/YYYY")</f>
        <v>12/2025</v>
      </c>
      <c r="N2472">
        <v>46</v>
      </c>
      <c r="O2472" t="str" cm="1">
        <f t="array" ref="O2472">_xlfn.IFS(Table1[[#This Row],[lead_time_days]]&lt;=7,"0-7 days",N2472&lt;=14,"8-14 days",N2472&lt;=30,"15-30 days",N2472&lt;=60,"31-60 days",TRUE,"61+ days")</f>
        <v>31-60 days</v>
      </c>
      <c r="P2472" t="s">
        <v>31</v>
      </c>
      <c r="Q2472" t="s">
        <v>32</v>
      </c>
      <c r="R2472">
        <v>0</v>
      </c>
      <c r="S2472" t="str">
        <f>IF(Table1[prior_dna_count]&gt;=1,"Has prior DNA history","No prior DNA history")</f>
        <v>No prior DNA history</v>
      </c>
      <c r="T2472" t="s">
        <v>39</v>
      </c>
      <c r="U2472" t="str">
        <f t="shared" si="38"/>
        <v>1</v>
      </c>
      <c r="V2472" t="str">
        <f>IF(Table1[appointment_status]="Attended","1","0")</f>
        <v>0</v>
      </c>
      <c r="W2472" t="str">
        <f>IF(Table1[appointment_status]="Cancelled","1","0")</f>
        <v>0</v>
      </c>
    </row>
    <row r="2473" spans="1:23">
      <c r="A2473" t="s">
        <v>3764</v>
      </c>
      <c r="B2473" t="s">
        <v>314</v>
      </c>
      <c r="C2473">
        <v>56</v>
      </c>
      <c r="D2473" t="str" cm="1">
        <f t="array" ref="D2473">_xlfn.IFS(Table1[[#This Row],[age]]&lt;=17,"0-17",C2473&lt;=29,"18-29",C2473&lt;=44,"30-44",C2473&lt;=59,"45-59",C2473&lt;=74,"60-74",TRUE,"75+")</f>
        <v>45-59</v>
      </c>
      <c r="E2473" t="s">
        <v>17</v>
      </c>
      <c r="F2473">
        <v>8</v>
      </c>
      <c r="G2473" t="str" cm="1">
        <f t="array" ref="G2473">_xlfn.IFS(_xlfn.SINGLE(Table1[imd_decile])&lt;=3,"Most Deprived",F2473&lt;=7,"Moderately Deprived",F2473&lt;=10,"Least Deprived")</f>
        <v>Least Deprived</v>
      </c>
      <c r="H2473">
        <v>3.9</v>
      </c>
      <c r="I2473" t="s">
        <v>18</v>
      </c>
      <c r="J2473" t="s">
        <v>19</v>
      </c>
      <c r="K2473" s="1">
        <v>45948</v>
      </c>
      <c r="L2473" s="1">
        <v>46005</v>
      </c>
      <c r="M2473" s="1" t="str">
        <f>TEXT(Table1[[#This Row],[appointment_date]],"MM/YYYY")</f>
        <v>12/2025</v>
      </c>
      <c r="N2473">
        <v>57</v>
      </c>
      <c r="O2473" t="str" cm="1">
        <f t="array" ref="O2473">_xlfn.IFS(Table1[[#This Row],[lead_time_days]]&lt;=7,"0-7 days",N2473&lt;=14,"8-14 days",N2473&lt;=30,"15-30 days",N2473&lt;=60,"31-60 days",TRUE,"61+ days")</f>
        <v>31-60 days</v>
      </c>
      <c r="P2473" t="s">
        <v>31</v>
      </c>
      <c r="Q2473" t="s">
        <v>21</v>
      </c>
      <c r="R2473">
        <v>0</v>
      </c>
      <c r="S2473" t="str">
        <f>IF(Table1[prior_dna_count]&gt;=1,"Has prior DNA history","No prior DNA history")</f>
        <v>No prior DNA history</v>
      </c>
      <c r="T2473" t="s">
        <v>22</v>
      </c>
      <c r="U2473" t="str">
        <f t="shared" si="38"/>
        <v>0</v>
      </c>
      <c r="V2473" t="str">
        <f>IF(Table1[appointment_status]="Attended","1","0")</f>
        <v>1</v>
      </c>
      <c r="W2473" t="str">
        <f>IF(Table1[appointment_status]="Cancelled","1","0")</f>
        <v>0</v>
      </c>
    </row>
    <row r="2474" spans="1:23">
      <c r="A2474" t="s">
        <v>3765</v>
      </c>
      <c r="B2474" t="s">
        <v>1059</v>
      </c>
      <c r="C2474">
        <v>78</v>
      </c>
      <c r="D2474" t="str" cm="1">
        <f t="array" ref="D2474">_xlfn.IFS(Table1[[#This Row],[age]]&lt;=17,"0-17",C2474&lt;=29,"18-29",C2474&lt;=44,"30-44",C2474&lt;=59,"45-59",C2474&lt;=74,"60-74",TRUE,"75+")</f>
        <v>75+</v>
      </c>
      <c r="E2474" t="s">
        <v>29</v>
      </c>
      <c r="F2474">
        <v>2</v>
      </c>
      <c r="G2474" t="str" cm="1">
        <f t="array" ref="G2474">_xlfn.IFS(_xlfn.SINGLE(Table1[imd_decile])&lt;=3,"Most Deprived",F2474&lt;=7,"Moderately Deprived",F2474&lt;=10,"Least Deprived")</f>
        <v>Most Deprived</v>
      </c>
      <c r="H2474">
        <v>7.1</v>
      </c>
      <c r="I2474" t="s">
        <v>38</v>
      </c>
      <c r="J2474" t="s">
        <v>19</v>
      </c>
      <c r="K2474" s="1">
        <v>45929</v>
      </c>
      <c r="L2474" s="1">
        <v>46005</v>
      </c>
      <c r="M2474" s="1" t="str">
        <f>TEXT(Table1[[#This Row],[appointment_date]],"MM/YYYY")</f>
        <v>12/2025</v>
      </c>
      <c r="N2474">
        <v>76</v>
      </c>
      <c r="O2474" t="str" cm="1">
        <f t="array" ref="O2474">_xlfn.IFS(Table1[[#This Row],[lead_time_days]]&lt;=7,"0-7 days",N2474&lt;=14,"8-14 days",N2474&lt;=30,"15-30 days",N2474&lt;=60,"31-60 days",TRUE,"61+ days")</f>
        <v>61+ days</v>
      </c>
      <c r="P2474" t="s">
        <v>31</v>
      </c>
      <c r="Q2474" t="s">
        <v>21</v>
      </c>
      <c r="R2474">
        <v>0</v>
      </c>
      <c r="S2474" t="str">
        <f>IF(Table1[prior_dna_count]&gt;=1,"Has prior DNA history","No prior DNA history")</f>
        <v>No prior DNA history</v>
      </c>
      <c r="T2474" t="s">
        <v>22</v>
      </c>
      <c r="U2474" t="str">
        <f t="shared" si="38"/>
        <v>1</v>
      </c>
      <c r="V2474" t="str">
        <f>IF(Table1[appointment_status]="Attended","1","0")</f>
        <v>1</v>
      </c>
      <c r="W2474" t="str">
        <f>IF(Table1[appointment_status]="Cancelled","1","0")</f>
        <v>0</v>
      </c>
    </row>
    <row r="2475" spans="1:23">
      <c r="A2475" t="s">
        <v>3766</v>
      </c>
      <c r="B2475" t="s">
        <v>1754</v>
      </c>
      <c r="C2475">
        <v>40</v>
      </c>
      <c r="D2475" t="str" cm="1">
        <f t="array" ref="D2475">_xlfn.IFS(Table1[[#This Row],[age]]&lt;=17,"0-17",C2475&lt;=29,"18-29",C2475&lt;=44,"30-44",C2475&lt;=59,"45-59",C2475&lt;=74,"60-74",TRUE,"75+")</f>
        <v>30-44</v>
      </c>
      <c r="E2475" t="s">
        <v>29</v>
      </c>
      <c r="F2475">
        <v>10</v>
      </c>
      <c r="G2475" t="str" cm="1">
        <f t="array" ref="G2475">_xlfn.IFS(_xlfn.SINGLE(Table1[imd_decile])&lt;=3,"Most Deprived",F2475&lt;=7,"Moderately Deprived",F2475&lt;=10,"Least Deprived")</f>
        <v>Least Deprived</v>
      </c>
      <c r="H2475">
        <v>2.2999999999999998</v>
      </c>
      <c r="I2475" t="s">
        <v>38</v>
      </c>
      <c r="J2475" t="s">
        <v>19</v>
      </c>
      <c r="K2475" s="1">
        <v>45951</v>
      </c>
      <c r="L2475" s="1">
        <v>46006</v>
      </c>
      <c r="M2475" s="1" t="str">
        <f>TEXT(Table1[[#This Row],[appointment_date]],"MM/YYYY")</f>
        <v>12/2025</v>
      </c>
      <c r="N2475">
        <v>55</v>
      </c>
      <c r="O2475" t="str" cm="1">
        <f t="array" ref="O2475">_xlfn.IFS(Table1[[#This Row],[lead_time_days]]&lt;=7,"0-7 days",N2475&lt;=14,"8-14 days",N2475&lt;=30,"15-30 days",N2475&lt;=60,"31-60 days",TRUE,"61+ days")</f>
        <v>31-60 days</v>
      </c>
      <c r="P2475" t="s">
        <v>35</v>
      </c>
      <c r="Q2475" t="s">
        <v>32</v>
      </c>
      <c r="R2475">
        <v>0</v>
      </c>
      <c r="S2475" t="str">
        <f>IF(Table1[prior_dna_count]&gt;=1,"Has prior DNA history","No prior DNA history")</f>
        <v>No prior DNA history</v>
      </c>
      <c r="T2475" t="s">
        <v>39</v>
      </c>
      <c r="U2475" t="str">
        <f t="shared" si="38"/>
        <v>1</v>
      </c>
      <c r="V2475" t="str">
        <f>IF(Table1[appointment_status]="Attended","1","0")</f>
        <v>0</v>
      </c>
      <c r="W2475" t="str">
        <f>IF(Table1[appointment_status]="Cancelled","1","0")</f>
        <v>0</v>
      </c>
    </row>
    <row r="2476" spans="1:23">
      <c r="A2476" t="s">
        <v>3767</v>
      </c>
      <c r="B2476" t="s">
        <v>3006</v>
      </c>
      <c r="C2476">
        <v>32</v>
      </c>
      <c r="D2476" t="str" cm="1">
        <f t="array" ref="D2476">_xlfn.IFS(Table1[[#This Row],[age]]&lt;=17,"0-17",C2476&lt;=29,"18-29",C2476&lt;=44,"30-44",C2476&lt;=59,"45-59",C2476&lt;=74,"60-74",TRUE,"75+")</f>
        <v>30-44</v>
      </c>
      <c r="E2476" t="s">
        <v>29</v>
      </c>
      <c r="F2476">
        <v>8</v>
      </c>
      <c r="G2476" t="str" cm="1">
        <f t="array" ref="G2476">_xlfn.IFS(_xlfn.SINGLE(Table1[imd_decile])&lt;=3,"Most Deprived",F2476&lt;=7,"Moderately Deprived",F2476&lt;=10,"Least Deprived")</f>
        <v>Least Deprived</v>
      </c>
      <c r="H2476">
        <v>12.2</v>
      </c>
      <c r="I2476" t="s">
        <v>45</v>
      </c>
      <c r="J2476" t="s">
        <v>19</v>
      </c>
      <c r="K2476" s="1">
        <v>45955</v>
      </c>
      <c r="L2476" s="1">
        <v>46007</v>
      </c>
      <c r="M2476" s="1" t="str">
        <f>TEXT(Table1[[#This Row],[appointment_date]],"MM/YYYY")</f>
        <v>12/2025</v>
      </c>
      <c r="N2476">
        <v>52</v>
      </c>
      <c r="O2476" t="str" cm="1">
        <f t="array" ref="O2476">_xlfn.IFS(Table1[[#This Row],[lead_time_days]]&lt;=7,"0-7 days",N2476&lt;=14,"8-14 days",N2476&lt;=30,"15-30 days",N2476&lt;=60,"31-60 days",TRUE,"61+ days")</f>
        <v>31-60 days</v>
      </c>
      <c r="P2476" t="s">
        <v>71</v>
      </c>
      <c r="Q2476" t="s">
        <v>21</v>
      </c>
      <c r="R2476">
        <v>0</v>
      </c>
      <c r="S2476" t="str">
        <f>IF(Table1[prior_dna_count]&gt;=1,"Has prior DNA history","No prior DNA history")</f>
        <v>No prior DNA history</v>
      </c>
      <c r="T2476" t="s">
        <v>46</v>
      </c>
      <c r="U2476" t="str">
        <f t="shared" si="38"/>
        <v>0</v>
      </c>
      <c r="V2476" t="str">
        <f>IF(Table1[appointment_status]="Attended","1","0")</f>
        <v>0</v>
      </c>
      <c r="W2476" t="str">
        <f>IF(Table1[appointment_status]="Cancelled","1","0")</f>
        <v>1</v>
      </c>
    </row>
    <row r="2477" spans="1:23">
      <c r="A2477" t="s">
        <v>3768</v>
      </c>
      <c r="B2477" t="s">
        <v>3769</v>
      </c>
      <c r="C2477">
        <v>74</v>
      </c>
      <c r="D2477" t="str" cm="1">
        <f t="array" ref="D2477">_xlfn.IFS(Table1[[#This Row],[age]]&lt;=17,"0-17",C2477&lt;=29,"18-29",C2477&lt;=44,"30-44",C2477&lt;=59,"45-59",C2477&lt;=74,"60-74",TRUE,"75+")</f>
        <v>60-74</v>
      </c>
      <c r="E2477" t="s">
        <v>17</v>
      </c>
      <c r="F2477">
        <v>7</v>
      </c>
      <c r="G2477" t="str" cm="1">
        <f t="array" ref="G2477">_xlfn.IFS(_xlfn.SINGLE(Table1[imd_decile])&lt;=3,"Most Deprived",F2477&lt;=7,"Moderately Deprived",F2477&lt;=10,"Least Deprived")</f>
        <v>Moderately Deprived</v>
      </c>
      <c r="H2477">
        <v>17.7</v>
      </c>
      <c r="I2477" t="s">
        <v>45</v>
      </c>
      <c r="J2477" t="s">
        <v>19</v>
      </c>
      <c r="K2477" s="1">
        <v>45934</v>
      </c>
      <c r="L2477" s="1">
        <v>46007</v>
      </c>
      <c r="M2477" s="1" t="str">
        <f>TEXT(Table1[[#This Row],[appointment_date]],"MM/YYYY")</f>
        <v>12/2025</v>
      </c>
      <c r="N2477">
        <v>73</v>
      </c>
      <c r="O2477" t="str" cm="1">
        <f t="array" ref="O2477">_xlfn.IFS(Table1[[#This Row],[lead_time_days]]&lt;=7,"0-7 days",N2477&lt;=14,"8-14 days",N2477&lt;=30,"15-30 days",N2477&lt;=60,"31-60 days",TRUE,"61+ days")</f>
        <v>61+ days</v>
      </c>
      <c r="P2477" t="s">
        <v>71</v>
      </c>
      <c r="Q2477" t="s">
        <v>32</v>
      </c>
      <c r="R2477">
        <v>0</v>
      </c>
      <c r="S2477" t="str">
        <f>IF(Table1[prior_dna_count]&gt;=1,"Has prior DNA history","No prior DNA history")</f>
        <v>No prior DNA history</v>
      </c>
      <c r="T2477" t="s">
        <v>22</v>
      </c>
      <c r="U2477" t="str">
        <f t="shared" si="38"/>
        <v>0</v>
      </c>
      <c r="V2477" t="str">
        <f>IF(Table1[appointment_status]="Attended","1","0")</f>
        <v>1</v>
      </c>
      <c r="W2477" t="str">
        <f>IF(Table1[appointment_status]="Cancelled","1","0")</f>
        <v>0</v>
      </c>
    </row>
    <row r="2478" spans="1:23">
      <c r="A2478" t="s">
        <v>3770</v>
      </c>
      <c r="B2478" t="s">
        <v>2357</v>
      </c>
      <c r="C2478">
        <v>45</v>
      </c>
      <c r="D2478" t="str" cm="1">
        <f t="array" ref="D2478">_xlfn.IFS(Table1[[#This Row],[age]]&lt;=17,"0-17",C2478&lt;=29,"18-29",C2478&lt;=44,"30-44",C2478&lt;=59,"45-59",C2478&lt;=74,"60-74",TRUE,"75+")</f>
        <v>45-59</v>
      </c>
      <c r="E2478" t="s">
        <v>29</v>
      </c>
      <c r="F2478">
        <v>4</v>
      </c>
      <c r="G2478" t="str" cm="1">
        <f t="array" ref="G2478">_xlfn.IFS(_xlfn.SINGLE(Table1[imd_decile])&lt;=3,"Most Deprived",F2478&lt;=7,"Moderately Deprived",F2478&lt;=10,"Least Deprived")</f>
        <v>Moderately Deprived</v>
      </c>
      <c r="H2478">
        <v>9.9</v>
      </c>
      <c r="I2478" t="s">
        <v>42</v>
      </c>
      <c r="J2478" t="s">
        <v>19</v>
      </c>
      <c r="K2478" s="1">
        <v>45947</v>
      </c>
      <c r="L2478" s="1">
        <v>46007</v>
      </c>
      <c r="M2478" s="1" t="str">
        <f>TEXT(Table1[[#This Row],[appointment_date]],"MM/YYYY")</f>
        <v>12/2025</v>
      </c>
      <c r="N2478">
        <v>60</v>
      </c>
      <c r="O2478" t="str" cm="1">
        <f t="array" ref="O2478">_xlfn.IFS(Table1[[#This Row],[lead_time_days]]&lt;=7,"0-7 days",N2478&lt;=14,"8-14 days",N2478&lt;=30,"15-30 days",N2478&lt;=60,"31-60 days",TRUE,"61+ days")</f>
        <v>31-60 days</v>
      </c>
      <c r="P2478" t="s">
        <v>71</v>
      </c>
      <c r="Q2478" t="s">
        <v>32</v>
      </c>
      <c r="R2478">
        <v>0</v>
      </c>
      <c r="S2478" t="str">
        <f>IF(Table1[prior_dna_count]&gt;=1,"Has prior DNA history","No prior DNA history")</f>
        <v>No prior DNA history</v>
      </c>
      <c r="T2478" t="s">
        <v>22</v>
      </c>
      <c r="U2478" t="str">
        <f t="shared" si="38"/>
        <v>1</v>
      </c>
      <c r="V2478" t="str">
        <f>IF(Table1[appointment_status]="Attended","1","0")</f>
        <v>1</v>
      </c>
      <c r="W2478" t="str">
        <f>IF(Table1[appointment_status]="Cancelled","1","0")</f>
        <v>0</v>
      </c>
    </row>
    <row r="2479" spans="1:23">
      <c r="A2479" t="s">
        <v>3771</v>
      </c>
      <c r="B2479" t="s">
        <v>3772</v>
      </c>
      <c r="C2479">
        <v>27</v>
      </c>
      <c r="D2479" t="str" cm="1">
        <f t="array" ref="D2479">_xlfn.IFS(Table1[[#This Row],[age]]&lt;=17,"0-17",C2479&lt;=29,"18-29",C2479&lt;=44,"30-44",C2479&lt;=59,"45-59",C2479&lt;=74,"60-74",TRUE,"75+")</f>
        <v>18-29</v>
      </c>
      <c r="E2479" t="s">
        <v>29</v>
      </c>
      <c r="F2479">
        <v>10</v>
      </c>
      <c r="G2479" t="str" cm="1">
        <f t="array" ref="G2479">_xlfn.IFS(_xlfn.SINGLE(Table1[imd_decile])&lt;=3,"Most Deprived",F2479&lt;=7,"Moderately Deprived",F2479&lt;=10,"Least Deprived")</f>
        <v>Least Deprived</v>
      </c>
      <c r="H2479">
        <v>4</v>
      </c>
      <c r="I2479" t="s">
        <v>91</v>
      </c>
      <c r="J2479" t="s">
        <v>26</v>
      </c>
      <c r="K2479" s="1">
        <v>45960</v>
      </c>
      <c r="L2479" s="1">
        <v>46007</v>
      </c>
      <c r="M2479" s="1" t="str">
        <f>TEXT(Table1[[#This Row],[appointment_date]],"MM/YYYY")</f>
        <v>12/2025</v>
      </c>
      <c r="N2479">
        <v>47</v>
      </c>
      <c r="O2479" t="str" cm="1">
        <f t="array" ref="O2479">_xlfn.IFS(Table1[[#This Row],[lead_time_days]]&lt;=7,"0-7 days",N2479&lt;=14,"8-14 days",N2479&lt;=30,"15-30 days",N2479&lt;=60,"31-60 days",TRUE,"61+ days")</f>
        <v>31-60 days</v>
      </c>
      <c r="P2479" t="s">
        <v>71</v>
      </c>
      <c r="Q2479" t="s">
        <v>21</v>
      </c>
      <c r="R2479">
        <v>0</v>
      </c>
      <c r="S2479" t="str">
        <f>IF(Table1[prior_dna_count]&gt;=1,"Has prior DNA history","No prior DNA history")</f>
        <v>No prior DNA history</v>
      </c>
      <c r="T2479" t="s">
        <v>22</v>
      </c>
      <c r="U2479" t="str">
        <f t="shared" si="38"/>
        <v>1</v>
      </c>
      <c r="V2479" t="str">
        <f>IF(Table1[appointment_status]="Attended","1","0")</f>
        <v>1</v>
      </c>
      <c r="W2479" t="str">
        <f>IF(Table1[appointment_status]="Cancelled","1","0")</f>
        <v>0</v>
      </c>
    </row>
    <row r="2480" spans="1:23">
      <c r="A2480" t="s">
        <v>3773</v>
      </c>
      <c r="B2480" t="s">
        <v>2823</v>
      </c>
      <c r="C2480">
        <v>60</v>
      </c>
      <c r="D2480" t="str" cm="1">
        <f t="array" ref="D2480">_xlfn.IFS(Table1[[#This Row],[age]]&lt;=17,"0-17",C2480&lt;=29,"18-29",C2480&lt;=44,"30-44",C2480&lt;=59,"45-59",C2480&lt;=74,"60-74",TRUE,"75+")</f>
        <v>60-74</v>
      </c>
      <c r="E2480" t="s">
        <v>29</v>
      </c>
      <c r="F2480">
        <v>10</v>
      </c>
      <c r="G2480" t="str" cm="1">
        <f t="array" ref="G2480">_xlfn.IFS(_xlfn.SINGLE(Table1[imd_decile])&lt;=3,"Most Deprived",F2480&lt;=7,"Moderately Deprived",F2480&lt;=10,"Least Deprived")</f>
        <v>Least Deprived</v>
      </c>
      <c r="H2480">
        <v>5</v>
      </c>
      <c r="I2480" t="s">
        <v>30</v>
      </c>
      <c r="J2480" t="s">
        <v>19</v>
      </c>
      <c r="K2480" s="1">
        <v>45932</v>
      </c>
      <c r="L2480" s="1">
        <v>46010</v>
      </c>
      <c r="M2480" s="1" t="str">
        <f>TEXT(Table1[[#This Row],[appointment_date]],"MM/YYYY")</f>
        <v>12/2025</v>
      </c>
      <c r="N2480">
        <v>78</v>
      </c>
      <c r="O2480" t="str" cm="1">
        <f t="array" ref="O2480">_xlfn.IFS(Table1[[#This Row],[lead_time_days]]&lt;=7,"0-7 days",N2480&lt;=14,"8-14 days",N2480&lt;=30,"15-30 days",N2480&lt;=60,"31-60 days",TRUE,"61+ days")</f>
        <v>61+ days</v>
      </c>
      <c r="P2480" t="s">
        <v>52</v>
      </c>
      <c r="Q2480" t="s">
        <v>21</v>
      </c>
      <c r="R2480">
        <v>0</v>
      </c>
      <c r="S2480" t="str">
        <f>IF(Table1[prior_dna_count]&gt;=1,"Has prior DNA history","No prior DNA history")</f>
        <v>No prior DNA history</v>
      </c>
      <c r="T2480" t="s">
        <v>39</v>
      </c>
      <c r="U2480" t="str">
        <f t="shared" si="38"/>
        <v>1</v>
      </c>
      <c r="V2480" t="str">
        <f>IF(Table1[appointment_status]="Attended","1","0")</f>
        <v>0</v>
      </c>
      <c r="W2480" t="str">
        <f>IF(Table1[appointment_status]="Cancelled","1","0")</f>
        <v>0</v>
      </c>
    </row>
    <row r="2481" spans="1:23">
      <c r="A2481" t="s">
        <v>3774</v>
      </c>
      <c r="B2481" t="s">
        <v>1701</v>
      </c>
      <c r="C2481">
        <v>87</v>
      </c>
      <c r="D2481" t="str" cm="1">
        <f t="array" ref="D2481">_xlfn.IFS(Table1[[#This Row],[age]]&lt;=17,"0-17",C2481&lt;=29,"18-29",C2481&lt;=44,"30-44",C2481&lt;=59,"45-59",C2481&lt;=74,"60-74",TRUE,"75+")</f>
        <v>75+</v>
      </c>
      <c r="E2481" t="s">
        <v>17</v>
      </c>
      <c r="F2481">
        <v>7</v>
      </c>
      <c r="G2481" t="str" cm="1">
        <f t="array" ref="G2481">_xlfn.IFS(_xlfn.SINGLE(Table1[imd_decile])&lt;=3,"Most Deprived",F2481&lt;=7,"Moderately Deprived",F2481&lt;=10,"Least Deprived")</f>
        <v>Moderately Deprived</v>
      </c>
      <c r="H2481">
        <v>12.8</v>
      </c>
      <c r="I2481" t="s">
        <v>45</v>
      </c>
      <c r="J2481" t="s">
        <v>19</v>
      </c>
      <c r="K2481" s="1">
        <v>45950</v>
      </c>
      <c r="L2481" s="1">
        <v>46011</v>
      </c>
      <c r="M2481" s="1" t="str">
        <f>TEXT(Table1[[#This Row],[appointment_date]],"MM/YYYY")</f>
        <v>12/2025</v>
      </c>
      <c r="N2481">
        <v>61</v>
      </c>
      <c r="O2481" t="str" cm="1">
        <f t="array" ref="O2481">_xlfn.IFS(Table1[[#This Row],[lead_time_days]]&lt;=7,"0-7 days",N2481&lt;=14,"8-14 days",N2481&lt;=30,"15-30 days",N2481&lt;=60,"31-60 days",TRUE,"61+ days")</f>
        <v>61+ days</v>
      </c>
      <c r="P2481" t="s">
        <v>55</v>
      </c>
      <c r="Q2481" t="s">
        <v>32</v>
      </c>
      <c r="R2481">
        <v>0</v>
      </c>
      <c r="S2481" t="str">
        <f>IF(Table1[prior_dna_count]&gt;=1,"Has prior DNA history","No prior DNA history")</f>
        <v>No prior DNA history</v>
      </c>
      <c r="T2481" t="s">
        <v>22</v>
      </c>
      <c r="U2481" t="str">
        <f t="shared" si="38"/>
        <v>0</v>
      </c>
      <c r="V2481" t="str">
        <f>IF(Table1[appointment_status]="Attended","1","0")</f>
        <v>1</v>
      </c>
      <c r="W2481" t="str">
        <f>IF(Table1[appointment_status]="Cancelled","1","0")</f>
        <v>0</v>
      </c>
    </row>
    <row r="2482" spans="1:23">
      <c r="A2482" t="s">
        <v>3775</v>
      </c>
      <c r="B2482" t="s">
        <v>308</v>
      </c>
      <c r="C2482">
        <v>70</v>
      </c>
      <c r="D2482" t="str" cm="1">
        <f t="array" ref="D2482">_xlfn.IFS(Table1[[#This Row],[age]]&lt;=17,"0-17",C2482&lt;=29,"18-29",C2482&lt;=44,"30-44",C2482&lt;=59,"45-59",C2482&lt;=74,"60-74",TRUE,"75+")</f>
        <v>60-74</v>
      </c>
      <c r="E2482" t="s">
        <v>29</v>
      </c>
      <c r="F2482">
        <v>7</v>
      </c>
      <c r="G2482" t="str" cm="1">
        <f t="array" ref="G2482">_xlfn.IFS(_xlfn.SINGLE(Table1[imd_decile])&lt;=3,"Most Deprived",F2482&lt;=7,"Moderately Deprived",F2482&lt;=10,"Least Deprived")</f>
        <v>Moderately Deprived</v>
      </c>
      <c r="H2482">
        <v>2.7</v>
      </c>
      <c r="I2482" t="s">
        <v>91</v>
      </c>
      <c r="J2482" t="s">
        <v>19</v>
      </c>
      <c r="K2482" s="1">
        <v>45948</v>
      </c>
      <c r="L2482" s="1">
        <v>46011</v>
      </c>
      <c r="M2482" s="1" t="str">
        <f>TEXT(Table1[[#This Row],[appointment_date]],"MM/YYYY")</f>
        <v>12/2025</v>
      </c>
      <c r="N2482">
        <v>63</v>
      </c>
      <c r="O2482" t="str" cm="1">
        <f t="array" ref="O2482">_xlfn.IFS(Table1[[#This Row],[lead_time_days]]&lt;=7,"0-7 days",N2482&lt;=14,"8-14 days",N2482&lt;=30,"15-30 days",N2482&lt;=60,"31-60 days",TRUE,"61+ days")</f>
        <v>61+ days</v>
      </c>
      <c r="P2482" t="s">
        <v>55</v>
      </c>
      <c r="Q2482" t="s">
        <v>32</v>
      </c>
      <c r="R2482">
        <v>0</v>
      </c>
      <c r="S2482" t="str">
        <f>IF(Table1[prior_dna_count]&gt;=1,"Has prior DNA history","No prior DNA history")</f>
        <v>No prior DNA history</v>
      </c>
      <c r="T2482" t="s">
        <v>46</v>
      </c>
      <c r="U2482" t="str">
        <f t="shared" si="38"/>
        <v>1</v>
      </c>
      <c r="V2482" t="str">
        <f>IF(Table1[appointment_status]="Attended","1","0")</f>
        <v>0</v>
      </c>
      <c r="W2482" t="str">
        <f>IF(Table1[appointment_status]="Cancelled","1","0")</f>
        <v>1</v>
      </c>
    </row>
    <row r="2483" spans="1:23">
      <c r="A2483" t="s">
        <v>3776</v>
      </c>
      <c r="B2483" t="s">
        <v>3290</v>
      </c>
      <c r="C2483">
        <v>54</v>
      </c>
      <c r="D2483" t="str" cm="1">
        <f t="array" ref="D2483">_xlfn.IFS(Table1[[#This Row],[age]]&lt;=17,"0-17",C2483&lt;=29,"18-29",C2483&lt;=44,"30-44",C2483&lt;=59,"45-59",C2483&lt;=74,"60-74",TRUE,"75+")</f>
        <v>45-59</v>
      </c>
      <c r="E2483" t="s">
        <v>17</v>
      </c>
      <c r="F2483">
        <v>7</v>
      </c>
      <c r="G2483" t="str" cm="1">
        <f t="array" ref="G2483">_xlfn.IFS(_xlfn.SINGLE(Table1[imd_decile])&lt;=3,"Most Deprived",F2483&lt;=7,"Moderately Deprived",F2483&lt;=10,"Least Deprived")</f>
        <v>Moderately Deprived</v>
      </c>
      <c r="H2483">
        <v>4.2</v>
      </c>
      <c r="I2483" t="s">
        <v>58</v>
      </c>
      <c r="J2483" t="s">
        <v>19</v>
      </c>
      <c r="K2483" s="1">
        <v>45951</v>
      </c>
      <c r="L2483" s="1">
        <v>46011</v>
      </c>
      <c r="M2483" s="1" t="str">
        <f>TEXT(Table1[[#This Row],[appointment_date]],"MM/YYYY")</f>
        <v>12/2025</v>
      </c>
      <c r="N2483">
        <v>60</v>
      </c>
      <c r="O2483" t="str" cm="1">
        <f t="array" ref="O2483">_xlfn.IFS(Table1[[#This Row],[lead_time_days]]&lt;=7,"0-7 days",N2483&lt;=14,"8-14 days",N2483&lt;=30,"15-30 days",N2483&lt;=60,"31-60 days",TRUE,"61+ days")</f>
        <v>31-60 days</v>
      </c>
      <c r="P2483" t="s">
        <v>55</v>
      </c>
      <c r="Q2483" t="s">
        <v>21</v>
      </c>
      <c r="R2483">
        <v>0</v>
      </c>
      <c r="S2483" t="str">
        <f>IF(Table1[prior_dna_count]&gt;=1,"Has prior DNA history","No prior DNA history")</f>
        <v>No prior DNA history</v>
      </c>
      <c r="T2483" t="s">
        <v>22</v>
      </c>
      <c r="U2483" t="str">
        <f t="shared" si="38"/>
        <v>0</v>
      </c>
      <c r="V2483" t="str">
        <f>IF(Table1[appointment_status]="Attended","1","0")</f>
        <v>1</v>
      </c>
      <c r="W2483" t="str">
        <f>IF(Table1[appointment_status]="Cancelled","1","0")</f>
        <v>0</v>
      </c>
    </row>
    <row r="2484" spans="1:23">
      <c r="A2484" t="s">
        <v>3777</v>
      </c>
      <c r="B2484" t="s">
        <v>921</v>
      </c>
      <c r="C2484">
        <v>46</v>
      </c>
      <c r="D2484" t="str" cm="1">
        <f t="array" ref="D2484">_xlfn.IFS(Table1[[#This Row],[age]]&lt;=17,"0-17",C2484&lt;=29,"18-29",C2484&lt;=44,"30-44",C2484&lt;=59,"45-59",C2484&lt;=74,"60-74",TRUE,"75+")</f>
        <v>45-59</v>
      </c>
      <c r="E2484" t="s">
        <v>29</v>
      </c>
      <c r="F2484">
        <v>9</v>
      </c>
      <c r="G2484" t="str" cm="1">
        <f t="array" ref="G2484">_xlfn.IFS(_xlfn.SINGLE(Table1[imd_decile])&lt;=3,"Most Deprived",F2484&lt;=7,"Moderately Deprived",F2484&lt;=10,"Least Deprived")</f>
        <v>Least Deprived</v>
      </c>
      <c r="H2484">
        <v>4.2</v>
      </c>
      <c r="I2484" t="s">
        <v>42</v>
      </c>
      <c r="J2484" t="s">
        <v>19</v>
      </c>
      <c r="K2484" s="1">
        <v>45948</v>
      </c>
      <c r="L2484" s="1">
        <v>46012</v>
      </c>
      <c r="M2484" s="1" t="str">
        <f>TEXT(Table1[[#This Row],[appointment_date]],"MM/YYYY")</f>
        <v>12/2025</v>
      </c>
      <c r="N2484">
        <v>64</v>
      </c>
      <c r="O2484" t="str" cm="1">
        <f t="array" ref="O2484">_xlfn.IFS(Table1[[#This Row],[lead_time_days]]&lt;=7,"0-7 days",N2484&lt;=14,"8-14 days",N2484&lt;=30,"15-30 days",N2484&lt;=60,"31-60 days",TRUE,"61+ days")</f>
        <v>61+ days</v>
      </c>
      <c r="P2484" t="s">
        <v>31</v>
      </c>
      <c r="Q2484" t="s">
        <v>32</v>
      </c>
      <c r="R2484">
        <v>0</v>
      </c>
      <c r="S2484" t="str">
        <f>IF(Table1[prior_dna_count]&gt;=1,"Has prior DNA history","No prior DNA history")</f>
        <v>No prior DNA history</v>
      </c>
      <c r="T2484" t="s">
        <v>22</v>
      </c>
      <c r="U2484" t="str">
        <f t="shared" si="38"/>
        <v>1</v>
      </c>
      <c r="V2484" t="str">
        <f>IF(Table1[appointment_status]="Attended","1","0")</f>
        <v>1</v>
      </c>
      <c r="W2484" t="str">
        <f>IF(Table1[appointment_status]="Cancelled","1","0")</f>
        <v>0</v>
      </c>
    </row>
    <row r="2485" spans="1:23">
      <c r="A2485" t="s">
        <v>3778</v>
      </c>
      <c r="B2485" t="s">
        <v>383</v>
      </c>
      <c r="C2485">
        <v>66</v>
      </c>
      <c r="D2485" t="str" cm="1">
        <f t="array" ref="D2485">_xlfn.IFS(Table1[[#This Row],[age]]&lt;=17,"0-17",C2485&lt;=29,"18-29",C2485&lt;=44,"30-44",C2485&lt;=59,"45-59",C2485&lt;=74,"60-74",TRUE,"75+")</f>
        <v>60-74</v>
      </c>
      <c r="E2485" t="s">
        <v>17</v>
      </c>
      <c r="F2485">
        <v>4</v>
      </c>
      <c r="G2485" t="str" cm="1">
        <f t="array" ref="G2485">_xlfn.IFS(_xlfn.SINGLE(Table1[imd_decile])&lt;=3,"Most Deprived",F2485&lt;=7,"Moderately Deprived",F2485&lt;=10,"Least Deprived")</f>
        <v>Moderately Deprived</v>
      </c>
      <c r="H2485">
        <v>5.8</v>
      </c>
      <c r="I2485" t="s">
        <v>38</v>
      </c>
      <c r="J2485" t="s">
        <v>19</v>
      </c>
      <c r="K2485" s="1">
        <v>45934</v>
      </c>
      <c r="L2485" s="1">
        <v>46013</v>
      </c>
      <c r="M2485" s="1" t="str">
        <f>TEXT(Table1[[#This Row],[appointment_date]],"MM/YYYY")</f>
        <v>12/2025</v>
      </c>
      <c r="N2485">
        <v>79</v>
      </c>
      <c r="O2485" t="str" cm="1">
        <f t="array" ref="O2485">_xlfn.IFS(Table1[[#This Row],[lead_time_days]]&lt;=7,"0-7 days",N2485&lt;=14,"8-14 days",N2485&lt;=30,"15-30 days",N2485&lt;=60,"31-60 days",TRUE,"61+ days")</f>
        <v>61+ days</v>
      </c>
      <c r="P2485" t="s">
        <v>35</v>
      </c>
      <c r="Q2485" t="s">
        <v>21</v>
      </c>
      <c r="R2485">
        <v>0</v>
      </c>
      <c r="S2485" t="str">
        <f>IF(Table1[prior_dna_count]&gt;=1,"Has prior DNA history","No prior DNA history")</f>
        <v>No prior DNA history</v>
      </c>
      <c r="T2485" t="s">
        <v>22</v>
      </c>
      <c r="U2485" t="str">
        <f t="shared" si="38"/>
        <v>1</v>
      </c>
      <c r="V2485" t="str">
        <f>IF(Table1[appointment_status]="Attended","1","0")</f>
        <v>1</v>
      </c>
      <c r="W2485" t="str">
        <f>IF(Table1[appointment_status]="Cancelled","1","0")</f>
        <v>0</v>
      </c>
    </row>
    <row r="2486" spans="1:23">
      <c r="A2486" t="s">
        <v>3779</v>
      </c>
      <c r="B2486" t="s">
        <v>544</v>
      </c>
      <c r="C2486">
        <v>69</v>
      </c>
      <c r="D2486" t="str" cm="1">
        <f t="array" ref="D2486">_xlfn.IFS(Table1[[#This Row],[age]]&lt;=17,"0-17",C2486&lt;=29,"18-29",C2486&lt;=44,"30-44",C2486&lt;=59,"45-59",C2486&lt;=74,"60-74",TRUE,"75+")</f>
        <v>60-74</v>
      </c>
      <c r="E2486" t="s">
        <v>29</v>
      </c>
      <c r="F2486">
        <v>4</v>
      </c>
      <c r="G2486" t="str" cm="1">
        <f t="array" ref="G2486">_xlfn.IFS(_xlfn.SINGLE(Table1[imd_decile])&lt;=3,"Most Deprived",F2486&lt;=7,"Moderately Deprived",F2486&lt;=10,"Least Deprived")</f>
        <v>Moderately Deprived</v>
      </c>
      <c r="H2486">
        <v>17.899999999999999</v>
      </c>
      <c r="I2486" t="s">
        <v>18</v>
      </c>
      <c r="J2486" t="s">
        <v>26</v>
      </c>
      <c r="K2486" s="1">
        <v>45952</v>
      </c>
      <c r="L2486" s="1">
        <v>46013</v>
      </c>
      <c r="M2486" s="1" t="str">
        <f>TEXT(Table1[[#This Row],[appointment_date]],"MM/YYYY")</f>
        <v>12/2025</v>
      </c>
      <c r="N2486">
        <v>61</v>
      </c>
      <c r="O2486" t="str" cm="1">
        <f t="array" ref="O2486">_xlfn.IFS(Table1[[#This Row],[lead_time_days]]&lt;=7,"0-7 days",N2486&lt;=14,"8-14 days",N2486&lt;=30,"15-30 days",N2486&lt;=60,"31-60 days",TRUE,"61+ days")</f>
        <v>61+ days</v>
      </c>
      <c r="P2486" t="s">
        <v>35</v>
      </c>
      <c r="Q2486" t="s">
        <v>21</v>
      </c>
      <c r="R2486">
        <v>0</v>
      </c>
      <c r="S2486" t="str">
        <f>IF(Table1[prior_dna_count]&gt;=1,"Has prior DNA history","No prior DNA history")</f>
        <v>No prior DNA history</v>
      </c>
      <c r="T2486" t="s">
        <v>22</v>
      </c>
      <c r="U2486" t="str">
        <f t="shared" si="38"/>
        <v>1</v>
      </c>
      <c r="V2486" t="str">
        <f>IF(Table1[appointment_status]="Attended","1","0")</f>
        <v>1</v>
      </c>
      <c r="W2486" t="str">
        <f>IF(Table1[appointment_status]="Cancelled","1","0")</f>
        <v>0</v>
      </c>
    </row>
    <row r="2487" spans="1:23">
      <c r="A2487" t="s">
        <v>3780</v>
      </c>
      <c r="B2487" t="s">
        <v>3781</v>
      </c>
      <c r="C2487">
        <v>60</v>
      </c>
      <c r="D2487" t="str" cm="1">
        <f t="array" ref="D2487">_xlfn.IFS(Table1[[#This Row],[age]]&lt;=17,"0-17",C2487&lt;=29,"18-29",C2487&lt;=44,"30-44",C2487&lt;=59,"45-59",C2487&lt;=74,"60-74",TRUE,"75+")</f>
        <v>60-74</v>
      </c>
      <c r="E2487" t="s">
        <v>29</v>
      </c>
      <c r="F2487">
        <v>9</v>
      </c>
      <c r="G2487" t="str" cm="1">
        <f t="array" ref="G2487">_xlfn.IFS(_xlfn.SINGLE(Table1[imd_decile])&lt;=3,"Most Deprived",F2487&lt;=7,"Moderately Deprived",F2487&lt;=10,"Least Deprived")</f>
        <v>Least Deprived</v>
      </c>
      <c r="H2487">
        <v>12.2</v>
      </c>
      <c r="I2487" t="s">
        <v>42</v>
      </c>
      <c r="J2487" t="s">
        <v>26</v>
      </c>
      <c r="K2487" s="1">
        <v>45961</v>
      </c>
      <c r="L2487" s="1">
        <v>46014</v>
      </c>
      <c r="M2487" s="1" t="str">
        <f>TEXT(Table1[[#This Row],[appointment_date]],"MM/YYYY")</f>
        <v>12/2025</v>
      </c>
      <c r="N2487">
        <v>53</v>
      </c>
      <c r="O2487" t="str" cm="1">
        <f t="array" ref="O2487">_xlfn.IFS(Table1[[#This Row],[lead_time_days]]&lt;=7,"0-7 days",N2487&lt;=14,"8-14 days",N2487&lt;=30,"15-30 days",N2487&lt;=60,"31-60 days",TRUE,"61+ days")</f>
        <v>31-60 days</v>
      </c>
      <c r="P2487" t="s">
        <v>71</v>
      </c>
      <c r="Q2487" t="s">
        <v>21</v>
      </c>
      <c r="R2487">
        <v>0</v>
      </c>
      <c r="S2487" t="str">
        <f>IF(Table1[prior_dna_count]&gt;=1,"Has prior DNA history","No prior DNA history")</f>
        <v>No prior DNA history</v>
      </c>
      <c r="T2487" t="s">
        <v>22</v>
      </c>
      <c r="U2487" t="str">
        <f t="shared" si="38"/>
        <v>1</v>
      </c>
      <c r="V2487" t="str">
        <f>IF(Table1[appointment_status]="Attended","1","0")</f>
        <v>1</v>
      </c>
      <c r="W2487" t="str">
        <f>IF(Table1[appointment_status]="Cancelled","1","0")</f>
        <v>0</v>
      </c>
    </row>
    <row r="2488" spans="1:23">
      <c r="A2488" t="s">
        <v>3782</v>
      </c>
      <c r="B2488" t="s">
        <v>207</v>
      </c>
      <c r="C2488">
        <v>31</v>
      </c>
      <c r="D2488" t="str" cm="1">
        <f t="array" ref="D2488">_xlfn.IFS(Table1[[#This Row],[age]]&lt;=17,"0-17",C2488&lt;=29,"18-29",C2488&lt;=44,"30-44",C2488&lt;=59,"45-59",C2488&lt;=74,"60-74",TRUE,"75+")</f>
        <v>30-44</v>
      </c>
      <c r="E2488" t="s">
        <v>17</v>
      </c>
      <c r="F2488">
        <v>5</v>
      </c>
      <c r="G2488" t="str" cm="1">
        <f t="array" ref="G2488">_xlfn.IFS(_xlfn.SINGLE(Table1[imd_decile])&lt;=3,"Most Deprived",F2488&lt;=7,"Moderately Deprived",F2488&lt;=10,"Least Deprived")</f>
        <v>Moderately Deprived</v>
      </c>
      <c r="H2488">
        <v>7.5</v>
      </c>
      <c r="I2488" t="s">
        <v>45</v>
      </c>
      <c r="J2488" t="s">
        <v>19</v>
      </c>
      <c r="K2488" s="1">
        <v>45954</v>
      </c>
      <c r="L2488" s="1">
        <v>46016</v>
      </c>
      <c r="M2488" s="1" t="str">
        <f>TEXT(Table1[[#This Row],[appointment_date]],"MM/YYYY")</f>
        <v>12/2025</v>
      </c>
      <c r="N2488">
        <v>62</v>
      </c>
      <c r="O2488" t="str" cm="1">
        <f t="array" ref="O2488">_xlfn.IFS(Table1[[#This Row],[lead_time_days]]&lt;=7,"0-7 days",N2488&lt;=14,"8-14 days",N2488&lt;=30,"15-30 days",N2488&lt;=60,"31-60 days",TRUE,"61+ days")</f>
        <v>61+ days</v>
      </c>
      <c r="P2488" t="s">
        <v>20</v>
      </c>
      <c r="Q2488" t="s">
        <v>21</v>
      </c>
      <c r="R2488">
        <v>0</v>
      </c>
      <c r="S2488" t="str">
        <f>IF(Table1[prior_dna_count]&gt;=1,"Has prior DNA history","No prior DNA history")</f>
        <v>No prior DNA history</v>
      </c>
      <c r="T2488" t="s">
        <v>22</v>
      </c>
      <c r="U2488" t="str">
        <f t="shared" si="38"/>
        <v>1</v>
      </c>
      <c r="V2488" t="str">
        <f>IF(Table1[appointment_status]="Attended","1","0")</f>
        <v>1</v>
      </c>
      <c r="W2488" t="str">
        <f>IF(Table1[appointment_status]="Cancelled","1","0")</f>
        <v>0</v>
      </c>
    </row>
    <row r="2489" spans="1:23">
      <c r="A2489" t="s">
        <v>3783</v>
      </c>
      <c r="B2489" t="s">
        <v>137</v>
      </c>
      <c r="C2489">
        <v>52</v>
      </c>
      <c r="D2489" t="str" cm="1">
        <f t="array" ref="D2489">_xlfn.IFS(Table1[[#This Row],[age]]&lt;=17,"0-17",C2489&lt;=29,"18-29",C2489&lt;=44,"30-44",C2489&lt;=59,"45-59",C2489&lt;=74,"60-74",TRUE,"75+")</f>
        <v>45-59</v>
      </c>
      <c r="E2489" t="s">
        <v>29</v>
      </c>
      <c r="F2489">
        <v>7</v>
      </c>
      <c r="G2489" t="str" cm="1">
        <f t="array" ref="G2489">_xlfn.IFS(_xlfn.SINGLE(Table1[imd_decile])&lt;=3,"Most Deprived",F2489&lt;=7,"Moderately Deprived",F2489&lt;=10,"Least Deprived")</f>
        <v>Moderately Deprived</v>
      </c>
      <c r="H2489">
        <v>9.4</v>
      </c>
      <c r="I2489" t="s">
        <v>42</v>
      </c>
      <c r="J2489" t="s">
        <v>19</v>
      </c>
      <c r="K2489" s="1">
        <v>45951</v>
      </c>
      <c r="L2489" s="1">
        <v>46016</v>
      </c>
      <c r="M2489" s="1" t="str">
        <f>TEXT(Table1[[#This Row],[appointment_date]],"MM/YYYY")</f>
        <v>12/2025</v>
      </c>
      <c r="N2489">
        <v>65</v>
      </c>
      <c r="O2489" t="str" cm="1">
        <f t="array" ref="O2489">_xlfn.IFS(Table1[[#This Row],[lead_time_days]]&lt;=7,"0-7 days",N2489&lt;=14,"8-14 days",N2489&lt;=30,"15-30 days",N2489&lt;=60,"31-60 days",TRUE,"61+ days")</f>
        <v>61+ days</v>
      </c>
      <c r="P2489" t="s">
        <v>20</v>
      </c>
      <c r="Q2489" t="s">
        <v>21</v>
      </c>
      <c r="R2489">
        <v>0</v>
      </c>
      <c r="S2489" t="str">
        <f>IF(Table1[prior_dna_count]&gt;=1,"Has prior DNA history","No prior DNA history")</f>
        <v>No prior DNA history</v>
      </c>
      <c r="T2489" t="s">
        <v>22</v>
      </c>
      <c r="U2489" t="str">
        <f t="shared" si="38"/>
        <v>1</v>
      </c>
      <c r="V2489" t="str">
        <f>IF(Table1[appointment_status]="Attended","1","0")</f>
        <v>1</v>
      </c>
      <c r="W2489" t="str">
        <f>IF(Table1[appointment_status]="Cancelled","1","0")</f>
        <v>0</v>
      </c>
    </row>
    <row r="2490" spans="1:23">
      <c r="A2490" t="s">
        <v>3784</v>
      </c>
      <c r="B2490" t="s">
        <v>3236</v>
      </c>
      <c r="C2490">
        <v>63</v>
      </c>
      <c r="D2490" t="str" cm="1">
        <f t="array" ref="D2490">_xlfn.IFS(Table1[[#This Row],[age]]&lt;=17,"0-17",C2490&lt;=29,"18-29",C2490&lt;=44,"30-44",C2490&lt;=59,"45-59",C2490&lt;=74,"60-74",TRUE,"75+")</f>
        <v>60-74</v>
      </c>
      <c r="E2490" t="s">
        <v>29</v>
      </c>
      <c r="F2490">
        <v>4</v>
      </c>
      <c r="G2490" t="str" cm="1">
        <f t="array" ref="G2490">_xlfn.IFS(_xlfn.SINGLE(Table1[imd_decile])&lt;=3,"Most Deprived",F2490&lt;=7,"Moderately Deprived",F2490&lt;=10,"Least Deprived")</f>
        <v>Moderately Deprived</v>
      </c>
      <c r="H2490">
        <v>11.4</v>
      </c>
      <c r="I2490" t="s">
        <v>25</v>
      </c>
      <c r="J2490" t="s">
        <v>19</v>
      </c>
      <c r="K2490" s="1">
        <v>45955</v>
      </c>
      <c r="L2490" s="1">
        <v>46017</v>
      </c>
      <c r="M2490" s="1" t="str">
        <f>TEXT(Table1[[#This Row],[appointment_date]],"MM/YYYY")</f>
        <v>12/2025</v>
      </c>
      <c r="N2490">
        <v>62</v>
      </c>
      <c r="O2490" t="str" cm="1">
        <f t="array" ref="O2490">_xlfn.IFS(Table1[[#This Row],[lead_time_days]]&lt;=7,"0-7 days",N2490&lt;=14,"8-14 days",N2490&lt;=30,"15-30 days",N2490&lt;=60,"31-60 days",TRUE,"61+ days")</f>
        <v>61+ days</v>
      </c>
      <c r="P2490" t="s">
        <v>52</v>
      </c>
      <c r="Q2490" t="s">
        <v>21</v>
      </c>
      <c r="R2490">
        <v>0</v>
      </c>
      <c r="S2490" t="str">
        <f>IF(Table1[prior_dna_count]&gt;=1,"Has prior DNA history","No prior DNA history")</f>
        <v>No prior DNA history</v>
      </c>
      <c r="T2490" t="s">
        <v>22</v>
      </c>
      <c r="U2490" t="str">
        <f t="shared" si="38"/>
        <v>1</v>
      </c>
      <c r="V2490" t="str">
        <f>IF(Table1[appointment_status]="Attended","1","0")</f>
        <v>1</v>
      </c>
      <c r="W2490" t="str">
        <f>IF(Table1[appointment_status]="Cancelled","1","0")</f>
        <v>0</v>
      </c>
    </row>
    <row r="2491" spans="1:23">
      <c r="A2491" t="s">
        <v>3785</v>
      </c>
      <c r="B2491" t="s">
        <v>671</v>
      </c>
      <c r="C2491">
        <v>14</v>
      </c>
      <c r="D2491" t="str" cm="1">
        <f t="array" ref="D2491">_xlfn.IFS(Table1[[#This Row],[age]]&lt;=17,"0-17",C2491&lt;=29,"18-29",C2491&lt;=44,"30-44",C2491&lt;=59,"45-59",C2491&lt;=74,"60-74",TRUE,"75+")</f>
        <v>0-17</v>
      </c>
      <c r="E2491" t="s">
        <v>29</v>
      </c>
      <c r="F2491">
        <v>1</v>
      </c>
      <c r="G2491" t="str" cm="1">
        <f t="array" ref="G2491">_xlfn.IFS(_xlfn.SINGLE(Table1[imd_decile])&lt;=3,"Most Deprived",F2491&lt;=7,"Moderately Deprived",F2491&lt;=10,"Least Deprived")</f>
        <v>Most Deprived</v>
      </c>
      <c r="H2491">
        <v>7.3</v>
      </c>
      <c r="I2491" t="s">
        <v>38</v>
      </c>
      <c r="J2491" t="s">
        <v>19</v>
      </c>
      <c r="K2491" s="1">
        <v>45952</v>
      </c>
      <c r="L2491" s="1">
        <v>46019</v>
      </c>
      <c r="M2491" s="1" t="str">
        <f>TEXT(Table1[[#This Row],[appointment_date]],"MM/YYYY")</f>
        <v>12/2025</v>
      </c>
      <c r="N2491">
        <v>67</v>
      </c>
      <c r="O2491" t="str" cm="1">
        <f t="array" ref="O2491">_xlfn.IFS(Table1[[#This Row],[lead_time_days]]&lt;=7,"0-7 days",N2491&lt;=14,"8-14 days",N2491&lt;=30,"15-30 days",N2491&lt;=60,"31-60 days",TRUE,"61+ days")</f>
        <v>61+ days</v>
      </c>
      <c r="P2491" t="s">
        <v>31</v>
      </c>
      <c r="Q2491" t="s">
        <v>32</v>
      </c>
      <c r="R2491">
        <v>1</v>
      </c>
      <c r="S2491" t="str">
        <f>IF(Table1[prior_dna_count]&gt;=1,"Has prior DNA history","No prior DNA history")</f>
        <v>Has prior DNA history</v>
      </c>
      <c r="T2491" t="s">
        <v>46</v>
      </c>
      <c r="U2491" t="str">
        <f t="shared" si="38"/>
        <v>1</v>
      </c>
      <c r="V2491" t="str">
        <f>IF(Table1[appointment_status]="Attended","1","0")</f>
        <v>0</v>
      </c>
      <c r="W2491" t="str">
        <f>IF(Table1[appointment_status]="Cancelled","1","0")</f>
        <v>1</v>
      </c>
    </row>
    <row r="2492" spans="1:23">
      <c r="A2492" t="s">
        <v>3786</v>
      </c>
      <c r="B2492" t="s">
        <v>3772</v>
      </c>
      <c r="C2492">
        <v>27</v>
      </c>
      <c r="D2492" t="str" cm="1">
        <f t="array" ref="D2492">_xlfn.IFS(Table1[[#This Row],[age]]&lt;=17,"0-17",C2492&lt;=29,"18-29",C2492&lt;=44,"30-44",C2492&lt;=59,"45-59",C2492&lt;=74,"60-74",TRUE,"75+")</f>
        <v>18-29</v>
      </c>
      <c r="E2492" t="s">
        <v>29</v>
      </c>
      <c r="F2492">
        <v>10</v>
      </c>
      <c r="G2492" t="str" cm="1">
        <f t="array" ref="G2492">_xlfn.IFS(_xlfn.SINGLE(Table1[imd_decile])&lt;=3,"Most Deprived",F2492&lt;=7,"Moderately Deprived",F2492&lt;=10,"Least Deprived")</f>
        <v>Least Deprived</v>
      </c>
      <c r="H2492">
        <v>4</v>
      </c>
      <c r="I2492" t="s">
        <v>30</v>
      </c>
      <c r="J2492" t="s">
        <v>19</v>
      </c>
      <c r="K2492" s="1">
        <v>45938</v>
      </c>
      <c r="L2492" s="1">
        <v>46024</v>
      </c>
      <c r="M2492" s="1" t="str">
        <f>TEXT(Table1[[#This Row],[appointment_date]],"MM/YYYY")</f>
        <v>01/2026</v>
      </c>
      <c r="N2492">
        <v>86</v>
      </c>
      <c r="O2492" t="str" cm="1">
        <f t="array" ref="O2492">_xlfn.IFS(Table1[[#This Row],[lead_time_days]]&lt;=7,"0-7 days",N2492&lt;=14,"8-14 days",N2492&lt;=30,"15-30 days",N2492&lt;=60,"31-60 days",TRUE,"61+ days")</f>
        <v>61+ days</v>
      </c>
      <c r="P2492" t="s">
        <v>52</v>
      </c>
      <c r="Q2492" t="s">
        <v>21</v>
      </c>
      <c r="R2492">
        <v>0</v>
      </c>
      <c r="S2492" t="str">
        <f>IF(Table1[prior_dna_count]&gt;=1,"Has prior DNA history","No prior DNA history")</f>
        <v>No prior DNA history</v>
      </c>
      <c r="T2492" t="s">
        <v>22</v>
      </c>
      <c r="U2492" t="str">
        <f t="shared" si="38"/>
        <v>0</v>
      </c>
      <c r="V2492" t="str">
        <f>IF(Table1[appointment_status]="Attended","1","0")</f>
        <v>1</v>
      </c>
      <c r="W2492" t="str">
        <f>IF(Table1[appointment_status]="Cancelled","1","0")</f>
        <v>0</v>
      </c>
    </row>
    <row r="2493" spans="1:23">
      <c r="A2493" t="s">
        <v>3787</v>
      </c>
      <c r="B2493" t="s">
        <v>661</v>
      </c>
      <c r="C2493">
        <v>23</v>
      </c>
      <c r="D2493" t="str" cm="1">
        <f t="array" ref="D2493">_xlfn.IFS(Table1[[#This Row],[age]]&lt;=17,"0-17",C2493&lt;=29,"18-29",C2493&lt;=44,"30-44",C2493&lt;=59,"45-59",C2493&lt;=74,"60-74",TRUE,"75+")</f>
        <v>18-29</v>
      </c>
      <c r="E2493" t="s">
        <v>29</v>
      </c>
      <c r="F2493">
        <v>1</v>
      </c>
      <c r="G2493" t="str" cm="1">
        <f t="array" ref="G2493">_xlfn.IFS(_xlfn.SINGLE(Table1[imd_decile])&lt;=3,"Most Deprived",F2493&lt;=7,"Moderately Deprived",F2493&lt;=10,"Least Deprived")</f>
        <v>Most Deprived</v>
      </c>
      <c r="H2493">
        <v>4.5999999999999996</v>
      </c>
      <c r="I2493" t="s">
        <v>45</v>
      </c>
      <c r="J2493" t="s">
        <v>19</v>
      </c>
      <c r="K2493" s="1">
        <v>45954</v>
      </c>
      <c r="L2493" s="1">
        <v>46025</v>
      </c>
      <c r="M2493" s="1" t="str">
        <f>TEXT(Table1[[#This Row],[appointment_date]],"MM/YYYY")</f>
        <v>01/2026</v>
      </c>
      <c r="N2493">
        <v>71</v>
      </c>
      <c r="O2493" t="str" cm="1">
        <f t="array" ref="O2493">_xlfn.IFS(Table1[[#This Row],[lead_time_days]]&lt;=7,"0-7 days",N2493&lt;=14,"8-14 days",N2493&lt;=30,"15-30 days",N2493&lt;=60,"31-60 days",TRUE,"61+ days")</f>
        <v>61+ days</v>
      </c>
      <c r="P2493" t="s">
        <v>55</v>
      </c>
      <c r="Q2493" t="s">
        <v>21</v>
      </c>
      <c r="R2493">
        <v>0</v>
      </c>
      <c r="S2493" t="str">
        <f>IF(Table1[prior_dna_count]&gt;=1,"Has prior DNA history","No prior DNA history")</f>
        <v>No prior DNA history</v>
      </c>
      <c r="T2493" t="s">
        <v>46</v>
      </c>
      <c r="U2493" t="str">
        <f t="shared" si="38"/>
        <v>1</v>
      </c>
      <c r="V2493" t="str">
        <f>IF(Table1[appointment_status]="Attended","1","0")</f>
        <v>0</v>
      </c>
      <c r="W2493" t="str">
        <f>IF(Table1[appointment_status]="Cancelled","1","0")</f>
        <v>1</v>
      </c>
    </row>
    <row r="2494" spans="1:23">
      <c r="A2494" t="s">
        <v>3788</v>
      </c>
      <c r="B2494" t="s">
        <v>1142</v>
      </c>
      <c r="C2494">
        <v>59</v>
      </c>
      <c r="D2494" t="str" cm="1">
        <f t="array" ref="D2494">_xlfn.IFS(Table1[[#This Row],[age]]&lt;=17,"0-17",C2494&lt;=29,"18-29",C2494&lt;=44,"30-44",C2494&lt;=59,"45-59",C2494&lt;=74,"60-74",TRUE,"75+")</f>
        <v>45-59</v>
      </c>
      <c r="E2494" t="s">
        <v>17</v>
      </c>
      <c r="F2494">
        <v>3</v>
      </c>
      <c r="G2494" t="str" cm="1">
        <f t="array" ref="G2494">_xlfn.IFS(_xlfn.SINGLE(Table1[imd_decile])&lt;=3,"Most Deprived",F2494&lt;=7,"Moderately Deprived",F2494&lt;=10,"Least Deprived")</f>
        <v>Most Deprived</v>
      </c>
      <c r="H2494">
        <v>20.7</v>
      </c>
      <c r="I2494" t="s">
        <v>30</v>
      </c>
      <c r="J2494" t="s">
        <v>19</v>
      </c>
      <c r="K2494" s="1">
        <v>45954</v>
      </c>
      <c r="L2494" s="1">
        <v>46034</v>
      </c>
      <c r="M2494" s="1" t="str">
        <f>TEXT(Table1[[#This Row],[appointment_date]],"MM/YYYY")</f>
        <v>01/2026</v>
      </c>
      <c r="N2494">
        <v>80</v>
      </c>
      <c r="O2494" t="str" cm="1">
        <f t="array" ref="O2494">_xlfn.IFS(Table1[[#This Row],[lead_time_days]]&lt;=7,"0-7 days",N2494&lt;=14,"8-14 days",N2494&lt;=30,"15-30 days",N2494&lt;=60,"31-60 days",TRUE,"61+ days")</f>
        <v>61+ days</v>
      </c>
      <c r="P2494" t="s">
        <v>35</v>
      </c>
      <c r="Q2494" t="s">
        <v>21</v>
      </c>
      <c r="R2494">
        <v>0</v>
      </c>
      <c r="S2494" t="str">
        <f>IF(Table1[prior_dna_count]&gt;=1,"Has prior DNA history","No prior DNA history")</f>
        <v>No prior DNA history</v>
      </c>
      <c r="T2494" t="s">
        <v>22</v>
      </c>
      <c r="U2494" t="str">
        <f t="shared" si="38"/>
        <v>0</v>
      </c>
      <c r="V2494" t="str">
        <f>IF(Table1[appointment_status]="Attended","1","0")</f>
        <v>1</v>
      </c>
      <c r="W2494" t="str">
        <f>IF(Table1[appointment_status]="Cancelled","1","0")</f>
        <v>0</v>
      </c>
    </row>
    <row r="2495" spans="1:23">
      <c r="A2495" t="s">
        <v>3789</v>
      </c>
      <c r="B2495" t="s">
        <v>1829</v>
      </c>
      <c r="C2495">
        <v>38</v>
      </c>
      <c r="D2495" t="str" cm="1">
        <f t="array" ref="D2495">_xlfn.IFS(Table1[[#This Row],[age]]&lt;=17,"0-17",C2495&lt;=29,"18-29",C2495&lt;=44,"30-44",C2495&lt;=59,"45-59",C2495&lt;=74,"60-74",TRUE,"75+")</f>
        <v>30-44</v>
      </c>
      <c r="E2495" t="s">
        <v>17</v>
      </c>
      <c r="F2495">
        <v>5</v>
      </c>
      <c r="G2495" t="str" cm="1">
        <f t="array" ref="G2495">_xlfn.IFS(_xlfn.SINGLE(Table1[imd_decile])&lt;=3,"Most Deprived",F2495&lt;=7,"Moderately Deprived",F2495&lt;=10,"Least Deprived")</f>
        <v>Moderately Deprived</v>
      </c>
      <c r="H2495">
        <v>7.8</v>
      </c>
      <c r="I2495" t="s">
        <v>18</v>
      </c>
      <c r="J2495" t="s">
        <v>19</v>
      </c>
      <c r="K2495" s="1">
        <v>45959</v>
      </c>
      <c r="L2495" s="1">
        <v>46046</v>
      </c>
      <c r="M2495" s="1" t="str">
        <f>TEXT(Table1[[#This Row],[appointment_date]],"MM/YYYY")</f>
        <v>01/2026</v>
      </c>
      <c r="N2495">
        <v>87</v>
      </c>
      <c r="O2495" t="str" cm="1">
        <f t="array" ref="O2495">_xlfn.IFS(Table1[[#This Row],[lead_time_days]]&lt;=7,"0-7 days",N2495&lt;=14,"8-14 days",N2495&lt;=30,"15-30 days",N2495&lt;=60,"31-60 days",TRUE,"61+ days")</f>
        <v>61+ days</v>
      </c>
      <c r="P2495" t="s">
        <v>55</v>
      </c>
      <c r="Q2495" t="s">
        <v>32</v>
      </c>
      <c r="R2495">
        <v>0</v>
      </c>
      <c r="S2495" t="str">
        <f>IF(Table1[prior_dna_count]&gt;=1,"Has prior DNA history","No prior DNA history")</f>
        <v>No prior DNA history</v>
      </c>
      <c r="T2495" t="s">
        <v>22</v>
      </c>
      <c r="U2495" t="str">
        <f t="shared" si="38"/>
        <v>1</v>
      </c>
      <c r="V2495" t="str">
        <f>IF(Table1[appointment_status]="Attended","1","0")</f>
        <v>1</v>
      </c>
      <c r="W2495" t="str">
        <f>IF(Table1[appointment_status]="Cancelled","1","0")</f>
        <v>0</v>
      </c>
    </row>
    <row r="2496" spans="1:23">
      <c r="A2496" t="s">
        <v>3790</v>
      </c>
      <c r="B2496" t="s">
        <v>227</v>
      </c>
      <c r="C2496">
        <v>54</v>
      </c>
      <c r="D2496" t="str" cm="1">
        <f t="array" ref="D2496">_xlfn.IFS(Table1[[#This Row],[age]]&lt;=17,"0-17",C2496&lt;=29,"18-29",C2496&lt;=44,"30-44",C2496&lt;=59,"45-59",C2496&lt;=74,"60-74",TRUE,"75+")</f>
        <v>45-59</v>
      </c>
      <c r="E2496" t="s">
        <v>29</v>
      </c>
      <c r="F2496">
        <v>4</v>
      </c>
      <c r="G2496" t="str" cm="1">
        <f t="array" ref="G2496">_xlfn.IFS(_xlfn.SINGLE(Table1[imd_decile])&lt;=3,"Most Deprived",F2496&lt;=7,"Moderately Deprived",F2496&lt;=10,"Least Deprived")</f>
        <v>Moderately Deprived</v>
      </c>
      <c r="H2496">
        <v>2.7</v>
      </c>
      <c r="I2496" t="s">
        <v>25</v>
      </c>
      <c r="J2496" t="s">
        <v>19</v>
      </c>
      <c r="K2496" s="1">
        <v>45956</v>
      </c>
      <c r="L2496" s="1">
        <v>46047</v>
      </c>
      <c r="M2496" s="1" t="str">
        <f>TEXT(Table1[[#This Row],[appointment_date]],"MM/YYYY")</f>
        <v>01/2026</v>
      </c>
      <c r="N2496">
        <v>91</v>
      </c>
      <c r="O2496" t="str" cm="1">
        <f t="array" ref="O2496">_xlfn.IFS(Table1[[#This Row],[lead_time_days]]&lt;=7,"0-7 days",N2496&lt;=14,"8-14 days",N2496&lt;=30,"15-30 days",N2496&lt;=60,"31-60 days",TRUE,"61+ days")</f>
        <v>61+ days</v>
      </c>
      <c r="P2496" t="s">
        <v>31</v>
      </c>
      <c r="Q2496" t="s">
        <v>32</v>
      </c>
      <c r="R2496">
        <v>0</v>
      </c>
      <c r="S2496" t="str">
        <f>IF(Table1[prior_dna_count]&gt;=1,"Has prior DNA history","No prior DNA history")</f>
        <v>No prior DNA history</v>
      </c>
      <c r="T2496" t="s">
        <v>22</v>
      </c>
      <c r="U2496" t="str">
        <f t="shared" si="38"/>
        <v>1</v>
      </c>
      <c r="V2496" t="str">
        <f>IF(Table1[appointment_status]="Attended","1","0")</f>
        <v>1</v>
      </c>
      <c r="W2496" t="str">
        <f>IF(Table1[appointment_status]="Cancelled","1","0")</f>
        <v>0</v>
      </c>
    </row>
    <row r="2497" spans="1:23">
      <c r="A2497" t="s">
        <v>3791</v>
      </c>
      <c r="B2497" t="s">
        <v>3599</v>
      </c>
      <c r="C2497">
        <v>56</v>
      </c>
      <c r="D2497" t="str" cm="1">
        <f t="array" ref="D2497">_xlfn.IFS(Table1[[#This Row],[age]]&lt;=17,"0-17",C2497&lt;=29,"18-29",C2497&lt;=44,"30-44",C2497&lt;=59,"45-59",C2497&lt;=74,"60-74",TRUE,"75+")</f>
        <v>45-59</v>
      </c>
      <c r="E2497" t="s">
        <v>17</v>
      </c>
      <c r="F2497">
        <v>4</v>
      </c>
      <c r="G2497" t="str" cm="1">
        <f t="array" ref="G2497">_xlfn.IFS(_xlfn.SINGLE(Table1[imd_decile])&lt;=3,"Most Deprived",F2497&lt;=7,"Moderately Deprived",F2497&lt;=10,"Least Deprived")</f>
        <v>Moderately Deprived</v>
      </c>
      <c r="H2497">
        <v>2.5</v>
      </c>
      <c r="I2497" t="s">
        <v>30</v>
      </c>
      <c r="J2497" t="s">
        <v>19</v>
      </c>
      <c r="K2497" s="1">
        <v>45940</v>
      </c>
      <c r="L2497" s="1">
        <v>46048</v>
      </c>
      <c r="M2497" s="1" t="str">
        <f>TEXT(Table1[[#This Row],[appointment_date]],"MM/YYYY")</f>
        <v>01/2026</v>
      </c>
      <c r="N2497">
        <v>108</v>
      </c>
      <c r="O2497" t="str" cm="1">
        <f t="array" ref="O2497">_xlfn.IFS(Table1[[#This Row],[lead_time_days]]&lt;=7,"0-7 days",N2497&lt;=14,"8-14 days",N2497&lt;=30,"15-30 days",N2497&lt;=60,"31-60 days",TRUE,"61+ days")</f>
        <v>61+ days</v>
      </c>
      <c r="P2497" t="s">
        <v>35</v>
      </c>
      <c r="Q2497" t="s">
        <v>21</v>
      </c>
      <c r="R2497">
        <v>0</v>
      </c>
      <c r="S2497" t="str">
        <f>IF(Table1[prior_dna_count]&gt;=1,"Has prior DNA history","No prior DNA history")</f>
        <v>No prior DNA history</v>
      </c>
      <c r="T2497" t="s">
        <v>22</v>
      </c>
      <c r="U2497" t="str">
        <f t="shared" si="38"/>
        <v>1</v>
      </c>
      <c r="V2497" t="str">
        <f>IF(Table1[appointment_status]="Attended","1","0")</f>
        <v>1</v>
      </c>
      <c r="W2497" t="str">
        <f>IF(Table1[appointment_status]="Cancelled","1","0")</f>
        <v>0</v>
      </c>
    </row>
    <row r="2498" spans="1:23">
      <c r="A2498" t="s">
        <v>3792</v>
      </c>
      <c r="B2498" t="s">
        <v>2536</v>
      </c>
      <c r="C2498">
        <v>52</v>
      </c>
      <c r="D2498" t="str" cm="1">
        <f t="array" ref="D2498">_xlfn.IFS(Table1[[#This Row],[age]]&lt;=17,"0-17",C2498&lt;=29,"18-29",C2498&lt;=44,"30-44",C2498&lt;=59,"45-59",C2498&lt;=74,"60-74",TRUE,"75+")</f>
        <v>45-59</v>
      </c>
      <c r="E2498" t="s">
        <v>17</v>
      </c>
      <c r="F2498">
        <v>1</v>
      </c>
      <c r="G2498" t="str" cm="1">
        <f t="array" ref="G2498">_xlfn.IFS(_xlfn.SINGLE(Table1[imd_decile])&lt;=3,"Most Deprived",F2498&lt;=7,"Moderately Deprived",F2498&lt;=10,"Least Deprived")</f>
        <v>Most Deprived</v>
      </c>
      <c r="H2498">
        <v>5.0999999999999996</v>
      </c>
      <c r="I2498" t="s">
        <v>38</v>
      </c>
      <c r="J2498" t="s">
        <v>19</v>
      </c>
      <c r="K2498" s="1">
        <v>45958</v>
      </c>
      <c r="L2498" s="1">
        <v>46055</v>
      </c>
      <c r="M2498" s="1" t="str">
        <f>TEXT(Table1[[#This Row],[appointment_date]],"MM/YYYY")</f>
        <v>02/2026</v>
      </c>
      <c r="N2498">
        <v>97</v>
      </c>
      <c r="O2498" t="str" cm="1">
        <f t="array" ref="O2498">_xlfn.IFS(Table1[[#This Row],[lead_time_days]]&lt;=7,"0-7 days",N2498&lt;=14,"8-14 days",N2498&lt;=30,"15-30 days",N2498&lt;=60,"31-60 days",TRUE,"61+ days")</f>
        <v>61+ days</v>
      </c>
      <c r="P2498" t="s">
        <v>35</v>
      </c>
      <c r="Q2498" t="s">
        <v>32</v>
      </c>
      <c r="R2498">
        <v>0</v>
      </c>
      <c r="S2498" t="str">
        <f>IF(Table1[prior_dna_count]&gt;=1,"Has prior DNA history","No prior DNA history")</f>
        <v>No prior DNA history</v>
      </c>
      <c r="T2498" t="s">
        <v>22</v>
      </c>
      <c r="U2498" t="str">
        <f t="shared" si="38"/>
        <v>1</v>
      </c>
      <c r="V2498" t="str">
        <f>IF(Table1[appointment_status]="Attended","1","0")</f>
        <v>1</v>
      </c>
      <c r="W2498" t="str">
        <f>IF(Table1[appointment_status]="Cancelled","1","0")</f>
        <v>0</v>
      </c>
    </row>
    <row r="2499" spans="1:23">
      <c r="A2499" t="s">
        <v>3793</v>
      </c>
      <c r="B2499" t="s">
        <v>872</v>
      </c>
      <c r="C2499">
        <v>35</v>
      </c>
      <c r="D2499" t="str" cm="1">
        <f t="array" ref="D2499">_xlfn.IFS(Table1[[#This Row],[age]]&lt;=17,"0-17",C2499&lt;=29,"18-29",C2499&lt;=44,"30-44",C2499&lt;=59,"45-59",C2499&lt;=74,"60-74",TRUE,"75+")</f>
        <v>30-44</v>
      </c>
      <c r="E2499" t="s">
        <v>17</v>
      </c>
      <c r="F2499">
        <v>7</v>
      </c>
      <c r="G2499" t="str" cm="1">
        <f t="array" ref="G2499">_xlfn.IFS(_xlfn.SINGLE(Table1[imd_decile])&lt;=3,"Most Deprived",F2499&lt;=7,"Moderately Deprived",F2499&lt;=10,"Least Deprived")</f>
        <v>Moderately Deprived</v>
      </c>
      <c r="H2499">
        <v>17.5</v>
      </c>
      <c r="I2499" t="s">
        <v>25</v>
      </c>
      <c r="J2499" t="s">
        <v>19</v>
      </c>
      <c r="K2499" s="1">
        <v>45956</v>
      </c>
      <c r="L2499" s="1">
        <v>46059</v>
      </c>
      <c r="M2499" s="1" t="str">
        <f>TEXT(Table1[[#This Row],[appointment_date]],"MM/YYYY")</f>
        <v>02/2026</v>
      </c>
      <c r="N2499">
        <v>103</v>
      </c>
      <c r="O2499" t="str" cm="1">
        <f t="array" ref="O2499">_xlfn.IFS(Table1[[#This Row],[lead_time_days]]&lt;=7,"0-7 days",N2499&lt;=14,"8-14 days",N2499&lt;=30,"15-30 days",N2499&lt;=60,"31-60 days",TRUE,"61+ days")</f>
        <v>61+ days</v>
      </c>
      <c r="P2499" t="s">
        <v>52</v>
      </c>
      <c r="Q2499" t="s">
        <v>21</v>
      </c>
      <c r="R2499">
        <v>0</v>
      </c>
      <c r="S2499" t="str">
        <f>IF(Table1[prior_dna_count]&gt;=1,"Has prior DNA history","No prior DNA history")</f>
        <v>No prior DNA history</v>
      </c>
      <c r="T2499" t="s">
        <v>22</v>
      </c>
      <c r="U2499" t="str">
        <f t="shared" si="38"/>
        <v>1</v>
      </c>
      <c r="V2499" t="str">
        <f>IF(Table1[appointment_status]="Attended","1","0")</f>
        <v>1</v>
      </c>
      <c r="W2499" t="str">
        <f>IF(Table1[appointment_status]="Cancelled","1","0")</f>
        <v>0</v>
      </c>
    </row>
    <row r="2500" spans="1:23">
      <c r="A2500" t="s">
        <v>3794</v>
      </c>
      <c r="B2500" t="s">
        <v>3262</v>
      </c>
      <c r="C2500">
        <v>66</v>
      </c>
      <c r="D2500" t="str" cm="1">
        <f t="array" ref="D2500">_xlfn.IFS(Table1[[#This Row],[age]]&lt;=17,"0-17",C2500&lt;=29,"18-29",C2500&lt;=44,"30-44",C2500&lt;=59,"45-59",C2500&lt;=74,"60-74",TRUE,"75+")</f>
        <v>60-74</v>
      </c>
      <c r="E2500" t="s">
        <v>29</v>
      </c>
      <c r="F2500">
        <v>3</v>
      </c>
      <c r="G2500" t="str" cm="1">
        <f t="array" ref="G2500">_xlfn.IFS(_xlfn.SINGLE(Table1[imd_decile])&lt;=3,"Most Deprived",F2500&lt;=7,"Moderately Deprived",F2500&lt;=10,"Least Deprived")</f>
        <v>Most Deprived</v>
      </c>
      <c r="H2500">
        <v>3.3</v>
      </c>
      <c r="I2500" t="s">
        <v>91</v>
      </c>
      <c r="J2500" t="s">
        <v>19</v>
      </c>
      <c r="K2500" s="1">
        <v>45951</v>
      </c>
      <c r="L2500" s="1">
        <v>46062</v>
      </c>
      <c r="M2500" s="1" t="str">
        <f>TEXT(Table1[[#This Row],[appointment_date]],"MM/YYYY")</f>
        <v>02/2026</v>
      </c>
      <c r="N2500">
        <v>111</v>
      </c>
      <c r="O2500" t="str" cm="1">
        <f t="array" ref="O2500">_xlfn.IFS(Table1[[#This Row],[lead_time_days]]&lt;=7,"0-7 days",N2500&lt;=14,"8-14 days",N2500&lt;=30,"15-30 days",N2500&lt;=60,"31-60 days",TRUE,"61+ days")</f>
        <v>61+ days</v>
      </c>
      <c r="P2500" t="s">
        <v>35</v>
      </c>
      <c r="Q2500" t="s">
        <v>21</v>
      </c>
      <c r="R2500">
        <v>0</v>
      </c>
      <c r="S2500" t="str">
        <f>IF(Table1[prior_dna_count]&gt;=1,"Has prior DNA history","No prior DNA history")</f>
        <v>No prior DNA history</v>
      </c>
      <c r="T2500" t="s">
        <v>22</v>
      </c>
      <c r="U2500" t="str">
        <f t="shared" si="38"/>
        <v>1</v>
      </c>
      <c r="V2500" t="str">
        <f>IF(Table1[appointment_status]="Attended","1","0")</f>
        <v>1</v>
      </c>
      <c r="W2500" t="str">
        <f>IF(Table1[appointment_status]="Cancelled","1","0")</f>
        <v>0</v>
      </c>
    </row>
    <row r="2501" spans="1:23">
      <c r="A2501" t="s">
        <v>3795</v>
      </c>
      <c r="B2501" t="s">
        <v>3796</v>
      </c>
      <c r="C2501">
        <v>37</v>
      </c>
      <c r="D2501" t="str" cm="1">
        <f t="array" ref="D2501">_xlfn.IFS(Table1[[#This Row],[age]]&lt;=17,"0-17",C2501&lt;=29,"18-29",C2501&lt;=44,"30-44",C2501&lt;=59,"45-59",C2501&lt;=74,"60-74",TRUE,"75+")</f>
        <v>30-44</v>
      </c>
      <c r="E2501" t="s">
        <v>17</v>
      </c>
      <c r="F2501">
        <v>4</v>
      </c>
      <c r="G2501" t="str" cm="1">
        <f t="array" ref="G2501">_xlfn.IFS(_xlfn.SINGLE(Table1[imd_decile])&lt;=3,"Most Deprived",F2501&lt;=7,"Moderately Deprived",F2501&lt;=10,"Least Deprived")</f>
        <v>Moderately Deprived</v>
      </c>
      <c r="H2501">
        <v>12.1</v>
      </c>
      <c r="I2501" t="s">
        <v>58</v>
      </c>
      <c r="J2501" t="s">
        <v>19</v>
      </c>
      <c r="K2501" s="1">
        <v>45962</v>
      </c>
      <c r="L2501" s="1">
        <v>46077</v>
      </c>
      <c r="M2501" s="1" t="str">
        <f>TEXT(Table1[[#This Row],[appointment_date]],"MM/YYYY")</f>
        <v>02/2026</v>
      </c>
      <c r="N2501">
        <v>115</v>
      </c>
      <c r="O2501" t="str" cm="1">
        <f t="array" ref="O2501">_xlfn.IFS(Table1[[#This Row],[lead_time_days]]&lt;=7,"0-7 days",N2501&lt;=14,"8-14 days",N2501&lt;=30,"15-30 days",N2501&lt;=60,"31-60 days",TRUE,"61+ days")</f>
        <v>61+ days</v>
      </c>
      <c r="P2501" t="s">
        <v>71</v>
      </c>
      <c r="Q2501" t="s">
        <v>32</v>
      </c>
      <c r="R2501">
        <v>0</v>
      </c>
      <c r="S2501" t="str">
        <f>IF(Table1[prior_dna_count]&gt;=1,"Has prior DNA history","No prior DNA history")</f>
        <v>No prior DNA history</v>
      </c>
      <c r="T2501" t="s">
        <v>46</v>
      </c>
      <c r="U2501" t="str">
        <f t="shared" si="38"/>
        <v>1</v>
      </c>
      <c r="V2501" t="str">
        <f>IF(Table1[appointment_status]="Attended","1","0")</f>
        <v>0</v>
      </c>
      <c r="W2501" t="str">
        <f>IF(Table1[appointment_status]="Cancelled","1","0")</f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9B46-ABDA-4A90-9055-CFF7295A4F1D}">
  <dimension ref="B1:AH17"/>
  <sheetViews>
    <sheetView tabSelected="1" workbookViewId="0">
      <selection activeCell="Y21" sqref="Y21"/>
    </sheetView>
  </sheetViews>
  <sheetFormatPr defaultRowHeight="15"/>
  <cols>
    <col min="2" max="2" width="44.5703125" customWidth="1"/>
    <col min="6" max="7" width="19.28515625" customWidth="1"/>
    <col min="8" max="8" width="14.85546875" customWidth="1"/>
    <col min="9" max="9" width="13.85546875" customWidth="1"/>
    <col min="11" max="11" width="12.5703125" customWidth="1"/>
    <col min="12" max="12" width="19.140625" customWidth="1"/>
    <col min="13" max="13" width="14.140625" customWidth="1"/>
    <col min="14" max="14" width="14.28515625" customWidth="1"/>
    <col min="15" max="15" width="11.140625" customWidth="1"/>
    <col min="16" max="16" width="16.42578125" customWidth="1"/>
    <col min="17" max="17" width="18.7109375" customWidth="1"/>
    <col min="18" max="18" width="14.42578125" customWidth="1"/>
    <col min="19" max="19" width="14.28515625" customWidth="1"/>
    <col min="20" max="20" width="10.85546875" customWidth="1"/>
    <col min="21" max="21" width="20.7109375" customWidth="1"/>
    <col min="22" max="22" width="19.5703125" customWidth="1"/>
    <col min="23" max="23" width="13.7109375" customWidth="1"/>
    <col min="24" max="24" width="14.140625" customWidth="1"/>
    <col min="27" max="27" width="19.28515625" customWidth="1"/>
    <col min="28" max="28" width="13.5703125" customWidth="1"/>
    <col min="29" max="29" width="13.85546875" customWidth="1"/>
    <col min="31" max="31" width="21.42578125" customWidth="1"/>
    <col min="32" max="32" width="22" customWidth="1"/>
  </cols>
  <sheetData>
    <row r="1" spans="2:34">
      <c r="B1" t="s">
        <v>3807</v>
      </c>
      <c r="F1" t="s">
        <v>3825</v>
      </c>
      <c r="K1" t="s">
        <v>3827</v>
      </c>
      <c r="P1" t="s">
        <v>3828</v>
      </c>
      <c r="U1" t="s">
        <v>3835</v>
      </c>
      <c r="Z1" t="s">
        <v>3834</v>
      </c>
      <c r="AE1" t="s">
        <v>3836</v>
      </c>
    </row>
    <row r="3" spans="2:34" ht="34.5" customHeight="1">
      <c r="B3" t="s">
        <v>3805</v>
      </c>
      <c r="C3" t="s">
        <v>3806</v>
      </c>
      <c r="F3" t="s">
        <v>3821</v>
      </c>
      <c r="G3" s="9" t="s">
        <v>3823</v>
      </c>
      <c r="H3" t="s">
        <v>3824</v>
      </c>
      <c r="I3" t="s">
        <v>3822</v>
      </c>
      <c r="K3" t="s">
        <v>3821</v>
      </c>
      <c r="L3" s="9" t="s">
        <v>3823</v>
      </c>
      <c r="M3" t="s">
        <v>3824</v>
      </c>
      <c r="N3" t="s">
        <v>3822</v>
      </c>
      <c r="P3" t="s">
        <v>3821</v>
      </c>
      <c r="Q3" s="9" t="s">
        <v>3823</v>
      </c>
      <c r="R3" t="s">
        <v>3824</v>
      </c>
      <c r="S3" t="s">
        <v>3822</v>
      </c>
      <c r="U3" t="s">
        <v>3821</v>
      </c>
      <c r="V3" s="9" t="s">
        <v>3823</v>
      </c>
      <c r="W3" t="s">
        <v>3824</v>
      </c>
      <c r="X3" t="s">
        <v>3822</v>
      </c>
      <c r="Z3" t="s">
        <v>3821</v>
      </c>
      <c r="AA3" s="9" t="s">
        <v>3823</v>
      </c>
      <c r="AB3" t="s">
        <v>3824</v>
      </c>
      <c r="AC3" t="s">
        <v>3822</v>
      </c>
      <c r="AE3" t="s">
        <v>3821</v>
      </c>
      <c r="AF3" s="9" t="s">
        <v>3823</v>
      </c>
      <c r="AG3" t="s">
        <v>3824</v>
      </c>
      <c r="AH3" t="s">
        <v>3822</v>
      </c>
    </row>
    <row r="4" spans="2:34">
      <c r="B4" t="s">
        <v>3808</v>
      </c>
      <c r="C4">
        <f>COUNTA(Table1[appointment_id])</f>
        <v>2500</v>
      </c>
      <c r="F4" t="s">
        <v>42</v>
      </c>
      <c r="G4" s="4">
        <f>COUNTIFS(Table1[department], F4, Table1[appointment_status], "&lt;&gt;Cancelled")</f>
        <v>331</v>
      </c>
      <c r="H4">
        <f>COUNTIFS(Table1[department], F4, Table1[appointment_status], "Did Not Attend")</f>
        <v>41</v>
      </c>
      <c r="I4" s="5">
        <f t="shared" ref="I4:I14" si="0">H4/G4</f>
        <v>0.12386706948640483</v>
      </c>
      <c r="K4" t="s">
        <v>3829</v>
      </c>
      <c r="L4">
        <f>COUNTIFS(Table1[lead_time_band], K4, Table1[appointment_status], "&lt;&gt;Cancelled")</f>
        <v>218</v>
      </c>
      <c r="M4">
        <f>COUNTIFS(Table1[lead_time_band], K4, Table1[appointment_status], "Did Not Attend")</f>
        <v>31</v>
      </c>
      <c r="N4" s="5">
        <f t="shared" ref="N4:N9" si="1">M4/L4</f>
        <v>0.14220183486238533</v>
      </c>
      <c r="P4" t="s">
        <v>21</v>
      </c>
      <c r="Q4">
        <f>COUNTIFS(Table1[reminder_sent], P4, Table1[appointment_status], "&lt;&gt;Cancelled")</f>
        <v>1580</v>
      </c>
      <c r="R4">
        <f>COUNTIFS(Table1[reminder_sent], P4, Table1[appointment_status], "Did Not Attend")</f>
        <v>140</v>
      </c>
      <c r="S4" s="5">
        <f t="shared" ref="S4:S6" si="2">R4/Q4</f>
        <v>8.8607594936708861E-2</v>
      </c>
      <c r="U4" t="str" cm="1">
        <f t="array" ref="U4">_xlfn.IFS(_xlfn.SINGLE(Table1[imd_decile])&lt;=3,"Most Deprived",T4&lt;=7,"Moderately Deprived",T4&lt;=10,"Least Deprived")</f>
        <v>Most Deprived</v>
      </c>
      <c r="V4">
        <f>COUNTIFS(Table1[imd_group], U4, Table1[appointment_status], "&lt;&gt;Cancelled")</f>
        <v>719</v>
      </c>
      <c r="W4">
        <f>COUNTIFS(Table1[imd_group], U4, Table1[appointment_status], "Did Not Attend")</f>
        <v>139</v>
      </c>
      <c r="X4" s="5">
        <f>W4/V4</f>
        <v>0.19332406119610571</v>
      </c>
      <c r="Z4" t="s">
        <v>3838</v>
      </c>
      <c r="AA4">
        <f>COUNTIFS(Table1[Age_band], Z4, Table1[appointment_status], "&lt;&gt;Cancelled")</f>
        <v>157</v>
      </c>
      <c r="AB4">
        <f>COUNTIFS(Table1[Age_band], Z4, Table1[appointment_status], "Did Not Attend")</f>
        <v>28</v>
      </c>
      <c r="AC4" s="5">
        <f t="shared" ref="AC4:AC9" si="3">AB4/AA4</f>
        <v>0.17834394904458598</v>
      </c>
      <c r="AE4" t="s">
        <v>3844</v>
      </c>
      <c r="AF4">
        <f>COUNTIFS(Table1[prior_dna_flag], AE4, Table1[appointment_status], "&lt;&gt;Cancelled")</f>
        <v>181</v>
      </c>
      <c r="AG4">
        <f>COUNTIFS(Table1[prior_dna_flag], AE4, Table1[appointment_status], "Did Not Attend")</f>
        <v>42</v>
      </c>
      <c r="AH4" s="5">
        <f t="shared" ref="AH4:AH5" si="4">AG4/AF4</f>
        <v>0.23204419889502761</v>
      </c>
    </row>
    <row r="5" spans="2:34">
      <c r="B5" t="s">
        <v>3809</v>
      </c>
      <c r="C5" s="4">
        <f>COUNTIF(Table1[appointment_status], "Cancelled")</f>
        <v>216</v>
      </c>
      <c r="F5" t="s">
        <v>38</v>
      </c>
      <c r="G5">
        <f>COUNTIFS(Table1[department], F5, Table1[appointment_status], "&lt;&gt;Cancelled")</f>
        <v>197</v>
      </c>
      <c r="H5">
        <f>COUNTIFS(Table1[department], F5, Table1[appointment_status], "Did Not Attend")</f>
        <v>30</v>
      </c>
      <c r="I5" s="5">
        <f t="shared" si="0"/>
        <v>0.15228426395939088</v>
      </c>
      <c r="K5" t="s">
        <v>3830</v>
      </c>
      <c r="L5">
        <f>COUNTIFS(Table1[lead_time_band], K5, Table1[appointment_status], "&lt;&gt;Cancelled")</f>
        <v>356</v>
      </c>
      <c r="M5">
        <f>COUNTIFS(Table1[lead_time_band], K5, Table1[appointment_status], "Did Not Attend")</f>
        <v>43</v>
      </c>
      <c r="N5" s="5">
        <f t="shared" si="1"/>
        <v>0.12078651685393259</v>
      </c>
      <c r="P5" t="s">
        <v>32</v>
      </c>
      <c r="Q5">
        <f>COUNTIFS(Table1[reminder_sent], P5, Table1[appointment_status], "&lt;&gt;Cancelled")</f>
        <v>704</v>
      </c>
      <c r="R5">
        <f>COUNTIFS(Table1[reminder_sent], P5, Table1[appointment_status], "Did Not Attend")</f>
        <v>167</v>
      </c>
      <c r="S5" s="5">
        <f t="shared" si="2"/>
        <v>0.23721590909090909</v>
      </c>
      <c r="U5" s="3" t="str" cm="1">
        <f t="array" ref="U5">_xlfn.IFS(_xlfn.SINGLE(Table1[imd_decile])&lt;=3,"Most Deprived",T5&lt;=7,"Moderately Deprived",T5&lt;=10,"Least Deprived")</f>
        <v>Moderately Deprived</v>
      </c>
      <c r="V5">
        <f>COUNTIFS(Table1[imd_group], U5, Table1[appointment_status], "&lt;&gt;Cancelled")</f>
        <v>921</v>
      </c>
      <c r="W5">
        <f>COUNTIFS(Table1[imd_group], U5, Table1[appointment_status], "Did Not Attend")</f>
        <v>108</v>
      </c>
      <c r="X5" s="5">
        <f>W5/V5</f>
        <v>0.11726384364820847</v>
      </c>
      <c r="Z5" t="s">
        <v>3839</v>
      </c>
      <c r="AA5">
        <f>COUNTIFS(Table1[Age_band], Z5, Table1[appointment_status], "&lt;&gt;Cancelled")</f>
        <v>252</v>
      </c>
      <c r="AB5">
        <f>COUNTIFS(Table1[Age_band], Z5, Table1[appointment_status], "Did Not Attend")</f>
        <v>46</v>
      </c>
      <c r="AC5" s="5">
        <f t="shared" si="3"/>
        <v>0.18253968253968253</v>
      </c>
      <c r="AE5" s="10" t="s">
        <v>3845</v>
      </c>
      <c r="AF5" s="11">
        <f>COUNTIFS(Table1[prior_dna_flag], AE5, Table1[appointment_status], "&lt;&gt;Cancelled")</f>
        <v>2103</v>
      </c>
      <c r="AG5" s="11">
        <f>COUNTIFS(Table1[prior_dna_flag], AE5, Table1[appointment_status], "Did Not Attend")</f>
        <v>265</v>
      </c>
      <c r="AH5" s="12">
        <f t="shared" si="4"/>
        <v>0.12601046124583928</v>
      </c>
    </row>
    <row r="6" spans="2:34">
      <c r="B6" t="s">
        <v>3810</v>
      </c>
      <c r="C6">
        <f>C4 - C5</f>
        <v>2284</v>
      </c>
      <c r="F6" t="s">
        <v>91</v>
      </c>
      <c r="G6">
        <f>COUNTIFS(Table1[department], F6, Table1[appointment_status], "&lt;&gt;Cancelled")</f>
        <v>202</v>
      </c>
      <c r="H6">
        <f>COUNTIFS(Table1[department], F6, Table1[appointment_status], "Did Not Attend")</f>
        <v>22</v>
      </c>
      <c r="I6" s="5">
        <f t="shared" si="0"/>
        <v>0.10891089108910891</v>
      </c>
      <c r="K6" t="s">
        <v>3831</v>
      </c>
      <c r="L6">
        <f>COUNTIFS(Table1[lead_time_band], K6, Table1[appointment_status], "&lt;&gt;Cancelled")</f>
        <v>818</v>
      </c>
      <c r="M6">
        <f>COUNTIFS(Table1[lead_time_band], K6, Table1[appointment_status], "Did Not Attend")</f>
        <v>76</v>
      </c>
      <c r="N6" s="5">
        <f t="shared" si="1"/>
        <v>9.2909535452322736E-2</v>
      </c>
      <c r="P6" t="s">
        <v>3826</v>
      </c>
      <c r="Q6">
        <f>Q4+Q5</f>
        <v>2284</v>
      </c>
      <c r="R6">
        <f>R4+R5</f>
        <v>307</v>
      </c>
      <c r="S6" s="5">
        <f t="shared" si="2"/>
        <v>0.13441330998248688</v>
      </c>
      <c r="U6" s="2" t="s">
        <v>3837</v>
      </c>
      <c r="V6">
        <f>COUNTIFS(Table1[imd_group], U6, Table1[appointment_status], "&lt;&gt;Cancelled")</f>
        <v>644</v>
      </c>
      <c r="W6">
        <f>COUNTIFS(Table1[imd_group], U6, Table1[appointment_status], "Did Not Attend")</f>
        <v>60</v>
      </c>
      <c r="X6" s="5">
        <f>W6/V6</f>
        <v>9.3167701863354033E-2</v>
      </c>
      <c r="Z6" t="s">
        <v>3840</v>
      </c>
      <c r="AA6">
        <f>COUNTIFS(Table1[Age_band], Z6, Table1[appointment_status], "&lt;&gt;Cancelled")</f>
        <v>572</v>
      </c>
      <c r="AB6">
        <f>COUNTIFS(Table1[Age_band], Z6, Table1[appointment_status], "Did Not Attend")</f>
        <v>81</v>
      </c>
      <c r="AC6" s="5">
        <f t="shared" si="3"/>
        <v>0.14160839160839161</v>
      </c>
      <c r="AE6" s="10" t="s">
        <v>3826</v>
      </c>
      <c r="AF6" s="14">
        <f>AF4+AF5</f>
        <v>2284</v>
      </c>
      <c r="AG6" s="14">
        <f>AG4+AG5</f>
        <v>307</v>
      </c>
      <c r="AH6" s="12">
        <f>AG6/AF6</f>
        <v>0.13441330998248688</v>
      </c>
    </row>
    <row r="7" spans="2:34">
      <c r="B7" t="s">
        <v>22</v>
      </c>
      <c r="C7" s="4">
        <f>COUNTIF(Table1[appointment_status], "Attended")</f>
        <v>1977</v>
      </c>
      <c r="F7" t="s">
        <v>30</v>
      </c>
      <c r="G7">
        <f>COUNTIFS(Table1[department], F7, Table1[appointment_status], "&lt;&gt;Cancelled")</f>
        <v>192</v>
      </c>
      <c r="H7">
        <f>COUNTIFS(Table1[department], F7, Table1[appointment_status], "Did Not Attend")</f>
        <v>27</v>
      </c>
      <c r="I7" s="5">
        <f t="shared" si="0"/>
        <v>0.140625</v>
      </c>
      <c r="K7" t="s">
        <v>3832</v>
      </c>
      <c r="L7">
        <f>COUNTIFS(Table1[lead_time_band], K7, Table1[appointment_status], "&lt;&gt;Cancelled")</f>
        <v>704</v>
      </c>
      <c r="M7">
        <f>COUNTIFS(Table1[lead_time_band], K7, Table1[appointment_status], "Did Not Attend")</f>
        <v>111</v>
      </c>
      <c r="N7" s="5">
        <f t="shared" si="1"/>
        <v>0.15767045454545456</v>
      </c>
      <c r="U7" t="s">
        <v>3826</v>
      </c>
      <c r="V7">
        <f>SUM(V4:V6)</f>
        <v>2284</v>
      </c>
      <c r="W7">
        <f>SUM(W4:W6)</f>
        <v>307</v>
      </c>
      <c r="X7" s="5">
        <f>W7/V7</f>
        <v>0.13441330998248688</v>
      </c>
      <c r="Z7" t="s">
        <v>3841</v>
      </c>
      <c r="AA7">
        <f>COUNTIFS(Table1[Age_band], Z7, Table1[appointment_status], "&lt;&gt;Cancelled")</f>
        <v>740</v>
      </c>
      <c r="AB7">
        <f>COUNTIFS(Table1[Age_band], Z7, Table1[appointment_status], "Did Not Attend")</f>
        <v>97</v>
      </c>
      <c r="AC7" s="5">
        <f t="shared" si="3"/>
        <v>0.13108108108108107</v>
      </c>
    </row>
    <row r="8" spans="2:34">
      <c r="B8" t="s">
        <v>3811</v>
      </c>
      <c r="C8">
        <f>COUNTIF(Table1[appointment_status], "Did Not Attend")</f>
        <v>307</v>
      </c>
      <c r="F8" t="s">
        <v>49</v>
      </c>
      <c r="G8">
        <f>COUNTIFS(Table1[department], F8, Table1[appointment_status], "&lt;&gt;Cancelled")</f>
        <v>201</v>
      </c>
      <c r="H8">
        <f>COUNTIFS(Table1[department], F8, Table1[appointment_status], "Did Not Attend")</f>
        <v>34</v>
      </c>
      <c r="I8" s="5">
        <f t="shared" si="0"/>
        <v>0.1691542288557214</v>
      </c>
      <c r="K8" t="s">
        <v>3833</v>
      </c>
      <c r="L8">
        <f>COUNTIFS(Table1[lead_time_band], K8, Table1[appointment_status], "&lt;&gt;Cancelled")</f>
        <v>188</v>
      </c>
      <c r="M8">
        <f>COUNTIFS(Table1[lead_time_band], K8, Table1[appointment_status], "Did Not Attend")</f>
        <v>46</v>
      </c>
      <c r="N8" s="5">
        <f t="shared" si="1"/>
        <v>0.24468085106382978</v>
      </c>
      <c r="Z8" t="s">
        <v>3842</v>
      </c>
      <c r="AA8">
        <f>COUNTIFS(Table1[Age_band], Z8, Table1[appointment_status], "&lt;&gt;Cancelled")</f>
        <v>395</v>
      </c>
      <c r="AB8">
        <f>COUNTIFS(Table1[Age_band], Z8, Table1[appointment_status], "Did Not Attend")</f>
        <v>38</v>
      </c>
      <c r="AC8" s="5">
        <f t="shared" si="3"/>
        <v>9.6202531645569619E-2</v>
      </c>
    </row>
    <row r="9" spans="2:34">
      <c r="B9" t="s">
        <v>3812</v>
      </c>
      <c r="C9" s="5">
        <f>C8/C6</f>
        <v>0.13441330998248688</v>
      </c>
      <c r="F9" t="s">
        <v>58</v>
      </c>
      <c r="G9">
        <f>COUNTIFS(Table1[department], F9, Table1[appointment_status], "&lt;&gt;Cancelled")</f>
        <v>214</v>
      </c>
      <c r="H9">
        <f>COUNTIFS(Table1[department], F9, Table1[appointment_status], "Did Not Attend")</f>
        <v>34</v>
      </c>
      <c r="I9" s="5">
        <f t="shared" si="0"/>
        <v>0.15887850467289719</v>
      </c>
      <c r="K9" t="s">
        <v>3826</v>
      </c>
      <c r="L9">
        <f>SUM(L4:L8)</f>
        <v>2284</v>
      </c>
      <c r="M9">
        <f>SUM(M4:M8)</f>
        <v>307</v>
      </c>
      <c r="N9" s="5">
        <f t="shared" si="1"/>
        <v>0.13441330998248688</v>
      </c>
      <c r="Z9" t="s">
        <v>3843</v>
      </c>
      <c r="AA9">
        <f>COUNTIFS(Table1[Age_band], Z9, Table1[appointment_status], "&lt;&gt;Cancelled")</f>
        <v>168</v>
      </c>
      <c r="AB9">
        <f>COUNTIFS(Table1[Age_band], Z9, Table1[appointment_status], "Did Not Attend")</f>
        <v>17</v>
      </c>
      <c r="AC9" s="5">
        <f t="shared" si="3"/>
        <v>0.10119047619047619</v>
      </c>
    </row>
    <row r="10" spans="2:34">
      <c r="B10" t="s">
        <v>3813</v>
      </c>
      <c r="C10" s="5">
        <v>7.5999999999999998E-2</v>
      </c>
      <c r="F10" t="s">
        <v>45</v>
      </c>
      <c r="G10">
        <f>COUNTIFS(Table1[department], F10, Table1[appointment_status], "&lt;&gt;Cancelled")</f>
        <v>228</v>
      </c>
      <c r="H10">
        <f>COUNTIFS(Table1[department], F10, Table1[appointment_status], "Did Not Attend")</f>
        <v>19</v>
      </c>
      <c r="I10" s="5">
        <f t="shared" si="0"/>
        <v>8.3333333333333329E-2</v>
      </c>
      <c r="Z10" t="s">
        <v>3826</v>
      </c>
      <c r="AA10" s="13">
        <f>SUM(AA4:AA9)</f>
        <v>2284</v>
      </c>
      <c r="AB10" s="13">
        <f>SUM(AB4:AB9)</f>
        <v>307</v>
      </c>
      <c r="AC10" s="5">
        <f>AB10/AA10</f>
        <v>0.13441330998248688</v>
      </c>
    </row>
    <row r="11" spans="2:34">
      <c r="B11" t="s">
        <v>3814</v>
      </c>
      <c r="C11" s="5">
        <f>C9-C10</f>
        <v>5.841330998248688E-2</v>
      </c>
      <c r="F11" t="s">
        <v>25</v>
      </c>
      <c r="G11">
        <f>COUNTIFS(Table1[department], F11, Table1[appointment_status], "&lt;&gt;Cancelled")</f>
        <v>321</v>
      </c>
      <c r="H11">
        <f>COUNTIFS(Table1[department], F11, Table1[appointment_status], "Did Not Attend")</f>
        <v>38</v>
      </c>
      <c r="I11" s="5">
        <f t="shared" si="0"/>
        <v>0.11838006230529595</v>
      </c>
    </row>
    <row r="12" spans="2:34">
      <c r="B12" t="s">
        <v>3815</v>
      </c>
      <c r="C12" s="7">
        <f>AVERAGE(Table1[lead_time_days])</f>
        <v>29.583600000000001</v>
      </c>
      <c r="F12" t="s">
        <v>18</v>
      </c>
      <c r="G12">
        <f>COUNTIFS(Table1[department], F12, Table1[appointment_status], "&lt;&gt;Cancelled")</f>
        <v>233</v>
      </c>
      <c r="H12">
        <f>COUNTIFS(Table1[department], F12, Table1[appointment_status], "Did Not Attend")</f>
        <v>40</v>
      </c>
      <c r="I12" s="5">
        <f t="shared" si="0"/>
        <v>0.17167381974248927</v>
      </c>
    </row>
    <row r="13" spans="2:34">
      <c r="B13" t="s">
        <v>3816</v>
      </c>
      <c r="C13" s="7">
        <f>AVERAGEIF(Table1[appointment_status], "Attended", Table1[lead_time_days])</f>
        <v>28.753161355589278</v>
      </c>
      <c r="F13" t="s">
        <v>155</v>
      </c>
      <c r="G13">
        <f>COUNTIFS(Table1[department], F13, Table1[appointment_status], "&lt;&gt;Cancelled")</f>
        <v>165</v>
      </c>
      <c r="H13">
        <f>COUNTIFS(Table1[department], F13, Table1[appointment_status], "Did Not Attend")</f>
        <v>22</v>
      </c>
      <c r="I13" s="5">
        <f t="shared" si="0"/>
        <v>0.13333333333333333</v>
      </c>
    </row>
    <row r="14" spans="2:34">
      <c r="B14" t="s">
        <v>3817</v>
      </c>
      <c r="C14" s="8">
        <f>AVERAGEIF(Table1[appointment_status], "Did Not Attend", Table1[lead_time_days])</f>
        <v>34.286644951140062</v>
      </c>
      <c r="F14" t="s">
        <v>3826</v>
      </c>
      <c r="G14">
        <f>SUM(G4:G13)</f>
        <v>2284</v>
      </c>
      <c r="H14">
        <f>SUM(H4:H13)</f>
        <v>307</v>
      </c>
      <c r="I14" s="5">
        <f t="shared" si="0"/>
        <v>0.13441330998248688</v>
      </c>
    </row>
    <row r="15" spans="2:34">
      <c r="B15" t="s">
        <v>3818</v>
      </c>
      <c r="C15" s="6">
        <f>COUNTIF(Table1[reminder_sent], "Yes") / C4</f>
        <v>0.69199999999999995</v>
      </c>
    </row>
    <row r="16" spans="2:34">
      <c r="B16" t="s">
        <v>3819</v>
      </c>
      <c r="C16" s="5">
        <f>COUNTIFS(Table1[reminder_sent], "Yes", Table1[appointment_status], "Did Not Attend") / COUNTIFS(Table1[reminder_sent], "Yes", Table1[appointment_status], "&lt;&gt;Cancelled")</f>
        <v>8.8607594936708861E-2</v>
      </c>
    </row>
    <row r="17" spans="2:3">
      <c r="B17" t="s">
        <v>3820</v>
      </c>
      <c r="C17" s="5">
        <f>COUNTIFS(Table1[reminder_sent], "No", Table1[appointment_status], "Did Not Attend") / COUNTIFS(Table1[reminder_sent], "No", Table1[appointment_status], "&lt;&gt;Cancelled")</f>
        <v>0.23721590909090909</v>
      </c>
    </row>
  </sheetData>
  <phoneticPr fontId="19" type="noConversion"/>
  <pageMargins left="0.7" right="0.7" top="0.75" bottom="0.75" header="0.3" footer="0.3"/>
  <pageSetup paperSize="9" orientation="portrait" r:id="rId1"/>
  <ignoredErrors>
    <ignoredError sqref="C4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E73ECD-C2B7-485E-9E70-54E6349B7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nhs_outpatient_appointments</vt:lpstr>
      <vt:lpstr>EDA_Overview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Shamil</dc:creator>
  <cp:lastModifiedBy>Sohail Mohamed Shamil</cp:lastModifiedBy>
  <dcterms:created xsi:type="dcterms:W3CDTF">2026-07-23T13:06:33Z</dcterms:created>
  <dcterms:modified xsi:type="dcterms:W3CDTF">2026-07-23T18:08:00Z</dcterms:modified>
</cp:coreProperties>
</file>